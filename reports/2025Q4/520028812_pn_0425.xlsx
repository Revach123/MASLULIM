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K:\Gimlaot\Gimlaot2\האוצר - דוחות\דוח רבעוני - נכס בודד\"/>
    </mc:Choice>
  </mc:AlternateContent>
  <xr:revisionPtr revIDLastSave="0" documentId="13_ncr:1_{61B3B26C-9630-4275-8179-16EC25D8906B}" xr6:coauthVersionLast="47" xr6:coauthVersionMax="47" xr10:uidLastSave="{00000000-0000-0000-0000-000000000000}"/>
  <bookViews>
    <workbookView xWindow="-120" yWindow="-120" windowWidth="29040" windowHeight="15840" tabRatio="840" firstSheet="15" activeTab="23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#REF!</definedName>
    <definedName name="Z_AE318230_F718_49FC_82EB_7CAC3DCD05F1_.wvu.Rows" localSheetId="5" hidden="1">#REF!</definedName>
    <definedName name="Z_AE318230_F718_49FC_82EB_7CAC3DCD05F1_.wvu.Rows" localSheetId="3" hidden="1">#REF!</definedName>
    <definedName name="Z_AE318230_F718_49FC_82EB_7CAC3DCD05F1_.wvu.Rows" localSheetId="15" hidden="1">#REF!</definedName>
    <definedName name="Z_AE318230_F718_49FC_82EB_7CAC3DCD05F1_.wvu.Rows" localSheetId="27" hidden="1">#REF!</definedName>
    <definedName name="Z_AE318230_F718_49FC_82EB_7CAC3DCD05F1_.wvu.Rows" localSheetId="26" hidden="1">#REF!</definedName>
    <definedName name="Z_AE318230_F718_49FC_82EB_7CAC3DCD05F1_.wvu.Rows" localSheetId="11" hidden="1">#REF!</definedName>
    <definedName name="Z_AE318230_F718_49FC_82EB_7CAC3DCD05F1_.wvu.Rows" localSheetId="30" hidden="1">#REF!</definedName>
    <definedName name="Z_AE318230_F718_49FC_82EB_7CAC3DCD05F1_.wvu.Rows" localSheetId="9" hidden="1">#REF!</definedName>
    <definedName name="Z_AE318230_F718_49FC_82EB_7CAC3DCD05F1_.wvu.Rows" localSheetId="21" hidden="1">#REF!</definedName>
    <definedName name="Z_AE318230_F718_49FC_82EB_7CAC3DCD05F1_.wvu.Rows" localSheetId="17" hidden="1">#REF!</definedName>
    <definedName name="Z_AE318230_F718_49FC_82EB_7CAC3DCD05F1_.wvu.Rows" localSheetId="14" hidden="1">#REF!</definedName>
    <definedName name="Z_AE318230_F718_49FC_82EB_7CAC3DCD05F1_.wvu.Rows" localSheetId="13" hidden="1">#REF!</definedName>
    <definedName name="Z_AE318230_F718_49FC_82EB_7CAC3DCD05F1_.wvu.Rows" localSheetId="20" hidden="1">#REF!</definedName>
    <definedName name="Z_AE318230_F718_49FC_82EB_7CAC3DCD05F1_.wvu.Rows" localSheetId="24" hidden="1">#REF!</definedName>
    <definedName name="Z_AE318230_F718_49FC_82EB_7CAC3DCD05F1_.wvu.Rows" localSheetId="18" hidden="1">#REF!</definedName>
    <definedName name="Z_AE318230_F718_49FC_82EB_7CAC3DCD05F1_.wvu.Rows" localSheetId="16" hidden="1">#REF!</definedName>
    <definedName name="Z_AE318230_F718_49FC_82EB_7CAC3DCD05F1_.wvu.Rows" localSheetId="12" hidden="1">#REF!</definedName>
    <definedName name="Z_AE318230_F718_49FC_82EB_7CAC3DCD05F1_.wvu.Rows" localSheetId="6" hidden="1">#REF!</definedName>
    <definedName name="Z_AE318230_F718_49FC_82EB_7CAC3DCD05F1_.wvu.Rows" localSheetId="29" hidden="1">#REF!</definedName>
    <definedName name="Z_AE318230_F718_49FC_82EB_7CAC3DCD05F1_.wvu.Rows" localSheetId="4" hidden="1">#REF!</definedName>
    <definedName name="Z_AE318230_F718_49FC_82EB_7CAC3DCD05F1_.wvu.Rows" localSheetId="28" hidden="1">#REF!</definedName>
    <definedName name="Z_AE318230_F718_49FC_82EB_7CAC3DCD05F1_.wvu.Rows" localSheetId="25" hidden="1">#REF!</definedName>
    <definedName name="Z_AE318230_F718_49FC_82EB_7CAC3DCD05F1_.wvu.Rows" localSheetId="19" hidden="1">#REF!</definedName>
    <definedName name="Z_AE318230_F718_49FC_82EB_7CAC3DCD05F1_.wvu.Rows" localSheetId="8" hidden="1">#REF!</definedName>
    <definedName name="Z_AE318230_F718_49FC_82EB_7CAC3DCD05F1_.wvu.Rows" localSheetId="7" hidden="1">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B3" i="2"/>
  <c r="B30" i="2"/>
  <c r="C30" i="2" l="1"/>
</calcChain>
</file>

<file path=xl/sharedStrings.xml><?xml version="1.0" encoding="utf-8"?>
<sst xmlns="http://schemas.openxmlformats.org/spreadsheetml/2006/main" count="5795" uniqueCount="1456">
  <si>
    <t>קובץ דיווח עבור רשימת נכסים ברמת הנכס הבודד (חוזר גופים מוסדיים 2015-9-14)</t>
  </si>
  <si>
    <t>:יש לבחור תחום</t>
  </si>
  <si>
    <t>תחום</t>
  </si>
  <si>
    <t>:האם מדובר בקובץ לממומנה או לציבור</t>
  </si>
  <si>
    <t>לממונה</t>
  </si>
  <si>
    <t>:יש לבחור את רבעון הדיווח</t>
  </si>
  <si>
    <t>:יש לבחור את שנת הדיווח</t>
  </si>
  <si>
    <t>:יש לבחור את הגוף המוסדי</t>
  </si>
  <si>
    <t>שם גוף מוסדי</t>
  </si>
  <si>
    <t>:ח.פ. הגוף המוסדי</t>
  </si>
  <si>
    <t>:שם קובץ לשמירה</t>
  </si>
  <si>
    <t>520028812_pn_0425.xlsx</t>
  </si>
  <si>
    <t>פרטי האחראי על הדיווח בגוף המוסדי</t>
  </si>
  <si>
    <t>:שם</t>
  </si>
  <si>
    <t>:מספר טלפון</t>
  </si>
  <si>
    <t>:כתובת מייל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</si>
  <si>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</si>
  <si>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</si>
  <si>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</si>
  <si>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</si>
  <si>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</si>
  <si>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</si>
  <si>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</si>
  <si>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</si>
  <si>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</si>
  <si>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</si>
  <si>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</si>
  <si>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</si>
  <si>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</si>
  <si>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</si>
  <si>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</si>
  <si>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</si>
  <si>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</si>
  <si>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</si>
  <si>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</si>
  <si>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</si>
  <si>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</si>
  <si>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</si>
  <si>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</si>
  <si>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</si>
  <si>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</si>
  <si>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</si>
  <si>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</si>
  <si>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</si>
  <si>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</si>
  <si>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</si>
  <si>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</si>
  <si>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</si>
  <si>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</si>
  <si>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</si>
  <si>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</si>
  <si>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</si>
  <si>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</si>
  <si>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</si>
  <si>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</si>
  <si>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</si>
  <si>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</si>
  <si>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</si>
  <si>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</si>
  <si>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</si>
  <si>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</si>
  <si>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</si>
  <si>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</si>
  <si>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</si>
  <si>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</si>
  <si>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</si>
  <si>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</si>
  <si>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</si>
  <si>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</si>
  <si>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</si>
  <si>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</si>
  <si>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</si>
  <si>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</si>
  <si>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</si>
  <si>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פח"ק/פר"י</t>
  </si>
  <si>
    <t>ישראל</t>
  </si>
  <si>
    <t>לא</t>
  </si>
  <si>
    <t>ilAAA</t>
  </si>
  <si>
    <t>S&amp;P מעלות</t>
  </si>
  <si>
    <t>שקל חדש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</si>
  <si>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</si>
  <si>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</si>
  <si>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</si>
  <si>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</si>
  <si>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</si>
  <si>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</si>
  <si>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</si>
  <si>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</si>
  <si>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</si>
  <si>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</si>
  <si>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</si>
  <si>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</si>
  <si>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</si>
  <si>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</si>
  <si>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</si>
  <si>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2.75%  2041  0841 ממשל צמודה</t>
  </si>
  <si>
    <t>IL0011205833</t>
  </si>
  <si>
    <t>צמוד למדד המחירים לצרכן בריבית קבועה</t>
  </si>
  <si>
    <t>TASE</t>
  </si>
  <si>
    <t>NR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</si>
  <si>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</si>
  <si>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</si>
  <si>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</si>
  <si>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</si>
  <si>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</si>
  <si>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</si>
  <si>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</si>
  <si>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</si>
  <si>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</si>
  <si>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</si>
  <si>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אגן בע"מ</t>
  </si>
  <si>
    <t>.ח.פ</t>
  </si>
  <si>
    <t>5.15% 30/11/2036 אדמה אגח ב</t>
  </si>
  <si>
    <t>IL0011109159</t>
  </si>
  <si>
    <t>ISIN</t>
  </si>
  <si>
    <t>צמוד למדד המחירים לצרכן</t>
  </si>
  <si>
    <t>סחיר</t>
  </si>
  <si>
    <t>כימיה, גומי ופלסטיק</t>
  </si>
  <si>
    <t>ilAA-</t>
  </si>
  <si>
    <t>נייר ערך</t>
  </si>
  <si>
    <t>החוב לא נחות</t>
  </si>
  <si>
    <t>תמר פטרוליום בע"מ</t>
  </si>
  <si>
    <t>4.69% 30/08/2028 תמר פטרוליום אגח א</t>
  </si>
  <si>
    <t>IL0011413320</t>
  </si>
  <si>
    <t>צמוד למט"ח</t>
  </si>
  <si>
    <t>חיפושי נפט וגז</t>
  </si>
  <si>
    <t>A1.il</t>
  </si>
  <si>
    <t>Moodys מידרוג</t>
  </si>
  <si>
    <t>4.69% 30/08/2028 תמר פטרוליום אגח ב</t>
  </si>
  <si>
    <t>IL0011435935</t>
  </si>
  <si>
    <t>תומר תמלוגי אנרגיה (2012) בע"מ</t>
  </si>
  <si>
    <t>5.48% 30/08/2028 תומר אנרגיה אגח א</t>
  </si>
  <si>
    <t>IL0011474793</t>
  </si>
  <si>
    <t>Aa3.il</t>
  </si>
  <si>
    <t>מקורות חברת מים בע"מ</t>
  </si>
  <si>
    <t>2.45% 31/12/2053 11 מקורות אגח</t>
  </si>
  <si>
    <t>IL0011584765</t>
  </si>
  <si>
    <t>שרותים</t>
  </si>
  <si>
    <t>ריט 1 בע"מ</t>
  </si>
  <si>
    <t>2.5% 20/09/2034 ריט 1 אגח ז</t>
  </si>
  <si>
    <t>IL0011712713</t>
  </si>
  <si>
    <t>נדל"ן מניב בישראל</t>
  </si>
  <si>
    <t>ilAA</t>
  </si>
  <si>
    <t>חברת נמלי ישראל-פיתוח נכסים בע"מ</t>
  </si>
  <si>
    <t>0.96% 31/12/2045 נמלי ישראל אגח ד</t>
  </si>
  <si>
    <t>IL0011750333</t>
  </si>
  <si>
    <t>אלביט מערכות בע"מ</t>
  </si>
  <si>
    <t>2.12% 01/07/2029 אלביט מערכות אגח ג</t>
  </si>
  <si>
    <t>IL0011782500</t>
  </si>
  <si>
    <t>ביטחוניות</t>
  </si>
  <si>
    <t>ilAA+</t>
  </si>
  <si>
    <t>2.67% 01/07/2035 אלביט מערכות אגח ד</t>
  </si>
  <si>
    <t>IL0011782682</t>
  </si>
  <si>
    <t>קבוצת עזריאלי בע"מ</t>
  </si>
  <si>
    <t>1.69% 02/01/2041 עזריאלי אגח ח</t>
  </si>
  <si>
    <t>IL0011786808</t>
  </si>
  <si>
    <t>קבוצת אשטרום בע"מ</t>
  </si>
  <si>
    <t>0.75% 31/12/2029 אשטרום קב אגח ד</t>
  </si>
  <si>
    <t>IL0011829897</t>
  </si>
  <si>
    <t>בנייה</t>
  </si>
  <si>
    <t>ilA</t>
  </si>
  <si>
    <t>חברת החשמל לישראל בע"מ</t>
  </si>
  <si>
    <t>3.2% 12/06/2037 35 חשמל אגח</t>
  </si>
  <si>
    <t>IL0011967994</t>
  </si>
  <si>
    <t>אנרגיה</t>
  </si>
  <si>
    <t>4.08% 31/12/2032 אשטרום קב אגח ה</t>
  </si>
  <si>
    <t>IL0011995797</t>
  </si>
  <si>
    <t>אשטרום נכסים בע"מ</t>
  </si>
  <si>
    <t>3.68% 01/01/2034 14 אשטרום נכ אגח</t>
  </si>
  <si>
    <t>IL0012018961</t>
  </si>
  <si>
    <t>אמות השקעות בע"מ</t>
  </si>
  <si>
    <t>3.2% 05/01/2037 אמות אגח ט</t>
  </si>
  <si>
    <t>IL0012049990</t>
  </si>
  <si>
    <t>3.67% 02/01/2046 עזריאלי אגח ט</t>
  </si>
  <si>
    <t>IL0012092537</t>
  </si>
  <si>
    <t>Aa1.il</t>
  </si>
  <si>
    <t>תשתיות אנרגיה בע"מ</t>
  </si>
  <si>
    <t>3.29% 01/2051 תשתיות אנרגיה אגח ב</t>
  </si>
  <si>
    <t>IL0012115155</t>
  </si>
  <si>
    <t>Aaa.il</t>
  </si>
  <si>
    <t>מזרחי טפחות חברה להנפקות בע"מ</t>
  </si>
  <si>
    <t>3.38% 11/2035 71 מזרחי טפ הנפק התח</t>
  </si>
  <si>
    <t>IL0012138918</t>
  </si>
  <si>
    <t>בנקים</t>
  </si>
  <si>
    <t>3.88% 28/11/2049 פועלים התח נד יג</t>
  </si>
  <si>
    <t>IL0012141391</t>
  </si>
  <si>
    <t>אג"ח להמרה צמוד למט"ח</t>
  </si>
  <si>
    <t>בנק לאומי לישראל בע"מ</t>
  </si>
  <si>
    <t>3.1% 02/2036 406 'לאומי התח נדח' סד</t>
  </si>
  <si>
    <t>IL0012164237</t>
  </si>
  <si>
    <t>אמפא בע"מ</t>
  </si>
  <si>
    <t>3.32% 01/01/2034 אמפא אגח א</t>
  </si>
  <si>
    <t>IL0012292855</t>
  </si>
  <si>
    <t>בזק החברה הישראלית לתקשורת בע"מ</t>
  </si>
  <si>
    <t>0.58% 01/06/2035 14 בזק אגח</t>
  </si>
  <si>
    <t>IL0023003176</t>
  </si>
  <si>
    <t>תקשורת ומדיה</t>
  </si>
  <si>
    <t>ישראמקו נגב 2 שותפות מוגבלת</t>
  </si>
  <si>
    <t>מספר שותפות</t>
  </si>
  <si>
    <t>3.77% 10/10/2030 ישראמקו אגח ב</t>
  </si>
  <si>
    <t>IL0023202240</t>
  </si>
  <si>
    <t>0.9% 31/12/2030 13 אשטרום נכסים אגח</t>
  </si>
  <si>
    <t>IL0025103032</t>
  </si>
  <si>
    <t>החברה לישראל בע"מ</t>
  </si>
  <si>
    <t>3.35% 30/09/2026 13 חברה לישראל אגח</t>
  </si>
  <si>
    <t>IL0057602695</t>
  </si>
  <si>
    <t>ilA+</t>
  </si>
  <si>
    <t>1.25% 30/05/2036 33 חשמל אגח</t>
  </si>
  <si>
    <t>IL0060003923</t>
  </si>
  <si>
    <t>כלל החזקות עסקי ביטוח בע"מ</t>
  </si>
  <si>
    <t>כלל עסקי ביטוח</t>
  </si>
  <si>
    <t>IL0002240146</t>
  </si>
  <si>
    <t>מניות</t>
  </si>
  <si>
    <t>ביטוח</t>
  </si>
  <si>
    <t>נייס בע"מ</t>
  </si>
  <si>
    <t>נייס מ"ר</t>
  </si>
  <si>
    <t>IL0002730112</t>
  </si>
  <si>
    <t>תוכנה ואינטרנט</t>
  </si>
  <si>
    <t>איי.סי.אל גרופ בע"מ</t>
  </si>
  <si>
    <t>איי.סי.אל</t>
  </si>
  <si>
    <t>IL0002810146</t>
  </si>
  <si>
    <t>אלוני-חץ נכסים והשקעות בע"מ</t>
  </si>
  <si>
    <t>אלוני חץ מר</t>
  </si>
  <si>
    <t>IL0003900136</t>
  </si>
  <si>
    <t>מנורה מבטחים החזקות בע"מ</t>
  </si>
  <si>
    <t>מנורה מבטחים החזקות</t>
  </si>
  <si>
    <t>IL0005660183</t>
  </si>
  <si>
    <t>הראל השקעות בביטוח ושרותים פיננסים בע"מ</t>
  </si>
  <si>
    <t>הראל השקעות</t>
  </si>
  <si>
    <t>IL0005850180</t>
  </si>
  <si>
    <t>חברת גב ים לקרקעות בע"מ</t>
  </si>
  <si>
    <t>גב-ים</t>
  </si>
  <si>
    <t>IL0007590198</t>
  </si>
  <si>
    <t>מגדל אחזקות ביטוח ופיננסים בע"מ</t>
  </si>
  <si>
    <t>מגדל אחזקות ביטוח</t>
  </si>
  <si>
    <t>IL0010811656</t>
  </si>
  <si>
    <t>שיכון ובינוי בע"מ</t>
  </si>
  <si>
    <t>שיכון ובינוי</t>
  </si>
  <si>
    <t>IL0010819428</t>
  </si>
  <si>
    <t>פז-פקדון זר בע"מ</t>
  </si>
  <si>
    <t>פז אנרגיה ש"ח ע"נ</t>
  </si>
  <si>
    <t>IL0011000077</t>
  </si>
  <si>
    <t>אשטרום קבוצה</t>
  </si>
  <si>
    <t>IL0011323156</t>
  </si>
  <si>
    <t>ישראכרט בע"מ</t>
  </si>
  <si>
    <t>ישראכרט</t>
  </si>
  <si>
    <t>IL0011574030</t>
  </si>
  <si>
    <t>שירותים פיננסיים</t>
  </si>
  <si>
    <t>טראלייט בע"מ</t>
  </si>
  <si>
    <t>טראלייט</t>
  </si>
  <si>
    <t>IL0011801730</t>
  </si>
  <si>
    <t>אנרגיה מתחדשת</t>
  </si>
  <si>
    <t>בית זיקוק אשדוד בע"מ</t>
  </si>
  <si>
    <t>בית זיקוק אשדוד</t>
  </si>
  <si>
    <t>IL0011989105</t>
  </si>
  <si>
    <t>אדגר השקעות ופיתוח בע"מ</t>
  </si>
  <si>
    <t>אדגר מ"ר</t>
  </si>
  <si>
    <t>IL0018200837</t>
  </si>
  <si>
    <t>נדל"ן מניב בחו"ל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</si>
  <si>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</si>
  <si>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</si>
  <si>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</si>
  <si>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</si>
  <si>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</si>
  <si>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</si>
  <si>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</si>
  <si>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</si>
  <si>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</si>
  <si>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ערד בקרן פנסיה מקיפה חדשה</t>
  </si>
  <si>
    <t>4.80% 2028 8799 ערד סדרה</t>
  </si>
  <si>
    <t>4.8% 2028 8800 ערד סדרה</t>
  </si>
  <si>
    <t>4.8% 2028 8801 ערד סדרה</t>
  </si>
  <si>
    <t>4.8% 2028 8802 ערד סדרה</t>
  </si>
  <si>
    <t>4.8% 2028 8803 ערד סדרה</t>
  </si>
  <si>
    <t>4.8% 2028 8804 ערד סדרה</t>
  </si>
  <si>
    <t>4.8% 2028 8805 ערד סדרה</t>
  </si>
  <si>
    <t>4.8% 2028 8806 ערד סדרה</t>
  </si>
  <si>
    <t>4.8% 2028 8807 ערד סדרה</t>
  </si>
  <si>
    <t>4.8% 2028 8808 ערד סדרה</t>
  </si>
  <si>
    <t>4.8% 2028 8809 ערד סדרה</t>
  </si>
  <si>
    <t>4.80% 2029 8811 ערד סדרה</t>
  </si>
  <si>
    <t>4.80% 2029 8812 ערד סדרה</t>
  </si>
  <si>
    <t>4.80% 2029 8813 ערד סדרה</t>
  </si>
  <si>
    <t>2029 4.80% 8814 ערד סדרה</t>
  </si>
  <si>
    <t>2029 4.80% 8815 ערד סדרה</t>
  </si>
  <si>
    <t>2029 4.80% 8817 ערד סדרה</t>
  </si>
  <si>
    <t>4.8% 2029 8819 ערד סדרה</t>
  </si>
  <si>
    <t>4.80% 2029 8820 ערד סדרה</t>
  </si>
  <si>
    <t>2029  4.80% 8821 ערד סדרה</t>
  </si>
  <si>
    <t>2030  4.80%  8823 ערד סדרה</t>
  </si>
  <si>
    <t>2030  4.80%  8824 ערד סדרה</t>
  </si>
  <si>
    <t>2030  4.80% 8826 אג"ח ערד סדרנ</t>
  </si>
  <si>
    <t>2030    4.80%  8829 ערד סדרה</t>
  </si>
  <si>
    <t>2030  4.80%  8832 ערד סדרה</t>
  </si>
  <si>
    <t>2030  4.80% 8833 ערד סדרה</t>
  </si>
  <si>
    <t>2031   4.80%  8834 ערד סדרה</t>
  </si>
  <si>
    <t>2031  4.80%  8836 ערד סדרה</t>
  </si>
  <si>
    <t>2031  4.80%  8837 ערד סדרה</t>
  </si>
  <si>
    <t>4.8%   2031  8839 ערד סדרה</t>
  </si>
  <si>
    <t>4.8%  2031  8840 ערד סדרה</t>
  </si>
  <si>
    <t>2031  4.80% 8843 ערד סדרה</t>
  </si>
  <si>
    <t>2031  4.80% 8845 ערד סדרה</t>
  </si>
  <si>
    <t>2032  4.80%  8846 ערד סדר</t>
  </si>
  <si>
    <t>2032  4.80%   8847 ערד סדרה</t>
  </si>
  <si>
    <t>2017/2032 %4.80 8848 ערד סדרה</t>
  </si>
  <si>
    <t>2032 4.80% 8849 ערד סדרה</t>
  </si>
  <si>
    <t>2032  4.80%   8850 'ערד סד</t>
  </si>
  <si>
    <t>2032  4.80%  8851 ערד סדרה</t>
  </si>
  <si>
    <t>2032  4.8%  8852 ערד סדרה</t>
  </si>
  <si>
    <t>2032  4.80% 8853 ערד סדרה</t>
  </si>
  <si>
    <t>2017/2032  4.80%  8854 ערד סדרה</t>
  </si>
  <si>
    <t>2032  4.80%  8857 ערד סדרה</t>
  </si>
  <si>
    <t>2033  4.80%  8858 ערד סדרה</t>
  </si>
  <si>
    <t>2033  4.80% 8859 ערד סדרה</t>
  </si>
  <si>
    <t>2033  4.80%  8860 ערד סדרה</t>
  </si>
  <si>
    <t>2033  4.80%  8863 ערד  סדרה</t>
  </si>
  <si>
    <t>2033  4.80% 8866 ערד סדרה</t>
  </si>
  <si>
    <t>2033  4.80% 8869 ערד סדרה</t>
  </si>
  <si>
    <t>2034  4.80% 8871 ערד סדרה</t>
  </si>
  <si>
    <t>2304 4.80% 8872 ערד סדרה</t>
  </si>
  <si>
    <t>2034  4.80%  8875 ערד סדרה</t>
  </si>
  <si>
    <t>2034  4.80%  8876 ערד סדרה</t>
  </si>
  <si>
    <t>2034  4.80%  8877 ערד סדרה</t>
  </si>
  <si>
    <t>2034  4.80%  8880 ערד סדרה</t>
  </si>
  <si>
    <t>2034  4.80%  8881 ערד סדרה</t>
  </si>
  <si>
    <t>2020/2035  4.80%  8892 ערד סדרה</t>
  </si>
  <si>
    <t>2021/2036  4.80%  8894 ערד סדרה</t>
  </si>
  <si>
    <t>2021/2036  4.80%  8895 ערד סדרה</t>
  </si>
  <si>
    <t>2021/2036  4.80%  8896 ערד סדרה</t>
  </si>
  <si>
    <t>2021/2036  4.80%  8897 ערד סדרה</t>
  </si>
  <si>
    <t>2021/2036  4.80%  8898 ערד סדרה</t>
  </si>
  <si>
    <t>2021/2036  4.80%  8899 ערד סדרה</t>
  </si>
  <si>
    <t>2021/2036  4.80%  8901 ערד סדרה</t>
  </si>
  <si>
    <t>2021/2036  4.80%  8903 ערד סדרה</t>
  </si>
  <si>
    <t>2021/2036  4.80%  8904 ערד סדרה</t>
  </si>
  <si>
    <t>2022/2037  4.80%  8905 ערד סדרה</t>
  </si>
  <si>
    <t>2022/2037  4.80%  8906 ערד סדרה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</si>
  <si>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</si>
  <si>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</si>
  <si>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</si>
  <si>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</si>
  <si>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</si>
  <si>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</si>
  <si>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</si>
  <si>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</si>
  <si>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</si>
  <si>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4.9% 25/12/2036 מקורות אגח 6-רמ</t>
  </si>
  <si>
    <t>IL0011009086</t>
  </si>
  <si>
    <t>נש"ר</t>
  </si>
  <si>
    <t>אחר</t>
  </si>
  <si>
    <t>חברת ציטוט</t>
  </si>
  <si>
    <t>אי-תלות</t>
  </si>
  <si>
    <t>אלון חברת הדלק לישראל בע"מ</t>
  </si>
  <si>
    <t>5.6% 06/2026 אלון חב הדלק אגח א-רמ</t>
  </si>
  <si>
    <t>IL0011015679</t>
  </si>
  <si>
    <t>השקעה ואחזקות</t>
  </si>
  <si>
    <t>נתיבי הגז הטבעי לישראל בע"מ</t>
  </si>
  <si>
    <t>5.6% 29/12/2026 נתיבי הגז אגח א -רמ</t>
  </si>
  <si>
    <t>IL0011030843</t>
  </si>
  <si>
    <t>4.8% 12/2031 נתיבי הגז אגח ג - רמ</t>
  </si>
  <si>
    <t>IL0011255093</t>
  </si>
  <si>
    <t>גדות השקעות בע"ם</t>
  </si>
  <si>
    <t>גדות - השקעה</t>
  </si>
  <si>
    <t>פנימי</t>
  </si>
  <si>
    <t>מניות לא סחירות</t>
  </si>
  <si>
    <t>קרן השקעה</t>
  </si>
  <si>
    <t>דולר אמריקאי</t>
  </si>
  <si>
    <t>גורם תלוי/פנימי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</si>
  <si>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</si>
  <si>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</si>
  <si>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</si>
  <si>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</si>
  <si>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</si>
  <si>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</si>
  <si>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</si>
  <si>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</si>
  <si>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</si>
  <si>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</si>
  <si>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</si>
  <si>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</si>
  <si>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</si>
  <si>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</si>
  <si>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</si>
  <si>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</si>
  <si>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</si>
  <si>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</si>
  <si>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</si>
  <si>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</si>
  <si>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</si>
  <si>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</si>
  <si>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</si>
  <si>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</si>
  <si>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</si>
  <si>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</si>
  <si>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</si>
  <si>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</si>
  <si>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</si>
  <si>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</si>
  <si>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</si>
  <si>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</si>
  <si>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</si>
  <si>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</si>
  <si>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</si>
  <si>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</si>
  <si>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</si>
  <si>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</si>
  <si>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</si>
  <si>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</si>
  <si>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</si>
  <si>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</si>
  <si>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</si>
  <si>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</si>
  <si>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</si>
  <si>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</si>
  <si>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</si>
  <si>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</si>
  <si>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</si>
  <si>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</si>
  <si>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</si>
  <si>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</si>
  <si>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</si>
  <si>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</si>
  <si>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</si>
  <si>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</si>
  <si>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</si>
  <si>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</si>
  <si>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</si>
  <si>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</si>
  <si>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</si>
  <si>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</si>
  <si>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</si>
  <si>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</si>
  <si>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</si>
  <si>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18 דרך ארץ קטע</t>
  </si>
  <si>
    <t>נדל"ן ובנוי</t>
  </si>
  <si>
    <t>Aa2.il</t>
  </si>
  <si>
    <t>ללא</t>
  </si>
  <si>
    <t>קרן שווה</t>
  </si>
  <si>
    <t>מרווח הוגן</t>
  </si>
  <si>
    <t>6.7142% 2007/2027 (3)1 חוצה ישראל</t>
  </si>
  <si>
    <t>2007/2027 6.7142% (6)1 חוצה ישראל</t>
  </si>
  <si>
    <t>2007/2027 6.7142%(7)1 חוצה ישראל</t>
  </si>
  <si>
    <t>2007/2027 6.7142%(8)1 חוצה ישראל</t>
  </si>
  <si>
    <t>2007/2027 6.7142%(9)1 חוצה ישראל</t>
  </si>
  <si>
    <t>2007/2027 6.7142%(10)1 חוצה ישראל</t>
  </si>
  <si>
    <t>2007/2027 6.7142% (11)1 חוצה ישראל</t>
  </si>
  <si>
    <t>2007/2027 6.7142%(12)1 חוצה ישראל</t>
  </si>
  <si>
    <t>2007/2027 6.7142%(2)1 חוצה ישראל</t>
  </si>
  <si>
    <t>תשתיות</t>
  </si>
  <si>
    <t>2007/2027 6.7142%(1)1 חוצה ישראל</t>
  </si>
  <si>
    <t>2007/2027 6.7142%(4)1 חוצה ישראל</t>
  </si>
  <si>
    <t>2007/2027 6.7142%(5)1 חוצה ישראל</t>
  </si>
  <si>
    <t>2007/2027 6.7142%(13)1 חוצה ישראל</t>
  </si>
  <si>
    <t>2007/2027 6.7142%(14)1 חוצה ישראל</t>
  </si>
  <si>
    <t>2007/2027 6.7142% (15)1 חוצה ישראל</t>
  </si>
  <si>
    <t>2007/2027 6.7142%(16)1 חוצה ישראל</t>
  </si>
  <si>
    <t>2007/2027 6.7142%(17)1 חוצה ישראל</t>
  </si>
  <si>
    <t>2007/2027 6.7142% (18)1 חוצה ישראל</t>
  </si>
  <si>
    <t>2007/2027 6.7142% (19)1 חוצה ישראל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</si>
  <si>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</si>
  <si>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</si>
  <si>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</si>
  <si>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</si>
  <si>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</si>
  <si>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</si>
  <si>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</si>
  <si>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</si>
  <si>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</si>
  <si>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</si>
  <si>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</si>
  <si>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</si>
  <si>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</si>
  <si>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</si>
  <si>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</si>
  <si>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</si>
  <si>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</si>
  <si>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</si>
  <si>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</si>
  <si>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</si>
  <si>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</si>
  <si>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</si>
  <si>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</si>
  <si>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</si>
  <si>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</si>
  <si>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</si>
  <si>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</si>
  <si>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</si>
  <si>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</si>
  <si>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</si>
  <si>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</si>
  <si>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</si>
  <si>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</si>
  <si>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</si>
  <si>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</si>
  <si>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</si>
  <si>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</si>
  <si>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</si>
  <si>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</si>
  <si>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</si>
  <si>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</si>
  <si>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</si>
  <si>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</si>
  <si>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</si>
  <si>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</si>
  <si>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</si>
  <si>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</si>
  <si>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</si>
  <si>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</si>
  <si>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</si>
  <si>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</si>
  <si>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</si>
  <si>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</si>
  <si>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</si>
  <si>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</si>
  <si>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</si>
  <si>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</si>
  <si>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</si>
  <si>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</si>
  <si>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</si>
  <si>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</si>
  <si>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</si>
  <si>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</si>
  <si>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</si>
  <si>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</si>
  <si>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</si>
  <si>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</si>
  <si>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</si>
  <si>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</si>
  <si>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</si>
  <si>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</si>
  <si>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</si>
  <si>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</si>
  <si>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</si>
  <si>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</si>
  <si>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</si>
  <si>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</si>
  <si>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</si>
  <si>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</si>
  <si>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</si>
  <si>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</si>
  <si>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</si>
  <si>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</si>
  <si>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</si>
  <si>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</si>
  <si>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</si>
  <si>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</si>
  <si>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</si>
  <si>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</si>
  <si>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</si>
  <si>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</si>
  <si>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</si>
  <si>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</si>
  <si>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</si>
  <si>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</si>
  <si>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</si>
  <si>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</si>
  <si>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</si>
  <si>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</si>
  <si>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</si>
  <si>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</si>
  <si>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</si>
  <si>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</si>
  <si>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</si>
  <si>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</si>
  <si>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</si>
  <si>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</si>
  <si>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</si>
  <si>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</si>
  <si>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</si>
  <si>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</si>
  <si>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</si>
  <si>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</si>
  <si>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</si>
  <si>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</si>
  <si>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</si>
  <si>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</si>
  <si>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</si>
  <si>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</si>
  <si>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</si>
  <si>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</si>
  <si>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</si>
  <si>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</si>
  <si>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</si>
  <si>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</si>
  <si>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</si>
  <si>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</si>
  <si>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</si>
  <si>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</si>
  <si>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</si>
  <si>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</si>
  <si>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</si>
  <si>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</si>
  <si>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</si>
  <si>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</si>
  <si>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</si>
  <si>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</si>
  <si>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</si>
  <si>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</si>
  <si>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</si>
  <si>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</si>
  <si>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</si>
  <si>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</si>
  <si>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</si>
  <si>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</si>
  <si>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</si>
  <si>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</si>
  <si>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</si>
  <si>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</si>
  <si>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</si>
  <si>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</si>
  <si>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</si>
  <si>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</si>
  <si>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</si>
  <si>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</si>
  <si>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</si>
  <si>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</si>
  <si>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</si>
  <si>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</si>
  <si>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</si>
  <si>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</si>
  <si>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</si>
  <si>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</si>
  <si>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</si>
  <si>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</si>
  <si>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</si>
  <si>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</si>
  <si>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</si>
  <si>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</si>
  <si>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</si>
  <si>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</si>
  <si>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</si>
  <si>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</si>
  <si>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</si>
  <si>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</si>
  <si>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</si>
  <si>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</si>
  <si>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</si>
  <si>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</si>
  <si>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</si>
  <si>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</si>
  <si>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</si>
  <si>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</si>
  <si>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</si>
  <si>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</si>
  <si>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</si>
  <si>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</si>
  <si>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</si>
  <si>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</si>
  <si>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</si>
  <si>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</si>
  <si>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</si>
  <si>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</si>
  <si>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</si>
  <si>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</si>
  <si>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</si>
  <si>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</si>
  <si>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</si>
  <si>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</si>
  <si>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</si>
  <si>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</si>
  <si>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</si>
  <si>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</si>
  <si>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</si>
  <si>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</si>
  <si>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</si>
  <si>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</si>
  <si>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</si>
  <si>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</si>
  <si>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</si>
  <si>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</si>
  <si>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</si>
  <si>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</si>
  <si>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</si>
  <si>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</si>
  <si>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</si>
  <si>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</si>
  <si>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</si>
  <si>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</si>
  <si>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</si>
  <si>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</si>
  <si>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</si>
  <si>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</si>
  <si>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</si>
  <si>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</si>
  <si>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</si>
  <si>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החוב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</si>
  <si>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</si>
  <si>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</si>
  <si>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</si>
  <si>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</si>
  <si>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</si>
  <si>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</si>
  <si>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</si>
  <si>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</si>
  <si>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</si>
  <si>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</si>
  <si>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</si>
  <si>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</si>
  <si>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</si>
  <si>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</si>
  <si>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</si>
  <si>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</si>
  <si>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</si>
  <si>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</si>
  <si>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</si>
  <si>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</si>
  <si>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</si>
  <si>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</si>
  <si>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</si>
  <si>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</si>
  <si>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</si>
  <si>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</si>
  <si>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</si>
  <si>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</si>
  <si>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</si>
  <si>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</si>
  <si>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</si>
  <si>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</si>
  <si>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</si>
  <si>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</si>
  <si>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</si>
  <si>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</si>
  <si>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</si>
  <si>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</si>
  <si>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</si>
  <si>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</si>
  <si>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</si>
  <si>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</si>
  <si>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</si>
  <si>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</si>
  <si>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</si>
  <si>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</si>
  <si>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</si>
  <si>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</si>
  <si>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</si>
  <si>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</si>
  <si>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</si>
  <si>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</si>
  <si>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</si>
  <si>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</si>
  <si>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</si>
  <si>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</si>
  <si>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</si>
  <si>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</si>
  <si>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</si>
  <si>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</si>
  <si>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</si>
  <si>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</si>
  <si>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</si>
  <si>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</si>
  <si>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</si>
  <si>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</si>
  <si>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</si>
  <si>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</si>
  <si>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</si>
  <si>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</si>
  <si>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</si>
  <si>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</si>
  <si>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</si>
  <si>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</si>
  <si>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</si>
  <si>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</si>
  <si>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</si>
  <si>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</si>
  <si>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</si>
  <si>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</si>
  <si>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</si>
  <si>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</si>
  <si>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</si>
  <si>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</si>
  <si>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</si>
  <si>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</si>
  <si>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</si>
  <si>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</si>
  <si>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</si>
  <si>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</si>
  <si>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</si>
  <si>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</si>
  <si>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</si>
  <si>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</si>
  <si>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</si>
  <si>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</si>
  <si>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</si>
  <si>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</si>
  <si>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</si>
  <si>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</si>
  <si>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</si>
  <si>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</si>
  <si>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</si>
  <si>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</si>
  <si>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</si>
  <si>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</si>
  <si>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</si>
  <si>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</si>
  <si>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</si>
  <si>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</si>
  <si>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</si>
  <si>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</si>
  <si>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</si>
  <si>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</si>
  <si>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</si>
  <si>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</si>
  <si>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</si>
  <si>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</si>
  <si>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</si>
  <si>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</si>
  <si>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</si>
  <si>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</si>
  <si>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</si>
  <si>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</si>
  <si>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</si>
  <si>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</si>
  <si>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</si>
  <si>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</si>
  <si>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</si>
  <si>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</si>
  <si>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</si>
  <si>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</si>
  <si>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</si>
  <si>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</si>
  <si>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</si>
  <si>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</si>
  <si>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</si>
  <si>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</si>
  <si>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</si>
  <si>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</si>
  <si>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</si>
  <si>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</si>
  <si>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</si>
  <si>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</si>
  <si>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</si>
  <si>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</si>
  <si>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</si>
  <si>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</si>
  <si>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</si>
  <si>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</si>
  <si>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</si>
  <si>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</si>
  <si>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</si>
  <si>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</si>
  <si>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</si>
  <si>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</si>
  <si>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</si>
  <si>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</si>
  <si>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</si>
  <si>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</si>
  <si>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</si>
  <si>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</si>
  <si>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</si>
  <si>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</si>
  <si>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</si>
  <si>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</si>
  <si>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</si>
  <si>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</si>
  <si>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</si>
  <si>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</si>
  <si>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</si>
  <si>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</si>
  <si>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</si>
  <si>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</si>
  <si>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</si>
  <si>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</si>
  <si>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</si>
  <si>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</si>
  <si>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</si>
  <si>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</si>
  <si>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</si>
  <si>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</si>
  <si>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</si>
  <si>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</si>
  <si>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</si>
  <si>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</si>
  <si>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</si>
  <si>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</si>
  <si>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</si>
  <si>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</si>
  <si>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</si>
  <si>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</si>
  <si>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</si>
  <si>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</si>
  <si>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</si>
  <si>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</si>
  <si>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</si>
  <si>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</si>
  <si>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</si>
  <si>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</si>
  <si>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</si>
  <si>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</si>
  <si>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</si>
  <si>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</si>
  <si>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</si>
  <si>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</si>
  <si>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</si>
  <si>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</si>
  <si>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</si>
  <si>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</si>
  <si>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</si>
  <si>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</si>
  <si>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</si>
  <si>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</si>
  <si>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</si>
  <si>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</si>
  <si>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</si>
  <si>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</si>
  <si>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</si>
  <si>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</si>
  <si>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</si>
  <si>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</si>
  <si>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</si>
  <si>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</si>
  <si>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</si>
  <si>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</si>
  <si>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</si>
  <si>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</si>
  <si>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</si>
  <si>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</si>
  <si>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</si>
  <si>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</si>
  <si>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</si>
  <si>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</si>
  <si>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</si>
  <si>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</si>
  <si>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</si>
  <si>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</si>
  <si>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</si>
  <si>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</si>
  <si>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</si>
  <si>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</si>
  <si>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</si>
  <si>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</si>
  <si>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</si>
  <si>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</si>
  <si>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</si>
  <si>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</si>
  <si>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</si>
  <si>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</si>
  <si>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</si>
  <si>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</si>
  <si>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</si>
  <si>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</si>
  <si>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</si>
  <si>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</si>
  <si>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</si>
  <si>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</si>
  <si>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</si>
  <si>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</si>
  <si>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</si>
  <si>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</si>
  <si>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</si>
  <si>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</si>
  <si>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</si>
  <si>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</si>
  <si>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</si>
  <si>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</si>
  <si>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</si>
  <si>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</si>
  <si>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</si>
  <si>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</si>
  <si>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</si>
  <si>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</si>
  <si>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</si>
  <si>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</si>
  <si>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</si>
  <si>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</si>
  <si>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</si>
  <si>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</si>
  <si>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</si>
  <si>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</si>
  <si>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</si>
  <si>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</si>
  <si>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</si>
  <si>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</si>
  <si>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</si>
  <si>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</si>
  <si>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</si>
  <si>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</si>
  <si>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</si>
  <si>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</si>
  <si>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</si>
  <si>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</si>
  <si>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</si>
  <si>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</si>
  <si>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</si>
  <si>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</si>
  <si>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</si>
  <si>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</si>
  <si>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</si>
  <si>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</si>
  <si>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</si>
  <si>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</si>
  <si>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</si>
  <si>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</si>
  <si>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</si>
  <si>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</si>
  <si>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</si>
  <si>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</si>
  <si>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</si>
  <si>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</si>
  <si>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</si>
  <si>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</si>
  <si>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</si>
  <si>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</si>
  <si>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</si>
  <si>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</si>
  <si>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</si>
  <si>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</si>
  <si>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</si>
  <si>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</si>
  <si>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</si>
  <si>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</si>
  <si>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</si>
  <si>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</si>
  <si>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</si>
  <si>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</si>
  <si>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</si>
  <si>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</si>
  <si>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</si>
  <si>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</si>
  <si>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</si>
  <si>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</si>
  <si>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</si>
  <si>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</si>
  <si>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</si>
  <si>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</si>
  <si>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</si>
  <si>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</si>
  <si>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</si>
  <si>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</si>
  <si>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</si>
  <si>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</si>
  <si>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</si>
  <si>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</si>
  <si>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</si>
  <si>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</si>
  <si>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</si>
  <si>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</si>
  <si>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</si>
  <si>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</si>
  <si>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</si>
  <si>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</si>
  <si>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</si>
  <si>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</si>
  <si>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</si>
  <si>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</si>
  <si>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</si>
  <si>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</si>
  <si>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</si>
  <si>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</si>
  <si>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</si>
  <si>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</si>
  <si>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</si>
  <si>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</si>
  <si>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</si>
  <si>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</si>
  <si>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</si>
  <si>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</si>
  <si>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</si>
  <si>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</si>
  <si>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</si>
  <si>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</si>
  <si>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</si>
  <si>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</si>
  <si>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</si>
  <si>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</si>
  <si>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</si>
  <si>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</si>
  <si>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</si>
  <si>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</si>
  <si>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</si>
  <si>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</si>
  <si>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</si>
  <si>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</si>
  <si>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</si>
  <si>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</si>
  <si>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</si>
  <si>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</si>
  <si>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</si>
  <si>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</si>
  <si>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</si>
  <si>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</si>
  <si>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</si>
  <si>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</si>
  <si>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</si>
  <si>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</si>
  <si>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</si>
  <si>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</si>
  <si>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</si>
  <si>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</si>
  <si>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</si>
  <si>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</si>
  <si>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</si>
  <si>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</si>
  <si>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</si>
  <si>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</si>
  <si>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</si>
  <si>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</si>
  <si>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</si>
  <si>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</si>
  <si>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</si>
  <si>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</si>
  <si>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</si>
  <si>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</si>
  <si>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</si>
  <si>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</si>
  <si>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</si>
  <si>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</si>
  <si>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</si>
  <si>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</si>
  <si>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</si>
  <si>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</si>
  <si>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</si>
  <si>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</si>
  <si>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</si>
  <si>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</si>
  <si>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</si>
  <si>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</si>
  <si>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</si>
  <si>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</si>
  <si>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</si>
  <si>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</si>
  <si>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</si>
  <si>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</si>
  <si>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</si>
  <si>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</si>
  <si>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</si>
  <si>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</si>
  <si>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</si>
  <si>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</si>
  <si>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</si>
  <si>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</si>
  <si>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</si>
  <si>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</si>
  <si>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</si>
  <si>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</si>
  <si>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</si>
  <si>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</si>
  <si>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</si>
  <si>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דיווח מנהל הקרן</t>
  </si>
  <si>
    <t>מומחה בלתי תלוי</t>
  </si>
  <si>
    <t>קיימת 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</si>
  <si>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</si>
  <si>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</si>
  <si>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</si>
  <si>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</si>
  <si>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</si>
  <si>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</si>
  <si>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</si>
  <si>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</si>
  <si>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</si>
  <si>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</si>
  <si>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</si>
  <si>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</si>
  <si>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</si>
  <si>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</si>
  <si>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</si>
  <si>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</si>
  <si>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</si>
  <si>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</si>
  <si>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</si>
  <si>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</si>
  <si>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</si>
  <si>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</si>
  <si>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</si>
  <si>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</si>
  <si>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</si>
  <si>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</si>
  <si>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</si>
  <si>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</si>
  <si>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</si>
  <si>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</si>
  <si>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</si>
  <si>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</si>
  <si>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</si>
  <si>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</si>
  <si>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</si>
  <si>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</si>
  <si>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</si>
  <si>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</si>
  <si>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</si>
  <si>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</si>
  <si>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</si>
  <si>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</si>
  <si>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</si>
  <si>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</si>
  <si>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</si>
  <si>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</si>
  <si>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</si>
  <si>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</si>
  <si>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</si>
  <si>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</si>
  <si>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</si>
  <si>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</si>
  <si>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</si>
  <si>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</si>
  <si>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</si>
  <si>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</si>
  <si>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</si>
  <si>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</si>
  <si>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</si>
  <si>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</si>
  <si>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</si>
  <si>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</si>
  <si>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</si>
  <si>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</si>
  <si>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</si>
  <si>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</si>
  <si>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</si>
  <si>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</si>
  <si>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</si>
  <si>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</si>
  <si>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</si>
  <si>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</si>
  <si>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</si>
  <si>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</si>
  <si>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</si>
  <si>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</si>
  <si>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</si>
  <si>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</si>
  <si>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</si>
  <si>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</si>
  <si>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</si>
  <si>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</si>
  <si>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</si>
  <si>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</si>
  <si>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</si>
  <si>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</si>
  <si>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</si>
  <si>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</si>
  <si>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</si>
  <si>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</si>
  <si>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</si>
  <si>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</si>
  <si>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</si>
  <si>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</si>
  <si>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</si>
  <si>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</si>
  <si>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</si>
  <si>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</si>
  <si>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</si>
  <si>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</si>
  <si>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</si>
  <si>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</si>
  <si>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</si>
  <si>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</si>
  <si>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</si>
  <si>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</si>
  <si>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</si>
  <si>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</si>
  <si>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</si>
  <si>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</si>
  <si>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</si>
  <si>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</si>
  <si>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</si>
  <si>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</si>
  <si>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</si>
  <si>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</si>
  <si>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</si>
  <si>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</si>
  <si>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</si>
  <si>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</si>
  <si>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</si>
  <si>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</si>
  <si>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</si>
  <si>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</si>
  <si>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</si>
  <si>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</si>
  <si>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</si>
  <si>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</si>
  <si>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</si>
  <si>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</si>
  <si>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</si>
  <si>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</si>
  <si>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</si>
  <si>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</si>
  <si>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</si>
  <si>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</si>
  <si>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</si>
  <si>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</si>
  <si>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</si>
  <si>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</si>
  <si>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</si>
  <si>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</si>
  <si>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</si>
  <si>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</si>
  <si>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</si>
  <si>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</si>
  <si>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</si>
  <si>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</si>
  <si>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</si>
  <si>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</si>
  <si>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</si>
  <si>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</si>
  <si>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</si>
  <si>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</si>
  <si>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</si>
  <si>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</si>
  <si>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</si>
  <si>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</si>
  <si>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</si>
  <si>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</si>
  <si>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</si>
  <si>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</si>
  <si>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</si>
  <si>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</si>
  <si>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</si>
  <si>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</si>
  <si>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</si>
  <si>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</si>
  <si>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</si>
  <si>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</si>
  <si>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</si>
  <si>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</si>
  <si>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</si>
  <si>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</si>
  <si>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</si>
  <si>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</si>
  <si>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</si>
  <si>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</si>
  <si>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</si>
  <si>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</si>
  <si>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</si>
  <si>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</si>
  <si>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</si>
  <si>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</si>
  <si>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</si>
  <si>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</si>
  <si>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</si>
  <si>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</si>
  <si>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</si>
  <si>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</si>
  <si>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</si>
  <si>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</si>
  <si>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</si>
  <si>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</si>
  <si>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</si>
  <si>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</si>
  <si>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</si>
  <si>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</si>
  <si>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</si>
  <si>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</si>
  <si>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</si>
  <si>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</si>
  <si>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</si>
  <si>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</si>
  <si>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</si>
  <si>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</si>
  <si>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</si>
  <si>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</si>
  <si>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</si>
  <si>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</si>
  <si>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</si>
  <si>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</si>
  <si>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</si>
  <si>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</si>
  <si>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</si>
  <si>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</si>
  <si>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</si>
  <si>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</si>
  <si>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</si>
  <si>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</si>
  <si>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</si>
  <si>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</si>
  <si>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</si>
  <si>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</si>
  <si>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</si>
  <si>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</si>
  <si>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</si>
  <si>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</si>
  <si>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</si>
  <si>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</si>
  <si>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</si>
  <si>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</si>
  <si>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</si>
  <si>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</si>
  <si>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</si>
  <si>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</si>
  <si>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</si>
  <si>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</si>
  <si>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</si>
  <si>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</si>
  <si>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</si>
  <si>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</si>
  <si>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</si>
  <si>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</si>
  <si>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</si>
  <si>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</si>
  <si>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</si>
  <si>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</si>
  <si>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</si>
  <si>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</si>
  <si>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</si>
  <si>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</si>
  <si>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</si>
  <si>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</si>
  <si>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</si>
  <si>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</si>
  <si>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</si>
  <si>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</si>
  <si>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</si>
  <si>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</si>
  <si>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</si>
  <si>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</si>
  <si>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</si>
  <si>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</si>
  <si>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</si>
  <si>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</si>
  <si>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</si>
  <si>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</si>
  <si>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</si>
  <si>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</si>
  <si>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</si>
  <si>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</si>
  <si>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</si>
  <si>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</si>
  <si>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</si>
  <si>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</si>
  <si>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</si>
  <si>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</si>
  <si>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</si>
  <si>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</si>
  <si>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</si>
  <si>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</si>
  <si>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</si>
  <si>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</si>
  <si>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</si>
  <si>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</si>
  <si>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</si>
  <si>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</si>
  <si>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</si>
  <si>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</si>
  <si>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</si>
  <si>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</si>
  <si>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</si>
  <si>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</si>
  <si>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</si>
  <si>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</si>
  <si>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</si>
  <si>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</si>
  <si>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</si>
  <si>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</si>
  <si>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</si>
  <si>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</si>
  <si>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</si>
  <si>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</si>
  <si>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</si>
  <si>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</si>
  <si>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</si>
  <si>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</si>
  <si>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</si>
  <si>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</si>
  <si>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</si>
  <si>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</si>
  <si>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</si>
  <si>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תהילה דרזנר</t>
  </si>
  <si>
    <t>054-2153421</t>
  </si>
  <si>
    <t>tehilad@dan.co.il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</si>
</sst>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0.000"/>
    <numFmt numFmtId="166" formatCode="0.000%"/>
    <numFmt numFmtId="167" formatCode="0.0000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trike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4">
    <xf numFmtId="0" fontId="0" fillId="0" borderId="0"/>
    <xf numFmtId="0" fontId="8" fillId="0" borderId="0"/>
    <xf numFmtId="0" fontId="8" fillId="0" borderId="0"/>
    <xf numFmtId="0" fontId="24" fillId="0" borderId="20" applyNumberFormat="0" applyFill="0" applyAlignment="0" applyProtection="0"/>
  </cellStyleXfs>
  <cellXfs count="16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4" fillId="0" borderId="0" xfId="0" applyFont="1"/>
    <xf numFmtId="0" fontId="15" fillId="0" borderId="1" xfId="0" applyFont="1" applyBorder="1" applyAlignment="1">
      <alignment vertical="center" wrapText="1" readingOrder="2"/>
    </xf>
    <xf numFmtId="0" fontId="15" fillId="0" borderId="1" xfId="0" applyFont="1" applyBorder="1" applyAlignment="1">
      <alignment horizontal="right" vertical="center" wrapText="1" readingOrder="2"/>
    </xf>
    <xf numFmtId="2" fontId="15" fillId="0" borderId="1" xfId="0" applyNumberFormat="1" applyFont="1" applyBorder="1" applyAlignment="1">
      <alignment vertical="center" wrapText="1" readingOrder="2"/>
    </xf>
    <xf numFmtId="165" fontId="15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6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8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6" fillId="0" borderId="14" xfId="0" applyFont="1" applyBorder="1"/>
    <xf numFmtId="0" fontId="16" fillId="0" borderId="15" xfId="0" applyFont="1" applyBorder="1"/>
    <xf numFmtId="0" fontId="16" fillId="0" borderId="16" xfId="0" applyFont="1" applyBorder="1" applyAlignment="1">
      <alignment horizontal="right"/>
    </xf>
    <xf numFmtId="0" fontId="19" fillId="0" borderId="1" xfId="0" applyFont="1" applyBorder="1" applyAlignment="1">
      <alignment horizontal="center" vertical="center" wrapText="1" readingOrder="2"/>
    </xf>
    <xf numFmtId="0" fontId="20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17" fontId="0" fillId="0" borderId="0" xfId="0" applyNumberFormat="1"/>
    <xf numFmtId="0" fontId="21" fillId="0" borderId="0" xfId="0" applyFont="1" applyAlignment="1">
      <alignment horizontal="center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3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4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49" fontId="0" fillId="0" borderId="0" xfId="0" applyNumberFormat="1"/>
    <xf numFmtId="49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" fontId="11" fillId="5" borderId="11" xfId="1" applyNumberFormat="1" applyFont="1" applyFill="1" applyBorder="1" applyAlignment="1">
      <alignment horizontal="right" vertical="center" wrapText="1"/>
    </xf>
    <xf numFmtId="49" fontId="4" fillId="4" borderId="0" xfId="0" applyNumberFormat="1" applyFont="1" applyFill="1"/>
    <xf numFmtId="49" fontId="11" fillId="5" borderId="11" xfId="1" applyNumberFormat="1" applyFont="1" applyFill="1" applyBorder="1" applyAlignment="1">
      <alignment horizontal="right" vertical="center" wrapText="1"/>
    </xf>
    <xf numFmtId="49" fontId="7" fillId="0" borderId="10" xfId="0" applyNumberFormat="1" applyFont="1" applyBorder="1"/>
    <xf numFmtId="165" fontId="7" fillId="0" borderId="10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166" fontId="7" fillId="0" borderId="10" xfId="0" applyNumberFormat="1" applyFont="1" applyBorder="1" applyAlignment="1">
      <alignment horizontal="center" vertical="center" wrapText="1"/>
    </xf>
    <xf numFmtId="49" fontId="6" fillId="3" borderId="10" xfId="0" applyNumberFormat="1" applyFont="1" applyFill="1" applyBorder="1" applyAlignment="1">
      <alignment horizontal="right" vertical="center" wrapText="1"/>
    </xf>
    <xf numFmtId="165" fontId="24" fillId="0" borderId="20" xfId="3" applyNumberFormat="1" applyAlignment="1">
      <alignment horizontal="center" vertical="center" wrapText="1"/>
    </xf>
    <xf numFmtId="49" fontId="24" fillId="0" borderId="20" xfId="3" applyNumberFormat="1" applyAlignment="1">
      <alignment horizontal="center" vertical="center" wrapText="1"/>
    </xf>
    <xf numFmtId="166" fontId="24" fillId="0" borderId="20" xfId="3" applyNumberFormat="1" applyAlignment="1">
      <alignment horizontal="center" vertical="center" wrapText="1"/>
    </xf>
    <xf numFmtId="1" fontId="3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165" fontId="0" fillId="0" borderId="0" xfId="0" applyNumberFormat="1" applyAlignment="1">
      <alignment horizontal="center"/>
    </xf>
    <xf numFmtId="167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" fontId="2" fillId="0" borderId="0" xfId="0" applyNumberFormat="1" applyFont="1" applyProtection="1">
      <protection locked="0"/>
    </xf>
    <xf numFmtId="49" fontId="2" fillId="0" borderId="0" xfId="0" applyNumberFormat="1" applyFont="1" applyProtection="1">
      <protection locked="0"/>
    </xf>
    <xf numFmtId="165" fontId="2" fillId="0" borderId="0" xfId="0" applyNumberFormat="1" applyFont="1"/>
    <xf numFmtId="14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" fontId="3" fillId="0" borderId="0" xfId="0" applyNumberFormat="1" applyFont="1" applyProtection="1">
      <protection locked="0"/>
    </xf>
    <xf numFmtId="49" fontId="3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4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167" fontId="3" fillId="0" borderId="0" xfId="0" applyNumberFormat="1" applyFont="1" applyProtection="1">
      <protection locked="0"/>
    </xf>
    <xf numFmtId="14" fontId="3" fillId="0" borderId="0" xfId="0" applyNumberFormat="1" applyFont="1"/>
    <xf numFmtId="165" fontId="2" fillId="0" borderId="0" xfId="0" applyNumberFormat="1" applyFont="1" applyProtection="1">
      <protection locked="0"/>
    </xf>
    <xf numFmtId="167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65" fontId="1" fillId="0" borderId="0" xfId="0" applyNumberFormat="1" applyFont="1" applyProtection="1">
      <protection locked="0"/>
    </xf>
    <xf numFmtId="165" fontId="0" fillId="0" borderId="0" xfId="0" applyNumberFormat="1"/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17" sqref="D17:D21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28" t="s">
        <v>0</v>
      </c>
      <c r="B1" s="29"/>
      <c r="C1" s="29"/>
      <c r="D1" s="29"/>
    </row>
    <row r="2" spans="1:4" x14ac:dyDescent="0.2"/>
    <row r="3" spans="1:4" ht="15" x14ac:dyDescent="0.2">
      <c r="A3" s="127" t="s">
        <v>1</v>
      </c>
      <c r="D3" s="128" t="s">
        <v>2</v>
      </c>
    </row>
    <row r="4" spans="1:4" x14ac:dyDescent="0.2"/>
    <row r="5" spans="1:4" ht="15" x14ac:dyDescent="0.2">
      <c r="A5" s="127" t="s">
        <v>3</v>
      </c>
      <c r="D5" s="128" t="s">
        <v>4</v>
      </c>
    </row>
    <row r="6" spans="1:4" x14ac:dyDescent="0.2"/>
    <row r="7" spans="1:4" ht="15" x14ac:dyDescent="0.2">
      <c r="A7" s="127" t="s">
        <v>5</v>
      </c>
      <c r="D7" s="129">
        <v>4</v>
      </c>
    </row>
    <row r="8" spans="1:4" ht="15" x14ac:dyDescent="0.2">
      <c r="D8" s="27"/>
    </row>
    <row r="9" spans="1:4" ht="15" x14ac:dyDescent="0.2">
      <c r="A9" s="127" t="s">
        <v>6</v>
      </c>
      <c r="D9" s="129">
        <v>2025</v>
      </c>
    </row>
    <row r="10" spans="1:4" x14ac:dyDescent="0.2"/>
    <row r="11" spans="1:4" ht="15" x14ac:dyDescent="0.2">
      <c r="A11" s="127" t="s">
        <v>7</v>
      </c>
      <c r="D11" s="128" t="s">
        <v>1435</v>
      </c>
    </row>
    <row r="12" spans="1:4" x14ac:dyDescent="0.2"/>
    <row r="13" spans="1:4" ht="15" x14ac:dyDescent="0.2">
      <c r="A13" s="127" t="s">
        <v>9</v>
      </c>
      <c r="D13" s="130">
        <v>520028812</v>
      </c>
    </row>
    <row r="14" spans="1:4" x14ac:dyDescent="0.2"/>
    <row r="15" spans="1:4" ht="15" x14ac:dyDescent="0.25">
      <c r="A15" s="131" t="s">
        <v>10</v>
      </c>
      <c r="D15" s="132" t="s">
        <v>11</v>
      </c>
    </row>
    <row r="16" spans="1:4" ht="15" x14ac:dyDescent="0.25">
      <c r="A16" s="16"/>
      <c r="D16" s="27"/>
    </row>
    <row r="17" spans="1:4" ht="15" x14ac:dyDescent="0.25">
      <c r="A17" s="131" t="s">
        <v>12</v>
      </c>
      <c r="B17" s="30" t="s">
        <v>13</v>
      </c>
      <c r="C17" s="14"/>
      <c r="D17" s="93" t="s">
        <v>1453</v>
      </c>
    </row>
    <row r="18" spans="1:4" x14ac:dyDescent="0.2">
      <c r="A18" s="12"/>
      <c r="D18" s="15"/>
    </row>
    <row r="19" spans="1:4" ht="15" x14ac:dyDescent="0.2">
      <c r="A19" s="12"/>
      <c r="B19" s="30" t="s">
        <v>14</v>
      </c>
      <c r="C19" s="14"/>
      <c r="D19" s="93" t="s">
        <v>1454</v>
      </c>
    </row>
    <row r="20" spans="1:4" x14ac:dyDescent="0.2">
      <c r="A20" s="12"/>
      <c r="B20" s="127" t="s">
        <v>15</v>
      </c>
      <c r="D20" s="15"/>
    </row>
    <row r="21" spans="1:4" ht="15" x14ac:dyDescent="0.2">
      <c r="A21" s="12"/>
      <c r="B21" s="14" t="s">
        <v>16</v>
      </c>
      <c r="C21" s="14"/>
      <c r="D21" s="94" t="s">
        <v>1455</v>
      </c>
    </row>
    <row r="22" spans="1:4" x14ac:dyDescent="0.2">
      <c r="A22" s="12"/>
      <c r="B22" s="13"/>
      <c r="C22" s="13"/>
    </row>
    <row r="23" spans="1:4" ht="28.5" x14ac:dyDescent="0.2">
      <c r="A23" s="126" t="s">
        <v>17</v>
      </c>
      <c r="D23" s="125" t="s">
        <v>18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B3" sqref="B3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 x14ac:dyDescent="0.2">
      <c r="A1" s="39"/>
      <c r="B1" s="40"/>
      <c r="C1" s="96" t="s">
        <v>19</v>
      </c>
      <c r="D1" s="95"/>
      <c r="E1" s="40"/>
    </row>
    <row r="2" spans="1:5" ht="25.5" x14ac:dyDescent="0.2">
      <c r="A2" s="39"/>
      <c r="B2" s="40" t="s">
        <v>20</v>
      </c>
      <c r="C2" s="40" t="s">
        <v>21</v>
      </c>
      <c r="D2" s="40" t="s">
        <v>22</v>
      </c>
      <c r="E2" s="40" t="s">
        <v>23</v>
      </c>
    </row>
    <row r="3" spans="1:5" x14ac:dyDescent="0.2">
      <c r="A3" s="133" t="s">
        <v>24</v>
      </c>
      <c r="B3" s="134">
        <f>1134.2222+72095.153</f>
        <v>73229.375200000009</v>
      </c>
      <c r="C3" s="41"/>
      <c r="D3" s="135" t="s">
        <v>20</v>
      </c>
      <c r="E3" s="136">
        <v>3.7900000000000003E-2</v>
      </c>
    </row>
    <row r="4" spans="1:5" x14ac:dyDescent="0.2">
      <c r="A4" s="133" t="s">
        <v>25</v>
      </c>
      <c r="B4" s="134">
        <v>177408.84</v>
      </c>
      <c r="C4" s="41"/>
      <c r="D4" s="135" t="s">
        <v>20</v>
      </c>
      <c r="E4" s="136">
        <v>9.1600000000000001E-2</v>
      </c>
    </row>
    <row r="5" spans="1:5" x14ac:dyDescent="0.2">
      <c r="A5" s="133" t="s">
        <v>26</v>
      </c>
      <c r="B5" s="41"/>
      <c r="C5" s="41"/>
      <c r="D5" s="41"/>
      <c r="E5" s="41"/>
    </row>
    <row r="6" spans="1:5" x14ac:dyDescent="0.2">
      <c r="A6" s="133" t="s">
        <v>27</v>
      </c>
      <c r="B6" s="134">
        <v>685537.42200000002</v>
      </c>
      <c r="C6" s="41"/>
      <c r="D6" s="135" t="s">
        <v>20</v>
      </c>
      <c r="E6" s="136">
        <v>0.35420000000000001</v>
      </c>
    </row>
    <row r="7" spans="1:5" x14ac:dyDescent="0.2">
      <c r="A7" s="133" t="s">
        <v>28</v>
      </c>
      <c r="B7" s="134">
        <v>85137.99</v>
      </c>
      <c r="C7" s="41"/>
      <c r="D7" s="135" t="s">
        <v>20</v>
      </c>
      <c r="E7" s="136">
        <v>4.3900000000000002E-2</v>
      </c>
    </row>
    <row r="8" spans="1:5" x14ac:dyDescent="0.2">
      <c r="A8" s="133" t="s">
        <v>29</v>
      </c>
      <c r="B8" s="41"/>
      <c r="C8" s="41"/>
      <c r="D8" s="41"/>
      <c r="E8" s="41"/>
    </row>
    <row r="9" spans="1:5" x14ac:dyDescent="0.2">
      <c r="A9" s="133" t="s">
        <v>30</v>
      </c>
      <c r="B9" s="41"/>
      <c r="C9" s="41"/>
      <c r="D9" s="41"/>
      <c r="E9" s="41"/>
    </row>
    <row r="10" spans="1:5" x14ac:dyDescent="0.2">
      <c r="A10" s="133" t="s">
        <v>31</v>
      </c>
      <c r="B10" s="41"/>
      <c r="C10" s="41"/>
      <c r="D10" s="41"/>
      <c r="E10" s="41"/>
    </row>
    <row r="11" spans="1:5" x14ac:dyDescent="0.2">
      <c r="A11" s="133" t="s">
        <v>32</v>
      </c>
      <c r="B11" s="41"/>
      <c r="C11" s="41"/>
      <c r="D11" s="41"/>
      <c r="E11" s="41"/>
    </row>
    <row r="12" spans="1:5" x14ac:dyDescent="0.2">
      <c r="A12" s="133" t="s">
        <v>33</v>
      </c>
      <c r="B12" s="41"/>
      <c r="C12" s="41"/>
      <c r="D12" s="41"/>
      <c r="E12" s="41"/>
    </row>
    <row r="13" spans="1:5" x14ac:dyDescent="0.2">
      <c r="A13" s="133" t="s">
        <v>34</v>
      </c>
      <c r="B13" s="41"/>
      <c r="C13" s="41"/>
      <c r="D13" s="41"/>
      <c r="E13" s="41"/>
    </row>
    <row r="14" spans="1:5" x14ac:dyDescent="0.2">
      <c r="A14" s="133" t="s">
        <v>35</v>
      </c>
      <c r="B14" s="41"/>
      <c r="C14" s="41"/>
      <c r="D14" s="41"/>
      <c r="E14" s="41"/>
    </row>
    <row r="15" spans="1:5" x14ac:dyDescent="0.2">
      <c r="A15" s="133" t="s">
        <v>36</v>
      </c>
      <c r="B15" s="134">
        <v>707658.86699999997</v>
      </c>
      <c r="C15" s="41"/>
      <c r="D15" s="135" t="s">
        <v>20</v>
      </c>
      <c r="E15" s="136">
        <v>0.36559999999999998</v>
      </c>
    </row>
    <row r="16" spans="1:5" x14ac:dyDescent="0.2">
      <c r="A16" s="133" t="s">
        <v>37</v>
      </c>
      <c r="B16" s="41"/>
      <c r="C16" s="41"/>
      <c r="D16" s="41"/>
      <c r="E16" s="41"/>
    </row>
    <row r="17" spans="1:5" x14ac:dyDescent="0.2">
      <c r="A17" s="133" t="s">
        <v>38</v>
      </c>
      <c r="B17" s="41"/>
      <c r="C17" s="41"/>
      <c r="D17" s="41"/>
      <c r="E17" s="41"/>
    </row>
    <row r="18" spans="1:5" x14ac:dyDescent="0.2">
      <c r="A18" s="133" t="s">
        <v>39</v>
      </c>
      <c r="B18" s="134">
        <v>31522.324000000001</v>
      </c>
      <c r="C18" s="41"/>
      <c r="D18" s="135" t="s">
        <v>20</v>
      </c>
      <c r="E18" s="136">
        <v>1.6299999999999999E-2</v>
      </c>
    </row>
    <row r="19" spans="1:5" x14ac:dyDescent="0.2">
      <c r="A19" s="133" t="s">
        <v>40</v>
      </c>
      <c r="B19" s="134">
        <v>65957.914000000004</v>
      </c>
      <c r="C19" s="41"/>
      <c r="D19" s="135" t="s">
        <v>20</v>
      </c>
      <c r="E19" s="136">
        <v>3.4000000000000002E-2</v>
      </c>
    </row>
    <row r="20" spans="1:5" x14ac:dyDescent="0.2">
      <c r="A20" s="133" t="s">
        <v>41</v>
      </c>
      <c r="B20" s="41"/>
      <c r="C20" s="41"/>
      <c r="D20" s="41"/>
      <c r="E20" s="41"/>
    </row>
    <row r="21" spans="1:5" x14ac:dyDescent="0.2">
      <c r="A21" s="133" t="s">
        <v>42</v>
      </c>
      <c r="B21" s="41"/>
      <c r="C21" s="41"/>
      <c r="D21" s="41"/>
      <c r="E21" s="41"/>
    </row>
    <row r="22" spans="1:5" x14ac:dyDescent="0.2">
      <c r="A22" s="133" t="s">
        <v>43</v>
      </c>
      <c r="B22" s="41"/>
      <c r="C22" s="41"/>
      <c r="D22" s="41"/>
      <c r="E22" s="41"/>
    </row>
    <row r="23" spans="1:5" x14ac:dyDescent="0.2">
      <c r="A23" s="133" t="s">
        <v>44</v>
      </c>
      <c r="B23" s="41"/>
      <c r="C23" s="41"/>
      <c r="D23" s="41"/>
      <c r="E23" s="41"/>
    </row>
    <row r="24" spans="1:5" x14ac:dyDescent="0.2">
      <c r="A24" s="133" t="s">
        <v>45</v>
      </c>
      <c r="B24" s="134">
        <v>6929.6130000000003</v>
      </c>
      <c r="C24" s="41"/>
      <c r="D24" s="135" t="s">
        <v>20</v>
      </c>
      <c r="E24" s="136">
        <v>3.5999999999999999E-3</v>
      </c>
    </row>
    <row r="25" spans="1:5" x14ac:dyDescent="0.2">
      <c r="A25" s="133" t="s">
        <v>46</v>
      </c>
      <c r="B25" s="41"/>
      <c r="C25" s="41"/>
      <c r="D25" s="41"/>
      <c r="E25" s="41"/>
    </row>
    <row r="26" spans="1:5" x14ac:dyDescent="0.2">
      <c r="A26" s="133" t="s">
        <v>47</v>
      </c>
      <c r="B26" s="134">
        <v>102134</v>
      </c>
      <c r="C26" s="41"/>
      <c r="D26" s="135" t="s">
        <v>20</v>
      </c>
      <c r="E26" s="136">
        <v>5.2900000000000003E-2</v>
      </c>
    </row>
    <row r="27" spans="1:5" x14ac:dyDescent="0.2">
      <c r="A27" s="133" t="s">
        <v>48</v>
      </c>
      <c r="B27" s="41"/>
      <c r="C27" s="41"/>
      <c r="D27" s="41"/>
      <c r="E27" s="41"/>
    </row>
    <row r="28" spans="1:5" x14ac:dyDescent="0.2">
      <c r="A28" s="133" t="s">
        <v>49</v>
      </c>
      <c r="B28" s="41"/>
      <c r="C28" s="41"/>
      <c r="D28" s="41"/>
      <c r="E28" s="41"/>
    </row>
    <row r="29" spans="1:5" x14ac:dyDescent="0.2">
      <c r="A29" s="133" t="s">
        <v>50</v>
      </c>
      <c r="B29" s="123"/>
      <c r="C29" s="123"/>
      <c r="D29" s="123"/>
      <c r="E29" s="123"/>
    </row>
    <row r="30" spans="1:5" ht="15" x14ac:dyDescent="0.2">
      <c r="A30" s="137" t="s">
        <v>51</v>
      </c>
      <c r="B30" s="138">
        <f>SUM(B3:B29)</f>
        <v>1935516.3452000001</v>
      </c>
      <c r="C30" s="124">
        <f t="shared" ref="C30" si="0">SUM(C3:C29)</f>
        <v>0</v>
      </c>
      <c r="D30" s="139" t="s">
        <v>20</v>
      </c>
      <c r="E30" s="140">
        <v>1</v>
      </c>
    </row>
    <row r="31" spans="1:5" x14ac:dyDescent="0.2">
      <c r="A31" s="133" t="s">
        <v>52</v>
      </c>
      <c r="B31" s="41"/>
      <c r="C31" s="41"/>
      <c r="D31" s="41"/>
      <c r="E31" s="41"/>
    </row>
    <row r="32" spans="1:5" x14ac:dyDescent="0.2">
      <c r="A32" s="133" t="s">
        <v>53</v>
      </c>
      <c r="B32" s="41"/>
      <c r="C32" s="41"/>
      <c r="D32" s="41"/>
      <c r="E32" s="4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"/>
  <sheetViews>
    <sheetView rightToLeft="1" workbookViewId="0">
      <selection activeCell="L3" sqref="L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7.875" style="2" customWidth="1"/>
    <col min="13" max="17" width="11.625" style="2" customWidth="1"/>
    <col min="18" max="18" width="11.625" style="2" hidden="1" customWidth="1"/>
    <col min="19" max="19" width="9" style="2" hidden="1" customWidth="1"/>
    <col min="20" max="16384" width="9" style="2" hidden="1"/>
  </cols>
  <sheetData>
    <row r="1" spans="1:17" s="3" customFormat="1" ht="51" x14ac:dyDescent="0.2">
      <c r="A1" s="18" t="s">
        <v>54</v>
      </c>
      <c r="B1" s="18" t="s">
        <v>55</v>
      </c>
      <c r="C1" s="18" t="s">
        <v>56</v>
      </c>
      <c r="D1" s="18" t="s">
        <v>57</v>
      </c>
      <c r="E1" s="18" t="s">
        <v>58</v>
      </c>
      <c r="F1" s="18" t="s">
        <v>59</v>
      </c>
      <c r="G1" s="18" t="s">
        <v>60</v>
      </c>
      <c r="H1" s="18" t="s">
        <v>61</v>
      </c>
      <c r="I1" s="18" t="s">
        <v>62</v>
      </c>
      <c r="J1" s="18" t="s">
        <v>63</v>
      </c>
      <c r="K1" s="18" t="s">
        <v>64</v>
      </c>
      <c r="L1" s="18" t="s">
        <v>65</v>
      </c>
      <c r="M1" s="18" t="s">
        <v>66</v>
      </c>
      <c r="N1" s="18" t="s">
        <v>67</v>
      </c>
      <c r="O1" s="18" t="s">
        <v>68</v>
      </c>
      <c r="P1" s="18" t="s">
        <v>69</v>
      </c>
      <c r="Q1" s="18" t="s">
        <v>70</v>
      </c>
    </row>
    <row r="2" spans="1:17" x14ac:dyDescent="0.2">
      <c r="A2" s="141">
        <v>269</v>
      </c>
      <c r="B2" s="141">
        <v>269</v>
      </c>
      <c r="C2" s="142" t="s">
        <v>71</v>
      </c>
      <c r="D2" s="142" t="s">
        <v>72</v>
      </c>
      <c r="E2" s="143" t="s">
        <v>73</v>
      </c>
      <c r="F2" s="142" t="s">
        <v>74</v>
      </c>
      <c r="G2" s="142" t="s">
        <v>75</v>
      </c>
      <c r="H2" s="142" t="s">
        <v>76</v>
      </c>
      <c r="I2" s="142" t="s">
        <v>77</v>
      </c>
      <c r="J2" s="142" t="s">
        <v>78</v>
      </c>
      <c r="K2" s="142" t="s">
        <v>79</v>
      </c>
      <c r="L2" s="144">
        <f>O2*1000</f>
        <v>73229375.200000003</v>
      </c>
      <c r="M2" s="145">
        <v>1</v>
      </c>
      <c r="N2" s="116"/>
      <c r="O2" s="146">
        <v>73229.375200000009</v>
      </c>
      <c r="P2" s="147">
        <v>1</v>
      </c>
      <c r="Q2" s="147">
        <v>3.7900000000000003E-2</v>
      </c>
    </row>
    <row r="3" spans="1:17" x14ac:dyDescent="0.2">
      <c r="E3" s="17"/>
    </row>
    <row r="4" spans="1:17" x14ac:dyDescent="0.2">
      <c r="E4" s="17"/>
    </row>
    <row r="5" spans="1:17" x14ac:dyDescent="0.2">
      <c r="E5" s="17"/>
    </row>
    <row r="6" spans="1:17" x14ac:dyDescent="0.2">
      <c r="E6" s="17"/>
    </row>
    <row r="7" spans="1:17" x14ac:dyDescent="0.2">
      <c r="E7" s="17"/>
    </row>
    <row r="8" spans="1:17" x14ac:dyDescent="0.2">
      <c r="E8" s="17"/>
    </row>
    <row r="9" spans="1:17" x14ac:dyDescent="0.2">
      <c r="E9" s="17"/>
    </row>
    <row r="10" spans="1:17" x14ac:dyDescent="0.2">
      <c r="E10" s="17"/>
    </row>
    <row r="11" spans="1:17" x14ac:dyDescent="0.2">
      <c r="E11" s="17"/>
    </row>
    <row r="12" spans="1:17" x14ac:dyDescent="0.2">
      <c r="E12" s="17"/>
    </row>
    <row r="13" spans="1:17" x14ac:dyDescent="0.2">
      <c r="E13" s="17"/>
    </row>
    <row r="14" spans="1:17" x14ac:dyDescent="0.2">
      <c r="E14" s="17"/>
    </row>
    <row r="15" spans="1:17" x14ac:dyDescent="0.2">
      <c r="E15" s="17"/>
    </row>
    <row r="16" spans="1:17" x14ac:dyDescent="0.2">
      <c r="E16" s="17"/>
    </row>
    <row r="17" spans="4:5" x14ac:dyDescent="0.2">
      <c r="E17" s="17"/>
    </row>
    <row r="18" spans="4:5" x14ac:dyDescent="0.2">
      <c r="E18" s="17"/>
    </row>
    <row r="19" spans="4:5" x14ac:dyDescent="0.2">
      <c r="E19" s="17"/>
    </row>
    <row r="20" spans="4:5" x14ac:dyDescent="0.2">
      <c r="E20" s="17"/>
    </row>
    <row r="21" spans="4:5" x14ac:dyDescent="0.2">
      <c r="D2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zoomScale="85" zoomScaleNormal="85" workbookViewId="0">
      <selection activeCell="Y10" sqref="Y10"/>
    </sheetView>
  </sheetViews>
  <sheetFormatPr defaultColWidth="0" defaultRowHeight="14.25" x14ac:dyDescent="0.2"/>
  <cols>
    <col min="1" max="26" width="11.625" style="4" customWidth="1"/>
    <col min="27" max="30" width="11.625" style="4" hidden="1" customWidth="1"/>
    <col min="31" max="31" width="9" style="4" hidden="1" customWidth="1"/>
    <col min="32" max="16384" width="9" style="4" hidden="1"/>
  </cols>
  <sheetData>
    <row r="1" spans="1:26" ht="51" x14ac:dyDescent="0.2">
      <c r="A1" s="18" t="s">
        <v>54</v>
      </c>
      <c r="B1" s="18" t="s">
        <v>55</v>
      </c>
      <c r="C1" s="18" t="s">
        <v>80</v>
      </c>
      <c r="D1" s="18" t="s">
        <v>81</v>
      </c>
      <c r="E1" s="18" t="s">
        <v>82</v>
      </c>
      <c r="F1" s="18" t="s">
        <v>59</v>
      </c>
      <c r="G1" s="18" t="s">
        <v>60</v>
      </c>
      <c r="H1" s="18" t="s">
        <v>83</v>
      </c>
      <c r="I1" s="18" t="s">
        <v>84</v>
      </c>
      <c r="J1" s="18" t="s">
        <v>85</v>
      </c>
      <c r="K1" s="18" t="s">
        <v>63</v>
      </c>
      <c r="L1" s="18" t="s">
        <v>64</v>
      </c>
      <c r="M1" s="18" t="s">
        <v>86</v>
      </c>
      <c r="N1" s="18" t="s">
        <v>87</v>
      </c>
      <c r="O1" s="18" t="s">
        <v>67</v>
      </c>
      <c r="P1" s="18" t="s">
        <v>88</v>
      </c>
      <c r="Q1" s="18" t="s">
        <v>89</v>
      </c>
      <c r="R1" s="18" t="s">
        <v>90</v>
      </c>
      <c r="S1" s="18" t="s">
        <v>66</v>
      </c>
      <c r="T1" s="18" t="s">
        <v>91</v>
      </c>
      <c r="U1" s="18" t="s">
        <v>68</v>
      </c>
      <c r="V1" s="18" t="s">
        <v>92</v>
      </c>
      <c r="W1" s="18" t="s">
        <v>22</v>
      </c>
      <c r="X1" s="18" t="s">
        <v>93</v>
      </c>
      <c r="Y1" s="18" t="s">
        <v>69</v>
      </c>
      <c r="Z1" s="18" t="s">
        <v>70</v>
      </c>
    </row>
    <row r="2" spans="1:26" x14ac:dyDescent="0.2">
      <c r="A2" s="148">
        <v>269</v>
      </c>
      <c r="B2" s="148">
        <v>269</v>
      </c>
      <c r="C2" s="149" t="s">
        <v>94</v>
      </c>
      <c r="D2" s="149" t="s">
        <v>95</v>
      </c>
      <c r="E2" s="149" t="s">
        <v>96</v>
      </c>
      <c r="F2" s="149" t="s">
        <v>97</v>
      </c>
      <c r="G2" s="149" t="s">
        <v>75</v>
      </c>
      <c r="H2" s="149" t="s">
        <v>75</v>
      </c>
      <c r="I2" s="149" t="s">
        <v>98</v>
      </c>
      <c r="J2" s="149" t="s">
        <v>99</v>
      </c>
      <c r="K2" s="17"/>
      <c r="L2" s="143" t="s">
        <v>79</v>
      </c>
      <c r="M2" s="150">
        <v>13.01</v>
      </c>
      <c r="N2" s="151">
        <v>51743</v>
      </c>
      <c r="O2" s="152">
        <v>2.75E-2</v>
      </c>
      <c r="P2" s="152">
        <v>1.9099999999999999E-2</v>
      </c>
      <c r="R2" s="150">
        <v>125112017</v>
      </c>
      <c r="S2" s="153">
        <v>1</v>
      </c>
      <c r="T2" s="150">
        <v>141.80000000000001</v>
      </c>
      <c r="U2" s="150">
        <v>177408.84</v>
      </c>
      <c r="W2" s="149" t="s">
        <v>20</v>
      </c>
      <c r="X2" s="152">
        <v>6.3E-3</v>
      </c>
      <c r="Y2" s="152">
        <v>1</v>
      </c>
      <c r="Z2" s="152">
        <v>9.1600000000000001E-2</v>
      </c>
    </row>
    <row r="3" spans="1:2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W3" s="17"/>
    </row>
    <row r="4" spans="1:2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W4" s="17"/>
    </row>
    <row r="5" spans="1:2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W5" s="17"/>
    </row>
    <row r="6" spans="1:2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W6" s="17"/>
    </row>
    <row r="7" spans="1:2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W7" s="17"/>
    </row>
    <row r="8" spans="1:2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W8" s="17"/>
    </row>
    <row r="9" spans="1:2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W9" s="17"/>
    </row>
    <row r="10" spans="1:2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W10" s="17"/>
    </row>
    <row r="11" spans="1:2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W11" s="17"/>
    </row>
    <row r="12" spans="1:2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W12" s="17"/>
    </row>
    <row r="13" spans="1:2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W13" s="17"/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W14" s="17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W15" s="17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W19" s="17"/>
    </row>
    <row r="20" spans="1:23" x14ac:dyDescent="0.2">
      <c r="F20" s="17"/>
      <c r="G20" s="17"/>
      <c r="H20" s="17"/>
      <c r="I20" s="17"/>
      <c r="K20" s="17"/>
      <c r="W20" s="17"/>
    </row>
    <row r="21" spans="1:23" x14ac:dyDescent="0.2">
      <c r="L21" s="17"/>
    </row>
    <row r="22" spans="1:23" x14ac:dyDescent="0.2">
      <c r="L22" s="17"/>
    </row>
    <row r="23" spans="1:23" x14ac:dyDescent="0.2">
      <c r="L23" s="17"/>
    </row>
    <row r="24" spans="1:23" x14ac:dyDescent="0.2">
      <c r="L24" s="17"/>
    </row>
    <row r="25" spans="1:23" x14ac:dyDescent="0.2">
      <c r="L25" s="17"/>
    </row>
    <row r="26" spans="1:23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 x14ac:dyDescent="0.2"/>
  <cols>
    <col min="1" max="36" width="11.625" style="4" customWidth="1"/>
    <col min="37" max="37" width="11.625" style="4" hidden="1" customWidth="1"/>
    <col min="38" max="16384" width="11.625" style="4" hidden="1"/>
  </cols>
  <sheetData>
    <row r="1" spans="1:36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84</v>
      </c>
      <c r="M1" s="18" t="s">
        <v>103</v>
      </c>
      <c r="N1" s="18" t="s">
        <v>61</v>
      </c>
      <c r="O1" s="18" t="s">
        <v>85</v>
      </c>
      <c r="P1" s="18" t="s">
        <v>63</v>
      </c>
      <c r="Q1" s="18" t="s">
        <v>104</v>
      </c>
      <c r="R1" s="18" t="s">
        <v>64</v>
      </c>
      <c r="S1" s="18" t="s">
        <v>86</v>
      </c>
      <c r="T1" s="18" t="s">
        <v>105</v>
      </c>
      <c r="U1" s="18" t="s">
        <v>87</v>
      </c>
      <c r="V1" s="18" t="s">
        <v>67</v>
      </c>
      <c r="W1" s="18" t="s">
        <v>88</v>
      </c>
      <c r="X1" s="18" t="s">
        <v>106</v>
      </c>
      <c r="Y1" s="18" t="s">
        <v>107</v>
      </c>
      <c r="Z1" s="18" t="s">
        <v>90</v>
      </c>
      <c r="AA1" s="18" t="s">
        <v>66</v>
      </c>
      <c r="AB1" s="18" t="s">
        <v>91</v>
      </c>
      <c r="AC1" s="18" t="s">
        <v>89</v>
      </c>
      <c r="AD1" s="18" t="s">
        <v>68</v>
      </c>
      <c r="AE1" s="18" t="s">
        <v>92</v>
      </c>
      <c r="AF1" s="18" t="s">
        <v>108</v>
      </c>
      <c r="AG1" s="18" t="s">
        <v>22</v>
      </c>
      <c r="AH1" s="18" t="s">
        <v>93</v>
      </c>
      <c r="AI1" s="18" t="s">
        <v>69</v>
      </c>
      <c r="AJ1" s="18" t="s">
        <v>70</v>
      </c>
    </row>
    <row r="2" spans="1:36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P2" s="17"/>
      <c r="Q2" s="17"/>
      <c r="R2" s="17"/>
      <c r="S2" s="17"/>
      <c r="T2" s="19"/>
      <c r="U2" s="17"/>
      <c r="V2" s="17"/>
      <c r="X2" s="17"/>
      <c r="Y2" s="17"/>
      <c r="Z2" s="17"/>
      <c r="AA2" s="17"/>
      <c r="AB2" s="17"/>
      <c r="AC2" s="17"/>
      <c r="AD2" s="17"/>
      <c r="AE2" s="17"/>
      <c r="AG2" s="17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7"/>
  <sheetViews>
    <sheetView rightToLeft="1" workbookViewId="0">
      <selection activeCell="AJ3" sqref="AJ3:AJ27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37" width="11.625" style="2" hidden="1" customWidth="1"/>
    <col min="38" max="16384" width="11.625" style="2" hidden="1"/>
  </cols>
  <sheetData>
    <row r="1" spans="1:36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109</v>
      </c>
      <c r="M1" s="18" t="s">
        <v>84</v>
      </c>
      <c r="N1" s="18" t="s">
        <v>103</v>
      </c>
      <c r="O1" s="18" t="s">
        <v>61</v>
      </c>
      <c r="P1" s="18" t="s">
        <v>85</v>
      </c>
      <c r="Q1" s="18" t="s">
        <v>63</v>
      </c>
      <c r="R1" s="18" t="s">
        <v>104</v>
      </c>
      <c r="S1" s="18" t="s">
        <v>64</v>
      </c>
      <c r="T1" s="18" t="s">
        <v>86</v>
      </c>
      <c r="U1" s="18" t="s">
        <v>87</v>
      </c>
      <c r="V1" s="18" t="s">
        <v>67</v>
      </c>
      <c r="W1" s="18" t="s">
        <v>88</v>
      </c>
      <c r="X1" s="18" t="s">
        <v>106</v>
      </c>
      <c r="Y1" s="18" t="s">
        <v>107</v>
      </c>
      <c r="Z1" s="18" t="s">
        <v>90</v>
      </c>
      <c r="AA1" s="18" t="s">
        <v>66</v>
      </c>
      <c r="AB1" s="18" t="s">
        <v>91</v>
      </c>
      <c r="AC1" s="18" t="s">
        <v>89</v>
      </c>
      <c r="AD1" s="18" t="s">
        <v>68</v>
      </c>
      <c r="AE1" s="18" t="s">
        <v>92</v>
      </c>
      <c r="AF1" s="18" t="s">
        <v>108</v>
      </c>
      <c r="AG1" s="18" t="s">
        <v>22</v>
      </c>
      <c r="AH1" s="18" t="s">
        <v>93</v>
      </c>
      <c r="AI1" s="18" t="s">
        <v>69</v>
      </c>
      <c r="AJ1" s="18" t="s">
        <v>70</v>
      </c>
    </row>
    <row r="2" spans="1:36" x14ac:dyDescent="0.2">
      <c r="A2" s="141">
        <v>269</v>
      </c>
      <c r="B2" s="154">
        <v>269</v>
      </c>
      <c r="C2" s="155" t="s">
        <v>110</v>
      </c>
      <c r="D2" s="154">
        <v>520043605</v>
      </c>
      <c r="E2" s="149" t="s">
        <v>111</v>
      </c>
      <c r="F2" s="155" t="s">
        <v>112</v>
      </c>
      <c r="G2" s="155" t="s">
        <v>113</v>
      </c>
      <c r="H2" s="149" t="s">
        <v>114</v>
      </c>
      <c r="I2" s="156" t="s">
        <v>115</v>
      </c>
      <c r="J2" s="149" t="s">
        <v>75</v>
      </c>
      <c r="K2" s="149" t="s">
        <v>75</v>
      </c>
      <c r="L2" s="155" t="s">
        <v>116</v>
      </c>
      <c r="M2" s="149" t="s">
        <v>98</v>
      </c>
      <c r="N2" s="155" t="s">
        <v>117</v>
      </c>
      <c r="O2" s="155" t="s">
        <v>76</v>
      </c>
      <c r="P2" s="155" t="s">
        <v>118</v>
      </c>
      <c r="Q2" s="155" t="s">
        <v>78</v>
      </c>
      <c r="R2" s="155" t="s">
        <v>119</v>
      </c>
      <c r="S2" s="149" t="s">
        <v>79</v>
      </c>
      <c r="T2" s="157">
        <v>5.13</v>
      </c>
      <c r="U2" s="158">
        <v>50009</v>
      </c>
      <c r="V2" s="159">
        <v>5.1499999999999997E-2</v>
      </c>
      <c r="W2" s="159">
        <v>3.3700000000000001E-2</v>
      </c>
      <c r="X2" s="149" t="s">
        <v>120</v>
      </c>
      <c r="Y2" s="149" t="s">
        <v>76</v>
      </c>
      <c r="Z2" s="157">
        <v>0.9</v>
      </c>
      <c r="AA2" s="160">
        <v>1</v>
      </c>
      <c r="AB2" s="157">
        <v>156.16999999999999</v>
      </c>
      <c r="AC2" s="19"/>
      <c r="AD2" s="157">
        <v>1E-3</v>
      </c>
      <c r="AE2" s="19"/>
      <c r="AF2" s="24"/>
      <c r="AG2" s="149" t="s">
        <v>20</v>
      </c>
    </row>
    <row r="3" spans="1:36" x14ac:dyDescent="0.2">
      <c r="A3" s="154">
        <v>269</v>
      </c>
      <c r="B3" s="154">
        <v>269</v>
      </c>
      <c r="C3" s="155" t="s">
        <v>121</v>
      </c>
      <c r="D3" s="154">
        <v>515334662</v>
      </c>
      <c r="E3" s="149" t="s">
        <v>111</v>
      </c>
      <c r="F3" s="155" t="s">
        <v>122</v>
      </c>
      <c r="G3" s="155" t="s">
        <v>123</v>
      </c>
      <c r="H3" s="149" t="s">
        <v>114</v>
      </c>
      <c r="I3" s="155" t="s">
        <v>124</v>
      </c>
      <c r="J3" s="149" t="s">
        <v>75</v>
      </c>
      <c r="K3" s="149" t="s">
        <v>75</v>
      </c>
      <c r="L3" s="155" t="s">
        <v>116</v>
      </c>
      <c r="M3" s="149" t="s">
        <v>98</v>
      </c>
      <c r="N3" s="155" t="s">
        <v>125</v>
      </c>
      <c r="O3" s="155" t="s">
        <v>76</v>
      </c>
      <c r="P3" s="155" t="s">
        <v>126</v>
      </c>
      <c r="Q3" s="155" t="s">
        <v>127</v>
      </c>
      <c r="R3" s="155" t="s">
        <v>119</v>
      </c>
      <c r="S3" s="149" t="s">
        <v>79</v>
      </c>
      <c r="T3" s="157">
        <v>2.1</v>
      </c>
      <c r="U3" s="158">
        <v>46995</v>
      </c>
      <c r="V3" s="159">
        <v>4.6899999999999997E-2</v>
      </c>
      <c r="W3" s="159">
        <v>5.8700000000000002E-2</v>
      </c>
      <c r="X3" s="149" t="s">
        <v>120</v>
      </c>
      <c r="Y3" s="149" t="s">
        <v>76</v>
      </c>
      <c r="Z3" s="157">
        <v>44942273.189999998</v>
      </c>
      <c r="AA3" s="160">
        <v>3.19</v>
      </c>
      <c r="AB3" s="157">
        <v>89.9</v>
      </c>
      <c r="AC3" s="19"/>
      <c r="AD3" s="157">
        <v>40403.103999999999</v>
      </c>
      <c r="AE3" s="19"/>
      <c r="AG3" s="149" t="s">
        <v>20</v>
      </c>
      <c r="AH3" s="147">
        <v>3.6499999999999998E-2</v>
      </c>
      <c r="AI3" s="147">
        <v>5.8900000000000001E-2</v>
      </c>
      <c r="AJ3" s="147">
        <v>2.07E-2</v>
      </c>
    </row>
    <row r="4" spans="1:36" x14ac:dyDescent="0.2">
      <c r="A4" s="154">
        <v>269</v>
      </c>
      <c r="B4" s="154">
        <v>269</v>
      </c>
      <c r="C4" s="155" t="s">
        <v>121</v>
      </c>
      <c r="D4" s="154">
        <v>515334662</v>
      </c>
      <c r="E4" s="149" t="s">
        <v>111</v>
      </c>
      <c r="F4" s="155" t="s">
        <v>128</v>
      </c>
      <c r="G4" s="155" t="s">
        <v>129</v>
      </c>
      <c r="H4" s="149" t="s">
        <v>114</v>
      </c>
      <c r="I4" s="155" t="s">
        <v>124</v>
      </c>
      <c r="J4" s="149" t="s">
        <v>75</v>
      </c>
      <c r="K4" s="149" t="s">
        <v>75</v>
      </c>
      <c r="L4" s="155" t="s">
        <v>116</v>
      </c>
      <c r="M4" s="149" t="s">
        <v>98</v>
      </c>
      <c r="N4" s="155" t="s">
        <v>125</v>
      </c>
      <c r="O4" s="155" t="s">
        <v>76</v>
      </c>
      <c r="P4" s="155" t="s">
        <v>126</v>
      </c>
      <c r="Q4" s="155" t="s">
        <v>127</v>
      </c>
      <c r="R4" s="155" t="s">
        <v>119</v>
      </c>
      <c r="S4" s="149" t="s">
        <v>79</v>
      </c>
      <c r="T4" s="157">
        <v>2.2599999999999998</v>
      </c>
      <c r="U4" s="158">
        <v>46995</v>
      </c>
      <c r="V4" s="159">
        <v>4.6899999999999997E-2</v>
      </c>
      <c r="W4" s="159">
        <v>5.9200000000000003E-2</v>
      </c>
      <c r="X4" s="149" t="s">
        <v>120</v>
      </c>
      <c r="Y4" s="149" t="s">
        <v>76</v>
      </c>
      <c r="Z4" s="157">
        <v>40446783.289999999</v>
      </c>
      <c r="AA4" s="160">
        <v>3.19</v>
      </c>
      <c r="AB4" s="157">
        <v>91.28</v>
      </c>
      <c r="AC4" s="19"/>
      <c r="AD4" s="157">
        <v>36919.824000000001</v>
      </c>
      <c r="AE4" s="19"/>
      <c r="AG4" s="149" t="s">
        <v>20</v>
      </c>
      <c r="AH4" s="147">
        <v>3.8300000000000001E-2</v>
      </c>
      <c r="AI4" s="147">
        <v>5.3900000000000003E-2</v>
      </c>
      <c r="AJ4" s="147">
        <v>1.9099999999999999E-2</v>
      </c>
    </row>
    <row r="5" spans="1:36" x14ac:dyDescent="0.2">
      <c r="A5" s="154">
        <v>269</v>
      </c>
      <c r="B5" s="154">
        <v>269</v>
      </c>
      <c r="C5" s="155" t="s">
        <v>130</v>
      </c>
      <c r="D5" s="154">
        <v>514837111</v>
      </c>
      <c r="E5" s="149" t="s">
        <v>111</v>
      </c>
      <c r="F5" s="155" t="s">
        <v>131</v>
      </c>
      <c r="G5" s="155" t="s">
        <v>132</v>
      </c>
      <c r="H5" s="149" t="s">
        <v>114</v>
      </c>
      <c r="I5" s="155" t="s">
        <v>124</v>
      </c>
      <c r="J5" s="149" t="s">
        <v>75</v>
      </c>
      <c r="K5" s="149" t="s">
        <v>75</v>
      </c>
      <c r="L5" s="155" t="s">
        <v>116</v>
      </c>
      <c r="M5" s="149" t="s">
        <v>98</v>
      </c>
      <c r="N5" s="155" t="s">
        <v>125</v>
      </c>
      <c r="O5" s="155" t="s">
        <v>76</v>
      </c>
      <c r="P5" s="155" t="s">
        <v>133</v>
      </c>
      <c r="Q5" s="155" t="s">
        <v>127</v>
      </c>
      <c r="R5" s="155" t="s">
        <v>119</v>
      </c>
      <c r="S5" s="149" t="s">
        <v>79</v>
      </c>
      <c r="T5" s="157">
        <v>1.94</v>
      </c>
      <c r="U5" s="158">
        <v>46995</v>
      </c>
      <c r="V5" s="159">
        <v>5.4800000000000001E-2</v>
      </c>
      <c r="W5" s="159">
        <v>5.8500000000000003E-2</v>
      </c>
      <c r="X5" s="149" t="s">
        <v>120</v>
      </c>
      <c r="Y5" s="149" t="s">
        <v>76</v>
      </c>
      <c r="Z5" s="157">
        <v>6278213.5899999999</v>
      </c>
      <c r="AA5" s="160">
        <v>3.19</v>
      </c>
      <c r="AB5" s="157">
        <v>90.61</v>
      </c>
      <c r="AC5" s="19"/>
      <c r="AD5" s="157">
        <v>5688.6890000000003</v>
      </c>
      <c r="AE5" s="19"/>
      <c r="AG5" s="149" t="s">
        <v>20</v>
      </c>
      <c r="AH5" s="147">
        <v>2.6700000000000002E-2</v>
      </c>
      <c r="AI5" s="147">
        <v>8.3000000000000001E-3</v>
      </c>
      <c r="AJ5" s="147">
        <v>2.8999999999999998E-3</v>
      </c>
    </row>
    <row r="6" spans="1:36" x14ac:dyDescent="0.2">
      <c r="A6" s="154">
        <v>269</v>
      </c>
      <c r="B6" s="154">
        <v>269</v>
      </c>
      <c r="C6" s="155" t="s">
        <v>134</v>
      </c>
      <c r="D6" s="154">
        <v>520010869</v>
      </c>
      <c r="E6" s="149" t="s">
        <v>111</v>
      </c>
      <c r="F6" s="155" t="s">
        <v>135</v>
      </c>
      <c r="G6" s="155" t="s">
        <v>136</v>
      </c>
      <c r="H6" s="149" t="s">
        <v>114</v>
      </c>
      <c r="I6" s="155" t="s">
        <v>115</v>
      </c>
      <c r="J6" s="149" t="s">
        <v>75</v>
      </c>
      <c r="K6" s="149" t="s">
        <v>75</v>
      </c>
      <c r="L6" s="155" t="s">
        <v>116</v>
      </c>
      <c r="M6" s="149" t="s">
        <v>98</v>
      </c>
      <c r="N6" s="155" t="s">
        <v>137</v>
      </c>
      <c r="O6" s="155" t="s">
        <v>76</v>
      </c>
      <c r="P6" s="155" t="s">
        <v>77</v>
      </c>
      <c r="Q6" s="155" t="s">
        <v>78</v>
      </c>
      <c r="R6" s="155" t="s">
        <v>119</v>
      </c>
      <c r="S6" s="149" t="s">
        <v>79</v>
      </c>
      <c r="T6" s="157">
        <v>11.85</v>
      </c>
      <c r="U6" s="158">
        <v>56249</v>
      </c>
      <c r="V6" s="159">
        <v>2.4500000000000001E-2</v>
      </c>
      <c r="W6" s="159">
        <v>2.6700000000000002E-2</v>
      </c>
      <c r="X6" s="149" t="s">
        <v>120</v>
      </c>
      <c r="Y6" s="149" t="s">
        <v>76</v>
      </c>
      <c r="Z6" s="146">
        <v>62708835.700000003</v>
      </c>
      <c r="AA6" s="145">
        <v>1</v>
      </c>
      <c r="AB6" s="146">
        <v>108.47</v>
      </c>
      <c r="AC6" s="19"/>
      <c r="AD6" s="146">
        <v>68020.274000000005</v>
      </c>
      <c r="AG6" s="142" t="s">
        <v>20</v>
      </c>
      <c r="AH6" s="147">
        <v>9.4999999999999998E-3</v>
      </c>
      <c r="AI6" s="147">
        <v>9.9199999999999997E-2</v>
      </c>
      <c r="AJ6" s="147">
        <v>3.5200000000000002E-2</v>
      </c>
    </row>
    <row r="7" spans="1:36" x14ac:dyDescent="0.2">
      <c r="A7" s="154">
        <v>269</v>
      </c>
      <c r="B7" s="154">
        <v>269</v>
      </c>
      <c r="C7" s="155" t="s">
        <v>138</v>
      </c>
      <c r="D7" s="154">
        <v>513821488</v>
      </c>
      <c r="E7" s="149" t="s">
        <v>111</v>
      </c>
      <c r="F7" s="155" t="s">
        <v>139</v>
      </c>
      <c r="G7" s="155" t="s">
        <v>140</v>
      </c>
      <c r="H7" s="149" t="s">
        <v>114</v>
      </c>
      <c r="I7" s="155" t="s">
        <v>115</v>
      </c>
      <c r="J7" s="149" t="s">
        <v>75</v>
      </c>
      <c r="K7" s="149" t="s">
        <v>75</v>
      </c>
      <c r="L7" s="155" t="s">
        <v>116</v>
      </c>
      <c r="M7" s="149" t="s">
        <v>98</v>
      </c>
      <c r="N7" s="155" t="s">
        <v>141</v>
      </c>
      <c r="O7" s="155" t="s">
        <v>76</v>
      </c>
      <c r="P7" s="155" t="s">
        <v>142</v>
      </c>
      <c r="Q7" s="155" t="s">
        <v>78</v>
      </c>
      <c r="R7" s="155" t="s">
        <v>119</v>
      </c>
      <c r="S7" s="149" t="s">
        <v>79</v>
      </c>
      <c r="T7" s="157">
        <v>5.59</v>
      </c>
      <c r="U7" s="158">
        <v>49207</v>
      </c>
      <c r="V7" s="159">
        <v>2.5000000000000001E-2</v>
      </c>
      <c r="W7" s="159">
        <v>2.53E-2</v>
      </c>
      <c r="X7" s="149" t="s">
        <v>120</v>
      </c>
      <c r="Y7" s="149" t="s">
        <v>76</v>
      </c>
      <c r="Z7" s="146">
        <v>2131036.85</v>
      </c>
      <c r="AA7" s="145">
        <v>1</v>
      </c>
      <c r="AB7" s="146">
        <v>118.69</v>
      </c>
      <c r="AC7" s="19"/>
      <c r="AD7" s="146">
        <v>2529.328</v>
      </c>
      <c r="AG7" s="142" t="s">
        <v>20</v>
      </c>
      <c r="AH7" s="147">
        <v>1.6000000000000001E-3</v>
      </c>
      <c r="AI7" s="147">
        <v>3.7000000000000002E-3</v>
      </c>
      <c r="AJ7" s="147">
        <v>1.2999999999999999E-3</v>
      </c>
    </row>
    <row r="8" spans="1:36" x14ac:dyDescent="0.2">
      <c r="A8" s="154">
        <v>269</v>
      </c>
      <c r="B8" s="154">
        <v>269</v>
      </c>
      <c r="C8" s="155" t="s">
        <v>143</v>
      </c>
      <c r="D8" s="154">
        <v>513569780</v>
      </c>
      <c r="E8" s="149" t="s">
        <v>111</v>
      </c>
      <c r="F8" s="155" t="s">
        <v>144</v>
      </c>
      <c r="G8" s="155" t="s">
        <v>145</v>
      </c>
      <c r="H8" s="149" t="s">
        <v>114</v>
      </c>
      <c r="I8" s="155" t="s">
        <v>115</v>
      </c>
      <c r="J8" s="149" t="s">
        <v>75</v>
      </c>
      <c r="K8" s="149" t="s">
        <v>75</v>
      </c>
      <c r="L8" s="155" t="s">
        <v>116</v>
      </c>
      <c r="M8" s="149" t="s">
        <v>98</v>
      </c>
      <c r="N8" s="155" t="s">
        <v>141</v>
      </c>
      <c r="O8" s="155" t="s">
        <v>76</v>
      </c>
      <c r="P8" s="155" t="s">
        <v>77</v>
      </c>
      <c r="Q8" s="155" t="s">
        <v>78</v>
      </c>
      <c r="R8" s="155" t="s">
        <v>119</v>
      </c>
      <c r="S8" s="149" t="s">
        <v>79</v>
      </c>
      <c r="T8" s="157">
        <v>12.4</v>
      </c>
      <c r="U8" s="158">
        <v>53327</v>
      </c>
      <c r="V8" s="159">
        <v>9.5999999999999992E-3</v>
      </c>
      <c r="W8" s="159">
        <v>2.5899999999999999E-2</v>
      </c>
      <c r="X8" s="149" t="s">
        <v>120</v>
      </c>
      <c r="Y8" s="149" t="s">
        <v>76</v>
      </c>
      <c r="Z8" s="157">
        <v>35465005</v>
      </c>
      <c r="AA8" s="160">
        <v>1</v>
      </c>
      <c r="AB8" s="157">
        <v>95.75</v>
      </c>
      <c r="AC8" s="19"/>
      <c r="AD8" s="157">
        <v>33957.741999999998</v>
      </c>
      <c r="AE8" s="19"/>
      <c r="AG8" s="149" t="s">
        <v>20</v>
      </c>
      <c r="AH8" s="147">
        <v>3.2500000000000001E-2</v>
      </c>
      <c r="AI8" s="147">
        <v>4.9500000000000002E-2</v>
      </c>
      <c r="AJ8" s="147">
        <v>1.7600000000000001E-2</v>
      </c>
    </row>
    <row r="9" spans="1:36" x14ac:dyDescent="0.2">
      <c r="A9" s="154">
        <v>269</v>
      </c>
      <c r="B9" s="154">
        <v>269</v>
      </c>
      <c r="C9" s="155" t="s">
        <v>146</v>
      </c>
      <c r="D9" s="154">
        <v>520043027</v>
      </c>
      <c r="E9" s="149" t="s">
        <v>111</v>
      </c>
      <c r="F9" s="155" t="s">
        <v>147</v>
      </c>
      <c r="G9" s="155" t="s">
        <v>148</v>
      </c>
      <c r="H9" s="149" t="s">
        <v>114</v>
      </c>
      <c r="I9" s="155" t="s">
        <v>124</v>
      </c>
      <c r="J9" s="149" t="s">
        <v>75</v>
      </c>
      <c r="K9" s="149" t="s">
        <v>75</v>
      </c>
      <c r="L9" s="155" t="s">
        <v>116</v>
      </c>
      <c r="M9" s="149" t="s">
        <v>98</v>
      </c>
      <c r="N9" s="155" t="s">
        <v>149</v>
      </c>
      <c r="O9" s="155" t="s">
        <v>76</v>
      </c>
      <c r="P9" s="155" t="s">
        <v>150</v>
      </c>
      <c r="Q9" s="155" t="s">
        <v>78</v>
      </c>
      <c r="R9" s="155" t="s">
        <v>119</v>
      </c>
      <c r="S9" s="149" t="s">
        <v>79</v>
      </c>
      <c r="T9" s="157">
        <v>1.92</v>
      </c>
      <c r="U9" s="158">
        <v>47300</v>
      </c>
      <c r="V9" s="159">
        <v>2.12E-2</v>
      </c>
      <c r="W9" s="159">
        <v>4.9299999999999997E-2</v>
      </c>
      <c r="X9" s="149" t="s">
        <v>120</v>
      </c>
      <c r="Y9" s="149" t="s">
        <v>76</v>
      </c>
      <c r="Z9" s="157">
        <v>483868</v>
      </c>
      <c r="AA9" s="160">
        <v>3.19</v>
      </c>
      <c r="AB9" s="157">
        <v>92.45</v>
      </c>
      <c r="AC9" s="19"/>
      <c r="AD9" s="157">
        <v>447.33600000000001</v>
      </c>
      <c r="AE9" s="19"/>
      <c r="AG9" s="149" t="s">
        <v>20</v>
      </c>
      <c r="AH9" s="147">
        <v>4.7999999999999996E-3</v>
      </c>
      <c r="AI9" s="147">
        <v>6.9999999999999999E-4</v>
      </c>
      <c r="AJ9" s="147">
        <v>2.0000000000000001E-4</v>
      </c>
    </row>
    <row r="10" spans="1:36" x14ac:dyDescent="0.2">
      <c r="A10" s="154">
        <v>269</v>
      </c>
      <c r="B10" s="154">
        <v>269</v>
      </c>
      <c r="C10" s="155" t="s">
        <v>146</v>
      </c>
      <c r="D10" s="154">
        <v>520043027</v>
      </c>
      <c r="E10" s="149" t="s">
        <v>111</v>
      </c>
      <c r="F10" s="155" t="s">
        <v>151</v>
      </c>
      <c r="G10" s="155" t="s">
        <v>152</v>
      </c>
      <c r="H10" s="149" t="s">
        <v>114</v>
      </c>
      <c r="I10" s="155" t="s">
        <v>124</v>
      </c>
      <c r="J10" s="149" t="s">
        <v>75</v>
      </c>
      <c r="K10" s="149" t="s">
        <v>75</v>
      </c>
      <c r="L10" s="155" t="s">
        <v>116</v>
      </c>
      <c r="M10" s="149" t="s">
        <v>98</v>
      </c>
      <c r="N10" s="155" t="s">
        <v>149</v>
      </c>
      <c r="O10" s="155" t="s">
        <v>76</v>
      </c>
      <c r="P10" s="155" t="s">
        <v>150</v>
      </c>
      <c r="Q10" s="155" t="s">
        <v>78</v>
      </c>
      <c r="R10" s="155" t="s">
        <v>119</v>
      </c>
      <c r="S10" s="149" t="s">
        <v>79</v>
      </c>
      <c r="T10" s="157">
        <v>4.45</v>
      </c>
      <c r="U10" s="158">
        <v>49491</v>
      </c>
      <c r="V10" s="159">
        <v>2.6700000000000002E-2</v>
      </c>
      <c r="W10" s="159">
        <v>4.7600000000000003E-2</v>
      </c>
      <c r="X10" s="149" t="s">
        <v>120</v>
      </c>
      <c r="Y10" s="149" t="s">
        <v>76</v>
      </c>
      <c r="Z10" s="157">
        <v>171865</v>
      </c>
      <c r="AA10" s="160">
        <v>3.19</v>
      </c>
      <c r="AB10" s="157">
        <v>88.91</v>
      </c>
      <c r="AC10" s="19"/>
      <c r="AD10" s="157">
        <v>152.80500000000001</v>
      </c>
      <c r="AE10" s="19"/>
      <c r="AG10" s="149" t="s">
        <v>20</v>
      </c>
      <c r="AH10" s="147">
        <v>1.1999999999999999E-3</v>
      </c>
      <c r="AI10" s="147">
        <v>2.0000000000000001E-4</v>
      </c>
      <c r="AJ10" s="147">
        <v>1E-4</v>
      </c>
    </row>
    <row r="11" spans="1:36" x14ac:dyDescent="0.2">
      <c r="A11" s="154">
        <v>269</v>
      </c>
      <c r="B11" s="154">
        <v>269</v>
      </c>
      <c r="C11" s="155" t="s">
        <v>153</v>
      </c>
      <c r="D11" s="154">
        <v>510960719</v>
      </c>
      <c r="E11" s="149" t="s">
        <v>111</v>
      </c>
      <c r="F11" s="155" t="s">
        <v>154</v>
      </c>
      <c r="G11" s="155" t="s">
        <v>155</v>
      </c>
      <c r="H11" s="149" t="s">
        <v>114</v>
      </c>
      <c r="I11" s="155" t="s">
        <v>115</v>
      </c>
      <c r="J11" s="149" t="s">
        <v>75</v>
      </c>
      <c r="K11" s="149" t="s">
        <v>75</v>
      </c>
      <c r="L11" s="155" t="s">
        <v>116</v>
      </c>
      <c r="M11" s="149" t="s">
        <v>98</v>
      </c>
      <c r="N11" s="155" t="s">
        <v>141</v>
      </c>
      <c r="O11" s="155" t="s">
        <v>76</v>
      </c>
      <c r="P11" s="155" t="s">
        <v>150</v>
      </c>
      <c r="Q11" s="155" t="s">
        <v>78</v>
      </c>
      <c r="R11" s="155" t="s">
        <v>119</v>
      </c>
      <c r="S11" s="149" t="s">
        <v>79</v>
      </c>
      <c r="T11" s="157">
        <v>9.49</v>
      </c>
      <c r="U11" s="158">
        <v>51503</v>
      </c>
      <c r="V11" s="159">
        <v>1.6899999999999998E-2</v>
      </c>
      <c r="W11" s="159">
        <v>2.7300000000000001E-2</v>
      </c>
      <c r="X11" s="149" t="s">
        <v>120</v>
      </c>
      <c r="Y11" s="149" t="s">
        <v>76</v>
      </c>
      <c r="Z11" s="157">
        <v>25279831</v>
      </c>
      <c r="AA11" s="160">
        <v>1</v>
      </c>
      <c r="AB11" s="157">
        <v>105.51</v>
      </c>
      <c r="AC11" s="157">
        <v>248.22900000000001</v>
      </c>
      <c r="AD11" s="157">
        <v>26920.978999999999</v>
      </c>
      <c r="AE11" s="19"/>
      <c r="AG11" s="149" t="s">
        <v>20</v>
      </c>
      <c r="AH11" s="147">
        <v>5.7999999999999996E-3</v>
      </c>
      <c r="AI11" s="147">
        <v>3.9300000000000002E-2</v>
      </c>
      <c r="AJ11" s="147">
        <v>1.3899999999999999E-2</v>
      </c>
    </row>
    <row r="12" spans="1:36" x14ac:dyDescent="0.2">
      <c r="A12" s="154">
        <v>269</v>
      </c>
      <c r="B12" s="154">
        <v>269</v>
      </c>
      <c r="C12" s="155" t="s">
        <v>156</v>
      </c>
      <c r="D12" s="154">
        <v>510381601</v>
      </c>
      <c r="E12" s="149" t="s">
        <v>111</v>
      </c>
      <c r="F12" s="155" t="s">
        <v>157</v>
      </c>
      <c r="G12" s="155" t="s">
        <v>158</v>
      </c>
      <c r="H12" s="149" t="s">
        <v>114</v>
      </c>
      <c r="I12" s="155" t="s">
        <v>115</v>
      </c>
      <c r="J12" s="149" t="s">
        <v>75</v>
      </c>
      <c r="K12" s="149" t="s">
        <v>75</v>
      </c>
      <c r="L12" s="155" t="s">
        <v>116</v>
      </c>
      <c r="M12" s="149" t="s">
        <v>98</v>
      </c>
      <c r="N12" s="155" t="s">
        <v>159</v>
      </c>
      <c r="O12" s="155" t="s">
        <v>76</v>
      </c>
      <c r="P12" s="155" t="s">
        <v>160</v>
      </c>
      <c r="Q12" s="155" t="s">
        <v>78</v>
      </c>
      <c r="R12" s="155" t="s">
        <v>119</v>
      </c>
      <c r="S12" s="149" t="s">
        <v>79</v>
      </c>
      <c r="T12" s="157">
        <v>2.54</v>
      </c>
      <c r="U12" s="158">
        <v>47483</v>
      </c>
      <c r="V12" s="159">
        <v>7.4999999999999997E-3</v>
      </c>
      <c r="W12" s="159">
        <v>2.7199999999999998E-2</v>
      </c>
      <c r="X12" s="149" t="s">
        <v>120</v>
      </c>
      <c r="Y12" s="149" t="s">
        <v>76</v>
      </c>
      <c r="Z12" s="157">
        <v>4616440.0999999996</v>
      </c>
      <c r="AA12" s="160">
        <v>1</v>
      </c>
      <c r="AB12" s="157">
        <v>109.65</v>
      </c>
      <c r="AC12" s="19"/>
      <c r="AD12" s="157">
        <v>5061.9269999999997</v>
      </c>
      <c r="AE12" s="19"/>
      <c r="AG12" s="149" t="s">
        <v>20</v>
      </c>
      <c r="AH12" s="147">
        <v>3.5000000000000001E-3</v>
      </c>
      <c r="AI12" s="147">
        <v>7.4000000000000003E-3</v>
      </c>
      <c r="AJ12" s="147">
        <v>2.5999999999999999E-3</v>
      </c>
    </row>
    <row r="13" spans="1:36" x14ac:dyDescent="0.2">
      <c r="A13" s="154">
        <v>269</v>
      </c>
      <c r="B13" s="154">
        <v>269</v>
      </c>
      <c r="C13" s="155" t="s">
        <v>161</v>
      </c>
      <c r="D13" s="154">
        <v>520000472</v>
      </c>
      <c r="E13" s="149" t="s">
        <v>111</v>
      </c>
      <c r="F13" s="155" t="s">
        <v>162</v>
      </c>
      <c r="G13" s="155" t="s">
        <v>163</v>
      </c>
      <c r="H13" s="149" t="s">
        <v>114</v>
      </c>
      <c r="I13" s="155" t="s">
        <v>115</v>
      </c>
      <c r="J13" s="149" t="s">
        <v>75</v>
      </c>
      <c r="K13" s="149" t="s">
        <v>75</v>
      </c>
      <c r="L13" s="155" t="s">
        <v>116</v>
      </c>
      <c r="M13" s="149" t="s">
        <v>98</v>
      </c>
      <c r="N13" s="155" t="s">
        <v>164</v>
      </c>
      <c r="O13" s="155" t="s">
        <v>76</v>
      </c>
      <c r="P13" s="155" t="s">
        <v>77</v>
      </c>
      <c r="Q13" s="155" t="s">
        <v>78</v>
      </c>
      <c r="R13" s="155" t="s">
        <v>119</v>
      </c>
      <c r="S13" s="149" t="s">
        <v>79</v>
      </c>
      <c r="T13" s="157">
        <v>9.73</v>
      </c>
      <c r="U13" s="158">
        <v>50203</v>
      </c>
      <c r="V13" s="159">
        <v>3.2000000000000001E-2</v>
      </c>
      <c r="W13" s="159">
        <v>2.5700000000000001E-2</v>
      </c>
      <c r="X13" s="149" t="s">
        <v>120</v>
      </c>
      <c r="Y13" s="149" t="s">
        <v>76</v>
      </c>
      <c r="Z13" s="157">
        <v>3897226</v>
      </c>
      <c r="AA13" s="160">
        <v>1</v>
      </c>
      <c r="AB13" s="157">
        <v>113.96</v>
      </c>
      <c r="AC13" s="19"/>
      <c r="AD13" s="157">
        <v>4441.2790000000005</v>
      </c>
      <c r="AE13" s="19"/>
      <c r="AG13" s="149" t="s">
        <v>20</v>
      </c>
      <c r="AH13" s="147">
        <v>8.0000000000000004E-4</v>
      </c>
      <c r="AI13" s="147">
        <v>6.4999999999999997E-3</v>
      </c>
      <c r="AJ13" s="147">
        <v>2.3E-3</v>
      </c>
    </row>
    <row r="14" spans="1:36" x14ac:dyDescent="0.2">
      <c r="A14" s="154">
        <v>269</v>
      </c>
      <c r="B14" s="154">
        <v>269</v>
      </c>
      <c r="C14" s="155" t="s">
        <v>156</v>
      </c>
      <c r="D14" s="154">
        <v>510381601</v>
      </c>
      <c r="E14" s="149" t="s">
        <v>111</v>
      </c>
      <c r="F14" s="155" t="s">
        <v>165</v>
      </c>
      <c r="G14" s="155" t="s">
        <v>166</v>
      </c>
      <c r="H14" s="149" t="s">
        <v>114</v>
      </c>
      <c r="I14" s="155" t="s">
        <v>115</v>
      </c>
      <c r="J14" s="149" t="s">
        <v>75</v>
      </c>
      <c r="K14" s="149" t="s">
        <v>75</v>
      </c>
      <c r="L14" s="155" t="s">
        <v>116</v>
      </c>
      <c r="M14" s="149" t="s">
        <v>98</v>
      </c>
      <c r="N14" s="155" t="s">
        <v>159</v>
      </c>
      <c r="O14" s="155" t="s">
        <v>76</v>
      </c>
      <c r="P14" s="155" t="s">
        <v>160</v>
      </c>
      <c r="Q14" s="155" t="s">
        <v>78</v>
      </c>
      <c r="R14" s="155" t="s">
        <v>119</v>
      </c>
      <c r="S14" s="149" t="s">
        <v>79</v>
      </c>
      <c r="T14" s="157">
        <v>4.79</v>
      </c>
      <c r="U14" s="158">
        <v>48579</v>
      </c>
      <c r="V14" s="159">
        <v>4.0800000000000003E-2</v>
      </c>
      <c r="W14" s="159">
        <v>2.8799999999999999E-2</v>
      </c>
      <c r="X14" s="149" t="s">
        <v>120</v>
      </c>
      <c r="Y14" s="149" t="s">
        <v>76</v>
      </c>
      <c r="Z14" s="157">
        <v>28500000</v>
      </c>
      <c r="AA14" s="160">
        <v>1</v>
      </c>
      <c r="AB14" s="157">
        <v>112.75</v>
      </c>
      <c r="AC14" s="19"/>
      <c r="AD14" s="157">
        <v>32133.75</v>
      </c>
      <c r="AE14" s="19"/>
      <c r="AG14" s="149" t="s">
        <v>20</v>
      </c>
      <c r="AH14" s="147">
        <v>3.4500000000000003E-2</v>
      </c>
      <c r="AI14" s="147">
        <v>4.6899999999999997E-2</v>
      </c>
      <c r="AJ14" s="147">
        <v>1.66E-2</v>
      </c>
    </row>
    <row r="15" spans="1:36" x14ac:dyDescent="0.2">
      <c r="A15" s="154">
        <v>269</v>
      </c>
      <c r="B15" s="154">
        <v>269</v>
      </c>
      <c r="C15" s="155" t="s">
        <v>167</v>
      </c>
      <c r="D15" s="154">
        <v>520036617</v>
      </c>
      <c r="E15" s="149" t="s">
        <v>111</v>
      </c>
      <c r="F15" s="155" t="s">
        <v>168</v>
      </c>
      <c r="G15" s="155" t="s">
        <v>169</v>
      </c>
      <c r="H15" s="149" t="s">
        <v>114</v>
      </c>
      <c r="I15" s="155" t="s">
        <v>115</v>
      </c>
      <c r="J15" s="149" t="s">
        <v>75</v>
      </c>
      <c r="K15" s="149" t="s">
        <v>75</v>
      </c>
      <c r="L15" s="155" t="s">
        <v>116</v>
      </c>
      <c r="M15" s="149" t="s">
        <v>98</v>
      </c>
      <c r="N15" s="155" t="s">
        <v>141</v>
      </c>
      <c r="O15" s="155" t="s">
        <v>76</v>
      </c>
      <c r="P15" s="155" t="s">
        <v>160</v>
      </c>
      <c r="Q15" s="155" t="s">
        <v>78</v>
      </c>
      <c r="R15" s="155" t="s">
        <v>119</v>
      </c>
      <c r="S15" s="149" t="s">
        <v>79</v>
      </c>
      <c r="T15" s="157">
        <v>5.18</v>
      </c>
      <c r="U15" s="158">
        <v>48945</v>
      </c>
      <c r="V15" s="159">
        <v>3.6799999999999999E-2</v>
      </c>
      <c r="W15" s="159">
        <v>2.8199999999999999E-2</v>
      </c>
      <c r="X15" s="149" t="s">
        <v>120</v>
      </c>
      <c r="Y15" s="149" t="s">
        <v>76</v>
      </c>
      <c r="Z15" s="157">
        <v>47068000</v>
      </c>
      <c r="AA15" s="160">
        <v>1</v>
      </c>
      <c r="AB15" s="157">
        <v>110.69</v>
      </c>
      <c r="AC15" s="19"/>
      <c r="AD15" s="157">
        <v>52099.569000000003</v>
      </c>
      <c r="AE15" s="19"/>
      <c r="AG15" s="149" t="s">
        <v>20</v>
      </c>
      <c r="AH15" s="147">
        <v>7.1300000000000002E-2</v>
      </c>
      <c r="AI15" s="147">
        <v>7.5999999999999998E-2</v>
      </c>
      <c r="AJ15" s="147">
        <v>2.69E-2</v>
      </c>
    </row>
    <row r="16" spans="1:36" x14ac:dyDescent="0.2">
      <c r="A16" s="154">
        <v>269</v>
      </c>
      <c r="B16" s="154">
        <v>269</v>
      </c>
      <c r="C16" s="155" t="s">
        <v>170</v>
      </c>
      <c r="D16" s="154">
        <v>520026683</v>
      </c>
      <c r="E16" s="149" t="s">
        <v>111</v>
      </c>
      <c r="F16" s="155" t="s">
        <v>171</v>
      </c>
      <c r="G16" s="155" t="s">
        <v>172</v>
      </c>
      <c r="H16" s="149" t="s">
        <v>114</v>
      </c>
      <c r="I16" s="155" t="s">
        <v>115</v>
      </c>
      <c r="J16" s="149" t="s">
        <v>75</v>
      </c>
      <c r="K16" s="149" t="s">
        <v>75</v>
      </c>
      <c r="L16" s="155" t="s">
        <v>116</v>
      </c>
      <c r="M16" s="149" t="s">
        <v>98</v>
      </c>
      <c r="N16" s="155" t="s">
        <v>141</v>
      </c>
      <c r="O16" s="155" t="s">
        <v>76</v>
      </c>
      <c r="P16" s="155" t="s">
        <v>142</v>
      </c>
      <c r="Q16" s="155" t="s">
        <v>78</v>
      </c>
      <c r="R16" s="155" t="s">
        <v>119</v>
      </c>
      <c r="S16" s="149" t="s">
        <v>79</v>
      </c>
      <c r="T16" s="157">
        <v>7.98</v>
      </c>
      <c r="U16" s="158">
        <v>50045</v>
      </c>
      <c r="V16" s="159">
        <v>3.2000000000000001E-2</v>
      </c>
      <c r="W16" s="159">
        <v>2.7199999999999998E-2</v>
      </c>
      <c r="X16" s="149" t="s">
        <v>120</v>
      </c>
      <c r="Y16" s="149" t="s">
        <v>76</v>
      </c>
      <c r="Z16" s="157">
        <v>9606132</v>
      </c>
      <c r="AA16" s="160">
        <v>1</v>
      </c>
      <c r="AB16" s="157">
        <v>109.53</v>
      </c>
      <c r="AC16" s="157">
        <v>324.505</v>
      </c>
      <c r="AD16" s="157">
        <v>10846.102000000001</v>
      </c>
      <c r="AE16" s="19"/>
      <c r="AG16" s="149" t="s">
        <v>20</v>
      </c>
      <c r="AH16" s="147">
        <v>1.17E-2</v>
      </c>
      <c r="AI16" s="147">
        <v>1.5800000000000002E-2</v>
      </c>
      <c r="AJ16" s="147">
        <v>5.5999999999999999E-3</v>
      </c>
    </row>
    <row r="17" spans="1:36" x14ac:dyDescent="0.2">
      <c r="A17" s="154">
        <v>269</v>
      </c>
      <c r="B17" s="154">
        <v>269</v>
      </c>
      <c r="C17" s="155" t="s">
        <v>153</v>
      </c>
      <c r="D17" s="154">
        <v>510960719</v>
      </c>
      <c r="E17" s="149" t="s">
        <v>111</v>
      </c>
      <c r="F17" s="155" t="s">
        <v>173</v>
      </c>
      <c r="G17" s="155" t="s">
        <v>174</v>
      </c>
      <c r="H17" s="149" t="s">
        <v>114</v>
      </c>
      <c r="I17" s="155" t="s">
        <v>115</v>
      </c>
      <c r="J17" s="149" t="s">
        <v>75</v>
      </c>
      <c r="K17" s="149" t="s">
        <v>75</v>
      </c>
      <c r="L17" s="155" t="s">
        <v>116</v>
      </c>
      <c r="M17" s="149" t="s">
        <v>98</v>
      </c>
      <c r="N17" s="155" t="s">
        <v>141</v>
      </c>
      <c r="O17" s="155" t="s">
        <v>76</v>
      </c>
      <c r="P17" s="155" t="s">
        <v>175</v>
      </c>
      <c r="Q17" s="155" t="s">
        <v>127</v>
      </c>
      <c r="R17" s="155" t="s">
        <v>119</v>
      </c>
      <c r="S17" s="149" t="s">
        <v>79</v>
      </c>
      <c r="T17" s="157">
        <v>11.7</v>
      </c>
      <c r="U17" s="158">
        <v>53329</v>
      </c>
      <c r="V17" s="159">
        <v>3.6700000000000003E-2</v>
      </c>
      <c r="W17" s="159">
        <v>2.92E-2</v>
      </c>
      <c r="X17" s="149" t="s">
        <v>120</v>
      </c>
      <c r="Y17" s="149" t="s">
        <v>76</v>
      </c>
      <c r="Z17" s="157">
        <v>51853983</v>
      </c>
      <c r="AA17" s="160">
        <v>1</v>
      </c>
      <c r="AB17" s="157">
        <v>113.25</v>
      </c>
      <c r="AC17" s="157">
        <v>987.61400000000003</v>
      </c>
      <c r="AD17" s="157">
        <v>59712.25</v>
      </c>
      <c r="AE17" s="19"/>
      <c r="AG17" s="149" t="s">
        <v>20</v>
      </c>
      <c r="AH17" s="147">
        <v>1.0200000000000001E-2</v>
      </c>
      <c r="AI17" s="147">
        <v>8.7099999999999997E-2</v>
      </c>
      <c r="AJ17" s="147">
        <v>3.09E-2</v>
      </c>
    </row>
    <row r="18" spans="1:36" x14ac:dyDescent="0.2">
      <c r="A18" s="154">
        <v>269</v>
      </c>
      <c r="B18" s="154">
        <v>269</v>
      </c>
      <c r="C18" s="155" t="s">
        <v>176</v>
      </c>
      <c r="D18" s="154">
        <v>520027293</v>
      </c>
      <c r="E18" s="149" t="s">
        <v>111</v>
      </c>
      <c r="F18" s="155" t="s">
        <v>177</v>
      </c>
      <c r="G18" s="155" t="s">
        <v>178</v>
      </c>
      <c r="H18" s="149" t="s">
        <v>114</v>
      </c>
      <c r="I18" s="155" t="s">
        <v>115</v>
      </c>
      <c r="J18" s="149" t="s">
        <v>75</v>
      </c>
      <c r="K18" s="149" t="s">
        <v>75</v>
      </c>
      <c r="L18" s="155" t="s">
        <v>116</v>
      </c>
      <c r="M18" s="149" t="s">
        <v>98</v>
      </c>
      <c r="N18" s="155" t="s">
        <v>164</v>
      </c>
      <c r="O18" s="155" t="s">
        <v>76</v>
      </c>
      <c r="P18" s="155" t="s">
        <v>179</v>
      </c>
      <c r="Q18" s="155" t="s">
        <v>127</v>
      </c>
      <c r="R18" s="155" t="s">
        <v>119</v>
      </c>
      <c r="S18" s="149" t="s">
        <v>79</v>
      </c>
      <c r="T18" s="157">
        <v>11.33</v>
      </c>
      <c r="U18" s="158">
        <v>55154</v>
      </c>
      <c r="V18" s="159">
        <v>3.2899999999999999E-2</v>
      </c>
      <c r="W18" s="159">
        <v>2.53E-2</v>
      </c>
      <c r="X18" s="149" t="s">
        <v>120</v>
      </c>
      <c r="Y18" s="149" t="s">
        <v>76</v>
      </c>
      <c r="Z18" s="157">
        <v>3450138</v>
      </c>
      <c r="AA18" s="160">
        <v>1</v>
      </c>
      <c r="AB18" s="157">
        <v>111.38</v>
      </c>
      <c r="AC18" s="19"/>
      <c r="AD18" s="157">
        <v>3842.7640000000001</v>
      </c>
      <c r="AE18" s="19"/>
      <c r="AG18" s="149" t="s">
        <v>20</v>
      </c>
      <c r="AH18" s="147">
        <v>6.8999999999999999E-3</v>
      </c>
      <c r="AI18" s="147">
        <v>5.5999999999999999E-3</v>
      </c>
      <c r="AJ18" s="147">
        <v>2E-3</v>
      </c>
    </row>
    <row r="19" spans="1:36" x14ac:dyDescent="0.2">
      <c r="A19" s="154">
        <v>269</v>
      </c>
      <c r="B19" s="154">
        <v>269</v>
      </c>
      <c r="C19" s="155" t="s">
        <v>180</v>
      </c>
      <c r="D19" s="154">
        <v>520032046</v>
      </c>
      <c r="E19" s="149" t="s">
        <v>111</v>
      </c>
      <c r="F19" s="155" t="s">
        <v>181</v>
      </c>
      <c r="G19" s="155" t="s">
        <v>182</v>
      </c>
      <c r="H19" s="149" t="s">
        <v>114</v>
      </c>
      <c r="I19" s="155" t="s">
        <v>115</v>
      </c>
      <c r="J19" s="149" t="s">
        <v>75</v>
      </c>
      <c r="K19" s="149" t="s">
        <v>75</v>
      </c>
      <c r="L19" s="155" t="s">
        <v>116</v>
      </c>
      <c r="M19" s="149" t="s">
        <v>98</v>
      </c>
      <c r="N19" s="155" t="s">
        <v>183</v>
      </c>
      <c r="O19" s="155" t="s">
        <v>76</v>
      </c>
      <c r="P19" s="155" t="s">
        <v>118</v>
      </c>
      <c r="Q19" s="155" t="s">
        <v>78</v>
      </c>
      <c r="R19" s="155" t="s">
        <v>119</v>
      </c>
      <c r="S19" s="149" t="s">
        <v>79</v>
      </c>
      <c r="T19" s="157">
        <v>4.5999999999999996</v>
      </c>
      <c r="U19" s="158">
        <v>49641</v>
      </c>
      <c r="V19" s="159">
        <v>3.3799999999999997E-2</v>
      </c>
      <c r="W19" s="159">
        <v>2.5700000000000001E-2</v>
      </c>
      <c r="X19" s="149" t="s">
        <v>120</v>
      </c>
      <c r="Y19" s="149" t="s">
        <v>76</v>
      </c>
      <c r="Z19" s="157">
        <v>50000000</v>
      </c>
      <c r="AA19" s="160">
        <v>1</v>
      </c>
      <c r="AB19" s="157">
        <v>106.06</v>
      </c>
      <c r="AC19" s="19"/>
      <c r="AD19" s="157">
        <v>53030</v>
      </c>
      <c r="AE19" s="19"/>
      <c r="AG19" s="149" t="s">
        <v>20</v>
      </c>
      <c r="AH19" s="147">
        <v>3.3000000000000002E-2</v>
      </c>
      <c r="AI19" s="147">
        <v>7.7399999999999997E-2</v>
      </c>
      <c r="AJ19" s="147">
        <v>2.7400000000000001E-2</v>
      </c>
    </row>
    <row r="20" spans="1:36" x14ac:dyDescent="0.2">
      <c r="A20" s="141">
        <v>269</v>
      </c>
      <c r="B20" s="141">
        <v>269</v>
      </c>
      <c r="C20" s="142" t="s">
        <v>71</v>
      </c>
      <c r="D20" s="141">
        <v>520000118</v>
      </c>
      <c r="E20" s="149" t="s">
        <v>111</v>
      </c>
      <c r="F20" s="142" t="s">
        <v>184</v>
      </c>
      <c r="G20" s="142" t="s">
        <v>185</v>
      </c>
      <c r="H20" s="149" t="s">
        <v>114</v>
      </c>
      <c r="I20" s="155" t="s">
        <v>186</v>
      </c>
      <c r="J20" s="149" t="s">
        <v>75</v>
      </c>
      <c r="K20" s="149" t="s">
        <v>75</v>
      </c>
      <c r="L20" s="155" t="s">
        <v>116</v>
      </c>
      <c r="M20" s="149" t="s">
        <v>98</v>
      </c>
      <c r="N20" s="155" t="s">
        <v>183</v>
      </c>
      <c r="O20" s="155" t="s">
        <v>76</v>
      </c>
      <c r="P20" s="142" t="s">
        <v>118</v>
      </c>
      <c r="Q20" s="155" t="s">
        <v>78</v>
      </c>
      <c r="R20" s="155" t="s">
        <v>119</v>
      </c>
      <c r="S20" s="142" t="s">
        <v>79</v>
      </c>
      <c r="T20" s="146">
        <v>13.99</v>
      </c>
      <c r="U20" s="161">
        <v>54755</v>
      </c>
      <c r="V20" s="147">
        <v>3.8800000000000001E-2</v>
      </c>
      <c r="W20" s="147">
        <v>3.1399999999999997E-2</v>
      </c>
      <c r="X20" s="149" t="s">
        <v>120</v>
      </c>
      <c r="Y20" s="149" t="s">
        <v>76</v>
      </c>
      <c r="Z20" s="146">
        <v>16529524</v>
      </c>
      <c r="AA20" s="145">
        <v>1</v>
      </c>
      <c r="AB20" s="146">
        <v>113.01</v>
      </c>
      <c r="AD20" s="146">
        <v>18680.014999999999</v>
      </c>
      <c r="AG20" s="142" t="s">
        <v>20</v>
      </c>
      <c r="AH20" s="147">
        <v>1.18E-2</v>
      </c>
      <c r="AI20" s="147">
        <v>2.7199999999999998E-2</v>
      </c>
      <c r="AJ20" s="147">
        <v>9.7000000000000003E-3</v>
      </c>
    </row>
    <row r="21" spans="1:36" x14ac:dyDescent="0.2">
      <c r="A21" s="141">
        <v>269</v>
      </c>
      <c r="B21" s="141">
        <v>269</v>
      </c>
      <c r="C21" s="142" t="s">
        <v>187</v>
      </c>
      <c r="D21" s="141">
        <v>520018078</v>
      </c>
      <c r="E21" s="143" t="s">
        <v>111</v>
      </c>
      <c r="F21" s="142" t="s">
        <v>188</v>
      </c>
      <c r="G21" s="142" t="s">
        <v>189</v>
      </c>
      <c r="H21" s="143" t="s">
        <v>114</v>
      </c>
      <c r="I21" s="142" t="s">
        <v>186</v>
      </c>
      <c r="J21" s="142" t="s">
        <v>75</v>
      </c>
      <c r="K21" s="142" t="s">
        <v>75</v>
      </c>
      <c r="L21" s="142" t="s">
        <v>116</v>
      </c>
      <c r="M21" s="143" t="s">
        <v>98</v>
      </c>
      <c r="N21" s="142" t="s">
        <v>183</v>
      </c>
      <c r="O21" s="142" t="s">
        <v>76</v>
      </c>
      <c r="P21" s="142" t="s">
        <v>118</v>
      </c>
      <c r="Q21" s="142" t="s">
        <v>78</v>
      </c>
      <c r="R21" s="142" t="s">
        <v>119</v>
      </c>
      <c r="S21" s="142" t="s">
        <v>79</v>
      </c>
      <c r="T21" s="146">
        <v>4.7300000000000004</v>
      </c>
      <c r="U21" s="161">
        <v>49733</v>
      </c>
      <c r="V21" s="147">
        <v>3.1E-2</v>
      </c>
      <c r="W21" s="147">
        <v>2.64E-2</v>
      </c>
      <c r="X21" s="143" t="s">
        <v>120</v>
      </c>
      <c r="Y21" s="143" t="s">
        <v>76</v>
      </c>
      <c r="Z21" s="146">
        <v>89182580</v>
      </c>
      <c r="AA21" s="145">
        <v>1</v>
      </c>
      <c r="AB21" s="146">
        <v>107.58</v>
      </c>
      <c r="AD21" s="146">
        <v>95942.62</v>
      </c>
      <c r="AG21" s="142" t="s">
        <v>20</v>
      </c>
      <c r="AH21" s="147">
        <v>5.8099999999999999E-2</v>
      </c>
      <c r="AI21" s="147">
        <v>0.14000000000000001</v>
      </c>
      <c r="AJ21" s="147">
        <v>4.9599999999999998E-2</v>
      </c>
    </row>
    <row r="22" spans="1:36" x14ac:dyDescent="0.2">
      <c r="A22" s="141">
        <v>269</v>
      </c>
      <c r="B22" s="141">
        <v>269</v>
      </c>
      <c r="C22" s="142" t="s">
        <v>190</v>
      </c>
      <c r="D22" s="141">
        <v>510000813</v>
      </c>
      <c r="E22" s="143" t="s">
        <v>111</v>
      </c>
      <c r="F22" s="142" t="s">
        <v>191</v>
      </c>
      <c r="G22" s="142" t="s">
        <v>192</v>
      </c>
      <c r="H22" s="143" t="s">
        <v>114</v>
      </c>
      <c r="I22" s="142" t="s">
        <v>115</v>
      </c>
      <c r="J22" s="142" t="s">
        <v>75</v>
      </c>
      <c r="K22" s="142" t="s">
        <v>75</v>
      </c>
      <c r="L22" s="142" t="s">
        <v>116</v>
      </c>
      <c r="M22" s="143" t="s">
        <v>98</v>
      </c>
      <c r="N22" s="142" t="s">
        <v>141</v>
      </c>
      <c r="O22" s="142" t="s">
        <v>76</v>
      </c>
      <c r="P22" s="142" t="s">
        <v>142</v>
      </c>
      <c r="Q22" s="142" t="s">
        <v>78</v>
      </c>
      <c r="R22" s="142" t="s">
        <v>119</v>
      </c>
      <c r="S22" s="142" t="s">
        <v>79</v>
      </c>
      <c r="T22" s="146">
        <v>5.13</v>
      </c>
      <c r="U22" s="161">
        <v>48945</v>
      </c>
      <c r="V22" s="147">
        <v>3.32E-2</v>
      </c>
      <c r="W22" s="147">
        <v>2.7099999999999999E-2</v>
      </c>
      <c r="X22" s="143" t="s">
        <v>120</v>
      </c>
      <c r="Y22" s="143" t="s">
        <v>76</v>
      </c>
      <c r="Z22" s="146">
        <v>20000000</v>
      </c>
      <c r="AA22" s="145">
        <v>1</v>
      </c>
      <c r="AB22" s="146">
        <v>103.24</v>
      </c>
      <c r="AD22" s="146">
        <v>20648</v>
      </c>
      <c r="AG22" s="142" t="s">
        <v>20</v>
      </c>
      <c r="AH22" s="147">
        <v>1.15E-2</v>
      </c>
      <c r="AI22" s="147">
        <v>3.0099999999999998E-2</v>
      </c>
      <c r="AJ22" s="147">
        <v>1.0699999999999999E-2</v>
      </c>
    </row>
    <row r="23" spans="1:36" x14ac:dyDescent="0.2">
      <c r="A23" s="141">
        <v>269</v>
      </c>
      <c r="B23" s="141">
        <v>269</v>
      </c>
      <c r="C23" s="142" t="s">
        <v>193</v>
      </c>
      <c r="D23" s="141">
        <v>520031931</v>
      </c>
      <c r="E23" s="143" t="s">
        <v>111</v>
      </c>
      <c r="F23" s="142" t="s">
        <v>194</v>
      </c>
      <c r="G23" s="142" t="s">
        <v>195</v>
      </c>
      <c r="H23" s="143" t="s">
        <v>114</v>
      </c>
      <c r="I23" s="142" t="s">
        <v>115</v>
      </c>
      <c r="J23" s="142" t="s">
        <v>75</v>
      </c>
      <c r="K23" s="142" t="s">
        <v>75</v>
      </c>
      <c r="L23" s="142" t="s">
        <v>116</v>
      </c>
      <c r="M23" s="142" t="s">
        <v>98</v>
      </c>
      <c r="N23" s="142" t="s">
        <v>196</v>
      </c>
      <c r="O23" s="142" t="s">
        <v>76</v>
      </c>
      <c r="P23" s="142" t="s">
        <v>142</v>
      </c>
      <c r="Q23" s="142" t="s">
        <v>78</v>
      </c>
      <c r="R23" s="142" t="s">
        <v>119</v>
      </c>
      <c r="S23" s="142" t="s">
        <v>79</v>
      </c>
      <c r="T23" s="146">
        <v>7.22</v>
      </c>
      <c r="U23" s="161">
        <v>49461</v>
      </c>
      <c r="V23" s="147">
        <v>5.7999999999999996E-3</v>
      </c>
      <c r="W23" s="147">
        <v>2.41E-2</v>
      </c>
      <c r="X23" s="143" t="s">
        <v>120</v>
      </c>
      <c r="Y23" s="143" t="s">
        <v>76</v>
      </c>
      <c r="Z23" s="146">
        <v>32338157</v>
      </c>
      <c r="AA23" s="145">
        <v>1</v>
      </c>
      <c r="AB23" s="146">
        <v>101.15</v>
      </c>
      <c r="AD23" s="146">
        <v>32710.045999999998</v>
      </c>
      <c r="AG23" s="142" t="s">
        <v>20</v>
      </c>
      <c r="AH23" s="147">
        <v>4.0300000000000002E-2</v>
      </c>
      <c r="AI23" s="147">
        <v>4.7699999999999999E-2</v>
      </c>
      <c r="AJ23" s="147">
        <v>1.6899999999999998E-2</v>
      </c>
    </row>
    <row r="24" spans="1:36" x14ac:dyDescent="0.2">
      <c r="A24" s="141">
        <v>269</v>
      </c>
      <c r="B24" s="141">
        <v>269</v>
      </c>
      <c r="C24" s="142" t="s">
        <v>197</v>
      </c>
      <c r="D24" s="141">
        <v>550010003</v>
      </c>
      <c r="E24" s="143" t="s">
        <v>198</v>
      </c>
      <c r="F24" s="142" t="s">
        <v>199</v>
      </c>
      <c r="G24" s="142" t="s">
        <v>200</v>
      </c>
      <c r="H24" s="142" t="s">
        <v>114</v>
      </c>
      <c r="I24" s="142" t="s">
        <v>124</v>
      </c>
      <c r="J24" s="142" t="s">
        <v>75</v>
      </c>
      <c r="K24" s="142" t="s">
        <v>75</v>
      </c>
      <c r="L24" s="142" t="s">
        <v>116</v>
      </c>
      <c r="M24" s="142" t="s">
        <v>98</v>
      </c>
      <c r="N24" s="142" t="s">
        <v>125</v>
      </c>
      <c r="O24" s="142" t="s">
        <v>76</v>
      </c>
      <c r="P24" s="142" t="s">
        <v>142</v>
      </c>
      <c r="Q24" s="142" t="s">
        <v>78</v>
      </c>
      <c r="R24" s="142" t="s">
        <v>119</v>
      </c>
      <c r="S24" s="142" t="s">
        <v>79</v>
      </c>
      <c r="T24" s="146">
        <v>2.56</v>
      </c>
      <c r="U24" s="161">
        <v>47766</v>
      </c>
      <c r="V24" s="147">
        <v>3.7699999999999997E-2</v>
      </c>
      <c r="W24" s="147">
        <v>5.3499999999999999E-2</v>
      </c>
      <c r="X24" s="143" t="s">
        <v>120</v>
      </c>
      <c r="Y24" s="143" t="s">
        <v>76</v>
      </c>
      <c r="Z24" s="146">
        <v>957392.12</v>
      </c>
      <c r="AA24" s="145">
        <v>3.19</v>
      </c>
      <c r="AB24" s="146">
        <v>90.75</v>
      </c>
      <c r="AD24" s="146">
        <v>868.83299999999997</v>
      </c>
      <c r="AG24" s="142" t="s">
        <v>20</v>
      </c>
      <c r="AH24" s="147">
        <v>6.4000000000000003E-3</v>
      </c>
      <c r="AI24" s="147">
        <v>1.2999999999999999E-3</v>
      </c>
      <c r="AJ24" s="147">
        <v>4.0000000000000002E-4</v>
      </c>
    </row>
    <row r="25" spans="1:36" x14ac:dyDescent="0.2">
      <c r="A25" s="141">
        <v>269</v>
      </c>
      <c r="B25" s="141">
        <v>269</v>
      </c>
      <c r="C25" s="142" t="s">
        <v>167</v>
      </c>
      <c r="D25" s="141">
        <v>520036617</v>
      </c>
      <c r="E25" s="143" t="s">
        <v>111</v>
      </c>
      <c r="F25" s="142" t="s">
        <v>201</v>
      </c>
      <c r="G25" s="142" t="s">
        <v>202</v>
      </c>
      <c r="H25" s="142" t="s">
        <v>114</v>
      </c>
      <c r="I25" s="142" t="s">
        <v>115</v>
      </c>
      <c r="J25" s="142" t="s">
        <v>75</v>
      </c>
      <c r="K25" s="142" t="s">
        <v>75</v>
      </c>
      <c r="L25" s="142" t="s">
        <v>116</v>
      </c>
      <c r="M25" s="142" t="s">
        <v>98</v>
      </c>
      <c r="N25" s="142" t="s">
        <v>141</v>
      </c>
      <c r="O25" s="142" t="s">
        <v>76</v>
      </c>
      <c r="P25" s="142" t="s">
        <v>160</v>
      </c>
      <c r="Q25" s="142" t="s">
        <v>78</v>
      </c>
      <c r="R25" s="142" t="s">
        <v>119</v>
      </c>
      <c r="S25" s="142" t="s">
        <v>79</v>
      </c>
      <c r="T25" s="146">
        <v>3.79</v>
      </c>
      <c r="U25" s="161">
        <v>47848</v>
      </c>
      <c r="V25" s="147">
        <v>8.9999999999999993E-3</v>
      </c>
      <c r="W25" s="147">
        <v>2.5000000000000001E-2</v>
      </c>
      <c r="X25" s="143" t="s">
        <v>120</v>
      </c>
      <c r="Y25" s="143" t="s">
        <v>76</v>
      </c>
      <c r="Z25" s="146">
        <v>5012527.5</v>
      </c>
      <c r="AA25" s="145">
        <v>1</v>
      </c>
      <c r="AB25" s="146">
        <v>108.39</v>
      </c>
      <c r="AD25" s="146">
        <v>5433.0789999999997</v>
      </c>
      <c r="AG25" s="142" t="s">
        <v>20</v>
      </c>
      <c r="AH25" s="147">
        <v>1.34E-2</v>
      </c>
      <c r="AI25" s="147">
        <v>7.9000000000000008E-3</v>
      </c>
      <c r="AJ25" s="147">
        <v>2.8E-3</v>
      </c>
    </row>
    <row r="26" spans="1:36" x14ac:dyDescent="0.2">
      <c r="A26" s="141">
        <v>269</v>
      </c>
      <c r="B26" s="141">
        <v>269</v>
      </c>
      <c r="C26" s="142" t="s">
        <v>203</v>
      </c>
      <c r="D26" s="141">
        <v>520028010</v>
      </c>
      <c r="E26" s="143" t="s">
        <v>111</v>
      </c>
      <c r="F26" s="142" t="s">
        <v>204</v>
      </c>
      <c r="G26" s="142" t="s">
        <v>205</v>
      </c>
      <c r="H26" s="142" t="s">
        <v>114</v>
      </c>
      <c r="I26" s="142" t="s">
        <v>124</v>
      </c>
      <c r="J26" s="142" t="s">
        <v>75</v>
      </c>
      <c r="K26" s="142" t="s">
        <v>75</v>
      </c>
      <c r="L26" s="142" t="s">
        <v>116</v>
      </c>
      <c r="M26" s="142" t="s">
        <v>98</v>
      </c>
      <c r="N26" s="142" t="s">
        <v>117</v>
      </c>
      <c r="O26" s="142" t="s">
        <v>76</v>
      </c>
      <c r="P26" s="142" t="s">
        <v>206</v>
      </c>
      <c r="Q26" s="142" t="s">
        <v>78</v>
      </c>
      <c r="R26" s="142" t="s">
        <v>119</v>
      </c>
      <c r="S26" s="142" t="s">
        <v>79</v>
      </c>
      <c r="T26" s="146">
        <v>0.73</v>
      </c>
      <c r="U26" s="161">
        <v>46295</v>
      </c>
      <c r="V26" s="147">
        <v>3.3500000000000002E-2</v>
      </c>
      <c r="W26" s="147">
        <v>5.2699999999999997E-2</v>
      </c>
      <c r="X26" s="143" t="s">
        <v>120</v>
      </c>
      <c r="Y26" s="143" t="s">
        <v>76</v>
      </c>
      <c r="Z26" s="146">
        <v>3941747.61</v>
      </c>
      <c r="AA26" s="145">
        <v>3.19</v>
      </c>
      <c r="AB26" s="146">
        <v>93.1</v>
      </c>
      <c r="AD26" s="146">
        <v>3669.7669999999998</v>
      </c>
      <c r="AG26" s="142" t="s">
        <v>20</v>
      </c>
      <c r="AH26" s="147">
        <v>6.8599999999999994E-2</v>
      </c>
      <c r="AI26" s="147">
        <v>5.4000000000000003E-3</v>
      </c>
      <c r="AJ26" s="147">
        <v>1.9E-3</v>
      </c>
    </row>
    <row r="27" spans="1:36" x14ac:dyDescent="0.2">
      <c r="A27" s="141">
        <v>269</v>
      </c>
      <c r="B27" s="141">
        <v>269</v>
      </c>
      <c r="C27" s="142" t="s">
        <v>161</v>
      </c>
      <c r="D27" s="141">
        <v>520000472</v>
      </c>
      <c r="E27" s="143" t="s">
        <v>111</v>
      </c>
      <c r="F27" s="142" t="s">
        <v>207</v>
      </c>
      <c r="G27" s="142" t="s">
        <v>208</v>
      </c>
      <c r="H27" s="142" t="s">
        <v>114</v>
      </c>
      <c r="I27" s="142" t="s">
        <v>115</v>
      </c>
      <c r="J27" s="142" t="s">
        <v>75</v>
      </c>
      <c r="K27" s="142" t="s">
        <v>75</v>
      </c>
      <c r="L27" s="142" t="s">
        <v>116</v>
      </c>
      <c r="M27" s="142" t="s">
        <v>98</v>
      </c>
      <c r="N27" s="142" t="s">
        <v>164</v>
      </c>
      <c r="O27" s="142" t="s">
        <v>76</v>
      </c>
      <c r="P27" s="142" t="s">
        <v>77</v>
      </c>
      <c r="Q27" s="142" t="s">
        <v>78</v>
      </c>
      <c r="R27" s="142" t="s">
        <v>119</v>
      </c>
      <c r="S27" s="142" t="s">
        <v>79</v>
      </c>
      <c r="T27" s="146">
        <v>9.6999999999999993</v>
      </c>
      <c r="U27" s="161">
        <v>49825</v>
      </c>
      <c r="V27" s="147">
        <v>1.2500000000000001E-2</v>
      </c>
      <c r="W27" s="147">
        <v>2.5600000000000001E-2</v>
      </c>
      <c r="X27" s="143" t="s">
        <v>120</v>
      </c>
      <c r="Y27" s="143" t="s">
        <v>76</v>
      </c>
      <c r="Z27" s="146">
        <v>69137291</v>
      </c>
      <c r="AA27" s="145">
        <v>1</v>
      </c>
      <c r="AB27" s="146">
        <v>103.24</v>
      </c>
      <c r="AD27" s="146">
        <v>71377.339000000007</v>
      </c>
      <c r="AG27" s="142" t="s">
        <v>20</v>
      </c>
      <c r="AH27" s="147">
        <v>1.61E-2</v>
      </c>
      <c r="AI27" s="147">
        <v>0.1041</v>
      </c>
      <c r="AJ27" s="147">
        <v>3.6900000000000002E-2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2"/>
  <sheetViews>
    <sheetView rightToLeft="1" topLeftCell="G1" workbookViewId="0">
      <selection activeCell="X2" sqref="X2:X16"/>
    </sheetView>
  </sheetViews>
  <sheetFormatPr defaultColWidth="0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27" width="9" style="4" hidden="1" customWidth="1"/>
    <col min="28" max="16384" width="9" style="4" hidden="1"/>
  </cols>
  <sheetData>
    <row r="1" spans="1:24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109</v>
      </c>
      <c r="M1" s="18" t="s">
        <v>84</v>
      </c>
      <c r="N1" s="18" t="s">
        <v>103</v>
      </c>
      <c r="O1" s="18" t="s">
        <v>61</v>
      </c>
      <c r="P1" s="18" t="s">
        <v>64</v>
      </c>
      <c r="Q1" s="18" t="s">
        <v>90</v>
      </c>
      <c r="R1" s="18" t="s">
        <v>66</v>
      </c>
      <c r="S1" s="18" t="s">
        <v>91</v>
      </c>
      <c r="T1" s="18" t="s">
        <v>89</v>
      </c>
      <c r="U1" s="18" t="s">
        <v>68</v>
      </c>
      <c r="V1" s="18" t="s">
        <v>93</v>
      </c>
      <c r="W1" s="18" t="s">
        <v>69</v>
      </c>
      <c r="X1" s="18" t="s">
        <v>70</v>
      </c>
    </row>
    <row r="2" spans="1:24" x14ac:dyDescent="0.2">
      <c r="A2" s="148">
        <v>269</v>
      </c>
      <c r="B2" s="148">
        <v>269</v>
      </c>
      <c r="C2" s="149" t="s">
        <v>209</v>
      </c>
      <c r="D2" s="148">
        <v>520036120</v>
      </c>
      <c r="E2" s="149" t="s">
        <v>111</v>
      </c>
      <c r="F2" s="149" t="s">
        <v>210</v>
      </c>
      <c r="G2" s="149" t="s">
        <v>211</v>
      </c>
      <c r="H2" s="149" t="s">
        <v>114</v>
      </c>
      <c r="I2" s="149" t="s">
        <v>212</v>
      </c>
      <c r="J2" s="149" t="s">
        <v>75</v>
      </c>
      <c r="K2" s="149" t="s">
        <v>75</v>
      </c>
      <c r="L2" s="155" t="s">
        <v>116</v>
      </c>
      <c r="M2" s="149" t="s">
        <v>98</v>
      </c>
      <c r="N2" s="155" t="s">
        <v>213</v>
      </c>
      <c r="O2" s="155" t="s">
        <v>76</v>
      </c>
      <c r="P2" s="149" t="s">
        <v>79</v>
      </c>
      <c r="Q2" s="162">
        <v>58710</v>
      </c>
      <c r="R2" s="163">
        <v>1</v>
      </c>
      <c r="S2" s="162">
        <v>20570</v>
      </c>
      <c r="T2" s="19"/>
      <c r="U2" s="162">
        <v>12076.647000000001</v>
      </c>
      <c r="V2" s="164">
        <v>6.9999999999999999E-4</v>
      </c>
      <c r="W2" s="164">
        <v>0.14180000000000001</v>
      </c>
      <c r="X2" s="164">
        <v>6.3E-3</v>
      </c>
    </row>
    <row r="3" spans="1:24" x14ac:dyDescent="0.2">
      <c r="A3" s="148">
        <v>269</v>
      </c>
      <c r="B3" s="148">
        <v>269</v>
      </c>
      <c r="C3" s="149" t="s">
        <v>214</v>
      </c>
      <c r="D3" s="148">
        <v>520036872</v>
      </c>
      <c r="E3" s="149" t="s">
        <v>111</v>
      </c>
      <c r="F3" s="149" t="s">
        <v>215</v>
      </c>
      <c r="G3" s="149" t="s">
        <v>216</v>
      </c>
      <c r="H3" s="149" t="s">
        <v>114</v>
      </c>
      <c r="I3" s="149" t="s">
        <v>212</v>
      </c>
      <c r="J3" s="149" t="s">
        <v>75</v>
      </c>
      <c r="K3" s="149" t="s">
        <v>75</v>
      </c>
      <c r="L3" s="155" t="s">
        <v>116</v>
      </c>
      <c r="M3" s="149" t="s">
        <v>98</v>
      </c>
      <c r="N3" s="155" t="s">
        <v>217</v>
      </c>
      <c r="O3" s="155" t="s">
        <v>76</v>
      </c>
      <c r="P3" s="149" t="s">
        <v>79</v>
      </c>
      <c r="Q3" s="162">
        <v>5110</v>
      </c>
      <c r="R3" s="163">
        <v>1</v>
      </c>
      <c r="S3" s="162">
        <v>35710</v>
      </c>
      <c r="T3" s="19"/>
      <c r="U3" s="162">
        <v>1824.7809999999999</v>
      </c>
      <c r="V3" s="164">
        <v>1E-4</v>
      </c>
      <c r="W3" s="164">
        <v>2.1399999999999999E-2</v>
      </c>
      <c r="X3" s="164">
        <v>8.9999999999999998E-4</v>
      </c>
    </row>
    <row r="4" spans="1:24" x14ac:dyDescent="0.2">
      <c r="A4" s="148">
        <v>269</v>
      </c>
      <c r="B4" s="148">
        <v>269</v>
      </c>
      <c r="C4" s="149" t="s">
        <v>218</v>
      </c>
      <c r="D4" s="148">
        <v>520027830</v>
      </c>
      <c r="E4" s="149" t="s">
        <v>111</v>
      </c>
      <c r="F4" s="149" t="s">
        <v>219</v>
      </c>
      <c r="G4" s="149" t="s">
        <v>220</v>
      </c>
      <c r="H4" s="149" t="s">
        <v>114</v>
      </c>
      <c r="I4" s="149" t="s">
        <v>212</v>
      </c>
      <c r="J4" s="149" t="s">
        <v>75</v>
      </c>
      <c r="K4" s="149" t="s">
        <v>75</v>
      </c>
      <c r="L4" s="155" t="s">
        <v>116</v>
      </c>
      <c r="M4" s="149" t="s">
        <v>98</v>
      </c>
      <c r="N4" s="155" t="s">
        <v>117</v>
      </c>
      <c r="O4" s="155" t="s">
        <v>76</v>
      </c>
      <c r="P4" s="149" t="s">
        <v>79</v>
      </c>
      <c r="Q4" s="162">
        <v>332636</v>
      </c>
      <c r="R4" s="163">
        <v>1</v>
      </c>
      <c r="S4" s="162">
        <v>1830</v>
      </c>
      <c r="T4" s="19"/>
      <c r="U4" s="162">
        <v>6087.2389999999996</v>
      </c>
      <c r="V4" s="164">
        <v>2.9999999999999997E-4</v>
      </c>
      <c r="W4" s="164">
        <v>7.1499999999999994E-2</v>
      </c>
      <c r="X4" s="164">
        <v>3.0999999999999999E-3</v>
      </c>
    </row>
    <row r="5" spans="1:24" x14ac:dyDescent="0.2">
      <c r="A5" s="148">
        <v>269</v>
      </c>
      <c r="B5" s="148">
        <v>269</v>
      </c>
      <c r="C5" s="149" t="s">
        <v>221</v>
      </c>
      <c r="D5" s="148">
        <v>520038506</v>
      </c>
      <c r="E5" s="149" t="s">
        <v>111</v>
      </c>
      <c r="F5" s="149" t="s">
        <v>222</v>
      </c>
      <c r="G5" s="149" t="s">
        <v>223</v>
      </c>
      <c r="H5" s="149" t="s">
        <v>114</v>
      </c>
      <c r="I5" s="149" t="s">
        <v>212</v>
      </c>
      <c r="J5" s="149" t="s">
        <v>75</v>
      </c>
      <c r="K5" s="149" t="s">
        <v>75</v>
      </c>
      <c r="L5" s="155" t="s">
        <v>116</v>
      </c>
      <c r="M5" s="149" t="s">
        <v>98</v>
      </c>
      <c r="N5" s="155" t="s">
        <v>141</v>
      </c>
      <c r="O5" s="155" t="s">
        <v>76</v>
      </c>
      <c r="P5" s="149" t="s">
        <v>79</v>
      </c>
      <c r="Q5" s="162">
        <v>71000</v>
      </c>
      <c r="R5" s="163">
        <v>1</v>
      </c>
      <c r="S5" s="162">
        <v>3920</v>
      </c>
      <c r="T5" s="19"/>
      <c r="U5" s="162">
        <v>2783.2</v>
      </c>
      <c r="V5" s="164">
        <v>2.9999999999999997E-4</v>
      </c>
      <c r="W5" s="164">
        <v>3.27E-2</v>
      </c>
      <c r="X5" s="164">
        <v>1.4E-3</v>
      </c>
    </row>
    <row r="6" spans="1:24" x14ac:dyDescent="0.2">
      <c r="A6" s="148">
        <v>269</v>
      </c>
      <c r="B6" s="148">
        <v>269</v>
      </c>
      <c r="C6" s="149" t="s">
        <v>224</v>
      </c>
      <c r="D6" s="148">
        <v>520007469</v>
      </c>
      <c r="E6" s="149" t="s">
        <v>111</v>
      </c>
      <c r="F6" s="149" t="s">
        <v>225</v>
      </c>
      <c r="G6" s="149" t="s">
        <v>226</v>
      </c>
      <c r="H6" s="149" t="s">
        <v>114</v>
      </c>
      <c r="I6" s="149" t="s">
        <v>212</v>
      </c>
      <c r="J6" s="149" t="s">
        <v>75</v>
      </c>
      <c r="K6" s="149" t="s">
        <v>75</v>
      </c>
      <c r="L6" s="155" t="s">
        <v>116</v>
      </c>
      <c r="M6" s="149" t="s">
        <v>98</v>
      </c>
      <c r="N6" s="155" t="s">
        <v>213</v>
      </c>
      <c r="O6" s="155" t="s">
        <v>76</v>
      </c>
      <c r="P6" s="149" t="s">
        <v>79</v>
      </c>
      <c r="Q6" s="162">
        <v>35320</v>
      </c>
      <c r="R6" s="163">
        <v>1</v>
      </c>
      <c r="S6" s="162">
        <v>39940</v>
      </c>
      <c r="T6" s="19"/>
      <c r="U6" s="162">
        <v>14106.808000000001</v>
      </c>
      <c r="V6" s="164">
        <v>5.9999999999999995E-4</v>
      </c>
      <c r="W6" s="164">
        <v>0.16569999999999999</v>
      </c>
      <c r="X6" s="164">
        <v>7.3000000000000001E-3</v>
      </c>
    </row>
    <row r="7" spans="1:24" x14ac:dyDescent="0.2">
      <c r="A7" s="148">
        <v>269</v>
      </c>
      <c r="B7" s="148">
        <v>269</v>
      </c>
      <c r="C7" s="149" t="s">
        <v>227</v>
      </c>
      <c r="D7" s="148">
        <v>520033986</v>
      </c>
      <c r="E7" s="149" t="s">
        <v>111</v>
      </c>
      <c r="F7" s="149" t="s">
        <v>228</v>
      </c>
      <c r="G7" s="149" t="s">
        <v>229</v>
      </c>
      <c r="H7" s="149" t="s">
        <v>114</v>
      </c>
      <c r="I7" s="149" t="s">
        <v>212</v>
      </c>
      <c r="J7" s="149" t="s">
        <v>75</v>
      </c>
      <c r="K7" s="149" t="s">
        <v>75</v>
      </c>
      <c r="L7" s="155" t="s">
        <v>116</v>
      </c>
      <c r="M7" s="149" t="s">
        <v>98</v>
      </c>
      <c r="N7" s="155" t="s">
        <v>213</v>
      </c>
      <c r="O7" s="155" t="s">
        <v>76</v>
      </c>
      <c r="P7" s="149" t="s">
        <v>79</v>
      </c>
      <c r="Q7" s="162">
        <v>204213</v>
      </c>
      <c r="R7" s="163">
        <v>1</v>
      </c>
      <c r="S7" s="162">
        <v>12430</v>
      </c>
      <c r="T7" s="19"/>
      <c r="U7" s="162">
        <v>25383.675999999999</v>
      </c>
      <c r="V7" s="164">
        <v>1E-3</v>
      </c>
      <c r="W7" s="164">
        <v>0.29809999999999998</v>
      </c>
      <c r="X7" s="164">
        <v>1.3100000000000001E-2</v>
      </c>
    </row>
    <row r="8" spans="1:24" x14ac:dyDescent="0.2">
      <c r="A8" s="148">
        <v>269</v>
      </c>
      <c r="B8" s="148">
        <v>269</v>
      </c>
      <c r="C8" s="149" t="s">
        <v>230</v>
      </c>
      <c r="D8" s="148">
        <v>520001736</v>
      </c>
      <c r="E8" s="149" t="s">
        <v>111</v>
      </c>
      <c r="F8" s="149" t="s">
        <v>231</v>
      </c>
      <c r="G8" s="149" t="s">
        <v>232</v>
      </c>
      <c r="H8" s="149" t="s">
        <v>114</v>
      </c>
      <c r="I8" s="149" t="s">
        <v>212</v>
      </c>
      <c r="J8" s="149" t="s">
        <v>75</v>
      </c>
      <c r="K8" s="149" t="s">
        <v>75</v>
      </c>
      <c r="L8" s="155" t="s">
        <v>116</v>
      </c>
      <c r="M8" s="149" t="s">
        <v>98</v>
      </c>
      <c r="N8" s="155" t="s">
        <v>141</v>
      </c>
      <c r="O8" s="155" t="s">
        <v>76</v>
      </c>
      <c r="P8" s="149" t="s">
        <v>79</v>
      </c>
      <c r="Q8" s="162">
        <v>64928.7</v>
      </c>
      <c r="R8" s="163">
        <v>1</v>
      </c>
      <c r="S8" s="162">
        <v>3854</v>
      </c>
      <c r="T8" s="19"/>
      <c r="U8" s="162">
        <v>2502.3519999999999</v>
      </c>
      <c r="V8" s="164">
        <v>2.9999999999999997E-4</v>
      </c>
      <c r="W8" s="164">
        <v>2.9399999999999999E-2</v>
      </c>
      <c r="X8" s="164">
        <v>1.2999999999999999E-3</v>
      </c>
    </row>
    <row r="9" spans="1:24" x14ac:dyDescent="0.2">
      <c r="A9" s="148">
        <v>269</v>
      </c>
      <c r="B9" s="148">
        <v>269</v>
      </c>
      <c r="C9" s="149" t="s">
        <v>233</v>
      </c>
      <c r="D9" s="148">
        <v>520029984</v>
      </c>
      <c r="E9" s="149" t="s">
        <v>111</v>
      </c>
      <c r="F9" s="149" t="s">
        <v>234</v>
      </c>
      <c r="G9" s="149" t="s">
        <v>235</v>
      </c>
      <c r="H9" s="149" t="s">
        <v>114</v>
      </c>
      <c r="I9" s="149" t="s">
        <v>212</v>
      </c>
      <c r="J9" s="149" t="s">
        <v>75</v>
      </c>
      <c r="K9" s="149" t="s">
        <v>75</v>
      </c>
      <c r="L9" s="155" t="s">
        <v>116</v>
      </c>
      <c r="M9" s="149" t="s">
        <v>98</v>
      </c>
      <c r="N9" s="155" t="s">
        <v>213</v>
      </c>
      <c r="O9" s="155" t="s">
        <v>76</v>
      </c>
      <c r="P9" s="149" t="s">
        <v>79</v>
      </c>
      <c r="Q9" s="162">
        <v>424000</v>
      </c>
      <c r="R9" s="163">
        <v>1</v>
      </c>
      <c r="S9" s="162">
        <v>1546</v>
      </c>
      <c r="T9" s="19"/>
      <c r="U9" s="162">
        <v>6555.04</v>
      </c>
      <c r="V9" s="164">
        <v>4.0000000000000002E-4</v>
      </c>
      <c r="W9" s="164">
        <v>7.6999999999999999E-2</v>
      </c>
      <c r="X9" s="164">
        <v>3.3999999999999998E-3</v>
      </c>
    </row>
    <row r="10" spans="1:24" x14ac:dyDescent="0.2">
      <c r="A10" s="148">
        <v>269</v>
      </c>
      <c r="B10" s="148">
        <v>269</v>
      </c>
      <c r="C10" s="149" t="s">
        <v>236</v>
      </c>
      <c r="D10" s="148">
        <v>520036104</v>
      </c>
      <c r="E10" s="149" t="s">
        <v>111</v>
      </c>
      <c r="F10" s="149" t="s">
        <v>237</v>
      </c>
      <c r="G10" s="149" t="s">
        <v>238</v>
      </c>
      <c r="H10" s="149" t="s">
        <v>114</v>
      </c>
      <c r="I10" s="149" t="s">
        <v>212</v>
      </c>
      <c r="J10" s="149" t="s">
        <v>75</v>
      </c>
      <c r="K10" s="149" t="s">
        <v>75</v>
      </c>
      <c r="L10" s="155" t="s">
        <v>116</v>
      </c>
      <c r="M10" s="149" t="s">
        <v>98</v>
      </c>
      <c r="N10" s="155" t="s">
        <v>159</v>
      </c>
      <c r="O10" s="155" t="s">
        <v>76</v>
      </c>
      <c r="P10" s="149" t="s">
        <v>79</v>
      </c>
      <c r="Q10" s="162">
        <v>143293</v>
      </c>
      <c r="R10" s="163">
        <v>1</v>
      </c>
      <c r="S10" s="162">
        <v>1840</v>
      </c>
      <c r="T10" s="19"/>
      <c r="U10" s="162">
        <v>2636.5909999999999</v>
      </c>
      <c r="V10" s="164">
        <v>2.0000000000000001E-4</v>
      </c>
      <c r="W10" s="164">
        <v>3.1E-2</v>
      </c>
      <c r="X10" s="164">
        <v>1.4E-3</v>
      </c>
    </row>
    <row r="11" spans="1:24" x14ac:dyDescent="0.2">
      <c r="A11" s="148">
        <v>269</v>
      </c>
      <c r="B11" s="148">
        <v>269</v>
      </c>
      <c r="C11" s="149" t="s">
        <v>239</v>
      </c>
      <c r="D11" s="148">
        <v>510216054</v>
      </c>
      <c r="E11" s="149" t="s">
        <v>111</v>
      </c>
      <c r="F11" s="149" t="s">
        <v>240</v>
      </c>
      <c r="G11" s="149" t="s">
        <v>241</v>
      </c>
      <c r="H11" s="149" t="s">
        <v>114</v>
      </c>
      <c r="I11" s="149" t="s">
        <v>212</v>
      </c>
      <c r="J11" s="149" t="s">
        <v>75</v>
      </c>
      <c r="K11" s="149" t="s">
        <v>75</v>
      </c>
      <c r="L11" s="155" t="s">
        <v>116</v>
      </c>
      <c r="M11" s="149" t="s">
        <v>98</v>
      </c>
      <c r="N11" s="155" t="s">
        <v>164</v>
      </c>
      <c r="O11" s="155" t="s">
        <v>76</v>
      </c>
      <c r="P11" s="149" t="s">
        <v>79</v>
      </c>
      <c r="Q11" s="162">
        <v>6855</v>
      </c>
      <c r="R11" s="163">
        <v>1</v>
      </c>
      <c r="S11" s="162">
        <v>71500</v>
      </c>
      <c r="T11" s="157">
        <v>76.465999999999994</v>
      </c>
      <c r="U11" s="162">
        <v>4977.7910000000002</v>
      </c>
      <c r="V11" s="164">
        <v>5.9999999999999995E-4</v>
      </c>
      <c r="W11" s="164">
        <v>5.8500000000000003E-2</v>
      </c>
      <c r="X11" s="164">
        <v>2.5999999999999999E-3</v>
      </c>
    </row>
    <row r="12" spans="1:24" x14ac:dyDescent="0.2">
      <c r="A12" s="148">
        <v>269</v>
      </c>
      <c r="B12" s="148">
        <v>269</v>
      </c>
      <c r="C12" s="149" t="s">
        <v>156</v>
      </c>
      <c r="D12" s="148">
        <v>510381601</v>
      </c>
      <c r="E12" s="149" t="s">
        <v>111</v>
      </c>
      <c r="F12" s="149" t="s">
        <v>242</v>
      </c>
      <c r="G12" s="149" t="s">
        <v>243</v>
      </c>
      <c r="H12" s="149" t="s">
        <v>114</v>
      </c>
      <c r="I12" s="149" t="s">
        <v>212</v>
      </c>
      <c r="J12" s="149" t="s">
        <v>75</v>
      </c>
      <c r="K12" s="149" t="s">
        <v>75</v>
      </c>
      <c r="L12" s="155" t="s">
        <v>116</v>
      </c>
      <c r="M12" s="149" t="s">
        <v>98</v>
      </c>
      <c r="N12" s="155" t="s">
        <v>159</v>
      </c>
      <c r="O12" s="155" t="s">
        <v>76</v>
      </c>
      <c r="P12" s="149" t="s">
        <v>79</v>
      </c>
      <c r="Q12" s="162">
        <v>11500</v>
      </c>
      <c r="R12" s="163">
        <v>1</v>
      </c>
      <c r="S12" s="162">
        <v>7015</v>
      </c>
      <c r="T12" s="19"/>
      <c r="U12" s="162">
        <v>806.72500000000002</v>
      </c>
      <c r="V12" s="164">
        <v>1E-4</v>
      </c>
      <c r="W12" s="164">
        <v>9.4999999999999998E-3</v>
      </c>
      <c r="X12" s="164">
        <v>4.0000000000000002E-4</v>
      </c>
    </row>
    <row r="13" spans="1:24" x14ac:dyDescent="0.2">
      <c r="A13" s="148">
        <v>269</v>
      </c>
      <c r="B13" s="148">
        <v>269</v>
      </c>
      <c r="C13" s="149" t="s">
        <v>244</v>
      </c>
      <c r="D13" s="148">
        <v>510706153</v>
      </c>
      <c r="E13" s="149" t="s">
        <v>111</v>
      </c>
      <c r="F13" s="149" t="s">
        <v>245</v>
      </c>
      <c r="G13" s="149" t="s">
        <v>246</v>
      </c>
      <c r="H13" s="149" t="s">
        <v>114</v>
      </c>
      <c r="I13" s="149" t="s">
        <v>212</v>
      </c>
      <c r="J13" s="149" t="s">
        <v>75</v>
      </c>
      <c r="K13" s="149" t="s">
        <v>75</v>
      </c>
      <c r="L13" s="155" t="s">
        <v>116</v>
      </c>
      <c r="M13" s="149" t="s">
        <v>98</v>
      </c>
      <c r="N13" s="155" t="s">
        <v>247</v>
      </c>
      <c r="O13" s="155" t="s">
        <v>76</v>
      </c>
      <c r="P13" s="149" t="s">
        <v>79</v>
      </c>
      <c r="Q13" s="162">
        <v>233736.9</v>
      </c>
      <c r="R13" s="163">
        <v>1</v>
      </c>
      <c r="S13" s="162">
        <v>1560</v>
      </c>
      <c r="T13" s="19"/>
      <c r="U13" s="162">
        <v>3646.2959999999998</v>
      </c>
      <c r="V13" s="164">
        <v>6.9999999999999999E-4</v>
      </c>
      <c r="W13" s="164">
        <v>4.2799999999999998E-2</v>
      </c>
      <c r="X13" s="164">
        <v>1.9E-3</v>
      </c>
    </row>
    <row r="14" spans="1:24" x14ac:dyDescent="0.2">
      <c r="A14" s="148">
        <v>269</v>
      </c>
      <c r="B14" s="148">
        <v>269</v>
      </c>
      <c r="C14" s="149" t="s">
        <v>248</v>
      </c>
      <c r="D14" s="148">
        <v>516414679</v>
      </c>
      <c r="E14" s="149" t="s">
        <v>111</v>
      </c>
      <c r="F14" s="149" t="s">
        <v>249</v>
      </c>
      <c r="G14" s="149" t="s">
        <v>250</v>
      </c>
      <c r="H14" s="149" t="s">
        <v>114</v>
      </c>
      <c r="I14" s="149" t="s">
        <v>212</v>
      </c>
      <c r="J14" s="149" t="s">
        <v>75</v>
      </c>
      <c r="K14" s="149" t="s">
        <v>75</v>
      </c>
      <c r="L14" s="155" t="s">
        <v>116</v>
      </c>
      <c r="M14" s="149" t="s">
        <v>98</v>
      </c>
      <c r="N14" s="155" t="s">
        <v>251</v>
      </c>
      <c r="O14" s="155" t="s">
        <v>76</v>
      </c>
      <c r="P14" s="149" t="s">
        <v>79</v>
      </c>
      <c r="Q14" s="162">
        <v>35320</v>
      </c>
      <c r="R14" s="163">
        <v>1</v>
      </c>
      <c r="S14" s="162">
        <v>1340</v>
      </c>
      <c r="T14" s="19"/>
      <c r="U14" s="162">
        <v>473.28800000000001</v>
      </c>
      <c r="V14" s="164">
        <v>4.0000000000000002E-4</v>
      </c>
      <c r="W14" s="164">
        <v>5.5999999999999999E-3</v>
      </c>
      <c r="X14" s="164">
        <v>2.0000000000000001E-4</v>
      </c>
    </row>
    <row r="15" spans="1:24" x14ac:dyDescent="0.2">
      <c r="A15" s="148">
        <v>269</v>
      </c>
      <c r="B15" s="148">
        <v>269</v>
      </c>
      <c r="C15" s="149" t="s">
        <v>252</v>
      </c>
      <c r="D15" s="148">
        <v>513775163</v>
      </c>
      <c r="E15" s="149" t="s">
        <v>111</v>
      </c>
      <c r="F15" s="149" t="s">
        <v>253</v>
      </c>
      <c r="G15" s="149" t="s">
        <v>254</v>
      </c>
      <c r="H15" s="149" t="s">
        <v>114</v>
      </c>
      <c r="I15" s="149" t="s">
        <v>212</v>
      </c>
      <c r="J15" s="149" t="s">
        <v>75</v>
      </c>
      <c r="K15" s="149" t="s">
        <v>75</v>
      </c>
      <c r="L15" s="155" t="s">
        <v>116</v>
      </c>
      <c r="M15" s="149" t="s">
        <v>98</v>
      </c>
      <c r="N15" s="155" t="s">
        <v>164</v>
      </c>
      <c r="O15" s="155" t="s">
        <v>76</v>
      </c>
      <c r="P15" s="149" t="s">
        <v>79</v>
      </c>
      <c r="Q15" s="162">
        <v>13710</v>
      </c>
      <c r="R15" s="163">
        <v>1</v>
      </c>
      <c r="S15" s="162">
        <v>5900</v>
      </c>
      <c r="T15" s="19"/>
      <c r="U15" s="162">
        <v>808.89</v>
      </c>
      <c r="V15" s="164">
        <v>1.1000000000000001E-3</v>
      </c>
      <c r="W15" s="164">
        <v>9.4999999999999998E-3</v>
      </c>
      <c r="X15" s="164">
        <v>4.0000000000000002E-4</v>
      </c>
    </row>
    <row r="16" spans="1:24" x14ac:dyDescent="0.2">
      <c r="A16" s="148">
        <v>269</v>
      </c>
      <c r="B16" s="148">
        <v>269</v>
      </c>
      <c r="C16" s="149" t="s">
        <v>255</v>
      </c>
      <c r="D16" s="148">
        <v>520035171</v>
      </c>
      <c r="E16" s="149" t="s">
        <v>111</v>
      </c>
      <c r="F16" s="149" t="s">
        <v>256</v>
      </c>
      <c r="G16" s="149" t="s">
        <v>257</v>
      </c>
      <c r="H16" s="149" t="s">
        <v>114</v>
      </c>
      <c r="I16" s="149" t="s">
        <v>212</v>
      </c>
      <c r="J16" s="149" t="s">
        <v>75</v>
      </c>
      <c r="K16" s="149" t="s">
        <v>75</v>
      </c>
      <c r="L16" s="155" t="s">
        <v>116</v>
      </c>
      <c r="M16" s="149" t="s">
        <v>98</v>
      </c>
      <c r="N16" s="155" t="s">
        <v>258</v>
      </c>
      <c r="O16" s="155" t="s">
        <v>76</v>
      </c>
      <c r="P16" s="149" t="s">
        <v>79</v>
      </c>
      <c r="Q16" s="162">
        <v>99000</v>
      </c>
      <c r="R16" s="163">
        <v>1</v>
      </c>
      <c r="S16" s="162">
        <v>473.4</v>
      </c>
      <c r="T16" s="19"/>
      <c r="U16" s="162">
        <v>468.666</v>
      </c>
      <c r="V16" s="164">
        <v>5.0000000000000001E-4</v>
      </c>
      <c r="W16" s="164">
        <v>5.4999999999999997E-3</v>
      </c>
      <c r="X16" s="164">
        <v>2.0000000000000001E-4</v>
      </c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K20" s="17"/>
      <c r="L20" s="19"/>
      <c r="M20" s="17"/>
      <c r="N20" s="19"/>
    </row>
    <row r="21" spans="1:24" x14ac:dyDescent="0.2">
      <c r="L21" s="4"/>
      <c r="M21" s="4"/>
      <c r="N21" s="19"/>
    </row>
    <row r="22" spans="1:24" x14ac:dyDescent="0.2">
      <c r="M22" s="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25" width="9" style="2" hidden="1" customWidth="1"/>
    <col min="26" max="16384" width="9" style="2" hidden="1"/>
  </cols>
  <sheetData>
    <row r="1" spans="1:23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84</v>
      </c>
      <c r="M1" s="18" t="s">
        <v>259</v>
      </c>
      <c r="N1" s="18" t="s">
        <v>61</v>
      </c>
      <c r="O1" s="18" t="s">
        <v>64</v>
      </c>
      <c r="P1" s="18" t="s">
        <v>90</v>
      </c>
      <c r="Q1" s="18" t="s">
        <v>66</v>
      </c>
      <c r="R1" s="18" t="s">
        <v>91</v>
      </c>
      <c r="S1" s="18" t="s">
        <v>89</v>
      </c>
      <c r="T1" s="18" t="s">
        <v>68</v>
      </c>
      <c r="U1" s="18" t="s">
        <v>93</v>
      </c>
      <c r="V1" s="18" t="s">
        <v>69</v>
      </c>
      <c r="W1" s="18" t="s">
        <v>70</v>
      </c>
    </row>
    <row r="2" spans="1:23" x14ac:dyDescent="0.2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7"/>
      <c r="P2" s="17"/>
      <c r="Q2" s="19"/>
      <c r="R2" s="19"/>
      <c r="S2" s="19"/>
      <c r="T2" s="19"/>
      <c r="U2" s="19"/>
      <c r="V2" s="19"/>
      <c r="W2" s="19"/>
    </row>
    <row r="3" spans="1:23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7"/>
      <c r="P3" s="17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7"/>
      <c r="P4" s="17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7"/>
      <c r="P5" s="17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7"/>
      <c r="P6" s="17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7"/>
      <c r="P7" s="17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7"/>
      <c r="P8" s="17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7"/>
      <c r="P9" s="17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7"/>
      <c r="P10" s="17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7"/>
      <c r="P11" s="17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7"/>
      <c r="P12" s="17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7"/>
      <c r="P13" s="17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7"/>
      <c r="P14" s="17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7"/>
      <c r="P15" s="17"/>
      <c r="Q15" s="19"/>
      <c r="R15" s="19"/>
      <c r="S15" s="19"/>
      <c r="T15" s="19"/>
      <c r="U15" s="19"/>
      <c r="V15" s="19"/>
      <c r="W15" s="19"/>
    </row>
    <row r="16" spans="1:23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7"/>
      <c r="P16" s="17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7"/>
      <c r="P17" s="17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7"/>
      <c r="P18" s="17"/>
      <c r="Q18" s="19"/>
      <c r="R18" s="19"/>
      <c r="S18" s="19"/>
      <c r="T18" s="19"/>
      <c r="U18" s="19"/>
      <c r="V18" s="19"/>
      <c r="W18" s="19"/>
    </row>
    <row r="19" spans="1:2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7"/>
      <c r="P19" s="17"/>
      <c r="Q19" s="19"/>
      <c r="R19" s="19"/>
      <c r="S19" s="19"/>
      <c r="T19" s="19"/>
      <c r="U19" s="19"/>
      <c r="V19" s="19"/>
      <c r="W19" s="19"/>
    </row>
    <row r="20" spans="1:23" x14ac:dyDescent="0.2">
      <c r="E20" s="17"/>
      <c r="H20" s="17"/>
      <c r="I20" s="19"/>
      <c r="J20" s="17"/>
      <c r="K20" s="17"/>
      <c r="L20" s="17"/>
      <c r="M20" s="19"/>
      <c r="N20" s="19"/>
      <c r="P20" s="17"/>
    </row>
    <row r="21" spans="1:23" x14ac:dyDescent="0.2">
      <c r="H21" s="4"/>
      <c r="L21" s="4"/>
      <c r="M21"/>
    </row>
    <row r="22" spans="1:23" x14ac:dyDescent="0.2">
      <c r="L22" s="4"/>
    </row>
    <row r="26" spans="1:23" x14ac:dyDescent="0.2">
      <c r="G2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25" width="9" style="4" hidden="1" customWidth="1"/>
    <col min="26" max="16384" width="9" style="4" hidden="1"/>
  </cols>
  <sheetData>
    <row r="1" spans="1:23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260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109</v>
      </c>
      <c r="M1" s="18" t="s">
        <v>84</v>
      </c>
      <c r="N1" s="18" t="s">
        <v>259</v>
      </c>
      <c r="O1" s="18" t="s">
        <v>61</v>
      </c>
      <c r="P1" s="18" t="s">
        <v>64</v>
      </c>
      <c r="Q1" s="18" t="s">
        <v>90</v>
      </c>
      <c r="R1" s="18" t="s">
        <v>66</v>
      </c>
      <c r="S1" s="18" t="s">
        <v>91</v>
      </c>
      <c r="T1" s="18" t="s">
        <v>68</v>
      </c>
      <c r="U1" s="18" t="s">
        <v>93</v>
      </c>
      <c r="V1" s="18" t="s">
        <v>69</v>
      </c>
      <c r="W1" s="18" t="s">
        <v>70</v>
      </c>
    </row>
    <row r="2" spans="1:23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M2" s="17"/>
      <c r="N2" s="19"/>
      <c r="O2" s="19"/>
      <c r="P2" s="17"/>
      <c r="Q2" s="17"/>
      <c r="R2" s="17"/>
      <c r="S2" s="17"/>
      <c r="T2" s="17"/>
      <c r="U2" s="17"/>
      <c r="V2" s="17"/>
      <c r="W2" s="17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M3" s="17"/>
      <c r="N3" s="19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M4" s="17"/>
      <c r="N4" s="19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M5" s="17"/>
      <c r="N5" s="19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M6" s="17"/>
      <c r="N6" s="19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M7" s="17"/>
      <c r="N7" s="19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M8" s="17"/>
      <c r="N8" s="19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M9" s="17"/>
      <c r="N9" s="19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M10" s="17"/>
      <c r="N10" s="19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M11" s="17"/>
      <c r="N11" s="19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M12" s="17"/>
      <c r="N12" s="19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M13" s="17"/>
      <c r="N13" s="19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M14" s="17"/>
      <c r="N14" s="19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M15" s="17"/>
      <c r="N15" s="19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M16" s="17"/>
      <c r="N16" s="19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M17" s="17"/>
      <c r="N17" s="19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M18" s="17"/>
      <c r="N18" s="19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M19" s="17"/>
      <c r="N19" s="19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M20" s="17"/>
      <c r="N20" s="19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28" width="9" style="2" hidden="1" customWidth="1"/>
    <col min="29" max="16384" width="9" style="2" hidden="1"/>
  </cols>
  <sheetData>
    <row r="1" spans="1:25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60</v>
      </c>
      <c r="J1" s="18" t="s">
        <v>83</v>
      </c>
      <c r="K1" s="18" t="s">
        <v>109</v>
      </c>
      <c r="L1" s="18" t="s">
        <v>84</v>
      </c>
      <c r="M1" s="18" t="s">
        <v>261</v>
      </c>
      <c r="N1" s="18" t="s">
        <v>103</v>
      </c>
      <c r="O1" s="18" t="s">
        <v>262</v>
      </c>
      <c r="P1" s="18" t="s">
        <v>61</v>
      </c>
      <c r="Q1" s="18" t="s">
        <v>64</v>
      </c>
      <c r="R1" s="18" t="s">
        <v>263</v>
      </c>
      <c r="S1" s="18" t="s">
        <v>264</v>
      </c>
      <c r="T1" s="18" t="s">
        <v>90</v>
      </c>
      <c r="U1" s="18" t="s">
        <v>66</v>
      </c>
      <c r="V1" s="18" t="s">
        <v>91</v>
      </c>
      <c r="W1" s="18" t="s">
        <v>68</v>
      </c>
      <c r="X1" s="18" t="s">
        <v>69</v>
      </c>
      <c r="Y1" s="18" t="s">
        <v>70</v>
      </c>
    </row>
    <row r="2" spans="1:25" x14ac:dyDescent="0.2">
      <c r="A2" s="24"/>
      <c r="B2" s="19"/>
      <c r="C2" s="19"/>
      <c r="D2" s="19"/>
      <c r="E2" s="17"/>
      <c r="F2" s="19"/>
      <c r="G2" s="19"/>
      <c r="H2" s="17"/>
      <c r="I2" s="17"/>
      <c r="J2" s="17"/>
      <c r="K2" s="19"/>
      <c r="L2" s="17"/>
      <c r="M2" s="19"/>
      <c r="N2" s="19"/>
      <c r="O2" s="19"/>
      <c r="P2" s="19"/>
      <c r="Q2" s="17"/>
      <c r="R2" s="17"/>
      <c r="S2" s="17"/>
      <c r="T2" s="19"/>
      <c r="U2" s="19"/>
      <c r="V2" s="19"/>
      <c r="W2" s="19"/>
      <c r="X2" s="19"/>
      <c r="Y2" s="19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26" width="9" style="2" hidden="1" customWidth="1"/>
    <col min="27" max="16384" width="9" style="2" hidden="1"/>
  </cols>
  <sheetData>
    <row r="1" spans="1:24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84</v>
      </c>
      <c r="M1" s="18" t="s">
        <v>103</v>
      </c>
      <c r="N1" s="18" t="s">
        <v>265</v>
      </c>
      <c r="O1" s="18" t="s">
        <v>262</v>
      </c>
      <c r="P1" s="18" t="s">
        <v>61</v>
      </c>
      <c r="Q1" s="18" t="s">
        <v>64</v>
      </c>
      <c r="R1" s="18" t="s">
        <v>263</v>
      </c>
      <c r="S1" s="18" t="s">
        <v>90</v>
      </c>
      <c r="T1" s="18" t="s">
        <v>66</v>
      </c>
      <c r="U1" s="18" t="s">
        <v>91</v>
      </c>
      <c r="V1" s="18" t="s">
        <v>68</v>
      </c>
      <c r="W1" s="18" t="s">
        <v>69</v>
      </c>
      <c r="X1" s="18" t="s">
        <v>70</v>
      </c>
    </row>
    <row r="2" spans="1:24" x14ac:dyDescent="0.2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9"/>
      <c r="P2" s="19"/>
      <c r="Q2" s="17"/>
      <c r="R2" s="17"/>
      <c r="S2" s="19"/>
      <c r="T2" s="19"/>
      <c r="U2" s="19"/>
      <c r="V2" s="19"/>
      <c r="W2" s="19"/>
      <c r="X2" s="19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21" width="9" style="2" hidden="1" customWidth="1"/>
    <col min="22" max="16384" width="9" style="2" hidden="1"/>
  </cols>
  <sheetData>
    <row r="1" spans="1:20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60</v>
      </c>
      <c r="J1" s="18" t="s">
        <v>83</v>
      </c>
      <c r="K1" s="18" t="s">
        <v>84</v>
      </c>
      <c r="L1" s="18" t="s">
        <v>265</v>
      </c>
      <c r="M1" s="18" t="s">
        <v>61</v>
      </c>
      <c r="N1" s="18" t="s">
        <v>64</v>
      </c>
      <c r="O1" s="18" t="s">
        <v>90</v>
      </c>
      <c r="P1" s="18" t="s">
        <v>66</v>
      </c>
      <c r="Q1" s="18" t="s">
        <v>91</v>
      </c>
      <c r="R1" s="18" t="s">
        <v>68</v>
      </c>
      <c r="S1" s="18" t="s">
        <v>69</v>
      </c>
      <c r="T1" s="18" t="s">
        <v>70</v>
      </c>
    </row>
    <row r="2" spans="1:20" x14ac:dyDescent="0.2">
      <c r="A2" s="19"/>
      <c r="B2" s="19"/>
      <c r="E2" s="17"/>
      <c r="F2" s="19"/>
      <c r="G2" s="19"/>
      <c r="H2" s="17"/>
      <c r="I2" s="17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29" width="9" style="2" hidden="1" customWidth="1"/>
    <col min="30" max="16384" width="9" style="2" hidden="1"/>
  </cols>
  <sheetData>
    <row r="1" spans="1:28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109</v>
      </c>
      <c r="M1" s="18" t="s">
        <v>84</v>
      </c>
      <c r="N1" s="18" t="s">
        <v>265</v>
      </c>
      <c r="O1" s="18" t="s">
        <v>61</v>
      </c>
      <c r="P1" s="18" t="s">
        <v>86</v>
      </c>
      <c r="Q1" s="18" t="s">
        <v>67</v>
      </c>
      <c r="R1" s="18" t="s">
        <v>88</v>
      </c>
      <c r="S1" s="18" t="s">
        <v>85</v>
      </c>
      <c r="T1" s="18" t="s">
        <v>63</v>
      </c>
      <c r="U1" s="18" t="s">
        <v>104</v>
      </c>
      <c r="V1" s="18" t="s">
        <v>64</v>
      </c>
      <c r="W1" s="18" t="s">
        <v>90</v>
      </c>
      <c r="X1" s="18" t="s">
        <v>66</v>
      </c>
      <c r="Y1" s="18" t="s">
        <v>91</v>
      </c>
      <c r="Z1" s="18" t="s">
        <v>68</v>
      </c>
      <c r="AA1" s="18" t="s">
        <v>69</v>
      </c>
      <c r="AB1" s="18" t="s">
        <v>70</v>
      </c>
    </row>
    <row r="2" spans="1:28" x14ac:dyDescent="0.2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7"/>
      <c r="N2" s="19"/>
      <c r="O2" s="19"/>
      <c r="P2" s="19"/>
      <c r="Q2" s="19"/>
      <c r="R2" s="19"/>
      <c r="S2" s="19"/>
      <c r="T2" s="19"/>
      <c r="U2" s="19"/>
      <c r="V2" s="17"/>
      <c r="W2" s="19"/>
      <c r="X2" s="19"/>
      <c r="Y2" s="19"/>
      <c r="Z2" s="19"/>
      <c r="AA2" s="19"/>
      <c r="AB2" s="19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26" width="9" hidden="1" customWidth="1"/>
    <col min="27" max="16384" width="9" hidden="1"/>
  </cols>
  <sheetData>
    <row r="1" spans="1:25" ht="51" x14ac:dyDescent="0.2">
      <c r="A1" s="18" t="s">
        <v>54</v>
      </c>
      <c r="B1" s="18" t="s">
        <v>55</v>
      </c>
      <c r="C1" s="18" t="s">
        <v>80</v>
      </c>
      <c r="D1" s="18" t="s">
        <v>81</v>
      </c>
      <c r="E1" s="18" t="s">
        <v>82</v>
      </c>
      <c r="F1" s="18" t="s">
        <v>102</v>
      </c>
      <c r="G1" s="18" t="s">
        <v>59</v>
      </c>
      <c r="H1" s="18" t="s">
        <v>60</v>
      </c>
      <c r="I1" s="18" t="s">
        <v>83</v>
      </c>
      <c r="J1" s="18" t="s">
        <v>266</v>
      </c>
      <c r="K1" s="18" t="s">
        <v>85</v>
      </c>
      <c r="L1" s="18" t="s">
        <v>63</v>
      </c>
      <c r="M1" s="18" t="s">
        <v>64</v>
      </c>
      <c r="N1" s="18" t="s">
        <v>86</v>
      </c>
      <c r="O1" s="18" t="s">
        <v>87</v>
      </c>
      <c r="P1" s="18" t="s">
        <v>67</v>
      </c>
      <c r="Q1" s="18" t="s">
        <v>88</v>
      </c>
      <c r="R1" s="18" t="s">
        <v>90</v>
      </c>
      <c r="S1" s="18" t="s">
        <v>66</v>
      </c>
      <c r="T1" s="18" t="s">
        <v>91</v>
      </c>
      <c r="U1" s="18" t="s">
        <v>68</v>
      </c>
      <c r="V1" s="18" t="s">
        <v>92</v>
      </c>
      <c r="W1" s="18" t="s">
        <v>22</v>
      </c>
      <c r="X1" s="18" t="s">
        <v>69</v>
      </c>
      <c r="Y1" s="18" t="s">
        <v>70</v>
      </c>
    </row>
    <row r="2" spans="1:25" x14ac:dyDescent="0.2">
      <c r="A2" s="19"/>
      <c r="B2" s="19"/>
      <c r="C2" s="19"/>
      <c r="D2" s="19"/>
      <c r="E2" s="19"/>
      <c r="F2" s="19"/>
      <c r="G2" s="19"/>
      <c r="H2" s="17"/>
      <c r="I2" s="17"/>
      <c r="J2" s="19"/>
      <c r="K2" s="24"/>
      <c r="L2" s="19"/>
      <c r="M2" s="17"/>
      <c r="N2" s="19"/>
      <c r="O2" s="19"/>
      <c r="P2" s="19"/>
      <c r="Q2" s="19"/>
      <c r="R2" s="19"/>
      <c r="S2" s="19"/>
      <c r="T2" s="19"/>
      <c r="U2" s="19"/>
      <c r="V2" s="19"/>
      <c r="W2" s="17"/>
      <c r="X2" s="19"/>
      <c r="Y2" s="19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69"/>
  <sheetViews>
    <sheetView rightToLeft="1" workbookViewId="0">
      <selection activeCell="R69" sqref="R2:R69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8" t="s">
        <v>54</v>
      </c>
      <c r="B1" s="18" t="s">
        <v>55</v>
      </c>
      <c r="C1" s="18" t="s">
        <v>59</v>
      </c>
      <c r="D1" s="18" t="s">
        <v>81</v>
      </c>
      <c r="E1" s="18" t="s">
        <v>82</v>
      </c>
      <c r="F1" s="18" t="s">
        <v>266</v>
      </c>
      <c r="G1" s="18" t="s">
        <v>86</v>
      </c>
      <c r="H1" s="18" t="s">
        <v>267</v>
      </c>
      <c r="I1" s="18" t="s">
        <v>87</v>
      </c>
      <c r="J1" s="18" t="s">
        <v>67</v>
      </c>
      <c r="K1" s="18" t="s">
        <v>88</v>
      </c>
      <c r="L1" s="18" t="s">
        <v>90</v>
      </c>
      <c r="M1" s="18" t="s">
        <v>91</v>
      </c>
      <c r="N1" s="18" t="s">
        <v>68</v>
      </c>
      <c r="O1" s="18" t="s">
        <v>92</v>
      </c>
      <c r="P1" s="18" t="s">
        <v>22</v>
      </c>
      <c r="Q1" s="18" t="s">
        <v>69</v>
      </c>
      <c r="R1" s="18" t="s">
        <v>70</v>
      </c>
    </row>
    <row r="2" spans="1:18" x14ac:dyDescent="0.2">
      <c r="A2" s="154">
        <v>269</v>
      </c>
      <c r="B2" s="154">
        <v>269</v>
      </c>
      <c r="C2" s="155" t="s">
        <v>268</v>
      </c>
      <c r="D2" s="155" t="s">
        <v>269</v>
      </c>
      <c r="E2" s="154">
        <v>8287997</v>
      </c>
      <c r="F2" s="158">
        <v>41306</v>
      </c>
      <c r="G2" s="157">
        <v>1.98</v>
      </c>
      <c r="H2" s="155" t="s">
        <v>115</v>
      </c>
      <c r="I2" s="158">
        <v>46784</v>
      </c>
      <c r="J2" s="159">
        <v>4.8000000000000001E-2</v>
      </c>
      <c r="K2" s="159">
        <v>1.8100000000000002E-2</v>
      </c>
      <c r="L2" s="157">
        <v>10500000</v>
      </c>
      <c r="M2" s="157">
        <v>129.55000000000001</v>
      </c>
      <c r="N2" s="157">
        <v>13603.034</v>
      </c>
      <c r="O2" s="19"/>
      <c r="P2" s="149" t="s">
        <v>20</v>
      </c>
      <c r="Q2" s="159">
        <v>1.9199999999999998E-2</v>
      </c>
      <c r="R2" s="159">
        <v>7.0000000000000001E-3</v>
      </c>
    </row>
    <row r="3" spans="1:18" x14ac:dyDescent="0.2">
      <c r="A3" s="154">
        <v>269</v>
      </c>
      <c r="B3" s="154">
        <v>269</v>
      </c>
      <c r="C3" s="155" t="s">
        <v>268</v>
      </c>
      <c r="D3" s="155" t="s">
        <v>270</v>
      </c>
      <c r="E3" s="154">
        <v>8288003</v>
      </c>
      <c r="F3" s="158">
        <v>41334</v>
      </c>
      <c r="G3" s="157">
        <v>2.06</v>
      </c>
      <c r="H3" s="155" t="s">
        <v>115</v>
      </c>
      <c r="I3" s="158">
        <v>46813</v>
      </c>
      <c r="J3" s="159">
        <v>4.8000000000000001E-2</v>
      </c>
      <c r="K3" s="159">
        <v>1.78E-2</v>
      </c>
      <c r="L3" s="157">
        <v>7200000</v>
      </c>
      <c r="M3" s="157">
        <v>129.66</v>
      </c>
      <c r="N3" s="157">
        <v>9335.7070000000003</v>
      </c>
      <c r="O3" s="19"/>
      <c r="P3" s="149" t="s">
        <v>20</v>
      </c>
      <c r="Q3" s="159">
        <v>1.32E-2</v>
      </c>
      <c r="R3" s="159">
        <v>4.7999999999999996E-3</v>
      </c>
    </row>
    <row r="4" spans="1:18" x14ac:dyDescent="0.2">
      <c r="A4" s="154">
        <v>269</v>
      </c>
      <c r="B4" s="154">
        <v>269</v>
      </c>
      <c r="C4" s="155" t="s">
        <v>268</v>
      </c>
      <c r="D4" s="155" t="s">
        <v>271</v>
      </c>
      <c r="E4" s="154">
        <v>8288011</v>
      </c>
      <c r="F4" s="158">
        <v>41366</v>
      </c>
      <c r="G4" s="157">
        <v>2.15</v>
      </c>
      <c r="H4" s="155" t="s">
        <v>115</v>
      </c>
      <c r="I4" s="158">
        <v>46845</v>
      </c>
      <c r="J4" s="159">
        <v>4.8000000000000001E-2</v>
      </c>
      <c r="K4" s="159">
        <v>1.78E-2</v>
      </c>
      <c r="L4" s="157">
        <v>2300000</v>
      </c>
      <c r="M4" s="157">
        <v>129.46</v>
      </c>
      <c r="N4" s="157">
        <v>2977.5729999999999</v>
      </c>
      <c r="O4" s="19"/>
      <c r="P4" s="149" t="s">
        <v>20</v>
      </c>
      <c r="Q4" s="159">
        <v>4.1999999999999997E-3</v>
      </c>
      <c r="R4" s="159">
        <v>1.5E-3</v>
      </c>
    </row>
    <row r="5" spans="1:18" x14ac:dyDescent="0.2">
      <c r="A5" s="154">
        <v>269</v>
      </c>
      <c r="B5" s="154">
        <v>269</v>
      </c>
      <c r="C5" s="155" t="s">
        <v>268</v>
      </c>
      <c r="D5" s="155" t="s">
        <v>272</v>
      </c>
      <c r="E5" s="154">
        <v>8288029</v>
      </c>
      <c r="F5" s="158">
        <v>41395</v>
      </c>
      <c r="G5" s="157">
        <v>2.2200000000000002</v>
      </c>
      <c r="H5" s="155" t="s">
        <v>115</v>
      </c>
      <c r="I5" s="158">
        <v>46874</v>
      </c>
      <c r="J5" s="159">
        <v>4.8000000000000001E-2</v>
      </c>
      <c r="K5" s="159">
        <v>1.78E-2</v>
      </c>
      <c r="L5" s="157">
        <v>55730000</v>
      </c>
      <c r="M5" s="157">
        <v>129.02000000000001</v>
      </c>
      <c r="N5" s="157">
        <v>71902.343999999997</v>
      </c>
      <c r="O5" s="19"/>
      <c r="P5" s="155" t="s">
        <v>20</v>
      </c>
      <c r="Q5" s="159">
        <v>0.1016</v>
      </c>
      <c r="R5" s="159">
        <v>3.7199999999999997E-2</v>
      </c>
    </row>
    <row r="6" spans="1:18" x14ac:dyDescent="0.2">
      <c r="A6" s="154">
        <v>269</v>
      </c>
      <c r="B6" s="154">
        <v>269</v>
      </c>
      <c r="C6" s="155" t="s">
        <v>268</v>
      </c>
      <c r="D6" s="155" t="s">
        <v>273</v>
      </c>
      <c r="E6" s="154">
        <v>8288037</v>
      </c>
      <c r="F6" s="158">
        <v>41427</v>
      </c>
      <c r="G6" s="157">
        <v>2.31</v>
      </c>
      <c r="H6" s="155" t="s">
        <v>115</v>
      </c>
      <c r="I6" s="158">
        <v>46906</v>
      </c>
      <c r="J6" s="159">
        <v>4.8000000000000001E-2</v>
      </c>
      <c r="K6" s="159">
        <v>1.7600000000000001E-2</v>
      </c>
      <c r="L6" s="157">
        <v>14050000</v>
      </c>
      <c r="M6" s="157">
        <v>128.37</v>
      </c>
      <c r="N6" s="157">
        <v>18035.451000000001</v>
      </c>
      <c r="O6" s="19"/>
      <c r="P6" s="149" t="s">
        <v>20</v>
      </c>
      <c r="Q6" s="159">
        <v>2.5499999999999998E-2</v>
      </c>
      <c r="R6" s="159">
        <v>9.2999999999999992E-3</v>
      </c>
    </row>
    <row r="7" spans="1:18" x14ac:dyDescent="0.2">
      <c r="A7" s="154">
        <v>269</v>
      </c>
      <c r="B7" s="154">
        <v>269</v>
      </c>
      <c r="C7" s="155" t="s">
        <v>268</v>
      </c>
      <c r="D7" s="155" t="s">
        <v>274</v>
      </c>
      <c r="E7" s="154">
        <v>8288045</v>
      </c>
      <c r="F7" s="158">
        <v>41456</v>
      </c>
      <c r="G7" s="157">
        <v>2.34</v>
      </c>
      <c r="H7" s="155" t="s">
        <v>115</v>
      </c>
      <c r="I7" s="158">
        <v>46935</v>
      </c>
      <c r="J7" s="159">
        <v>4.8000000000000001E-2</v>
      </c>
      <c r="K7" s="159">
        <v>1.7600000000000001E-2</v>
      </c>
      <c r="L7" s="157">
        <v>6760000</v>
      </c>
      <c r="M7" s="157">
        <v>130.91999999999999</v>
      </c>
      <c r="N7" s="157">
        <v>8849.8539999999994</v>
      </c>
      <c r="O7" s="19"/>
      <c r="P7" s="149" t="s">
        <v>20</v>
      </c>
      <c r="Q7" s="159">
        <v>1.2500000000000001E-2</v>
      </c>
      <c r="R7" s="159">
        <v>4.5999999999999999E-3</v>
      </c>
    </row>
    <row r="8" spans="1:18" x14ac:dyDescent="0.2">
      <c r="A8" s="154">
        <v>269</v>
      </c>
      <c r="B8" s="154">
        <v>269</v>
      </c>
      <c r="C8" s="155" t="s">
        <v>268</v>
      </c>
      <c r="D8" s="155" t="s">
        <v>275</v>
      </c>
      <c r="E8" s="154">
        <v>8288052</v>
      </c>
      <c r="F8" s="158">
        <v>41487</v>
      </c>
      <c r="G8" s="157">
        <v>2.4300000000000002</v>
      </c>
      <c r="H8" s="155" t="s">
        <v>115</v>
      </c>
      <c r="I8" s="158">
        <v>46966</v>
      </c>
      <c r="J8" s="159">
        <v>4.8000000000000001E-2</v>
      </c>
      <c r="K8" s="159">
        <v>1.7600000000000001E-2</v>
      </c>
      <c r="L8" s="157">
        <v>3020000</v>
      </c>
      <c r="M8" s="157">
        <v>129.69</v>
      </c>
      <c r="N8" s="157">
        <v>3916.6469999999999</v>
      </c>
      <c r="O8" s="19"/>
      <c r="P8" s="149" t="s">
        <v>20</v>
      </c>
      <c r="Q8" s="159">
        <v>5.4999999999999997E-3</v>
      </c>
      <c r="R8" s="159">
        <v>2E-3</v>
      </c>
    </row>
    <row r="9" spans="1:18" x14ac:dyDescent="0.2">
      <c r="A9" s="154">
        <v>269</v>
      </c>
      <c r="B9" s="154">
        <v>269</v>
      </c>
      <c r="C9" s="155" t="s">
        <v>268</v>
      </c>
      <c r="D9" s="155" t="s">
        <v>276</v>
      </c>
      <c r="E9" s="154">
        <v>8288060</v>
      </c>
      <c r="F9" s="158">
        <v>41518</v>
      </c>
      <c r="G9" s="157">
        <v>2.5099999999999998</v>
      </c>
      <c r="H9" s="155" t="s">
        <v>115</v>
      </c>
      <c r="I9" s="158">
        <v>46997</v>
      </c>
      <c r="J9" s="159">
        <v>4.8000000000000001E-2</v>
      </c>
      <c r="K9" s="159">
        <v>1.7500000000000002E-2</v>
      </c>
      <c r="L9" s="157">
        <v>4410000</v>
      </c>
      <c r="M9" s="157">
        <v>129.16999999999999</v>
      </c>
      <c r="N9" s="157">
        <v>5696.4009999999998</v>
      </c>
      <c r="O9" s="19"/>
      <c r="P9" s="149" t="s">
        <v>20</v>
      </c>
      <c r="Q9" s="159">
        <v>8.0000000000000002E-3</v>
      </c>
      <c r="R9" s="159">
        <v>2.8999999999999998E-3</v>
      </c>
    </row>
    <row r="10" spans="1:18" x14ac:dyDescent="0.2">
      <c r="A10" s="154">
        <v>269</v>
      </c>
      <c r="B10" s="154">
        <v>269</v>
      </c>
      <c r="C10" s="155" t="s">
        <v>268</v>
      </c>
      <c r="D10" s="155" t="s">
        <v>277</v>
      </c>
      <c r="E10" s="154">
        <v>8288078</v>
      </c>
      <c r="F10" s="158">
        <v>41548</v>
      </c>
      <c r="G10" s="157">
        <v>2.59</v>
      </c>
      <c r="H10" s="155" t="s">
        <v>115</v>
      </c>
      <c r="I10" s="158">
        <v>47027</v>
      </c>
      <c r="J10" s="159">
        <v>4.8000000000000001E-2</v>
      </c>
      <c r="K10" s="159">
        <v>1.7500000000000002E-2</v>
      </c>
      <c r="L10" s="157">
        <v>1020000</v>
      </c>
      <c r="M10" s="157">
        <v>128.72999999999999</v>
      </c>
      <c r="N10" s="157">
        <v>1313.0550000000001</v>
      </c>
      <c r="O10" s="19"/>
      <c r="P10" s="149" t="s">
        <v>20</v>
      </c>
      <c r="Q10" s="159">
        <v>1.9E-3</v>
      </c>
      <c r="R10" s="159">
        <v>6.9999999999999999E-4</v>
      </c>
    </row>
    <row r="11" spans="1:18" x14ac:dyDescent="0.2">
      <c r="A11" s="154">
        <v>269</v>
      </c>
      <c r="B11" s="154">
        <v>269</v>
      </c>
      <c r="C11" s="155" t="s">
        <v>268</v>
      </c>
      <c r="D11" s="155" t="s">
        <v>278</v>
      </c>
      <c r="E11" s="154">
        <v>8288086</v>
      </c>
      <c r="F11" s="158">
        <v>41579</v>
      </c>
      <c r="G11" s="157">
        <v>2.68</v>
      </c>
      <c r="H11" s="155" t="s">
        <v>115</v>
      </c>
      <c r="I11" s="158">
        <v>47058</v>
      </c>
      <c r="J11" s="159">
        <v>4.8000000000000001E-2</v>
      </c>
      <c r="K11" s="159">
        <v>1.7500000000000002E-2</v>
      </c>
      <c r="L11" s="157">
        <v>7080000</v>
      </c>
      <c r="M11" s="157">
        <v>128.54</v>
      </c>
      <c r="N11" s="157">
        <v>9100.59</v>
      </c>
      <c r="O11" s="19"/>
      <c r="P11" s="149" t="s">
        <v>20</v>
      </c>
      <c r="Q11" s="159">
        <v>1.29E-2</v>
      </c>
      <c r="R11" s="159">
        <v>4.7000000000000002E-3</v>
      </c>
    </row>
    <row r="12" spans="1:18" x14ac:dyDescent="0.2">
      <c r="A12" s="154">
        <v>269</v>
      </c>
      <c r="B12" s="154">
        <v>269</v>
      </c>
      <c r="C12" s="155" t="s">
        <v>268</v>
      </c>
      <c r="D12" s="155" t="s">
        <v>279</v>
      </c>
      <c r="E12" s="154">
        <v>8288094</v>
      </c>
      <c r="F12" s="158">
        <v>41609</v>
      </c>
      <c r="G12" s="157">
        <v>2.76</v>
      </c>
      <c r="H12" s="155" t="s">
        <v>115</v>
      </c>
      <c r="I12" s="158">
        <v>47088</v>
      </c>
      <c r="J12" s="159">
        <v>4.8000000000000001E-2</v>
      </c>
      <c r="K12" s="159">
        <v>1.7399999999999999E-2</v>
      </c>
      <c r="L12" s="157">
        <v>24670000</v>
      </c>
      <c r="M12" s="157">
        <v>128.02000000000001</v>
      </c>
      <c r="N12" s="157">
        <v>31582.337</v>
      </c>
      <c r="O12" s="19"/>
      <c r="P12" s="149" t="s">
        <v>20</v>
      </c>
      <c r="Q12" s="159">
        <v>4.4600000000000001E-2</v>
      </c>
      <c r="R12" s="159">
        <v>1.6299999999999999E-2</v>
      </c>
    </row>
    <row r="13" spans="1:18" x14ac:dyDescent="0.2">
      <c r="A13" s="154">
        <v>269</v>
      </c>
      <c r="B13" s="154">
        <v>269</v>
      </c>
      <c r="C13" s="155" t="s">
        <v>268</v>
      </c>
      <c r="D13" s="155" t="s">
        <v>280</v>
      </c>
      <c r="E13" s="154">
        <v>8288110</v>
      </c>
      <c r="F13" s="158">
        <v>41672</v>
      </c>
      <c r="G13" s="157">
        <v>2.87</v>
      </c>
      <c r="H13" s="155" t="s">
        <v>115</v>
      </c>
      <c r="I13" s="158">
        <v>47151</v>
      </c>
      <c r="J13" s="159">
        <v>4.8000000000000001E-2</v>
      </c>
      <c r="K13" s="159">
        <v>1.7399999999999999E-2</v>
      </c>
      <c r="L13" s="157">
        <v>8850000</v>
      </c>
      <c r="M13" s="157">
        <v>130.83000000000001</v>
      </c>
      <c r="N13" s="157">
        <v>11578.313</v>
      </c>
      <c r="O13" s="19"/>
      <c r="P13" s="149" t="s">
        <v>20</v>
      </c>
      <c r="Q13" s="159">
        <v>1.6400000000000001E-2</v>
      </c>
      <c r="R13" s="159">
        <v>6.0000000000000001E-3</v>
      </c>
    </row>
    <row r="14" spans="1:18" x14ac:dyDescent="0.2">
      <c r="A14" s="154">
        <v>269</v>
      </c>
      <c r="B14" s="154">
        <v>269</v>
      </c>
      <c r="C14" s="155" t="s">
        <v>268</v>
      </c>
      <c r="D14" s="155" t="s">
        <v>281</v>
      </c>
      <c r="E14" s="154">
        <v>8288128</v>
      </c>
      <c r="F14" s="158">
        <v>41700</v>
      </c>
      <c r="G14" s="157">
        <v>2.95</v>
      </c>
      <c r="H14" s="155" t="s">
        <v>115</v>
      </c>
      <c r="I14" s="158">
        <v>47179</v>
      </c>
      <c r="J14" s="159">
        <v>4.8000000000000001E-2</v>
      </c>
      <c r="K14" s="159">
        <v>1.7299999999999999E-2</v>
      </c>
      <c r="L14" s="157">
        <v>10320000</v>
      </c>
      <c r="M14" s="157">
        <v>131.44999999999999</v>
      </c>
      <c r="N14" s="157">
        <v>13566.146000000001</v>
      </c>
      <c r="O14" s="19"/>
      <c r="P14" s="149" t="s">
        <v>20</v>
      </c>
      <c r="Q14" s="159">
        <v>1.9199999999999998E-2</v>
      </c>
      <c r="R14" s="159">
        <v>7.0000000000000001E-3</v>
      </c>
    </row>
    <row r="15" spans="1:18" x14ac:dyDescent="0.2">
      <c r="A15" s="154">
        <v>269</v>
      </c>
      <c r="B15" s="154">
        <v>269</v>
      </c>
      <c r="C15" s="155" t="s">
        <v>268</v>
      </c>
      <c r="D15" s="155" t="s">
        <v>282</v>
      </c>
      <c r="E15" s="154">
        <v>8288136</v>
      </c>
      <c r="F15" s="158">
        <v>41730</v>
      </c>
      <c r="G15" s="157">
        <v>3.03</v>
      </c>
      <c r="H15" s="155" t="s">
        <v>115</v>
      </c>
      <c r="I15" s="158">
        <v>47209</v>
      </c>
      <c r="J15" s="159">
        <v>4.8000000000000001E-2</v>
      </c>
      <c r="K15" s="159">
        <v>1.7299999999999999E-2</v>
      </c>
      <c r="L15" s="157">
        <v>6900000</v>
      </c>
      <c r="M15" s="157">
        <v>131.53</v>
      </c>
      <c r="N15" s="157">
        <v>9075.2870000000003</v>
      </c>
      <c r="O15" s="19"/>
      <c r="P15" s="149" t="s">
        <v>20</v>
      </c>
      <c r="Q15" s="159">
        <v>1.2800000000000001E-2</v>
      </c>
      <c r="R15" s="159">
        <v>4.7000000000000002E-3</v>
      </c>
    </row>
    <row r="16" spans="1:18" x14ac:dyDescent="0.2">
      <c r="A16" s="154">
        <v>269</v>
      </c>
      <c r="B16" s="154">
        <v>269</v>
      </c>
      <c r="C16" s="155" t="s">
        <v>268</v>
      </c>
      <c r="D16" s="155" t="s">
        <v>283</v>
      </c>
      <c r="E16" s="154">
        <v>8288144</v>
      </c>
      <c r="F16" s="158">
        <v>41760</v>
      </c>
      <c r="G16" s="157">
        <v>3.11</v>
      </c>
      <c r="H16" s="155" t="s">
        <v>115</v>
      </c>
      <c r="I16" s="158">
        <v>47239</v>
      </c>
      <c r="J16" s="159">
        <v>4.8000000000000001E-2</v>
      </c>
      <c r="K16" s="159">
        <v>1.7299999999999999E-2</v>
      </c>
      <c r="L16" s="157">
        <v>940000</v>
      </c>
      <c r="M16" s="157">
        <v>130.94999999999999</v>
      </c>
      <c r="N16" s="157">
        <v>1230.932</v>
      </c>
      <c r="O16" s="19"/>
      <c r="P16" s="149" t="s">
        <v>20</v>
      </c>
      <c r="Q16" s="159">
        <v>1.6999999999999999E-3</v>
      </c>
      <c r="R16" s="159">
        <v>5.9999999999999995E-4</v>
      </c>
    </row>
    <row r="17" spans="1:18" x14ac:dyDescent="0.2">
      <c r="A17" s="154">
        <v>269</v>
      </c>
      <c r="B17" s="154">
        <v>269</v>
      </c>
      <c r="C17" s="155" t="s">
        <v>268</v>
      </c>
      <c r="D17" s="155" t="s">
        <v>284</v>
      </c>
      <c r="E17" s="154">
        <v>8288151</v>
      </c>
      <c r="F17" s="158">
        <v>41791</v>
      </c>
      <c r="G17" s="157">
        <v>3.2</v>
      </c>
      <c r="H17" s="155" t="s">
        <v>115</v>
      </c>
      <c r="I17" s="158">
        <v>47270</v>
      </c>
      <c r="J17" s="159">
        <v>4.8000000000000001E-2</v>
      </c>
      <c r="K17" s="159">
        <v>1.7299999999999999E-2</v>
      </c>
      <c r="L17" s="157">
        <v>23760000</v>
      </c>
      <c r="M17" s="157">
        <v>130.66</v>
      </c>
      <c r="N17" s="157">
        <v>31043.675999999999</v>
      </c>
      <c r="O17" s="19"/>
      <c r="P17" s="149" t="s">
        <v>20</v>
      </c>
      <c r="Q17" s="159">
        <v>4.3900000000000002E-2</v>
      </c>
      <c r="R17" s="159">
        <v>1.6E-2</v>
      </c>
    </row>
    <row r="18" spans="1:18" x14ac:dyDescent="0.2">
      <c r="A18" s="154">
        <v>269</v>
      </c>
      <c r="B18" s="154">
        <v>269</v>
      </c>
      <c r="C18" s="155" t="s">
        <v>268</v>
      </c>
      <c r="D18" s="155" t="s">
        <v>285</v>
      </c>
      <c r="E18" s="154">
        <v>8288177</v>
      </c>
      <c r="F18" s="158">
        <v>41852</v>
      </c>
      <c r="G18" s="157">
        <v>3.29</v>
      </c>
      <c r="H18" s="155" t="s">
        <v>115</v>
      </c>
      <c r="I18" s="158">
        <v>47331</v>
      </c>
      <c r="J18" s="159">
        <v>4.8000000000000001E-2</v>
      </c>
      <c r="K18" s="159">
        <v>1.7299999999999999E-2</v>
      </c>
      <c r="L18" s="157">
        <v>4120000</v>
      </c>
      <c r="M18" s="157">
        <v>132.59</v>
      </c>
      <c r="N18" s="157">
        <v>5462.5839999999998</v>
      </c>
      <c r="O18" s="19"/>
      <c r="P18" s="149" t="s">
        <v>20</v>
      </c>
      <c r="Q18" s="159">
        <v>7.7000000000000002E-3</v>
      </c>
      <c r="R18" s="159">
        <v>2.8E-3</v>
      </c>
    </row>
    <row r="19" spans="1:18" x14ac:dyDescent="0.2">
      <c r="A19" s="154">
        <v>269</v>
      </c>
      <c r="B19" s="154">
        <v>269</v>
      </c>
      <c r="C19" s="155" t="s">
        <v>268</v>
      </c>
      <c r="D19" s="155" t="s">
        <v>286</v>
      </c>
      <c r="E19" s="154">
        <v>8288193</v>
      </c>
      <c r="F19" s="158">
        <v>41913</v>
      </c>
      <c r="G19" s="157">
        <v>3.46</v>
      </c>
      <c r="H19" s="155" t="s">
        <v>115</v>
      </c>
      <c r="I19" s="158">
        <v>47392</v>
      </c>
      <c r="J19" s="159">
        <v>4.8000000000000001E-2</v>
      </c>
      <c r="K19" s="159">
        <v>1.7299999999999999E-2</v>
      </c>
      <c r="L19" s="157">
        <v>1140000</v>
      </c>
      <c r="M19" s="157">
        <v>132.22</v>
      </c>
      <c r="N19" s="157">
        <v>1507.2860000000001</v>
      </c>
      <c r="O19" s="19"/>
      <c r="P19" s="149" t="s">
        <v>20</v>
      </c>
      <c r="Q19" s="159">
        <v>2.0999999999999999E-3</v>
      </c>
      <c r="R19" s="159">
        <v>8.0000000000000004E-4</v>
      </c>
    </row>
    <row r="20" spans="1:18" x14ac:dyDescent="0.2">
      <c r="A20" s="141">
        <v>269</v>
      </c>
      <c r="B20" s="141">
        <v>269</v>
      </c>
      <c r="C20" s="155" t="s">
        <v>268</v>
      </c>
      <c r="D20" s="142" t="s">
        <v>287</v>
      </c>
      <c r="E20" s="141">
        <v>8288201</v>
      </c>
      <c r="F20" s="161">
        <v>41945</v>
      </c>
      <c r="G20" s="146">
        <v>3.55</v>
      </c>
      <c r="H20" s="155" t="s">
        <v>115</v>
      </c>
      <c r="I20" s="161">
        <v>47424</v>
      </c>
      <c r="J20" s="147">
        <v>4.8000000000000001E-2</v>
      </c>
      <c r="K20" s="147">
        <v>1.7299999999999999E-2</v>
      </c>
      <c r="L20" s="146">
        <v>1310000</v>
      </c>
      <c r="M20" s="146">
        <v>132.41</v>
      </c>
      <c r="N20" s="146">
        <v>1734.5840000000001</v>
      </c>
      <c r="P20" s="149" t="s">
        <v>20</v>
      </c>
      <c r="Q20" s="147">
        <v>2.5000000000000001E-3</v>
      </c>
      <c r="R20" s="147">
        <v>8.9999999999999998E-4</v>
      </c>
    </row>
    <row r="21" spans="1:18" x14ac:dyDescent="0.2">
      <c r="A21" s="141">
        <v>269</v>
      </c>
      <c r="B21" s="141">
        <v>269</v>
      </c>
      <c r="C21" s="127" t="s">
        <v>268</v>
      </c>
      <c r="D21" s="142" t="s">
        <v>288</v>
      </c>
      <c r="E21" s="141">
        <v>8288219</v>
      </c>
      <c r="F21" s="161">
        <v>41974</v>
      </c>
      <c r="G21" s="146">
        <v>3.63</v>
      </c>
      <c r="H21" s="142" t="s">
        <v>115</v>
      </c>
      <c r="I21" s="161">
        <v>47453</v>
      </c>
      <c r="J21" s="147">
        <v>4.8000000000000001E-2</v>
      </c>
      <c r="K21" s="147">
        <v>1.72E-2</v>
      </c>
      <c r="L21" s="146">
        <v>12130000</v>
      </c>
      <c r="M21" s="146">
        <v>131.85</v>
      </c>
      <c r="N21" s="146">
        <v>15993.466</v>
      </c>
      <c r="P21" s="142" t="s">
        <v>20</v>
      </c>
      <c r="Q21" s="147">
        <v>2.2599999999999999E-2</v>
      </c>
      <c r="R21" s="147">
        <v>8.3000000000000001E-3</v>
      </c>
    </row>
    <row r="22" spans="1:18" x14ac:dyDescent="0.2">
      <c r="A22" s="141">
        <v>269</v>
      </c>
      <c r="B22" s="141">
        <v>269</v>
      </c>
      <c r="C22" s="142" t="s">
        <v>268</v>
      </c>
      <c r="D22" s="142" t="s">
        <v>289</v>
      </c>
      <c r="E22" s="141">
        <v>8288235</v>
      </c>
      <c r="F22" s="161">
        <v>42036</v>
      </c>
      <c r="G22" s="146">
        <v>3.72</v>
      </c>
      <c r="H22" s="142" t="s">
        <v>115</v>
      </c>
      <c r="I22" s="161">
        <v>47515</v>
      </c>
      <c r="J22" s="147">
        <v>4.8000000000000001E-2</v>
      </c>
      <c r="K22" s="147">
        <v>1.7299999999999999E-2</v>
      </c>
      <c r="L22" s="146">
        <v>12200000</v>
      </c>
      <c r="M22" s="146">
        <v>134.55000000000001</v>
      </c>
      <c r="N22" s="146">
        <v>16415.32</v>
      </c>
      <c r="P22" s="127" t="s">
        <v>20</v>
      </c>
      <c r="Q22" s="147">
        <v>2.3199999999999998E-2</v>
      </c>
      <c r="R22" s="147">
        <v>8.5000000000000006E-3</v>
      </c>
    </row>
    <row r="23" spans="1:18" x14ac:dyDescent="0.2">
      <c r="A23" s="141">
        <v>269</v>
      </c>
      <c r="B23" s="141">
        <v>269</v>
      </c>
      <c r="C23" s="142" t="s">
        <v>268</v>
      </c>
      <c r="D23" s="142" t="s">
        <v>290</v>
      </c>
      <c r="E23" s="141">
        <v>8288243</v>
      </c>
      <c r="F23" s="161">
        <v>42064</v>
      </c>
      <c r="G23" s="146">
        <v>3.8</v>
      </c>
      <c r="H23" s="142" t="s">
        <v>115</v>
      </c>
      <c r="I23" s="161">
        <v>47543</v>
      </c>
      <c r="J23" s="147">
        <v>4.8000000000000001E-2</v>
      </c>
      <c r="K23" s="147">
        <v>1.72E-2</v>
      </c>
      <c r="L23" s="146">
        <v>15440000</v>
      </c>
      <c r="M23" s="146">
        <v>135.6</v>
      </c>
      <c r="N23" s="146">
        <v>20936.069</v>
      </c>
      <c r="P23" s="127" t="s">
        <v>20</v>
      </c>
      <c r="Q23" s="147">
        <v>2.9600000000000001E-2</v>
      </c>
      <c r="R23" s="147">
        <v>1.0800000000000001E-2</v>
      </c>
    </row>
    <row r="24" spans="1:18" x14ac:dyDescent="0.2">
      <c r="A24" s="141">
        <v>269</v>
      </c>
      <c r="B24" s="141">
        <v>269</v>
      </c>
      <c r="C24" s="142" t="s">
        <v>268</v>
      </c>
      <c r="D24" s="142" t="s">
        <v>291</v>
      </c>
      <c r="E24" s="141">
        <v>8288268</v>
      </c>
      <c r="F24" s="161">
        <v>42125</v>
      </c>
      <c r="G24" s="146">
        <v>3.96</v>
      </c>
      <c r="H24" s="142" t="s">
        <v>115</v>
      </c>
      <c r="I24" s="161">
        <v>47604</v>
      </c>
      <c r="J24" s="147">
        <v>4.8000000000000001E-2</v>
      </c>
      <c r="K24" s="147">
        <v>1.7299999999999999E-2</v>
      </c>
      <c r="L24" s="146">
        <v>9590000</v>
      </c>
      <c r="M24" s="146">
        <v>135.75</v>
      </c>
      <c r="N24" s="146">
        <v>13018.55</v>
      </c>
      <c r="P24" s="127" t="s">
        <v>20</v>
      </c>
      <c r="Q24" s="147">
        <v>1.84E-2</v>
      </c>
      <c r="R24" s="147">
        <v>6.7000000000000002E-3</v>
      </c>
    </row>
    <row r="25" spans="1:18" x14ac:dyDescent="0.2">
      <c r="A25" s="141">
        <v>269</v>
      </c>
      <c r="B25" s="141">
        <v>269</v>
      </c>
      <c r="C25" s="142" t="s">
        <v>268</v>
      </c>
      <c r="D25" s="142" t="s">
        <v>292</v>
      </c>
      <c r="E25" s="141">
        <v>8288292</v>
      </c>
      <c r="F25" s="161">
        <v>42218</v>
      </c>
      <c r="G25" s="146">
        <v>4.13</v>
      </c>
      <c r="H25" s="127" t="s">
        <v>115</v>
      </c>
      <c r="I25" s="161">
        <v>47697</v>
      </c>
      <c r="J25" s="147">
        <v>4.8000000000000001E-2</v>
      </c>
      <c r="K25" s="147">
        <v>1.7299999999999999E-2</v>
      </c>
      <c r="L25" s="146">
        <v>1750000</v>
      </c>
      <c r="M25" s="146">
        <v>136.5</v>
      </c>
      <c r="N25" s="146">
        <v>2388.7689999999998</v>
      </c>
      <c r="P25" s="127" t="s">
        <v>20</v>
      </c>
      <c r="Q25" s="147">
        <v>3.3999999999999998E-3</v>
      </c>
      <c r="R25" s="147">
        <v>1.1999999999999999E-3</v>
      </c>
    </row>
    <row r="26" spans="1:18" x14ac:dyDescent="0.2">
      <c r="A26" s="141">
        <v>269</v>
      </c>
      <c r="B26" s="141">
        <v>269</v>
      </c>
      <c r="C26" s="142" t="s">
        <v>268</v>
      </c>
      <c r="D26" s="142" t="s">
        <v>293</v>
      </c>
      <c r="E26" s="141">
        <v>8288326</v>
      </c>
      <c r="F26" s="161">
        <v>42309</v>
      </c>
      <c r="G26" s="146">
        <v>4.38</v>
      </c>
      <c r="H26" s="127" t="s">
        <v>115</v>
      </c>
      <c r="I26" s="161">
        <v>47788</v>
      </c>
      <c r="J26" s="147">
        <v>4.8000000000000001E-2</v>
      </c>
      <c r="K26" s="147">
        <v>1.7299999999999999E-2</v>
      </c>
      <c r="L26" s="146">
        <v>4970000</v>
      </c>
      <c r="M26" s="146">
        <v>136.46</v>
      </c>
      <c r="N26" s="146">
        <v>6782.027</v>
      </c>
      <c r="P26" s="127" t="s">
        <v>20</v>
      </c>
      <c r="Q26" s="147">
        <v>9.5999999999999992E-3</v>
      </c>
      <c r="R26" s="147">
        <v>3.5000000000000001E-3</v>
      </c>
    </row>
    <row r="27" spans="1:18" x14ac:dyDescent="0.2">
      <c r="A27" s="141">
        <v>269</v>
      </c>
      <c r="B27" s="141">
        <v>269</v>
      </c>
      <c r="C27" s="142" t="s">
        <v>268</v>
      </c>
      <c r="D27" s="142" t="s">
        <v>294</v>
      </c>
      <c r="E27" s="141">
        <v>8288334</v>
      </c>
      <c r="F27" s="161">
        <v>42339</v>
      </c>
      <c r="G27" s="146">
        <v>4.46</v>
      </c>
      <c r="H27" s="127" t="s">
        <v>115</v>
      </c>
      <c r="I27" s="161">
        <v>47818</v>
      </c>
      <c r="J27" s="147">
        <v>4.8000000000000001E-2</v>
      </c>
      <c r="K27" s="147">
        <v>1.7299999999999999E-2</v>
      </c>
      <c r="L27" s="146">
        <v>2010000</v>
      </c>
      <c r="M27" s="146">
        <v>136.12</v>
      </c>
      <c r="N27" s="146">
        <v>2736.0720000000001</v>
      </c>
      <c r="P27" s="127" t="s">
        <v>20</v>
      </c>
      <c r="Q27" s="147">
        <v>3.8999999999999998E-3</v>
      </c>
      <c r="R27" s="147">
        <v>1.4E-3</v>
      </c>
    </row>
    <row r="28" spans="1:18" x14ac:dyDescent="0.2">
      <c r="A28" s="141">
        <v>269</v>
      </c>
      <c r="B28" s="141">
        <v>269</v>
      </c>
      <c r="C28" s="142" t="s">
        <v>268</v>
      </c>
      <c r="D28" s="142" t="s">
        <v>295</v>
      </c>
      <c r="E28" s="141">
        <v>8288342</v>
      </c>
      <c r="F28" s="161">
        <v>42370</v>
      </c>
      <c r="G28" s="146">
        <v>4.46</v>
      </c>
      <c r="H28" s="127" t="s">
        <v>115</v>
      </c>
      <c r="I28" s="161">
        <v>47849</v>
      </c>
      <c r="J28" s="147">
        <v>4.8000000000000001E-2</v>
      </c>
      <c r="K28" s="147">
        <v>1.7299999999999999E-2</v>
      </c>
      <c r="L28" s="146">
        <v>7330000</v>
      </c>
      <c r="M28" s="146">
        <v>139.33000000000001</v>
      </c>
      <c r="N28" s="146">
        <v>10212.713</v>
      </c>
      <c r="P28" s="127" t="s">
        <v>20</v>
      </c>
      <c r="Q28" s="147">
        <v>1.44E-2</v>
      </c>
      <c r="R28" s="147">
        <v>5.3E-3</v>
      </c>
    </row>
    <row r="29" spans="1:18" x14ac:dyDescent="0.2">
      <c r="A29" s="141">
        <v>269</v>
      </c>
      <c r="B29" s="141">
        <v>269</v>
      </c>
      <c r="C29" s="142" t="s">
        <v>268</v>
      </c>
      <c r="D29" s="142" t="s">
        <v>296</v>
      </c>
      <c r="E29" s="141">
        <v>8288367</v>
      </c>
      <c r="F29" s="161">
        <v>42430</v>
      </c>
      <c r="G29" s="146">
        <v>4.62</v>
      </c>
      <c r="H29" s="127" t="s">
        <v>115</v>
      </c>
      <c r="I29" s="161">
        <v>47908</v>
      </c>
      <c r="J29" s="147">
        <v>4.8000000000000001E-2</v>
      </c>
      <c r="K29" s="147">
        <v>1.7299999999999999E-2</v>
      </c>
      <c r="L29" s="146">
        <v>2540000</v>
      </c>
      <c r="M29" s="146">
        <v>139.77000000000001</v>
      </c>
      <c r="N29" s="146">
        <v>3550.0390000000002</v>
      </c>
      <c r="P29" s="127" t="s">
        <v>20</v>
      </c>
      <c r="Q29" s="147">
        <v>5.0000000000000001E-3</v>
      </c>
      <c r="R29" s="147">
        <v>1.8E-3</v>
      </c>
    </row>
    <row r="30" spans="1:18" x14ac:dyDescent="0.2">
      <c r="A30" s="141">
        <v>269</v>
      </c>
      <c r="B30" s="141">
        <v>269</v>
      </c>
      <c r="C30" s="142" t="s">
        <v>268</v>
      </c>
      <c r="D30" s="142" t="s">
        <v>297</v>
      </c>
      <c r="E30" s="141">
        <v>8288375</v>
      </c>
      <c r="F30" s="161">
        <v>42461</v>
      </c>
      <c r="G30" s="146">
        <v>4.7</v>
      </c>
      <c r="H30" s="127" t="s">
        <v>115</v>
      </c>
      <c r="I30" s="161">
        <v>47939</v>
      </c>
      <c r="J30" s="147">
        <v>4.8000000000000001E-2</v>
      </c>
      <c r="K30" s="147">
        <v>1.7299999999999999E-2</v>
      </c>
      <c r="L30" s="146">
        <v>10720000</v>
      </c>
      <c r="M30" s="146">
        <v>139.99</v>
      </c>
      <c r="N30" s="146">
        <v>15006.992</v>
      </c>
      <c r="P30" s="127" t="s">
        <v>20</v>
      </c>
      <c r="Q30" s="147">
        <v>2.12E-2</v>
      </c>
      <c r="R30" s="147">
        <v>7.7999999999999996E-3</v>
      </c>
    </row>
    <row r="31" spans="1:18" x14ac:dyDescent="0.2">
      <c r="A31" s="141">
        <v>269</v>
      </c>
      <c r="B31" s="141">
        <v>269</v>
      </c>
      <c r="C31" s="142" t="s">
        <v>268</v>
      </c>
      <c r="D31" s="142" t="s">
        <v>298</v>
      </c>
      <c r="E31" s="141">
        <v>8288391</v>
      </c>
      <c r="F31" s="161">
        <v>42522</v>
      </c>
      <c r="G31" s="146">
        <v>4.87</v>
      </c>
      <c r="H31" s="127" t="s">
        <v>115</v>
      </c>
      <c r="I31" s="161">
        <v>48000</v>
      </c>
      <c r="J31" s="147">
        <v>4.8000000000000001E-2</v>
      </c>
      <c r="K31" s="147">
        <v>1.7299999999999999E-2</v>
      </c>
      <c r="L31" s="146">
        <v>3010000</v>
      </c>
      <c r="M31" s="146">
        <v>139.29</v>
      </c>
      <c r="N31" s="146">
        <v>4192.6620000000003</v>
      </c>
      <c r="P31" s="127" t="s">
        <v>20</v>
      </c>
      <c r="Q31" s="147">
        <v>5.8999999999999999E-3</v>
      </c>
      <c r="R31" s="147">
        <v>2.2000000000000001E-3</v>
      </c>
    </row>
    <row r="32" spans="1:18" x14ac:dyDescent="0.2">
      <c r="A32" s="141">
        <v>269</v>
      </c>
      <c r="B32" s="141">
        <v>269</v>
      </c>
      <c r="C32" s="142" t="s">
        <v>268</v>
      </c>
      <c r="D32" s="142" t="s">
        <v>299</v>
      </c>
      <c r="E32" s="141">
        <v>8288409</v>
      </c>
      <c r="F32" s="161">
        <v>42552</v>
      </c>
      <c r="G32" s="146">
        <v>4.8499999999999996</v>
      </c>
      <c r="H32" s="127" t="s">
        <v>115</v>
      </c>
      <c r="I32" s="161">
        <v>48030</v>
      </c>
      <c r="J32" s="147">
        <v>4.8000000000000001E-2</v>
      </c>
      <c r="K32" s="147">
        <v>1.7299999999999999E-2</v>
      </c>
      <c r="L32" s="146">
        <v>15380000</v>
      </c>
      <c r="M32" s="146">
        <v>141.54</v>
      </c>
      <c r="N32" s="146">
        <v>21768.344000000001</v>
      </c>
      <c r="P32" s="127" t="s">
        <v>20</v>
      </c>
      <c r="Q32" s="147">
        <v>3.0800000000000001E-2</v>
      </c>
      <c r="R32" s="147">
        <v>1.1299999999999999E-2</v>
      </c>
    </row>
    <row r="33" spans="1:18" x14ac:dyDescent="0.2">
      <c r="A33" s="141">
        <v>269</v>
      </c>
      <c r="B33" s="141">
        <v>269</v>
      </c>
      <c r="C33" s="142" t="s">
        <v>268</v>
      </c>
      <c r="D33" s="142" t="s">
        <v>300</v>
      </c>
      <c r="E33" s="141">
        <v>8288433</v>
      </c>
      <c r="F33" s="161">
        <v>42645</v>
      </c>
      <c r="G33" s="146">
        <v>5.1100000000000003</v>
      </c>
      <c r="H33" s="127" t="s">
        <v>115</v>
      </c>
      <c r="I33" s="161">
        <v>48123</v>
      </c>
      <c r="J33" s="147">
        <v>4.8000000000000001E-2</v>
      </c>
      <c r="K33" s="147">
        <v>1.7399999999999999E-2</v>
      </c>
      <c r="L33" s="146">
        <v>1980000</v>
      </c>
      <c r="M33" s="146">
        <v>140.32</v>
      </c>
      <c r="N33" s="146">
        <v>2778.4270000000001</v>
      </c>
      <c r="P33" s="127" t="s">
        <v>20</v>
      </c>
      <c r="Q33" s="147">
        <v>3.8999999999999998E-3</v>
      </c>
      <c r="R33" s="147">
        <v>1.4E-3</v>
      </c>
    </row>
    <row r="34" spans="1:18" x14ac:dyDescent="0.2">
      <c r="A34" s="141">
        <v>269</v>
      </c>
      <c r="B34" s="141">
        <v>269</v>
      </c>
      <c r="C34" s="142" t="s">
        <v>268</v>
      </c>
      <c r="D34" s="142" t="s">
        <v>301</v>
      </c>
      <c r="E34" s="141">
        <v>8288458</v>
      </c>
      <c r="F34" s="161">
        <v>42705</v>
      </c>
      <c r="G34" s="146">
        <v>5.27</v>
      </c>
      <c r="H34" s="127" t="s">
        <v>115</v>
      </c>
      <c r="I34" s="161">
        <v>48183</v>
      </c>
      <c r="J34" s="147">
        <v>4.8000000000000001E-2</v>
      </c>
      <c r="K34" s="147">
        <v>1.7399999999999999E-2</v>
      </c>
      <c r="L34" s="146">
        <v>4090000</v>
      </c>
      <c r="M34" s="146">
        <v>139.77000000000001</v>
      </c>
      <c r="N34" s="146">
        <v>5716.7359999999999</v>
      </c>
      <c r="P34" s="127" t="s">
        <v>20</v>
      </c>
      <c r="Q34" s="147">
        <v>8.0999999999999996E-3</v>
      </c>
      <c r="R34" s="147">
        <v>3.0000000000000001E-3</v>
      </c>
    </row>
    <row r="35" spans="1:18" x14ac:dyDescent="0.2">
      <c r="A35" s="141">
        <v>269</v>
      </c>
      <c r="B35" s="141">
        <v>269</v>
      </c>
      <c r="C35" s="142" t="s">
        <v>268</v>
      </c>
      <c r="D35" s="142" t="s">
        <v>302</v>
      </c>
      <c r="E35" s="141">
        <v>8288466</v>
      </c>
      <c r="F35" s="161">
        <v>42736</v>
      </c>
      <c r="G35" s="146">
        <v>5.25</v>
      </c>
      <c r="H35" s="127" t="s">
        <v>115</v>
      </c>
      <c r="I35" s="161">
        <v>48214</v>
      </c>
      <c r="J35" s="147">
        <v>4.8000000000000001E-2</v>
      </c>
      <c r="K35" s="147">
        <v>1.7399999999999999E-2</v>
      </c>
      <c r="L35" s="146">
        <v>8440000</v>
      </c>
      <c r="M35" s="146">
        <v>143</v>
      </c>
      <c r="N35" s="146">
        <v>12068.913</v>
      </c>
      <c r="P35" s="127" t="s">
        <v>20</v>
      </c>
      <c r="Q35" s="147">
        <v>1.7100000000000001E-2</v>
      </c>
      <c r="R35" s="147">
        <v>6.1999999999999998E-3</v>
      </c>
    </row>
    <row r="36" spans="1:18" x14ac:dyDescent="0.2">
      <c r="A36" s="141">
        <v>269</v>
      </c>
      <c r="B36" s="141">
        <v>269</v>
      </c>
      <c r="C36" s="142" t="s">
        <v>268</v>
      </c>
      <c r="D36" s="142" t="s">
        <v>303</v>
      </c>
      <c r="E36" s="141">
        <v>8288474</v>
      </c>
      <c r="F36" s="161">
        <v>42767</v>
      </c>
      <c r="G36" s="146">
        <v>5.33</v>
      </c>
      <c r="H36" s="127" t="s">
        <v>115</v>
      </c>
      <c r="I36" s="161">
        <v>48245</v>
      </c>
      <c r="J36" s="147">
        <v>4.8000000000000001E-2</v>
      </c>
      <c r="K36" s="147">
        <v>1.7399999999999999E-2</v>
      </c>
      <c r="L36" s="146">
        <v>2890000</v>
      </c>
      <c r="M36" s="146">
        <v>142.78</v>
      </c>
      <c r="N36" s="146">
        <v>4126.4459999999999</v>
      </c>
      <c r="P36" s="127" t="s">
        <v>20</v>
      </c>
      <c r="Q36" s="147">
        <v>5.7999999999999996E-3</v>
      </c>
      <c r="R36" s="147">
        <v>2.0999999999999999E-3</v>
      </c>
    </row>
    <row r="37" spans="1:18" x14ac:dyDescent="0.2">
      <c r="A37" s="141">
        <v>269</v>
      </c>
      <c r="B37" s="141">
        <v>269</v>
      </c>
      <c r="C37" s="142" t="s">
        <v>268</v>
      </c>
      <c r="D37" s="142" t="s">
        <v>304</v>
      </c>
      <c r="E37" s="141">
        <v>8288482</v>
      </c>
      <c r="F37" s="161">
        <v>42795</v>
      </c>
      <c r="G37" s="146">
        <v>5.41</v>
      </c>
      <c r="H37" s="127" t="s">
        <v>115</v>
      </c>
      <c r="I37" s="161">
        <v>48274</v>
      </c>
      <c r="J37" s="147">
        <v>4.8000000000000001E-2</v>
      </c>
      <c r="K37" s="147">
        <v>1.7399999999999999E-2</v>
      </c>
      <c r="L37" s="146">
        <v>2960000</v>
      </c>
      <c r="M37" s="146">
        <v>142.85</v>
      </c>
      <c r="N37" s="146">
        <v>4228.4809999999998</v>
      </c>
      <c r="P37" s="127" t="s">
        <v>20</v>
      </c>
      <c r="Q37" s="147">
        <v>6.0000000000000001E-3</v>
      </c>
      <c r="R37" s="147">
        <v>2.2000000000000001E-3</v>
      </c>
    </row>
    <row r="38" spans="1:18" x14ac:dyDescent="0.2">
      <c r="A38" s="141">
        <v>269</v>
      </c>
      <c r="B38" s="141">
        <v>269</v>
      </c>
      <c r="C38" s="142" t="s">
        <v>268</v>
      </c>
      <c r="D38" s="142" t="s">
        <v>305</v>
      </c>
      <c r="E38" s="141">
        <v>8288490</v>
      </c>
      <c r="F38" s="161">
        <v>42827</v>
      </c>
      <c r="G38" s="146">
        <v>5.5</v>
      </c>
      <c r="H38" s="127" t="s">
        <v>115</v>
      </c>
      <c r="I38" s="161">
        <v>48306</v>
      </c>
      <c r="J38" s="147">
        <v>4.8000000000000001E-2</v>
      </c>
      <c r="K38" s="147">
        <v>1.7399999999999999E-2</v>
      </c>
      <c r="L38" s="146">
        <v>830000</v>
      </c>
      <c r="M38" s="146">
        <v>142.63</v>
      </c>
      <c r="N38" s="146">
        <v>1183.7909999999999</v>
      </c>
      <c r="P38" s="127" t="s">
        <v>20</v>
      </c>
      <c r="Q38" s="147">
        <v>1.6999999999999999E-3</v>
      </c>
      <c r="R38" s="147">
        <v>5.9999999999999995E-4</v>
      </c>
    </row>
    <row r="39" spans="1:18" x14ac:dyDescent="0.2">
      <c r="A39" s="141">
        <v>269</v>
      </c>
      <c r="B39" s="141">
        <v>269</v>
      </c>
      <c r="C39" s="142" t="s">
        <v>268</v>
      </c>
      <c r="D39" s="142" t="s">
        <v>306</v>
      </c>
      <c r="E39" s="141">
        <v>8288508</v>
      </c>
      <c r="F39" s="161">
        <v>42856</v>
      </c>
      <c r="G39" s="146">
        <v>5.58</v>
      </c>
      <c r="H39" s="127" t="s">
        <v>115</v>
      </c>
      <c r="I39" s="161">
        <v>48335</v>
      </c>
      <c r="J39" s="147">
        <v>4.8000000000000001E-2</v>
      </c>
      <c r="K39" s="147">
        <v>1.7399999999999999E-2</v>
      </c>
      <c r="L39" s="146">
        <v>9300000</v>
      </c>
      <c r="M39" s="146">
        <v>142</v>
      </c>
      <c r="N39" s="146">
        <v>13206.437</v>
      </c>
      <c r="P39" s="127" t="s">
        <v>20</v>
      </c>
      <c r="Q39" s="147">
        <v>1.8700000000000001E-2</v>
      </c>
      <c r="R39" s="147">
        <v>6.7999999999999996E-3</v>
      </c>
    </row>
    <row r="40" spans="1:18" x14ac:dyDescent="0.2">
      <c r="A40" s="141">
        <v>269</v>
      </c>
      <c r="B40" s="141">
        <v>269</v>
      </c>
      <c r="C40" s="142" t="s">
        <v>268</v>
      </c>
      <c r="D40" s="142" t="s">
        <v>307</v>
      </c>
      <c r="E40" s="141">
        <v>8288516</v>
      </c>
      <c r="F40" s="161">
        <v>42887</v>
      </c>
      <c r="G40" s="146">
        <v>5.66</v>
      </c>
      <c r="H40" s="127" t="s">
        <v>115</v>
      </c>
      <c r="I40" s="161">
        <v>48366</v>
      </c>
      <c r="J40" s="147">
        <v>4.8000000000000001E-2</v>
      </c>
      <c r="K40" s="147">
        <v>1.7500000000000002E-2</v>
      </c>
      <c r="L40" s="146">
        <v>4580000</v>
      </c>
      <c r="M40" s="146">
        <v>141.5</v>
      </c>
      <c r="N40" s="146">
        <v>6480.732</v>
      </c>
      <c r="P40" s="127" t="s">
        <v>20</v>
      </c>
      <c r="Q40" s="147">
        <v>9.1999999999999998E-3</v>
      </c>
      <c r="R40" s="147">
        <v>3.3999999999999998E-3</v>
      </c>
    </row>
    <row r="41" spans="1:18" x14ac:dyDescent="0.2">
      <c r="A41" s="141">
        <v>269</v>
      </c>
      <c r="B41" s="141">
        <v>269</v>
      </c>
      <c r="C41" s="142" t="s">
        <v>268</v>
      </c>
      <c r="D41" s="142" t="s">
        <v>308</v>
      </c>
      <c r="E41" s="141">
        <v>8288524</v>
      </c>
      <c r="F41" s="161">
        <v>42918</v>
      </c>
      <c r="G41" s="146">
        <v>5.64</v>
      </c>
      <c r="H41" s="127" t="s">
        <v>115</v>
      </c>
      <c r="I41" s="161">
        <v>48397</v>
      </c>
      <c r="J41" s="147">
        <v>4.8000000000000001E-2</v>
      </c>
      <c r="K41" s="147">
        <v>1.7500000000000002E-2</v>
      </c>
      <c r="L41" s="146">
        <v>4950000</v>
      </c>
      <c r="M41" s="146">
        <v>143.57</v>
      </c>
      <c r="N41" s="146">
        <v>7106.893</v>
      </c>
      <c r="P41" s="127" t="s">
        <v>20</v>
      </c>
      <c r="Q41" s="147">
        <v>0.01</v>
      </c>
      <c r="R41" s="147">
        <v>3.7000000000000002E-3</v>
      </c>
    </row>
    <row r="42" spans="1:18" x14ac:dyDescent="0.2">
      <c r="A42" s="141">
        <v>269</v>
      </c>
      <c r="B42" s="141">
        <v>269</v>
      </c>
      <c r="C42" s="142" t="s">
        <v>268</v>
      </c>
      <c r="D42" s="142" t="s">
        <v>309</v>
      </c>
      <c r="E42" s="141">
        <v>8288532</v>
      </c>
      <c r="F42" s="161">
        <v>42949</v>
      </c>
      <c r="G42" s="146">
        <v>5.72</v>
      </c>
      <c r="H42" s="127" t="s">
        <v>115</v>
      </c>
      <c r="I42" s="161">
        <v>48428</v>
      </c>
      <c r="J42" s="147">
        <v>4.8000000000000001E-2</v>
      </c>
      <c r="K42" s="147">
        <v>1.7500000000000002E-2</v>
      </c>
      <c r="L42" s="146">
        <v>4470000</v>
      </c>
      <c r="M42" s="146">
        <v>144.36000000000001</v>
      </c>
      <c r="N42" s="146">
        <v>6452.9989999999998</v>
      </c>
      <c r="P42" s="127" t="s">
        <v>20</v>
      </c>
      <c r="Q42" s="147">
        <v>9.1000000000000004E-3</v>
      </c>
      <c r="R42" s="147">
        <v>3.3E-3</v>
      </c>
    </row>
    <row r="43" spans="1:18" x14ac:dyDescent="0.2">
      <c r="A43" s="141">
        <v>269</v>
      </c>
      <c r="B43" s="141">
        <v>269</v>
      </c>
      <c r="C43" s="142" t="s">
        <v>268</v>
      </c>
      <c r="D43" s="142" t="s">
        <v>310</v>
      </c>
      <c r="E43" s="141">
        <v>8288540</v>
      </c>
      <c r="F43" s="161">
        <v>42979</v>
      </c>
      <c r="G43" s="146">
        <v>5.8</v>
      </c>
      <c r="H43" s="127" t="s">
        <v>115</v>
      </c>
      <c r="I43" s="161">
        <v>48458</v>
      </c>
      <c r="J43" s="147">
        <v>4.8000000000000001E-2</v>
      </c>
      <c r="K43" s="147">
        <v>1.7500000000000002E-2</v>
      </c>
      <c r="L43" s="146">
        <v>8210000</v>
      </c>
      <c r="M43" s="146">
        <v>144.28</v>
      </c>
      <c r="N43" s="146">
        <v>11845.519</v>
      </c>
      <c r="P43" s="127" t="s">
        <v>20</v>
      </c>
      <c r="Q43" s="147">
        <v>1.67E-2</v>
      </c>
      <c r="R43" s="147">
        <v>6.1000000000000004E-3</v>
      </c>
    </row>
    <row r="44" spans="1:18" x14ac:dyDescent="0.2">
      <c r="A44" s="141">
        <v>269</v>
      </c>
      <c r="B44" s="141">
        <v>269</v>
      </c>
      <c r="C44" s="142" t="s">
        <v>268</v>
      </c>
      <c r="D44" s="142" t="s">
        <v>311</v>
      </c>
      <c r="E44" s="141">
        <v>8288573</v>
      </c>
      <c r="F44" s="161">
        <v>43070</v>
      </c>
      <c r="G44" s="146">
        <v>6.05</v>
      </c>
      <c r="H44" s="127" t="s">
        <v>115</v>
      </c>
      <c r="I44" s="161">
        <v>48549</v>
      </c>
      <c r="J44" s="147">
        <v>4.8000000000000001E-2</v>
      </c>
      <c r="K44" s="147">
        <v>1.7500000000000002E-2</v>
      </c>
      <c r="L44" s="146">
        <v>12730000</v>
      </c>
      <c r="M44" s="146">
        <v>142.63</v>
      </c>
      <c r="N44" s="146">
        <v>18156.786</v>
      </c>
      <c r="P44" s="127" t="s">
        <v>20</v>
      </c>
      <c r="Q44" s="147">
        <v>2.5700000000000001E-2</v>
      </c>
      <c r="R44" s="147">
        <v>9.4000000000000004E-3</v>
      </c>
    </row>
    <row r="45" spans="1:18" x14ac:dyDescent="0.2">
      <c r="A45" s="141">
        <v>269</v>
      </c>
      <c r="B45" s="141">
        <v>269</v>
      </c>
      <c r="C45" s="142" t="s">
        <v>268</v>
      </c>
      <c r="D45" s="142" t="s">
        <v>312</v>
      </c>
      <c r="E45" s="141">
        <v>8288581</v>
      </c>
      <c r="F45" s="161">
        <v>43101</v>
      </c>
      <c r="G45" s="146">
        <v>6.02</v>
      </c>
      <c r="H45" s="127" t="s">
        <v>115</v>
      </c>
      <c r="I45" s="161">
        <v>48580</v>
      </c>
      <c r="J45" s="147">
        <v>4.8000000000000001E-2</v>
      </c>
      <c r="K45" s="147">
        <v>1.7500000000000002E-2</v>
      </c>
      <c r="L45" s="146">
        <v>3050000</v>
      </c>
      <c r="M45" s="146">
        <v>145.69999999999999</v>
      </c>
      <c r="N45" s="146">
        <v>4443.7039999999997</v>
      </c>
      <c r="P45" s="127" t="s">
        <v>20</v>
      </c>
      <c r="Q45" s="147">
        <v>6.3E-3</v>
      </c>
      <c r="R45" s="147">
        <v>2.3E-3</v>
      </c>
    </row>
    <row r="46" spans="1:18" x14ac:dyDescent="0.2">
      <c r="A46" s="141">
        <v>269</v>
      </c>
      <c r="B46" s="141">
        <v>269</v>
      </c>
      <c r="C46" s="142" t="s">
        <v>268</v>
      </c>
      <c r="D46" s="142" t="s">
        <v>313</v>
      </c>
      <c r="E46" s="141">
        <v>8288599</v>
      </c>
      <c r="F46" s="161">
        <v>43132</v>
      </c>
      <c r="G46" s="146">
        <v>6.1</v>
      </c>
      <c r="H46" s="127" t="s">
        <v>115</v>
      </c>
      <c r="I46" s="161">
        <v>48611</v>
      </c>
      <c r="J46" s="147">
        <v>4.8000000000000001E-2</v>
      </c>
      <c r="K46" s="147">
        <v>1.7500000000000002E-2</v>
      </c>
      <c r="L46" s="146">
        <v>3400000</v>
      </c>
      <c r="M46" s="146">
        <v>145.34</v>
      </c>
      <c r="N46" s="146">
        <v>4941.4610000000002</v>
      </c>
      <c r="P46" s="127" t="s">
        <v>20</v>
      </c>
      <c r="Q46" s="147">
        <v>7.0000000000000001E-3</v>
      </c>
      <c r="R46" s="147">
        <v>2.5999999999999999E-3</v>
      </c>
    </row>
    <row r="47" spans="1:18" x14ac:dyDescent="0.2">
      <c r="A47" s="141">
        <v>269</v>
      </c>
      <c r="B47" s="141">
        <v>269</v>
      </c>
      <c r="C47" s="142" t="s">
        <v>268</v>
      </c>
      <c r="D47" s="142" t="s">
        <v>314</v>
      </c>
      <c r="E47" s="141">
        <v>8288607</v>
      </c>
      <c r="F47" s="161">
        <v>43161</v>
      </c>
      <c r="G47" s="146">
        <v>6.18</v>
      </c>
      <c r="H47" s="127" t="s">
        <v>115</v>
      </c>
      <c r="I47" s="161">
        <v>48640</v>
      </c>
      <c r="J47" s="147">
        <v>4.8000000000000001E-2</v>
      </c>
      <c r="K47" s="147">
        <v>1.7600000000000001E-2</v>
      </c>
      <c r="L47" s="146">
        <v>3260000</v>
      </c>
      <c r="M47" s="146">
        <v>145.83000000000001</v>
      </c>
      <c r="N47" s="146">
        <v>4754.2049999999999</v>
      </c>
      <c r="P47" s="127" t="s">
        <v>20</v>
      </c>
      <c r="Q47" s="147">
        <v>6.7000000000000002E-3</v>
      </c>
      <c r="R47" s="147">
        <v>2.5000000000000001E-3</v>
      </c>
    </row>
    <row r="48" spans="1:18" x14ac:dyDescent="0.2">
      <c r="A48" s="141">
        <v>269</v>
      </c>
      <c r="B48" s="141">
        <v>269</v>
      </c>
      <c r="C48" s="142" t="s">
        <v>268</v>
      </c>
      <c r="D48" s="142" t="s">
        <v>315</v>
      </c>
      <c r="E48" s="141">
        <v>8288631</v>
      </c>
      <c r="F48" s="161">
        <v>43252</v>
      </c>
      <c r="G48" s="146">
        <v>6.43</v>
      </c>
      <c r="H48" s="127" t="s">
        <v>115</v>
      </c>
      <c r="I48" s="161">
        <v>48731</v>
      </c>
      <c r="J48" s="147">
        <v>4.8000000000000001E-2</v>
      </c>
      <c r="K48" s="147">
        <v>1.7600000000000001E-2</v>
      </c>
      <c r="L48" s="146">
        <v>7250000</v>
      </c>
      <c r="M48" s="146">
        <v>144.02000000000001</v>
      </c>
      <c r="N48" s="146">
        <v>10441.378000000001</v>
      </c>
      <c r="P48" s="127" t="s">
        <v>20</v>
      </c>
      <c r="Q48" s="147">
        <v>1.4800000000000001E-2</v>
      </c>
      <c r="R48" s="147">
        <v>5.4000000000000003E-3</v>
      </c>
    </row>
    <row r="49" spans="1:18" x14ac:dyDescent="0.2">
      <c r="A49" s="141">
        <v>269</v>
      </c>
      <c r="B49" s="141">
        <v>269</v>
      </c>
      <c r="C49" s="142" t="s">
        <v>268</v>
      </c>
      <c r="D49" s="142" t="s">
        <v>316</v>
      </c>
      <c r="E49" s="141">
        <v>8288664</v>
      </c>
      <c r="F49" s="161">
        <v>43345</v>
      </c>
      <c r="G49" s="146">
        <v>6.56</v>
      </c>
      <c r="H49" s="127" t="s">
        <v>115</v>
      </c>
      <c r="I49" s="161">
        <v>48824</v>
      </c>
      <c r="J49" s="147">
        <v>4.8000000000000001E-2</v>
      </c>
      <c r="K49" s="147">
        <v>1.7600000000000001E-2</v>
      </c>
      <c r="L49" s="146">
        <v>3180000</v>
      </c>
      <c r="M49" s="146">
        <v>145.32</v>
      </c>
      <c r="N49" s="146">
        <v>4621.1379999999999</v>
      </c>
      <c r="P49" s="127" t="s">
        <v>20</v>
      </c>
      <c r="Q49" s="147">
        <v>6.4999999999999997E-3</v>
      </c>
      <c r="R49" s="147">
        <v>2.3999999999999998E-3</v>
      </c>
    </row>
    <row r="50" spans="1:18" x14ac:dyDescent="0.2">
      <c r="A50" s="141">
        <v>269</v>
      </c>
      <c r="B50" s="141">
        <v>269</v>
      </c>
      <c r="C50" s="142" t="s">
        <v>268</v>
      </c>
      <c r="D50" s="142" t="s">
        <v>317</v>
      </c>
      <c r="E50" s="141">
        <v>8288698</v>
      </c>
      <c r="F50" s="161">
        <v>43436</v>
      </c>
      <c r="G50" s="146">
        <v>6.81</v>
      </c>
      <c r="H50" s="127" t="s">
        <v>115</v>
      </c>
      <c r="I50" s="161">
        <v>48915</v>
      </c>
      <c r="J50" s="147">
        <v>4.8000000000000001E-2</v>
      </c>
      <c r="K50" s="147">
        <v>1.77E-2</v>
      </c>
      <c r="L50" s="146">
        <v>3840000</v>
      </c>
      <c r="M50" s="146">
        <v>143.94</v>
      </c>
      <c r="N50" s="146">
        <v>5527.3379999999997</v>
      </c>
      <c r="P50" s="127" t="s">
        <v>20</v>
      </c>
      <c r="Q50" s="147">
        <v>7.7999999999999996E-3</v>
      </c>
      <c r="R50" s="147">
        <v>2.8999999999999998E-3</v>
      </c>
    </row>
    <row r="51" spans="1:18" x14ac:dyDescent="0.2">
      <c r="A51" s="141">
        <v>269</v>
      </c>
      <c r="B51" s="141">
        <v>269</v>
      </c>
      <c r="C51" s="142" t="s">
        <v>268</v>
      </c>
      <c r="D51" s="142" t="s">
        <v>318</v>
      </c>
      <c r="E51" s="141">
        <v>8288714</v>
      </c>
      <c r="F51" s="161">
        <v>43497</v>
      </c>
      <c r="G51" s="146">
        <v>6.84</v>
      </c>
      <c r="H51" s="127" t="s">
        <v>115</v>
      </c>
      <c r="I51" s="161">
        <v>48976</v>
      </c>
      <c r="J51" s="147">
        <v>4.8000000000000001E-2</v>
      </c>
      <c r="K51" s="147">
        <v>1.77E-2</v>
      </c>
      <c r="L51" s="146">
        <v>9980000</v>
      </c>
      <c r="M51" s="146">
        <v>147.19</v>
      </c>
      <c r="N51" s="146">
        <v>14689.931</v>
      </c>
      <c r="P51" s="127" t="s">
        <v>20</v>
      </c>
      <c r="Q51" s="147">
        <v>2.0799999999999999E-2</v>
      </c>
      <c r="R51" s="147">
        <v>7.6E-3</v>
      </c>
    </row>
    <row r="52" spans="1:18" x14ac:dyDescent="0.2">
      <c r="A52" s="141">
        <v>269</v>
      </c>
      <c r="B52" s="141">
        <v>269</v>
      </c>
      <c r="C52" s="142" t="s">
        <v>268</v>
      </c>
      <c r="D52" s="142" t="s">
        <v>319</v>
      </c>
      <c r="E52" s="141">
        <v>8288722</v>
      </c>
      <c r="F52" s="161">
        <v>43525</v>
      </c>
      <c r="G52" s="146">
        <v>6.92</v>
      </c>
      <c r="H52" s="127" t="s">
        <v>115</v>
      </c>
      <c r="I52" s="161">
        <v>49004</v>
      </c>
      <c r="J52" s="147">
        <v>4.8000000000000001E-2</v>
      </c>
      <c r="K52" s="147">
        <v>1.77E-2</v>
      </c>
      <c r="L52" s="146">
        <v>730000</v>
      </c>
      <c r="M52" s="146">
        <v>147.11000000000001</v>
      </c>
      <c r="N52" s="146">
        <v>1073.8679999999999</v>
      </c>
      <c r="P52" s="127" t="s">
        <v>20</v>
      </c>
      <c r="Q52" s="147">
        <v>1.5E-3</v>
      </c>
      <c r="R52" s="147">
        <v>5.9999999999999995E-4</v>
      </c>
    </row>
    <row r="53" spans="1:18" x14ac:dyDescent="0.2">
      <c r="A53" s="141">
        <v>269</v>
      </c>
      <c r="B53" s="141">
        <v>269</v>
      </c>
      <c r="C53" s="142" t="s">
        <v>268</v>
      </c>
      <c r="D53" s="142" t="s">
        <v>320</v>
      </c>
      <c r="E53" s="141">
        <v>8288755</v>
      </c>
      <c r="F53" s="161">
        <v>43618</v>
      </c>
      <c r="G53" s="146">
        <v>7.17</v>
      </c>
      <c r="H53" s="127" t="s">
        <v>115</v>
      </c>
      <c r="I53" s="161">
        <v>49097</v>
      </c>
      <c r="J53" s="147">
        <v>4.8000000000000001E-2</v>
      </c>
      <c r="K53" s="147">
        <v>1.77E-2</v>
      </c>
      <c r="L53" s="146">
        <v>7010000</v>
      </c>
      <c r="M53" s="146">
        <v>145.11000000000001</v>
      </c>
      <c r="N53" s="146">
        <v>10172.043</v>
      </c>
      <c r="P53" s="127" t="s">
        <v>20</v>
      </c>
      <c r="Q53" s="147">
        <v>1.44E-2</v>
      </c>
      <c r="R53" s="147">
        <v>5.3E-3</v>
      </c>
    </row>
    <row r="54" spans="1:18" x14ac:dyDescent="0.2">
      <c r="A54" s="141">
        <v>269</v>
      </c>
      <c r="B54" s="141">
        <v>269</v>
      </c>
      <c r="C54" s="142" t="s">
        <v>268</v>
      </c>
      <c r="D54" s="142" t="s">
        <v>321</v>
      </c>
      <c r="E54" s="141">
        <v>8288763</v>
      </c>
      <c r="F54" s="161">
        <v>43647</v>
      </c>
      <c r="G54" s="146">
        <v>7.12</v>
      </c>
      <c r="H54" s="127" t="s">
        <v>115</v>
      </c>
      <c r="I54" s="161">
        <v>49126</v>
      </c>
      <c r="J54" s="147">
        <v>4.8000000000000001E-2</v>
      </c>
      <c r="K54" s="147">
        <v>1.77E-2</v>
      </c>
      <c r="L54" s="146">
        <v>5570000</v>
      </c>
      <c r="M54" s="146">
        <v>146.69</v>
      </c>
      <c r="N54" s="146">
        <v>8170.5829999999996</v>
      </c>
      <c r="P54" s="127" t="s">
        <v>20</v>
      </c>
      <c r="Q54" s="147">
        <v>1.15E-2</v>
      </c>
      <c r="R54" s="147">
        <v>4.1999999999999997E-3</v>
      </c>
    </row>
    <row r="55" spans="1:18" x14ac:dyDescent="0.2">
      <c r="A55" s="141">
        <v>269</v>
      </c>
      <c r="B55" s="141">
        <v>269</v>
      </c>
      <c r="C55" s="142" t="s">
        <v>268</v>
      </c>
      <c r="D55" s="142" t="s">
        <v>322</v>
      </c>
      <c r="E55" s="141">
        <v>8288771</v>
      </c>
      <c r="F55" s="161">
        <v>43678</v>
      </c>
      <c r="G55" s="146">
        <v>7.2</v>
      </c>
      <c r="H55" s="127" t="s">
        <v>115</v>
      </c>
      <c r="I55" s="161">
        <v>49157</v>
      </c>
      <c r="J55" s="147">
        <v>4.8000000000000001E-2</v>
      </c>
      <c r="K55" s="147">
        <v>1.78E-2</v>
      </c>
      <c r="L55" s="146">
        <v>2740000</v>
      </c>
      <c r="M55" s="146">
        <v>147.34</v>
      </c>
      <c r="N55" s="146">
        <v>4037.1570000000002</v>
      </c>
      <c r="P55" s="127" t="s">
        <v>20</v>
      </c>
      <c r="Q55" s="147">
        <v>5.7000000000000002E-3</v>
      </c>
      <c r="R55" s="147">
        <v>2.0999999999999999E-3</v>
      </c>
    </row>
    <row r="56" spans="1:18" x14ac:dyDescent="0.2">
      <c r="A56" s="141">
        <v>269</v>
      </c>
      <c r="B56" s="141">
        <v>269</v>
      </c>
      <c r="C56" s="142" t="s">
        <v>268</v>
      </c>
      <c r="D56" s="142" t="s">
        <v>323</v>
      </c>
      <c r="E56" s="141">
        <v>8288805</v>
      </c>
      <c r="F56" s="161">
        <v>43770</v>
      </c>
      <c r="G56" s="146">
        <v>7.45</v>
      </c>
      <c r="H56" s="127" t="s">
        <v>115</v>
      </c>
      <c r="I56" s="161">
        <v>49249</v>
      </c>
      <c r="J56" s="147">
        <v>4.8000000000000001E-2</v>
      </c>
      <c r="K56" s="147">
        <v>1.78E-2</v>
      </c>
      <c r="L56" s="146">
        <v>5920000</v>
      </c>
      <c r="M56" s="146">
        <v>147.09</v>
      </c>
      <c r="N56" s="146">
        <v>8707.6980000000003</v>
      </c>
      <c r="P56" s="127" t="s">
        <v>20</v>
      </c>
      <c r="Q56" s="147">
        <v>1.23E-2</v>
      </c>
      <c r="R56" s="147">
        <v>4.4999999999999997E-3</v>
      </c>
    </row>
    <row r="57" spans="1:18" x14ac:dyDescent="0.2">
      <c r="A57" s="141">
        <v>269</v>
      </c>
      <c r="B57" s="141">
        <v>269</v>
      </c>
      <c r="C57" s="142" t="s">
        <v>268</v>
      </c>
      <c r="D57" s="142" t="s">
        <v>324</v>
      </c>
      <c r="E57" s="141">
        <v>8288813</v>
      </c>
      <c r="F57" s="161">
        <v>43800</v>
      </c>
      <c r="G57" s="146">
        <v>7.53</v>
      </c>
      <c r="H57" s="127" t="s">
        <v>115</v>
      </c>
      <c r="I57" s="161">
        <v>49279</v>
      </c>
      <c r="J57" s="147">
        <v>4.8000000000000001E-2</v>
      </c>
      <c r="K57" s="147">
        <v>1.78E-2</v>
      </c>
      <c r="L57" s="146">
        <v>9450000</v>
      </c>
      <c r="M57" s="146">
        <v>146.26</v>
      </c>
      <c r="N57" s="146">
        <v>13821.485000000001</v>
      </c>
      <c r="P57" s="127" t="s">
        <v>20</v>
      </c>
      <c r="Q57" s="147">
        <v>1.95E-2</v>
      </c>
      <c r="R57" s="147">
        <v>7.1000000000000004E-3</v>
      </c>
    </row>
    <row r="58" spans="1:18" x14ac:dyDescent="0.2">
      <c r="A58" s="141">
        <v>269</v>
      </c>
      <c r="B58" s="141">
        <v>269</v>
      </c>
      <c r="C58" s="142" t="s">
        <v>268</v>
      </c>
      <c r="D58" s="142" t="s">
        <v>325</v>
      </c>
      <c r="E58" s="141">
        <v>8288920</v>
      </c>
      <c r="F58" s="161">
        <v>44166</v>
      </c>
      <c r="G58" s="146">
        <v>8.24</v>
      </c>
      <c r="H58" s="127" t="s">
        <v>115</v>
      </c>
      <c r="I58" s="161">
        <v>49644</v>
      </c>
      <c r="J58" s="147">
        <v>4.8000000000000001E-2</v>
      </c>
      <c r="K58" s="147">
        <v>1.7999999999999999E-2</v>
      </c>
      <c r="L58" s="146">
        <v>2850000</v>
      </c>
      <c r="M58" s="146">
        <v>150.24</v>
      </c>
      <c r="N58" s="146">
        <v>4281.826</v>
      </c>
      <c r="P58" s="127" t="s">
        <v>20</v>
      </c>
      <c r="Q58" s="147">
        <v>6.1000000000000004E-3</v>
      </c>
      <c r="R58" s="147">
        <v>2.2000000000000001E-3</v>
      </c>
    </row>
    <row r="59" spans="1:18" x14ac:dyDescent="0.2">
      <c r="A59" s="141">
        <v>269</v>
      </c>
      <c r="B59" s="141">
        <v>269</v>
      </c>
      <c r="C59" s="142" t="s">
        <v>268</v>
      </c>
      <c r="D59" s="142" t="s">
        <v>326</v>
      </c>
      <c r="E59" s="141">
        <v>8288946</v>
      </c>
      <c r="F59" s="161">
        <v>44228</v>
      </c>
      <c r="G59" s="146">
        <v>8.25</v>
      </c>
      <c r="H59" s="127" t="s">
        <v>115</v>
      </c>
      <c r="I59" s="161">
        <v>49706</v>
      </c>
      <c r="J59" s="147">
        <v>4.8000000000000001E-2</v>
      </c>
      <c r="K59" s="147">
        <v>1.7999999999999999E-2</v>
      </c>
      <c r="L59" s="146">
        <v>10480000</v>
      </c>
      <c r="M59" s="146">
        <v>153.07</v>
      </c>
      <c r="N59" s="146">
        <v>16041.401</v>
      </c>
      <c r="P59" s="127" t="s">
        <v>20</v>
      </c>
      <c r="Q59" s="147">
        <v>2.2700000000000001E-2</v>
      </c>
      <c r="R59" s="147">
        <v>8.3000000000000001E-3</v>
      </c>
    </row>
    <row r="60" spans="1:18" x14ac:dyDescent="0.2">
      <c r="A60" s="141">
        <v>269</v>
      </c>
      <c r="B60" s="141">
        <v>269</v>
      </c>
      <c r="C60" s="142" t="s">
        <v>268</v>
      </c>
      <c r="D60" s="142" t="s">
        <v>327</v>
      </c>
      <c r="E60" s="141">
        <v>8288953</v>
      </c>
      <c r="F60" s="161">
        <v>44256</v>
      </c>
      <c r="G60" s="146">
        <v>8.34</v>
      </c>
      <c r="H60" s="127" t="s">
        <v>115</v>
      </c>
      <c r="I60" s="161">
        <v>49735</v>
      </c>
      <c r="J60" s="147">
        <v>4.8000000000000001E-2</v>
      </c>
      <c r="K60" s="147">
        <v>1.7999999999999999E-2</v>
      </c>
      <c r="L60" s="146">
        <v>5220000</v>
      </c>
      <c r="M60" s="146">
        <v>152.94999999999999</v>
      </c>
      <c r="N60" s="146">
        <v>7984.1620000000003</v>
      </c>
      <c r="P60" s="127" t="s">
        <v>20</v>
      </c>
      <c r="Q60" s="147">
        <v>1.1299999999999999E-2</v>
      </c>
      <c r="R60" s="147">
        <v>4.1000000000000003E-3</v>
      </c>
    </row>
    <row r="61" spans="1:18" x14ac:dyDescent="0.2">
      <c r="A61" s="141">
        <v>269</v>
      </c>
      <c r="B61" s="141">
        <v>269</v>
      </c>
      <c r="C61" s="142" t="s">
        <v>268</v>
      </c>
      <c r="D61" s="142" t="s">
        <v>328</v>
      </c>
      <c r="E61" s="141">
        <v>8288961</v>
      </c>
      <c r="F61" s="161">
        <v>44287</v>
      </c>
      <c r="G61" s="146">
        <v>8.42</v>
      </c>
      <c r="H61" s="127" t="s">
        <v>115</v>
      </c>
      <c r="I61" s="161">
        <v>49766</v>
      </c>
      <c r="J61" s="147">
        <v>4.8000000000000001E-2</v>
      </c>
      <c r="K61" s="147">
        <v>1.7999999999999999E-2</v>
      </c>
      <c r="L61" s="146">
        <v>8490000</v>
      </c>
      <c r="M61" s="146">
        <v>152.27000000000001</v>
      </c>
      <c r="N61" s="146">
        <v>12927.536</v>
      </c>
      <c r="P61" s="127" t="s">
        <v>20</v>
      </c>
      <c r="Q61" s="147">
        <v>1.83E-2</v>
      </c>
      <c r="R61" s="147">
        <v>6.7000000000000002E-3</v>
      </c>
    </row>
    <row r="62" spans="1:18" x14ac:dyDescent="0.2">
      <c r="A62" s="141">
        <v>269</v>
      </c>
      <c r="B62" s="141">
        <v>269</v>
      </c>
      <c r="C62" s="142" t="s">
        <v>268</v>
      </c>
      <c r="D62" s="142" t="s">
        <v>329</v>
      </c>
      <c r="E62" s="141">
        <v>8288979</v>
      </c>
      <c r="F62" s="161">
        <v>44320</v>
      </c>
      <c r="G62" s="146">
        <v>8.5</v>
      </c>
      <c r="H62" s="127" t="s">
        <v>115</v>
      </c>
      <c r="I62" s="161">
        <v>49796</v>
      </c>
      <c r="J62" s="147">
        <v>4.8000000000000001E-2</v>
      </c>
      <c r="K62" s="147">
        <v>1.7999999999999999E-2</v>
      </c>
      <c r="L62" s="146">
        <v>13990000</v>
      </c>
      <c r="M62" s="146">
        <v>151.13</v>
      </c>
      <c r="N62" s="146">
        <v>21142.863000000001</v>
      </c>
      <c r="P62" s="127" t="s">
        <v>20</v>
      </c>
      <c r="Q62" s="147">
        <v>2.9899999999999999E-2</v>
      </c>
      <c r="R62" s="147">
        <v>1.09E-2</v>
      </c>
    </row>
    <row r="63" spans="1:18" x14ac:dyDescent="0.2">
      <c r="A63" s="141">
        <v>269</v>
      </c>
      <c r="B63" s="141">
        <v>269</v>
      </c>
      <c r="C63" s="142" t="s">
        <v>268</v>
      </c>
      <c r="D63" s="142" t="s">
        <v>330</v>
      </c>
      <c r="E63" s="141">
        <v>8288987</v>
      </c>
      <c r="F63" s="161">
        <v>44348</v>
      </c>
      <c r="G63" s="146">
        <v>8.59</v>
      </c>
      <c r="H63" s="127" t="s">
        <v>115</v>
      </c>
      <c r="I63" s="161">
        <v>49827</v>
      </c>
      <c r="J63" s="147">
        <v>4.8000000000000001E-2</v>
      </c>
      <c r="K63" s="147">
        <v>1.7999999999999999E-2</v>
      </c>
      <c r="L63" s="146">
        <v>2250000</v>
      </c>
      <c r="M63" s="146">
        <v>150.41</v>
      </c>
      <c r="N63" s="146">
        <v>3384.2179999999998</v>
      </c>
      <c r="P63" s="127" t="s">
        <v>20</v>
      </c>
      <c r="Q63" s="147">
        <v>4.7999999999999996E-3</v>
      </c>
      <c r="R63" s="147">
        <v>1.6999999999999999E-3</v>
      </c>
    </row>
    <row r="64" spans="1:18" x14ac:dyDescent="0.2">
      <c r="A64" s="141">
        <v>269</v>
      </c>
      <c r="B64" s="141">
        <v>269</v>
      </c>
      <c r="C64" s="142" t="s">
        <v>268</v>
      </c>
      <c r="D64" s="142" t="s">
        <v>331</v>
      </c>
      <c r="E64" s="141">
        <v>8288995</v>
      </c>
      <c r="F64" s="161">
        <v>44378</v>
      </c>
      <c r="G64" s="146">
        <v>8.51</v>
      </c>
      <c r="H64" s="127" t="s">
        <v>115</v>
      </c>
      <c r="I64" s="161">
        <v>49858</v>
      </c>
      <c r="J64" s="147">
        <v>4.8000000000000001E-2</v>
      </c>
      <c r="K64" s="147">
        <v>1.7999999999999999E-2</v>
      </c>
      <c r="L64" s="146">
        <v>3110000</v>
      </c>
      <c r="M64" s="146">
        <v>152.38</v>
      </c>
      <c r="N64" s="146">
        <v>4739.1210000000001</v>
      </c>
      <c r="P64" s="127" t="s">
        <v>20</v>
      </c>
      <c r="Q64" s="147">
        <v>6.7000000000000002E-3</v>
      </c>
      <c r="R64" s="147">
        <v>2.3999999999999998E-3</v>
      </c>
    </row>
    <row r="65" spans="1:18" x14ac:dyDescent="0.2">
      <c r="A65" s="141">
        <v>269</v>
      </c>
      <c r="B65" s="141">
        <v>269</v>
      </c>
      <c r="C65" s="142" t="s">
        <v>268</v>
      </c>
      <c r="D65" s="142" t="s">
        <v>332</v>
      </c>
      <c r="E65" s="141">
        <v>8289019</v>
      </c>
      <c r="F65" s="161">
        <v>44440</v>
      </c>
      <c r="G65" s="146">
        <v>8.68</v>
      </c>
      <c r="H65" s="127" t="s">
        <v>115</v>
      </c>
      <c r="I65" s="161">
        <v>49919</v>
      </c>
      <c r="J65" s="147">
        <v>4.8000000000000001E-2</v>
      </c>
      <c r="K65" s="147">
        <v>1.8100000000000002E-2</v>
      </c>
      <c r="L65" s="146">
        <v>11100000</v>
      </c>
      <c r="M65" s="146">
        <v>151.13999999999999</v>
      </c>
      <c r="N65" s="146">
        <v>16776.163</v>
      </c>
      <c r="P65" s="127" t="s">
        <v>20</v>
      </c>
      <c r="Q65" s="147">
        <v>2.3699999999999999E-2</v>
      </c>
      <c r="R65" s="147">
        <v>8.6999999999999994E-3</v>
      </c>
    </row>
    <row r="66" spans="1:18" x14ac:dyDescent="0.2">
      <c r="A66" s="141">
        <v>269</v>
      </c>
      <c r="B66" s="141">
        <v>269</v>
      </c>
      <c r="C66" s="142" t="s">
        <v>268</v>
      </c>
      <c r="D66" s="142" t="s">
        <v>333</v>
      </c>
      <c r="E66" s="141">
        <v>8289035</v>
      </c>
      <c r="F66" s="161">
        <v>44501</v>
      </c>
      <c r="G66" s="146">
        <v>8.84</v>
      </c>
      <c r="H66" s="127" t="s">
        <v>115</v>
      </c>
      <c r="I66" s="161">
        <v>49980</v>
      </c>
      <c r="J66" s="147">
        <v>4.8000000000000001E-2</v>
      </c>
      <c r="K66" s="147">
        <v>1.8100000000000002E-2</v>
      </c>
      <c r="L66" s="146">
        <v>9000000</v>
      </c>
      <c r="M66" s="146">
        <v>149.94</v>
      </c>
      <c r="N66" s="146">
        <v>13494.663</v>
      </c>
      <c r="P66" s="127" t="s">
        <v>20</v>
      </c>
      <c r="Q66" s="147">
        <v>1.9099999999999999E-2</v>
      </c>
      <c r="R66" s="147">
        <v>7.0000000000000001E-3</v>
      </c>
    </row>
    <row r="67" spans="1:18" x14ac:dyDescent="0.2">
      <c r="A67" s="141">
        <v>269</v>
      </c>
      <c r="B67" s="141">
        <v>269</v>
      </c>
      <c r="C67" s="142" t="s">
        <v>268</v>
      </c>
      <c r="D67" s="142" t="s">
        <v>334</v>
      </c>
      <c r="E67" s="141">
        <v>8289043</v>
      </c>
      <c r="F67" s="161">
        <v>44531</v>
      </c>
      <c r="G67" s="146">
        <v>8.92</v>
      </c>
      <c r="H67" s="127" t="s">
        <v>115</v>
      </c>
      <c r="I67" s="161">
        <v>50010</v>
      </c>
      <c r="J67" s="147">
        <v>4.8000000000000001E-2</v>
      </c>
      <c r="K67" s="147">
        <v>1.8100000000000002E-2</v>
      </c>
      <c r="L67" s="146">
        <v>18770000</v>
      </c>
      <c r="M67" s="146">
        <v>149.53</v>
      </c>
      <c r="N67" s="146">
        <v>28066.95</v>
      </c>
      <c r="P67" s="127" t="s">
        <v>20</v>
      </c>
      <c r="Q67" s="147">
        <v>3.9699999999999999E-2</v>
      </c>
      <c r="R67" s="147">
        <v>1.4500000000000001E-2</v>
      </c>
    </row>
    <row r="68" spans="1:18" x14ac:dyDescent="0.2">
      <c r="A68" s="141">
        <v>269</v>
      </c>
      <c r="B68" s="141">
        <v>269</v>
      </c>
      <c r="C68" s="142" t="s">
        <v>268</v>
      </c>
      <c r="D68" s="142" t="s">
        <v>335</v>
      </c>
      <c r="E68" s="141">
        <v>8289050</v>
      </c>
      <c r="F68" s="161">
        <v>44563</v>
      </c>
      <c r="G68" s="146">
        <v>8.85</v>
      </c>
      <c r="H68" s="127" t="s">
        <v>115</v>
      </c>
      <c r="I68" s="161">
        <v>50041</v>
      </c>
      <c r="J68" s="147">
        <v>4.8000000000000001E-2</v>
      </c>
      <c r="K68" s="147">
        <v>1.8100000000000002E-2</v>
      </c>
      <c r="L68" s="146">
        <v>1010000</v>
      </c>
      <c r="M68" s="146">
        <v>152.21</v>
      </c>
      <c r="N68" s="146">
        <v>1537.29</v>
      </c>
      <c r="P68" s="127" t="s">
        <v>20</v>
      </c>
      <c r="Q68" s="147">
        <v>2.2000000000000001E-3</v>
      </c>
      <c r="R68" s="147">
        <v>8.0000000000000004E-4</v>
      </c>
    </row>
    <row r="69" spans="1:18" x14ac:dyDescent="0.2">
      <c r="A69" s="141">
        <v>269</v>
      </c>
      <c r="B69" s="141">
        <v>269</v>
      </c>
      <c r="C69" s="142" t="s">
        <v>268</v>
      </c>
      <c r="D69" s="142" t="s">
        <v>336</v>
      </c>
      <c r="E69" s="141">
        <v>8289068</v>
      </c>
      <c r="F69" s="161">
        <v>44593</v>
      </c>
      <c r="G69" s="146">
        <v>8.93</v>
      </c>
      <c r="H69" s="127" t="s">
        <v>115</v>
      </c>
      <c r="I69" s="161">
        <v>50072</v>
      </c>
      <c r="J69" s="147">
        <v>4.8000000000000001E-2</v>
      </c>
      <c r="K69" s="147">
        <v>1.8100000000000002E-2</v>
      </c>
      <c r="L69" s="146">
        <v>2650000</v>
      </c>
      <c r="M69" s="146">
        <v>151.54</v>
      </c>
      <c r="N69" s="146">
        <v>4015.701</v>
      </c>
      <c r="P69" s="127" t="s">
        <v>20</v>
      </c>
      <c r="Q69" s="147">
        <v>5.7000000000000002E-3</v>
      </c>
      <c r="R69" s="147">
        <v>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8" width="9" style="2" hidden="1" customWidth="1"/>
    <col min="9" max="16384" width="9" style="2" hidden="1"/>
  </cols>
  <sheetData>
    <row r="1" spans="1:7" ht="38.25" x14ac:dyDescent="0.2">
      <c r="A1" s="18" t="s">
        <v>337</v>
      </c>
      <c r="B1" s="18" t="s">
        <v>55</v>
      </c>
      <c r="C1" s="18" t="s">
        <v>59</v>
      </c>
      <c r="D1" s="18" t="s">
        <v>338</v>
      </c>
      <c r="E1" s="18" t="s">
        <v>339</v>
      </c>
      <c r="F1" s="18" t="s">
        <v>340</v>
      </c>
      <c r="G1" s="18" t="s">
        <v>70</v>
      </c>
    </row>
    <row r="2" spans="1:7" x14ac:dyDescent="0.2">
      <c r="A2" s="19"/>
      <c r="B2" s="19"/>
      <c r="C2" s="19"/>
      <c r="D2" s="115"/>
      <c r="G2" s="24"/>
    </row>
    <row r="3" spans="1:7" x14ac:dyDescent="0.2">
      <c r="A3" s="19"/>
      <c r="B3" s="19"/>
      <c r="C3" s="19"/>
      <c r="G3" s="19"/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41" width="9" hidden="1" customWidth="1"/>
    <col min="42" max="16384" width="9" hidden="1"/>
  </cols>
  <sheetData>
    <row r="1" spans="1:40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103</v>
      </c>
      <c r="M1" s="18" t="s">
        <v>61</v>
      </c>
      <c r="N1" s="18" t="s">
        <v>266</v>
      </c>
      <c r="O1" s="18" t="s">
        <v>85</v>
      </c>
      <c r="P1" s="18" t="s">
        <v>63</v>
      </c>
      <c r="Q1" s="18" t="s">
        <v>104</v>
      </c>
      <c r="R1" s="18" t="s">
        <v>64</v>
      </c>
      <c r="S1" s="18" t="s">
        <v>86</v>
      </c>
      <c r="T1" s="18" t="s">
        <v>267</v>
      </c>
      <c r="U1" s="18" t="s">
        <v>105</v>
      </c>
      <c r="V1" s="18" t="s">
        <v>87</v>
      </c>
      <c r="W1" s="18" t="s">
        <v>67</v>
      </c>
      <c r="X1" s="18" t="s">
        <v>88</v>
      </c>
      <c r="Y1" s="18" t="s">
        <v>106</v>
      </c>
      <c r="Z1" s="18" t="s">
        <v>107</v>
      </c>
      <c r="AA1" s="18" t="s">
        <v>341</v>
      </c>
      <c r="AB1" s="18" t="s">
        <v>342</v>
      </c>
      <c r="AC1" s="18" t="s">
        <v>343</v>
      </c>
      <c r="AD1" s="18" t="s">
        <v>344</v>
      </c>
      <c r="AE1" s="18" t="s">
        <v>345</v>
      </c>
      <c r="AF1" s="18" t="s">
        <v>90</v>
      </c>
      <c r="AG1" s="18" t="s">
        <v>66</v>
      </c>
      <c r="AH1" s="18" t="s">
        <v>91</v>
      </c>
      <c r="AI1" s="18" t="s">
        <v>68</v>
      </c>
      <c r="AJ1" s="18" t="s">
        <v>92</v>
      </c>
      <c r="AK1" s="18" t="s">
        <v>108</v>
      </c>
      <c r="AL1" s="18" t="s">
        <v>22</v>
      </c>
      <c r="AM1" s="18" t="s">
        <v>69</v>
      </c>
      <c r="AN1" s="18" t="s">
        <v>70</v>
      </c>
    </row>
    <row r="2" spans="1:40" x14ac:dyDescent="0.2">
      <c r="A2" s="24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X2" s="19"/>
      <c r="Y2" s="17"/>
      <c r="Z2" s="19"/>
      <c r="AA2" s="19"/>
      <c r="AB2" s="19"/>
      <c r="AC2" s="19"/>
      <c r="AD2" s="19"/>
      <c r="AE2" s="19"/>
      <c r="AF2" s="19"/>
      <c r="AG2" s="19"/>
      <c r="AH2" s="19"/>
      <c r="AI2" s="19"/>
      <c r="AK2" s="24"/>
      <c r="AL2" s="19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S1" workbookViewId="0">
      <selection activeCell="AL2" sqref="AL2:AL5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hidden="1" customWidth="1"/>
    <col min="40" max="16384" width="9" style="2" hidden="1"/>
  </cols>
  <sheetData>
    <row r="1" spans="1:38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109</v>
      </c>
      <c r="M1" s="18" t="s">
        <v>103</v>
      </c>
      <c r="N1" s="18" t="s">
        <v>61</v>
      </c>
      <c r="O1" s="18" t="s">
        <v>266</v>
      </c>
      <c r="P1" s="18" t="s">
        <v>85</v>
      </c>
      <c r="Q1" s="18" t="s">
        <v>63</v>
      </c>
      <c r="R1" s="18" t="s">
        <v>104</v>
      </c>
      <c r="S1" s="18" t="s">
        <v>64</v>
      </c>
      <c r="T1" s="18" t="s">
        <v>86</v>
      </c>
      <c r="U1" s="18" t="s">
        <v>87</v>
      </c>
      <c r="V1" s="18" t="s">
        <v>88</v>
      </c>
      <c r="W1" s="18" t="s">
        <v>67</v>
      </c>
      <c r="X1" s="18" t="s">
        <v>106</v>
      </c>
      <c r="Y1" s="18" t="s">
        <v>107</v>
      </c>
      <c r="Z1" s="18" t="s">
        <v>341</v>
      </c>
      <c r="AA1" s="18" t="s">
        <v>342</v>
      </c>
      <c r="AB1" s="18" t="s">
        <v>344</v>
      </c>
      <c r="AC1" s="18" t="s">
        <v>345</v>
      </c>
      <c r="AD1" s="18" t="s">
        <v>90</v>
      </c>
      <c r="AE1" s="18" t="s">
        <v>66</v>
      </c>
      <c r="AF1" s="18" t="s">
        <v>91</v>
      </c>
      <c r="AG1" s="18" t="s">
        <v>68</v>
      </c>
      <c r="AH1" s="18" t="s">
        <v>92</v>
      </c>
      <c r="AI1" s="18" t="s">
        <v>108</v>
      </c>
      <c r="AJ1" s="18" t="s">
        <v>22</v>
      </c>
      <c r="AK1" s="18" t="s">
        <v>69</v>
      </c>
      <c r="AL1" s="18" t="s">
        <v>70</v>
      </c>
    </row>
    <row r="2" spans="1:38" x14ac:dyDescent="0.2">
      <c r="A2" s="141">
        <v>269</v>
      </c>
      <c r="B2" s="154">
        <v>269</v>
      </c>
      <c r="C2" s="155" t="s">
        <v>134</v>
      </c>
      <c r="D2" s="154">
        <v>520010869</v>
      </c>
      <c r="E2" s="149" t="s">
        <v>111</v>
      </c>
      <c r="F2" s="155" t="s">
        <v>346</v>
      </c>
      <c r="G2" s="155" t="s">
        <v>347</v>
      </c>
      <c r="H2" s="155" t="s">
        <v>114</v>
      </c>
      <c r="I2" s="155" t="s">
        <v>348</v>
      </c>
      <c r="J2" s="149" t="s">
        <v>75</v>
      </c>
      <c r="K2" s="149" t="s">
        <v>75</v>
      </c>
      <c r="L2" s="155" t="s">
        <v>349</v>
      </c>
      <c r="M2" s="155" t="s">
        <v>137</v>
      </c>
      <c r="N2" s="155" t="s">
        <v>76</v>
      </c>
      <c r="O2" s="158">
        <v>39084</v>
      </c>
      <c r="P2" s="155" t="s">
        <v>77</v>
      </c>
      <c r="Q2" s="155" t="s">
        <v>78</v>
      </c>
      <c r="R2" s="155" t="s">
        <v>119</v>
      </c>
      <c r="S2" s="149" t="s">
        <v>79</v>
      </c>
      <c r="T2" s="157">
        <v>5.37</v>
      </c>
      <c r="U2" s="158">
        <v>50034</v>
      </c>
      <c r="V2" s="159">
        <v>2.41E-2</v>
      </c>
      <c r="W2" s="147">
        <v>4.9000000000000002E-2</v>
      </c>
      <c r="X2" s="149" t="s">
        <v>120</v>
      </c>
      <c r="Y2" s="149" t="s">
        <v>76</v>
      </c>
      <c r="Z2" s="155" t="s">
        <v>350</v>
      </c>
      <c r="AA2" s="155" t="s">
        <v>351</v>
      </c>
      <c r="AB2" s="161">
        <v>46022</v>
      </c>
      <c r="AC2" s="19"/>
      <c r="AD2" s="157">
        <v>10821423.109999999</v>
      </c>
      <c r="AE2" s="160">
        <v>1</v>
      </c>
      <c r="AF2" s="157">
        <v>161.76</v>
      </c>
      <c r="AG2" s="157">
        <v>17504.734</v>
      </c>
      <c r="AH2" s="19"/>
      <c r="AI2" s="24"/>
      <c r="AJ2" s="155" t="s">
        <v>20</v>
      </c>
      <c r="AK2" s="147">
        <v>0.55530000000000002</v>
      </c>
      <c r="AL2" s="147">
        <v>8.9999999999999993E-3</v>
      </c>
    </row>
    <row r="3" spans="1:38" x14ac:dyDescent="0.2">
      <c r="A3" s="154">
        <v>269</v>
      </c>
      <c r="B3" s="154">
        <v>269</v>
      </c>
      <c r="C3" s="155" t="s">
        <v>352</v>
      </c>
      <c r="D3" s="154">
        <v>520041690</v>
      </c>
      <c r="E3" s="149" t="s">
        <v>111</v>
      </c>
      <c r="F3" s="155" t="s">
        <v>353</v>
      </c>
      <c r="G3" s="155" t="s">
        <v>354</v>
      </c>
      <c r="H3" s="155" t="s">
        <v>114</v>
      </c>
      <c r="I3" s="155" t="s">
        <v>348</v>
      </c>
      <c r="J3" s="149" t="s">
        <v>75</v>
      </c>
      <c r="K3" s="149" t="s">
        <v>75</v>
      </c>
      <c r="L3" s="155" t="s">
        <v>349</v>
      </c>
      <c r="M3" s="155" t="s">
        <v>355</v>
      </c>
      <c r="N3" s="155" t="s">
        <v>76</v>
      </c>
      <c r="O3" s="158">
        <v>39481</v>
      </c>
      <c r="P3" s="155" t="s">
        <v>99</v>
      </c>
      <c r="Q3" s="19"/>
      <c r="R3" s="155" t="s">
        <v>119</v>
      </c>
      <c r="S3" s="149" t="s">
        <v>79</v>
      </c>
      <c r="T3" s="157">
        <v>0.49</v>
      </c>
      <c r="U3" s="158">
        <v>46203</v>
      </c>
      <c r="V3" s="159">
        <v>2.238</v>
      </c>
      <c r="W3" s="147">
        <v>5.6000000000000001E-2</v>
      </c>
      <c r="X3" s="149" t="s">
        <v>120</v>
      </c>
      <c r="Y3" s="149" t="s">
        <v>76</v>
      </c>
      <c r="Z3" s="155" t="s">
        <v>349</v>
      </c>
      <c r="AA3" s="155" t="s">
        <v>351</v>
      </c>
      <c r="AB3" s="161">
        <v>46022</v>
      </c>
      <c r="AC3" s="19"/>
      <c r="AD3" s="157">
        <v>1462567.04</v>
      </c>
      <c r="AE3" s="160">
        <v>1</v>
      </c>
      <c r="AF3" s="157">
        <v>143.01</v>
      </c>
      <c r="AG3" s="157">
        <v>2091.6170000000002</v>
      </c>
      <c r="AH3" s="19"/>
      <c r="AI3" s="19"/>
      <c r="AJ3" s="155" t="s">
        <v>20</v>
      </c>
      <c r="AK3" s="147">
        <v>6.6400000000000001E-2</v>
      </c>
      <c r="AL3" s="147">
        <v>1.1000000000000001E-3</v>
      </c>
    </row>
    <row r="4" spans="1:38" x14ac:dyDescent="0.2">
      <c r="A4" s="154">
        <v>269</v>
      </c>
      <c r="B4" s="154">
        <v>269</v>
      </c>
      <c r="C4" s="155" t="s">
        <v>356</v>
      </c>
      <c r="D4" s="154">
        <v>513436394</v>
      </c>
      <c r="E4" s="149" t="s">
        <v>111</v>
      </c>
      <c r="F4" s="155" t="s">
        <v>357</v>
      </c>
      <c r="G4" s="155" t="s">
        <v>358</v>
      </c>
      <c r="H4" s="155" t="s">
        <v>114</v>
      </c>
      <c r="I4" s="155" t="s">
        <v>348</v>
      </c>
      <c r="J4" s="149" t="s">
        <v>75</v>
      </c>
      <c r="K4" s="149" t="s">
        <v>75</v>
      </c>
      <c r="L4" s="155" t="s">
        <v>349</v>
      </c>
      <c r="M4" s="155" t="s">
        <v>137</v>
      </c>
      <c r="N4" s="155" t="s">
        <v>76</v>
      </c>
      <c r="O4" s="161">
        <v>39887</v>
      </c>
      <c r="P4" s="155" t="s">
        <v>77</v>
      </c>
      <c r="Q4" s="155" t="s">
        <v>78</v>
      </c>
      <c r="R4" s="155" t="s">
        <v>119</v>
      </c>
      <c r="S4" s="155" t="s">
        <v>79</v>
      </c>
      <c r="T4" s="157">
        <v>0.56999999999999995</v>
      </c>
      <c r="U4" s="158">
        <v>46385</v>
      </c>
      <c r="V4" s="159">
        <v>2.87E-2</v>
      </c>
      <c r="W4" s="147">
        <v>5.6000000000000001E-2</v>
      </c>
      <c r="X4" s="149" t="s">
        <v>120</v>
      </c>
      <c r="Y4" s="149" t="s">
        <v>76</v>
      </c>
      <c r="Z4" s="155" t="s">
        <v>350</v>
      </c>
      <c r="AA4" s="155" t="s">
        <v>351</v>
      </c>
      <c r="AB4" s="161">
        <v>46022</v>
      </c>
      <c r="AD4" s="146">
        <v>1637504.92</v>
      </c>
      <c r="AE4" s="160">
        <v>1</v>
      </c>
      <c r="AF4" s="157">
        <v>144.75</v>
      </c>
      <c r="AG4" s="157">
        <v>2370.288</v>
      </c>
      <c r="AH4" s="19"/>
      <c r="AI4" s="19"/>
      <c r="AJ4" s="155" t="s">
        <v>20</v>
      </c>
      <c r="AK4" s="147">
        <v>7.5200000000000003E-2</v>
      </c>
      <c r="AL4" s="147">
        <v>1.1999999999999999E-3</v>
      </c>
    </row>
    <row r="5" spans="1:38" x14ac:dyDescent="0.2">
      <c r="A5" s="154">
        <v>269</v>
      </c>
      <c r="B5" s="154">
        <v>269</v>
      </c>
      <c r="C5" s="155" t="s">
        <v>356</v>
      </c>
      <c r="D5" s="154">
        <v>513436394</v>
      </c>
      <c r="E5" s="149" t="s">
        <v>111</v>
      </c>
      <c r="F5" s="155" t="s">
        <v>359</v>
      </c>
      <c r="G5" s="155" t="s">
        <v>360</v>
      </c>
      <c r="H5" s="155" t="s">
        <v>114</v>
      </c>
      <c r="I5" s="155" t="s">
        <v>348</v>
      </c>
      <c r="J5" s="149" t="s">
        <v>75</v>
      </c>
      <c r="K5" s="149" t="s">
        <v>75</v>
      </c>
      <c r="L5" s="155" t="s">
        <v>349</v>
      </c>
      <c r="M5" s="155" t="s">
        <v>137</v>
      </c>
      <c r="N5" s="155" t="s">
        <v>76</v>
      </c>
      <c r="O5" s="158">
        <v>40917</v>
      </c>
      <c r="P5" s="155" t="s">
        <v>77</v>
      </c>
      <c r="Q5" s="155" t="s">
        <v>78</v>
      </c>
      <c r="R5" s="155" t="s">
        <v>119</v>
      </c>
      <c r="S5" s="149" t="s">
        <v>79</v>
      </c>
      <c r="T5" s="157">
        <v>2.91</v>
      </c>
      <c r="U5" s="158">
        <v>48213</v>
      </c>
      <c r="V5" s="159">
        <v>2.5100000000000001E-2</v>
      </c>
      <c r="W5" s="147">
        <v>4.8000000000000001E-2</v>
      </c>
      <c r="X5" s="149" t="s">
        <v>120</v>
      </c>
      <c r="Y5" s="149" t="s">
        <v>76</v>
      </c>
      <c r="Z5" s="155" t="s">
        <v>350</v>
      </c>
      <c r="AA5" s="155" t="s">
        <v>351</v>
      </c>
      <c r="AB5" s="161">
        <v>46022</v>
      </c>
      <c r="AC5" s="19"/>
      <c r="AD5" s="157">
        <v>7349961.5599999996</v>
      </c>
      <c r="AE5" s="160">
        <v>1</v>
      </c>
      <c r="AF5" s="157">
        <v>130.01</v>
      </c>
      <c r="AG5" s="146">
        <v>9555.6849999999995</v>
      </c>
      <c r="AJ5" s="155" t="s">
        <v>20</v>
      </c>
      <c r="AK5" s="147">
        <v>0.30309999999999998</v>
      </c>
      <c r="AL5" s="147">
        <v>5.0000000000000001E-3</v>
      </c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X6" s="17"/>
      <c r="Y6" s="17"/>
      <c r="Z6" s="19"/>
      <c r="AA6" s="19"/>
      <c r="AC6" s="19"/>
      <c r="AD6" s="19"/>
      <c r="AE6" s="19"/>
      <c r="AF6" s="19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X20" s="17"/>
      <c r="Y20" s="17"/>
      <c r="AA20" s="19"/>
      <c r="AJ20" s="19"/>
    </row>
    <row r="21" spans="1:36" x14ac:dyDescent="0.2">
      <c r="L21" s="2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G1" workbookViewId="0">
      <selection activeCell="Z3" sqref="Z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109</v>
      </c>
      <c r="M1" s="18" t="s">
        <v>103</v>
      </c>
      <c r="N1" s="18" t="s">
        <v>61</v>
      </c>
      <c r="O1" s="18" t="s">
        <v>266</v>
      </c>
      <c r="P1" s="18" t="s">
        <v>64</v>
      </c>
      <c r="Q1" s="18" t="s">
        <v>341</v>
      </c>
      <c r="R1" s="18" t="s">
        <v>342</v>
      </c>
      <c r="S1" s="18" t="s">
        <v>344</v>
      </c>
      <c r="T1" s="18" t="s">
        <v>345</v>
      </c>
      <c r="U1" s="18" t="s">
        <v>90</v>
      </c>
      <c r="V1" s="18" t="s">
        <v>66</v>
      </c>
      <c r="W1" s="18" t="s">
        <v>91</v>
      </c>
      <c r="X1" s="18" t="s">
        <v>68</v>
      </c>
      <c r="Y1" s="18" t="s">
        <v>69</v>
      </c>
      <c r="Z1" s="18" t="s">
        <v>70</v>
      </c>
    </row>
    <row r="2" spans="1:26" x14ac:dyDescent="0.2">
      <c r="A2" s="154">
        <v>269</v>
      </c>
      <c r="B2" s="154">
        <v>269</v>
      </c>
      <c r="C2" s="155" t="s">
        <v>361</v>
      </c>
      <c r="D2" s="154">
        <v>514947498</v>
      </c>
      <c r="E2" s="149" t="s">
        <v>111</v>
      </c>
      <c r="F2" s="155" t="s">
        <v>362</v>
      </c>
      <c r="G2" s="154">
        <v>50006907</v>
      </c>
      <c r="H2" s="149" t="s">
        <v>363</v>
      </c>
      <c r="I2" s="155" t="s">
        <v>364</v>
      </c>
      <c r="J2" s="149" t="s">
        <v>75</v>
      </c>
      <c r="K2" s="149" t="s">
        <v>75</v>
      </c>
      <c r="L2" s="155" t="s">
        <v>349</v>
      </c>
      <c r="M2" s="155" t="s">
        <v>365</v>
      </c>
      <c r="N2" s="155" t="s">
        <v>76</v>
      </c>
      <c r="O2" s="158">
        <v>44424</v>
      </c>
      <c r="P2" s="149" t="s">
        <v>366</v>
      </c>
      <c r="Q2" s="155" t="s">
        <v>367</v>
      </c>
      <c r="R2" s="155" t="s">
        <v>351</v>
      </c>
      <c r="S2" s="158">
        <v>46022</v>
      </c>
      <c r="T2" s="19"/>
      <c r="U2" s="157">
        <v>20676462</v>
      </c>
      <c r="V2" s="160">
        <v>3.19</v>
      </c>
      <c r="W2" s="157">
        <v>100</v>
      </c>
      <c r="X2" s="157">
        <v>65957.914000000004</v>
      </c>
      <c r="Y2" s="159">
        <v>1</v>
      </c>
      <c r="Z2" s="159">
        <v>3.4000000000000002E-2</v>
      </c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>
      <selection activeCell="A2" sqref="A2"/>
    </sheetView>
  </sheetViews>
  <sheetFormatPr defaultColWidth="0" defaultRowHeight="14.25" x14ac:dyDescent="0.2"/>
  <cols>
    <col min="1" max="15" width="11.625" style="2" customWidth="1"/>
    <col min="16" max="16" width="11.625" customWidth="1"/>
    <col min="17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8" t="s">
        <v>54</v>
      </c>
      <c r="B1" s="18" t="s">
        <v>55</v>
      </c>
      <c r="C1" s="18" t="s">
        <v>368</v>
      </c>
      <c r="D1" s="18" t="s">
        <v>369</v>
      </c>
      <c r="E1" s="18" t="s">
        <v>370</v>
      </c>
      <c r="F1" s="18" t="s">
        <v>371</v>
      </c>
      <c r="G1" s="18" t="s">
        <v>372</v>
      </c>
      <c r="H1" s="18" t="s">
        <v>373</v>
      </c>
      <c r="I1" s="18" t="s">
        <v>59</v>
      </c>
      <c r="J1" s="18" t="s">
        <v>374</v>
      </c>
      <c r="K1" s="18" t="s">
        <v>60</v>
      </c>
      <c r="L1" s="18" t="s">
        <v>375</v>
      </c>
      <c r="M1" s="18" t="s">
        <v>376</v>
      </c>
      <c r="N1" s="18" t="s">
        <v>83</v>
      </c>
      <c r="O1" s="18" t="s">
        <v>61</v>
      </c>
      <c r="P1" s="25" t="s">
        <v>266</v>
      </c>
      <c r="Q1" s="18" t="s">
        <v>64</v>
      </c>
      <c r="R1" s="18" t="s">
        <v>341</v>
      </c>
      <c r="S1" s="18" t="s">
        <v>342</v>
      </c>
      <c r="T1" s="18" t="s">
        <v>344</v>
      </c>
      <c r="U1" s="18" t="s">
        <v>66</v>
      </c>
      <c r="V1" s="97" t="s">
        <v>377</v>
      </c>
      <c r="W1" s="18" t="s">
        <v>68</v>
      </c>
      <c r="X1" s="18" t="s">
        <v>378</v>
      </c>
      <c r="Y1" s="18" t="s">
        <v>69</v>
      </c>
      <c r="Z1" s="18" t="s">
        <v>70</v>
      </c>
    </row>
    <row r="2" spans="1:26" x14ac:dyDescent="0.2">
      <c r="A2" s="19"/>
      <c r="B2" s="19"/>
      <c r="C2" s="19"/>
      <c r="D2" s="19"/>
      <c r="E2" s="19"/>
      <c r="F2" s="19"/>
      <c r="G2" s="19"/>
      <c r="H2" s="19"/>
      <c r="J2" s="19"/>
      <c r="K2" s="17"/>
      <c r="L2" s="19"/>
      <c r="M2" s="19"/>
      <c r="N2" s="17"/>
      <c r="O2" s="19"/>
      <c r="Q2" s="17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2">
      <c r="A3" s="19"/>
      <c r="B3" s="19"/>
      <c r="C3" s="19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60</v>
      </c>
      <c r="J1" s="18" t="s">
        <v>83</v>
      </c>
      <c r="K1" s="18" t="s">
        <v>109</v>
      </c>
      <c r="L1" s="18" t="s">
        <v>261</v>
      </c>
      <c r="M1" s="18" t="s">
        <v>103</v>
      </c>
      <c r="N1" s="18" t="s">
        <v>262</v>
      </c>
      <c r="O1" s="18" t="s">
        <v>61</v>
      </c>
      <c r="P1" s="18" t="s">
        <v>266</v>
      </c>
      <c r="Q1" s="18" t="s">
        <v>64</v>
      </c>
      <c r="R1" s="18" t="s">
        <v>341</v>
      </c>
      <c r="S1" s="18" t="s">
        <v>342</v>
      </c>
      <c r="T1" s="18" t="s">
        <v>344</v>
      </c>
      <c r="U1" s="18" t="s">
        <v>263</v>
      </c>
      <c r="V1" s="18" t="s">
        <v>264</v>
      </c>
      <c r="W1" s="18" t="s">
        <v>90</v>
      </c>
      <c r="X1" s="18" t="s">
        <v>91</v>
      </c>
      <c r="Y1" s="18" t="s">
        <v>66</v>
      </c>
      <c r="Z1" s="18" t="s">
        <v>68</v>
      </c>
      <c r="AA1" s="18" t="s">
        <v>69</v>
      </c>
      <c r="AB1" s="18" t="s">
        <v>70</v>
      </c>
    </row>
    <row r="2" spans="1:28" x14ac:dyDescent="0.2">
      <c r="A2" s="19"/>
      <c r="B2" s="19"/>
      <c r="C2" s="19"/>
      <c r="D2" s="19"/>
      <c r="E2" s="17"/>
      <c r="F2" s="19"/>
      <c r="G2" s="19"/>
      <c r="H2" s="19"/>
      <c r="I2" s="17"/>
      <c r="J2" s="17"/>
      <c r="K2" s="19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103</v>
      </c>
      <c r="M1" s="18" t="s">
        <v>265</v>
      </c>
      <c r="N1" s="18" t="s">
        <v>262</v>
      </c>
      <c r="O1" s="18" t="s">
        <v>61</v>
      </c>
      <c r="P1" s="18" t="s">
        <v>266</v>
      </c>
      <c r="Q1" s="18" t="s">
        <v>64</v>
      </c>
      <c r="R1" s="18" t="s">
        <v>341</v>
      </c>
      <c r="S1" s="18" t="s">
        <v>342</v>
      </c>
      <c r="T1" s="18" t="s">
        <v>344</v>
      </c>
      <c r="U1" s="18" t="s">
        <v>263</v>
      </c>
      <c r="V1" s="18" t="s">
        <v>264</v>
      </c>
      <c r="W1" s="18" t="s">
        <v>90</v>
      </c>
      <c r="X1" s="18" t="s">
        <v>91</v>
      </c>
      <c r="Y1" s="18" t="s">
        <v>66</v>
      </c>
      <c r="Z1" s="18" t="s">
        <v>379</v>
      </c>
      <c r="AA1" s="18" t="s">
        <v>69</v>
      </c>
      <c r="AB1" s="18" t="s">
        <v>70</v>
      </c>
    </row>
    <row r="2" spans="1:28" x14ac:dyDescent="0.2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 s="2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 x14ac:dyDescent="0.2"/>
  <cols>
    <col min="1" max="33" width="11.625" style="7" customWidth="1"/>
    <col min="34" max="34" width="11.625" customWidth="1"/>
    <col min="35" max="39" width="11.625" style="7" customWidth="1"/>
    <col min="40" max="41" width="11.625" style="2" customWidth="1"/>
    <col min="42" max="42" width="9" style="7" hidden="1" customWidth="1"/>
    <col min="43" max="16384" width="9" style="7" hidden="1"/>
  </cols>
  <sheetData>
    <row r="1" spans="1:41" ht="51" x14ac:dyDescent="0.2">
      <c r="A1" s="18" t="s">
        <v>54</v>
      </c>
      <c r="B1" s="18" t="s">
        <v>55</v>
      </c>
      <c r="C1" s="18" t="s">
        <v>59</v>
      </c>
      <c r="D1" s="18" t="s">
        <v>380</v>
      </c>
      <c r="E1" s="18" t="s">
        <v>381</v>
      </c>
      <c r="F1" s="18" t="s">
        <v>66</v>
      </c>
      <c r="G1" s="18" t="s">
        <v>382</v>
      </c>
      <c r="H1" s="18" t="s">
        <v>383</v>
      </c>
      <c r="I1" s="18" t="s">
        <v>384</v>
      </c>
      <c r="J1" s="18" t="s">
        <v>385</v>
      </c>
      <c r="K1" s="18" t="s">
        <v>386</v>
      </c>
      <c r="L1" s="18" t="s">
        <v>387</v>
      </c>
      <c r="M1" s="18" t="s">
        <v>66</v>
      </c>
      <c r="N1" s="18" t="s">
        <v>388</v>
      </c>
      <c r="O1" s="18" t="s">
        <v>389</v>
      </c>
      <c r="P1" s="18" t="s">
        <v>390</v>
      </c>
      <c r="Q1" s="18" t="s">
        <v>391</v>
      </c>
      <c r="R1" s="18" t="s">
        <v>392</v>
      </c>
      <c r="S1" s="18" t="s">
        <v>60</v>
      </c>
      <c r="T1" s="18" t="s">
        <v>83</v>
      </c>
      <c r="U1" s="18" t="s">
        <v>393</v>
      </c>
      <c r="V1" s="18" t="s">
        <v>394</v>
      </c>
      <c r="W1" s="18" t="s">
        <v>395</v>
      </c>
      <c r="X1" s="18" t="s">
        <v>396</v>
      </c>
      <c r="Y1" s="18" t="s">
        <v>61</v>
      </c>
      <c r="Z1" s="18" t="s">
        <v>397</v>
      </c>
      <c r="AA1" s="18" t="s">
        <v>398</v>
      </c>
      <c r="AB1" s="18" t="s">
        <v>399</v>
      </c>
      <c r="AC1" s="18" t="s">
        <v>400</v>
      </c>
      <c r="AD1" s="18" t="s">
        <v>401</v>
      </c>
      <c r="AE1" s="18" t="s">
        <v>402</v>
      </c>
      <c r="AF1" s="18" t="s">
        <v>105</v>
      </c>
      <c r="AG1" s="18" t="s">
        <v>403</v>
      </c>
      <c r="AH1" s="18" t="s">
        <v>404</v>
      </c>
      <c r="AI1" s="18" t="s">
        <v>405</v>
      </c>
      <c r="AJ1" s="18" t="s">
        <v>406</v>
      </c>
      <c r="AK1" s="18" t="s">
        <v>407</v>
      </c>
      <c r="AL1" s="18" t="s">
        <v>408</v>
      </c>
      <c r="AM1" s="18" t="s">
        <v>409</v>
      </c>
      <c r="AN1" s="18" t="s">
        <v>69</v>
      </c>
      <c r="AO1" s="18" t="s">
        <v>70</v>
      </c>
    </row>
    <row r="2" spans="1:41" x14ac:dyDescent="0.2">
      <c r="A2" s="8"/>
      <c r="B2" s="8"/>
      <c r="C2" s="8"/>
      <c r="D2" s="1"/>
      <c r="E2" s="8"/>
      <c r="F2" s="8"/>
      <c r="G2" s="8"/>
      <c r="H2" s="11"/>
      <c r="J2" s="9"/>
      <c r="L2" s="8"/>
      <c r="O2"/>
      <c r="R2" s="10"/>
      <c r="T2" s="17"/>
      <c r="U2" s="8"/>
      <c r="V2" s="8"/>
      <c r="X2" s="8"/>
      <c r="Y2" s="8"/>
      <c r="Z2" s="1"/>
      <c r="AA2" s="23"/>
      <c r="AB2" s="8"/>
      <c r="AC2" s="8"/>
      <c r="AD2" s="8"/>
      <c r="AE2" s="8"/>
      <c r="AF2" s="8"/>
      <c r="AG2" s="8"/>
      <c r="AH2" s="7"/>
      <c r="AI2" s="8"/>
      <c r="AK2" s="8"/>
      <c r="AN2" s="19"/>
      <c r="AO2" s="19"/>
    </row>
    <row r="3" spans="1:41" x14ac:dyDescent="0.2">
      <c r="A3" s="8"/>
      <c r="B3" s="8"/>
      <c r="C3" s="8"/>
      <c r="D3" s="1"/>
      <c r="E3" s="8"/>
      <c r="F3" s="8"/>
      <c r="G3" s="8"/>
      <c r="H3" s="11"/>
      <c r="J3" s="9"/>
      <c r="L3" s="8"/>
      <c r="R3" s="10"/>
      <c r="T3" s="17"/>
      <c r="U3" s="8"/>
      <c r="V3" s="8"/>
      <c r="X3" s="8"/>
      <c r="Y3" s="8"/>
      <c r="Z3" s="1"/>
      <c r="AA3" s="23"/>
      <c r="AB3" s="8"/>
      <c r="AC3" s="8"/>
      <c r="AD3" s="8"/>
      <c r="AE3" s="8"/>
      <c r="AF3" s="8"/>
      <c r="AG3" s="8"/>
      <c r="AI3" s="8"/>
      <c r="AJ3" s="8"/>
      <c r="AK3" s="8"/>
      <c r="AN3" s="19"/>
      <c r="AO3" s="19"/>
    </row>
    <row r="4" spans="1:41" x14ac:dyDescent="0.2">
      <c r="A4" s="8"/>
      <c r="B4" s="8"/>
      <c r="C4" s="8"/>
      <c r="D4" s="1"/>
      <c r="E4" s="8"/>
      <c r="F4" s="8"/>
      <c r="G4" s="8"/>
      <c r="H4" s="11"/>
      <c r="J4" s="9"/>
      <c r="L4" s="8"/>
      <c r="R4" s="10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N4" s="19"/>
      <c r="AO4" s="19"/>
    </row>
    <row r="5" spans="1:41" x14ac:dyDescent="0.2">
      <c r="A5" s="8"/>
      <c r="B5" s="8"/>
      <c r="C5" s="8"/>
      <c r="D5" s="1"/>
      <c r="E5" s="8"/>
      <c r="F5" s="8"/>
      <c r="G5" s="8"/>
      <c r="H5" s="11"/>
      <c r="J5" s="9"/>
      <c r="L5" s="8"/>
      <c r="R5" s="10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N5" s="19"/>
      <c r="AO5" s="19"/>
    </row>
    <row r="6" spans="1:41" x14ac:dyDescent="0.2">
      <c r="A6" s="8"/>
      <c r="B6" s="8"/>
      <c r="C6" s="8"/>
      <c r="D6" s="1"/>
      <c r="E6" s="8"/>
      <c r="F6" s="8"/>
      <c r="G6" s="8"/>
      <c r="H6" s="11"/>
      <c r="J6" s="9"/>
      <c r="L6" s="8"/>
      <c r="R6" s="10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J7" s="9"/>
      <c r="L7" s="8"/>
      <c r="R7" s="10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J8" s="9"/>
      <c r="L8" s="8"/>
      <c r="R8" s="10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J9" s="9"/>
      <c r="L9" s="8"/>
      <c r="R9" s="10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J10" s="9"/>
      <c r="L10" s="8"/>
      <c r="R10" s="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J11" s="9"/>
      <c r="L11" s="8"/>
      <c r="R11" s="10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J12" s="9"/>
      <c r="L12" s="8"/>
      <c r="R12" s="10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J13" s="9"/>
      <c r="L13" s="8"/>
      <c r="R13" s="10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J14" s="9"/>
      <c r="L14" s="8"/>
      <c r="R14" s="10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J15" s="9"/>
      <c r="L15" s="8"/>
      <c r="R15" s="10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J16" s="9"/>
      <c r="L16" s="8"/>
      <c r="R16" s="10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J17" s="9"/>
      <c r="L17" s="8"/>
      <c r="R17" s="10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J18" s="9"/>
      <c r="L18" s="8"/>
      <c r="R18" s="10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J19" s="9"/>
      <c r="L19" s="8"/>
      <c r="R19" s="10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N19" s="19"/>
      <c r="AO19" s="19"/>
    </row>
    <row r="20" spans="1:41" x14ac:dyDescent="0.2">
      <c r="C20" s="8"/>
      <c r="E20" s="8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2" spans="1:41" x14ac:dyDescent="0.2">
      <c r="C22" s="8"/>
      <c r="E22" s="8"/>
      <c r="T22" s="17"/>
      <c r="AE22" s="8"/>
      <c r="AF22" s="8"/>
    </row>
    <row r="23" spans="1:41" x14ac:dyDescent="0.2">
      <c r="C23" s="8"/>
      <c r="E23" s="8"/>
      <c r="T23" s="17"/>
      <c r="AE23" s="8"/>
      <c r="AF23" s="8"/>
    </row>
    <row r="24" spans="1:41" x14ac:dyDescent="0.2">
      <c r="C24" s="8"/>
      <c r="E24" s="8"/>
      <c r="T24" s="17"/>
      <c r="AE24" s="8"/>
      <c r="AF24" s="8"/>
    </row>
    <row r="25" spans="1:41" x14ac:dyDescent="0.2">
      <c r="C25" s="8"/>
      <c r="E25" s="8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abSelected="1" workbookViewId="0">
      <selection activeCell="J25" sqref="J25"/>
    </sheetView>
  </sheetViews>
  <sheetFormatPr defaultColWidth="0" defaultRowHeight="14.25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54" width="9" style="2" hidden="1" customWidth="1"/>
    <col min="55" max="16384" width="9" style="2" hidden="1"/>
  </cols>
  <sheetData>
    <row r="1" spans="1:53" ht="51" x14ac:dyDescent="0.2">
      <c r="A1" s="18" t="s">
        <v>54</v>
      </c>
      <c r="B1" s="18" t="s">
        <v>55</v>
      </c>
      <c r="C1" s="18" t="s">
        <v>410</v>
      </c>
      <c r="D1" s="18" t="s">
        <v>411</v>
      </c>
      <c r="E1" s="18" t="s">
        <v>412</v>
      </c>
      <c r="F1" s="18" t="s">
        <v>413</v>
      </c>
      <c r="G1" s="18" t="s">
        <v>59</v>
      </c>
      <c r="H1" s="18" t="s">
        <v>414</v>
      </c>
      <c r="I1" s="18" t="s">
        <v>60</v>
      </c>
      <c r="J1" s="18" t="s">
        <v>83</v>
      </c>
      <c r="K1" s="18" t="s">
        <v>103</v>
      </c>
      <c r="L1" s="18" t="s">
        <v>61</v>
      </c>
      <c r="M1" s="18" t="s">
        <v>415</v>
      </c>
      <c r="N1" s="18" t="s">
        <v>416</v>
      </c>
      <c r="O1" s="18" t="s">
        <v>417</v>
      </c>
      <c r="P1" s="18" t="s">
        <v>85</v>
      </c>
      <c r="Q1" s="18" t="s">
        <v>63</v>
      </c>
      <c r="R1" s="18" t="s">
        <v>418</v>
      </c>
      <c r="S1" s="18" t="s">
        <v>64</v>
      </c>
      <c r="T1" s="18" t="s">
        <v>86</v>
      </c>
      <c r="U1" s="18" t="s">
        <v>419</v>
      </c>
      <c r="V1" s="18" t="s">
        <v>67</v>
      </c>
      <c r="W1" s="18" t="s">
        <v>267</v>
      </c>
      <c r="X1" s="18" t="s">
        <v>105</v>
      </c>
      <c r="Y1" s="18" t="s">
        <v>420</v>
      </c>
      <c r="Z1" s="18" t="s">
        <v>88</v>
      </c>
      <c r="AA1" s="18" t="s">
        <v>87</v>
      </c>
      <c r="AB1" s="18" t="s">
        <v>106</v>
      </c>
      <c r="AC1" s="18" t="s">
        <v>421</v>
      </c>
      <c r="AD1" s="18" t="s">
        <v>422</v>
      </c>
      <c r="AE1" s="18" t="s">
        <v>423</v>
      </c>
      <c r="AF1" s="18" t="s">
        <v>424</v>
      </c>
      <c r="AG1" s="18" t="s">
        <v>425</v>
      </c>
      <c r="AH1" s="18" t="s">
        <v>426</v>
      </c>
      <c r="AI1" s="18" t="s">
        <v>427</v>
      </c>
      <c r="AJ1" s="18" t="s">
        <v>428</v>
      </c>
      <c r="AK1" s="18" t="s">
        <v>341</v>
      </c>
      <c r="AL1" s="18" t="s">
        <v>343</v>
      </c>
      <c r="AM1" s="18" t="s">
        <v>342</v>
      </c>
      <c r="AN1" s="18" t="s">
        <v>344</v>
      </c>
      <c r="AO1" s="18" t="s">
        <v>345</v>
      </c>
      <c r="AP1" s="18" t="s">
        <v>429</v>
      </c>
      <c r="AQ1" s="18" t="s">
        <v>430</v>
      </c>
      <c r="AR1" s="18" t="s">
        <v>431</v>
      </c>
      <c r="AS1" s="18" t="s">
        <v>66</v>
      </c>
      <c r="AT1" s="18" t="s">
        <v>68</v>
      </c>
      <c r="AU1" s="18" t="s">
        <v>432</v>
      </c>
      <c r="AV1" s="18" t="s">
        <v>92</v>
      </c>
      <c r="AW1" s="18" t="s">
        <v>108</v>
      </c>
      <c r="AX1" s="18" t="s">
        <v>107</v>
      </c>
      <c r="AY1" s="18" t="s">
        <v>22</v>
      </c>
      <c r="AZ1" s="18" t="s">
        <v>69</v>
      </c>
      <c r="BA1" s="18" t="s">
        <v>70</v>
      </c>
    </row>
    <row r="2" spans="1:53" x14ac:dyDescent="0.2">
      <c r="A2" s="141">
        <v>269</v>
      </c>
      <c r="B2" s="141">
        <v>269</v>
      </c>
      <c r="C2" s="154">
        <v>513927285</v>
      </c>
      <c r="D2" s="155" t="s">
        <v>111</v>
      </c>
      <c r="E2" s="155" t="s">
        <v>433</v>
      </c>
      <c r="F2" s="154">
        <v>100061894</v>
      </c>
      <c r="G2" s="155" t="s">
        <v>349</v>
      </c>
      <c r="I2" s="149" t="s">
        <v>75</v>
      </c>
      <c r="J2" s="149" t="s">
        <v>75</v>
      </c>
      <c r="K2" s="155" t="s">
        <v>434</v>
      </c>
      <c r="L2" s="155" t="s">
        <v>76</v>
      </c>
      <c r="M2" s="155" t="s">
        <v>76</v>
      </c>
      <c r="N2" s="19"/>
      <c r="O2" s="158">
        <v>39261</v>
      </c>
      <c r="P2" s="155" t="s">
        <v>435</v>
      </c>
      <c r="Q2" s="155" t="s">
        <v>127</v>
      </c>
      <c r="R2" s="155" t="s">
        <v>119</v>
      </c>
      <c r="S2" s="149" t="s">
        <v>79</v>
      </c>
      <c r="T2" s="157">
        <v>0.99</v>
      </c>
      <c r="U2" s="155" t="s">
        <v>349</v>
      </c>
      <c r="V2" s="159">
        <v>4.7E-2</v>
      </c>
      <c r="W2" s="155" t="s">
        <v>115</v>
      </c>
      <c r="X2" s="155" t="s">
        <v>436</v>
      </c>
      <c r="Y2" s="19"/>
      <c r="Z2" s="159">
        <v>3.56E-2</v>
      </c>
      <c r="AA2" s="158">
        <v>46568</v>
      </c>
      <c r="AB2" s="149" t="s">
        <v>120</v>
      </c>
      <c r="AC2" s="19"/>
      <c r="AD2" s="19"/>
      <c r="AE2" s="19"/>
      <c r="AF2" s="19"/>
      <c r="AG2" s="155" t="s">
        <v>76</v>
      </c>
      <c r="AH2" s="155" t="s">
        <v>437</v>
      </c>
      <c r="AJ2" s="142" t="s">
        <v>76</v>
      </c>
      <c r="AK2" s="155" t="s">
        <v>350</v>
      </c>
      <c r="AL2" s="155" t="s">
        <v>438</v>
      </c>
      <c r="AM2" s="155" t="s">
        <v>351</v>
      </c>
      <c r="AN2" s="161">
        <v>46022</v>
      </c>
      <c r="AQ2" s="146">
        <v>1292870.24</v>
      </c>
      <c r="AR2" s="157">
        <v>143.74</v>
      </c>
      <c r="AS2" s="160">
        <v>1</v>
      </c>
      <c r="AT2" s="157">
        <v>1858.3720000000001</v>
      </c>
      <c r="AU2" s="165">
        <v>1858.3720000000001</v>
      </c>
      <c r="AV2" s="24"/>
      <c r="AW2" s="24"/>
      <c r="AX2" s="149" t="s">
        <v>76</v>
      </c>
      <c r="AY2" s="155" t="s">
        <v>20</v>
      </c>
      <c r="AZ2" s="159">
        <v>0.26819999999999999</v>
      </c>
      <c r="BA2" s="159">
        <v>1E-3</v>
      </c>
    </row>
    <row r="3" spans="1:53" x14ac:dyDescent="0.2">
      <c r="A3" s="141">
        <v>269</v>
      </c>
      <c r="B3" s="141">
        <v>269</v>
      </c>
      <c r="C3" s="154">
        <v>512475203</v>
      </c>
      <c r="D3" s="155" t="s">
        <v>111</v>
      </c>
      <c r="E3" s="155" t="s">
        <v>439</v>
      </c>
      <c r="F3" s="154">
        <v>100072032</v>
      </c>
      <c r="G3" s="155" t="s">
        <v>349</v>
      </c>
      <c r="I3" s="149" t="s">
        <v>75</v>
      </c>
      <c r="J3" s="149" t="s">
        <v>75</v>
      </c>
      <c r="K3" s="155" t="s">
        <v>434</v>
      </c>
      <c r="L3" s="155" t="s">
        <v>76</v>
      </c>
      <c r="M3" s="155" t="s">
        <v>76</v>
      </c>
      <c r="N3" s="19"/>
      <c r="O3" s="158">
        <v>36615</v>
      </c>
      <c r="P3" s="155" t="s">
        <v>175</v>
      </c>
      <c r="Q3" s="155" t="s">
        <v>127</v>
      </c>
      <c r="R3" s="155" t="s">
        <v>119</v>
      </c>
      <c r="S3" s="149" t="s">
        <v>79</v>
      </c>
      <c r="T3" s="157">
        <v>0.99</v>
      </c>
      <c r="U3" s="155" t="s">
        <v>349</v>
      </c>
      <c r="V3" s="159">
        <v>6.7100000000000007E-2</v>
      </c>
      <c r="W3" s="155" t="s">
        <v>115</v>
      </c>
      <c r="X3" s="155" t="s">
        <v>436</v>
      </c>
      <c r="Y3" s="19"/>
      <c r="Z3" s="159">
        <v>2.4E-2</v>
      </c>
      <c r="AA3" s="158">
        <v>46568</v>
      </c>
      <c r="AB3" s="149" t="s">
        <v>120</v>
      </c>
      <c r="AC3" s="19"/>
      <c r="AD3" s="19"/>
      <c r="AE3" s="19"/>
      <c r="AF3" s="19"/>
      <c r="AG3" s="155" t="s">
        <v>76</v>
      </c>
      <c r="AH3" s="155" t="s">
        <v>437</v>
      </c>
      <c r="AJ3" s="142" t="s">
        <v>76</v>
      </c>
      <c r="AK3" s="155" t="s">
        <v>350</v>
      </c>
      <c r="AL3" s="155" t="s">
        <v>438</v>
      </c>
      <c r="AM3" s="155" t="s">
        <v>351</v>
      </c>
      <c r="AN3" s="161">
        <v>46022</v>
      </c>
      <c r="AQ3" s="146">
        <v>111756.5</v>
      </c>
      <c r="AR3" s="157">
        <v>160.03</v>
      </c>
      <c r="AS3" s="160">
        <v>1</v>
      </c>
      <c r="AT3" s="157">
        <v>178.84399999999999</v>
      </c>
      <c r="AU3" s="157">
        <v>178.84399999999999</v>
      </c>
      <c r="AV3" s="19"/>
      <c r="AW3" s="19"/>
      <c r="AX3" s="149" t="s">
        <v>76</v>
      </c>
      <c r="AY3" s="155" t="s">
        <v>20</v>
      </c>
      <c r="AZ3" s="159">
        <v>2.58E-2</v>
      </c>
      <c r="BA3" s="159">
        <v>1E-4</v>
      </c>
    </row>
    <row r="4" spans="1:53" x14ac:dyDescent="0.2">
      <c r="A4" s="141">
        <v>269</v>
      </c>
      <c r="B4" s="141">
        <v>269</v>
      </c>
      <c r="C4" s="154">
        <v>512475203</v>
      </c>
      <c r="D4" s="155" t="s">
        <v>111</v>
      </c>
      <c r="E4" s="155" t="s">
        <v>440</v>
      </c>
      <c r="F4" s="154">
        <v>100072115</v>
      </c>
      <c r="G4" s="155" t="s">
        <v>349</v>
      </c>
      <c r="I4" s="149" t="s">
        <v>75</v>
      </c>
      <c r="J4" s="149" t="s">
        <v>75</v>
      </c>
      <c r="K4" s="155" t="s">
        <v>434</v>
      </c>
      <c r="L4" s="155" t="s">
        <v>76</v>
      </c>
      <c r="M4" s="155" t="s">
        <v>76</v>
      </c>
      <c r="N4" s="19"/>
      <c r="O4" s="158">
        <v>36891</v>
      </c>
      <c r="P4" s="155" t="s">
        <v>175</v>
      </c>
      <c r="Q4" s="155" t="s">
        <v>127</v>
      </c>
      <c r="R4" s="155" t="s">
        <v>119</v>
      </c>
      <c r="S4" s="149" t="s">
        <v>79</v>
      </c>
      <c r="T4" s="157">
        <v>0.99</v>
      </c>
      <c r="U4" s="155" t="s">
        <v>349</v>
      </c>
      <c r="V4" s="159">
        <v>6.7100000000000007E-2</v>
      </c>
      <c r="W4" s="155" t="s">
        <v>115</v>
      </c>
      <c r="X4" s="155" t="s">
        <v>436</v>
      </c>
      <c r="Y4" s="19"/>
      <c r="Z4" s="159">
        <v>2.4E-2</v>
      </c>
      <c r="AA4" s="158">
        <v>46568</v>
      </c>
      <c r="AB4" s="149" t="s">
        <v>120</v>
      </c>
      <c r="AC4" s="19"/>
      <c r="AD4" s="19"/>
      <c r="AE4" s="19"/>
      <c r="AF4" s="19"/>
      <c r="AG4" s="155" t="s">
        <v>76</v>
      </c>
      <c r="AH4" s="155" t="s">
        <v>437</v>
      </c>
      <c r="AJ4" s="142" t="s">
        <v>76</v>
      </c>
      <c r="AK4" s="155" t="s">
        <v>350</v>
      </c>
      <c r="AL4" s="155" t="s">
        <v>438</v>
      </c>
      <c r="AM4" s="155" t="s">
        <v>351</v>
      </c>
      <c r="AN4" s="161">
        <v>46022</v>
      </c>
      <c r="AQ4" s="146">
        <v>151520.74</v>
      </c>
      <c r="AR4" s="157">
        <v>158.38</v>
      </c>
      <c r="AS4" s="160">
        <v>1</v>
      </c>
      <c r="AT4" s="157">
        <v>239.97900000000001</v>
      </c>
      <c r="AU4" s="165">
        <v>239.97900000000001</v>
      </c>
      <c r="AV4" s="24"/>
      <c r="AW4" s="24"/>
      <c r="AX4" s="149" t="s">
        <v>76</v>
      </c>
      <c r="AY4" s="155" t="s">
        <v>20</v>
      </c>
      <c r="AZ4" s="159">
        <v>3.4599999999999999E-2</v>
      </c>
      <c r="BA4" s="159">
        <v>1E-4</v>
      </c>
    </row>
    <row r="5" spans="1:53" x14ac:dyDescent="0.2">
      <c r="A5" s="141">
        <v>269</v>
      </c>
      <c r="B5" s="141">
        <v>269</v>
      </c>
      <c r="C5" s="154">
        <v>512475203</v>
      </c>
      <c r="D5" s="155" t="s">
        <v>111</v>
      </c>
      <c r="E5" s="155" t="s">
        <v>441</v>
      </c>
      <c r="F5" s="154">
        <v>100072297</v>
      </c>
      <c r="G5" s="155" t="s">
        <v>349</v>
      </c>
      <c r="I5" s="149" t="s">
        <v>75</v>
      </c>
      <c r="J5" s="149" t="s">
        <v>75</v>
      </c>
      <c r="K5" s="155" t="s">
        <v>434</v>
      </c>
      <c r="L5" s="155" t="s">
        <v>76</v>
      </c>
      <c r="M5" s="155" t="s">
        <v>76</v>
      </c>
      <c r="N5" s="19"/>
      <c r="O5" s="158">
        <v>36973</v>
      </c>
      <c r="P5" s="155" t="s">
        <v>175</v>
      </c>
      <c r="Q5" s="155" t="s">
        <v>127</v>
      </c>
      <c r="R5" s="155" t="s">
        <v>119</v>
      </c>
      <c r="S5" s="149" t="s">
        <v>79</v>
      </c>
      <c r="T5" s="157">
        <v>0.99</v>
      </c>
      <c r="U5" s="155" t="s">
        <v>349</v>
      </c>
      <c r="V5" s="159">
        <v>6.7100000000000007E-2</v>
      </c>
      <c r="W5" s="155" t="s">
        <v>115</v>
      </c>
      <c r="X5" s="155" t="s">
        <v>436</v>
      </c>
      <c r="Y5" s="19"/>
      <c r="Z5" s="159">
        <v>2.41E-2</v>
      </c>
      <c r="AA5" s="158">
        <v>46568</v>
      </c>
      <c r="AB5" s="149" t="s">
        <v>120</v>
      </c>
      <c r="AC5" s="19"/>
      <c r="AD5" s="19"/>
      <c r="AE5" s="19"/>
      <c r="AF5" s="19"/>
      <c r="AG5" s="155" t="s">
        <v>76</v>
      </c>
      <c r="AH5" s="155" t="s">
        <v>437</v>
      </c>
      <c r="AJ5" s="142" t="s">
        <v>76</v>
      </c>
      <c r="AK5" s="155" t="s">
        <v>350</v>
      </c>
      <c r="AL5" s="155" t="s">
        <v>438</v>
      </c>
      <c r="AM5" s="155" t="s">
        <v>351</v>
      </c>
      <c r="AN5" s="161">
        <v>46022</v>
      </c>
      <c r="AQ5" s="146">
        <v>142312.5</v>
      </c>
      <c r="AR5" s="157">
        <v>159.62</v>
      </c>
      <c r="AS5" s="160">
        <v>1</v>
      </c>
      <c r="AT5" s="157">
        <v>227.15899999999999</v>
      </c>
      <c r="AU5" s="165">
        <v>227.15899999999999</v>
      </c>
      <c r="AV5" s="24"/>
      <c r="AW5" s="24"/>
      <c r="AX5" s="149" t="s">
        <v>76</v>
      </c>
      <c r="AY5" s="155" t="s">
        <v>20</v>
      </c>
      <c r="AZ5" s="159">
        <v>3.2800000000000003E-2</v>
      </c>
      <c r="BA5" s="159">
        <v>1E-4</v>
      </c>
    </row>
    <row r="6" spans="1:53" x14ac:dyDescent="0.2">
      <c r="A6" s="141">
        <v>269</v>
      </c>
      <c r="B6" s="141">
        <v>269</v>
      </c>
      <c r="C6" s="154">
        <v>512475203</v>
      </c>
      <c r="D6" s="155" t="s">
        <v>111</v>
      </c>
      <c r="E6" s="155" t="s">
        <v>442</v>
      </c>
      <c r="F6" s="154">
        <v>100072370</v>
      </c>
      <c r="G6" s="155" t="s">
        <v>349</v>
      </c>
      <c r="I6" s="149" t="s">
        <v>75</v>
      </c>
      <c r="J6" s="149" t="s">
        <v>75</v>
      </c>
      <c r="K6" s="155" t="s">
        <v>434</v>
      </c>
      <c r="L6" s="155" t="s">
        <v>76</v>
      </c>
      <c r="M6" s="155" t="s">
        <v>76</v>
      </c>
      <c r="N6" s="19"/>
      <c r="O6" s="158">
        <v>37070</v>
      </c>
      <c r="P6" s="155" t="s">
        <v>175</v>
      </c>
      <c r="Q6" s="155" t="s">
        <v>127</v>
      </c>
      <c r="R6" s="155" t="s">
        <v>119</v>
      </c>
      <c r="S6" s="149" t="s">
        <v>79</v>
      </c>
      <c r="T6" s="157">
        <v>0.99</v>
      </c>
      <c r="U6" s="155" t="s">
        <v>349</v>
      </c>
      <c r="V6" s="159">
        <v>6.7100000000000007E-2</v>
      </c>
      <c r="W6" s="155" t="s">
        <v>115</v>
      </c>
      <c r="X6" s="155" t="s">
        <v>436</v>
      </c>
      <c r="Y6" s="19"/>
      <c r="Z6" s="159">
        <v>2.41E-2</v>
      </c>
      <c r="AA6" s="158">
        <v>46568</v>
      </c>
      <c r="AB6" s="149" t="s">
        <v>120</v>
      </c>
      <c r="AC6" s="19"/>
      <c r="AD6" s="19"/>
      <c r="AE6" s="19"/>
      <c r="AF6" s="19"/>
      <c r="AG6" s="155" t="s">
        <v>76</v>
      </c>
      <c r="AH6" s="155" t="s">
        <v>437</v>
      </c>
      <c r="AJ6" s="142" t="s">
        <v>76</v>
      </c>
      <c r="AK6" s="155" t="s">
        <v>350</v>
      </c>
      <c r="AL6" s="155" t="s">
        <v>438</v>
      </c>
      <c r="AM6" s="155" t="s">
        <v>351</v>
      </c>
      <c r="AN6" s="161">
        <v>46022</v>
      </c>
      <c r="AQ6" s="146">
        <v>36143.919999999998</v>
      </c>
      <c r="AR6" s="157">
        <v>157.25</v>
      </c>
      <c r="AS6" s="160">
        <v>1</v>
      </c>
      <c r="AT6" s="157">
        <v>56.835999999999999</v>
      </c>
      <c r="AU6" s="165">
        <v>56.835999999999999</v>
      </c>
      <c r="AV6" s="24"/>
      <c r="AW6" s="24"/>
      <c r="AX6" s="149" t="s">
        <v>76</v>
      </c>
      <c r="AY6" s="155" t="s">
        <v>20</v>
      </c>
      <c r="AZ6" s="159">
        <v>8.2000000000000007E-3</v>
      </c>
      <c r="BA6" s="19"/>
    </row>
    <row r="7" spans="1:53" x14ac:dyDescent="0.2">
      <c r="A7" s="141">
        <v>269</v>
      </c>
      <c r="B7" s="141">
        <v>269</v>
      </c>
      <c r="C7" s="154">
        <v>512475203</v>
      </c>
      <c r="D7" s="155" t="s">
        <v>111</v>
      </c>
      <c r="E7" s="155" t="s">
        <v>443</v>
      </c>
      <c r="F7" s="154">
        <v>100072453</v>
      </c>
      <c r="G7" s="155" t="s">
        <v>349</v>
      </c>
      <c r="I7" s="149" t="s">
        <v>75</v>
      </c>
      <c r="J7" s="149" t="s">
        <v>75</v>
      </c>
      <c r="K7" s="155" t="s">
        <v>434</v>
      </c>
      <c r="L7" s="155" t="s">
        <v>76</v>
      </c>
      <c r="M7" s="155" t="s">
        <v>76</v>
      </c>
      <c r="N7" s="19"/>
      <c r="O7" s="158">
        <v>37164</v>
      </c>
      <c r="P7" s="155" t="s">
        <v>175</v>
      </c>
      <c r="Q7" s="155" t="s">
        <v>127</v>
      </c>
      <c r="R7" s="155" t="s">
        <v>119</v>
      </c>
      <c r="S7" s="149" t="s">
        <v>79</v>
      </c>
      <c r="T7" s="157">
        <v>0.99</v>
      </c>
      <c r="U7" s="155" t="s">
        <v>349</v>
      </c>
      <c r="V7" s="159">
        <v>6.7100000000000007E-2</v>
      </c>
      <c r="W7" s="155" t="s">
        <v>115</v>
      </c>
      <c r="X7" s="155" t="s">
        <v>436</v>
      </c>
      <c r="Y7" s="19"/>
      <c r="Z7" s="159">
        <v>2.4E-2</v>
      </c>
      <c r="AA7" s="158">
        <v>46568</v>
      </c>
      <c r="AB7" s="149" t="s">
        <v>120</v>
      </c>
      <c r="AC7" s="19"/>
      <c r="AD7" s="19"/>
      <c r="AE7" s="19"/>
      <c r="AF7" s="19"/>
      <c r="AG7" s="155" t="s">
        <v>76</v>
      </c>
      <c r="AH7" s="155" t="s">
        <v>437</v>
      </c>
      <c r="AJ7" s="142" t="s">
        <v>76</v>
      </c>
      <c r="AK7" s="155" t="s">
        <v>350</v>
      </c>
      <c r="AL7" s="155" t="s">
        <v>438</v>
      </c>
      <c r="AM7" s="155" t="s">
        <v>351</v>
      </c>
      <c r="AN7" s="161">
        <v>46022</v>
      </c>
      <c r="AQ7" s="146">
        <v>468430.08000000002</v>
      </c>
      <c r="AR7" s="157">
        <v>155.71</v>
      </c>
      <c r="AS7" s="160">
        <v>1</v>
      </c>
      <c r="AT7" s="157">
        <v>729.39200000000005</v>
      </c>
      <c r="AU7" s="165">
        <v>729.39200000000005</v>
      </c>
      <c r="AV7" s="24"/>
      <c r="AW7" s="24"/>
      <c r="AX7" s="149" t="s">
        <v>76</v>
      </c>
      <c r="AY7" s="155" t="s">
        <v>20</v>
      </c>
      <c r="AZ7" s="159">
        <v>0.1053</v>
      </c>
      <c r="BA7" s="159">
        <v>4.0000000000000002E-4</v>
      </c>
    </row>
    <row r="8" spans="1:53" x14ac:dyDescent="0.2">
      <c r="A8" s="141">
        <v>269</v>
      </c>
      <c r="B8" s="141">
        <v>269</v>
      </c>
      <c r="C8" s="154">
        <v>512475203</v>
      </c>
      <c r="D8" s="155" t="s">
        <v>111</v>
      </c>
      <c r="E8" s="155" t="s">
        <v>444</v>
      </c>
      <c r="F8" s="154">
        <v>100072529</v>
      </c>
      <c r="G8" s="155" t="s">
        <v>349</v>
      </c>
      <c r="I8" s="149" t="s">
        <v>75</v>
      </c>
      <c r="J8" s="149" t="s">
        <v>75</v>
      </c>
      <c r="K8" s="155" t="s">
        <v>434</v>
      </c>
      <c r="L8" s="155" t="s">
        <v>76</v>
      </c>
      <c r="M8" s="155" t="s">
        <v>76</v>
      </c>
      <c r="N8" s="19"/>
      <c r="O8" s="158">
        <v>37256</v>
      </c>
      <c r="P8" s="155" t="s">
        <v>175</v>
      </c>
      <c r="Q8" s="155" t="s">
        <v>127</v>
      </c>
      <c r="R8" s="155" t="s">
        <v>119</v>
      </c>
      <c r="S8" s="149" t="s">
        <v>79</v>
      </c>
      <c r="T8" s="157">
        <v>0.99</v>
      </c>
      <c r="U8" s="155" t="s">
        <v>349</v>
      </c>
      <c r="V8" s="159">
        <v>6.6100000000000006E-2</v>
      </c>
      <c r="W8" s="155" t="s">
        <v>115</v>
      </c>
      <c r="X8" s="155" t="s">
        <v>436</v>
      </c>
      <c r="Y8" s="19"/>
      <c r="Z8" s="159">
        <v>2.4E-2</v>
      </c>
      <c r="AA8" s="158">
        <v>46568</v>
      </c>
      <c r="AB8" s="149" t="s">
        <v>120</v>
      </c>
      <c r="AC8" s="19"/>
      <c r="AD8" s="19"/>
      <c r="AE8" s="19"/>
      <c r="AF8" s="19"/>
      <c r="AG8" s="155" t="s">
        <v>76</v>
      </c>
      <c r="AH8" s="155" t="s">
        <v>437</v>
      </c>
      <c r="AJ8" s="142" t="s">
        <v>76</v>
      </c>
      <c r="AK8" s="155" t="s">
        <v>350</v>
      </c>
      <c r="AL8" s="155" t="s">
        <v>438</v>
      </c>
      <c r="AM8" s="155" t="s">
        <v>351</v>
      </c>
      <c r="AN8" s="161">
        <v>46022</v>
      </c>
      <c r="AQ8" s="146">
        <v>311126.5</v>
      </c>
      <c r="AR8" s="157">
        <v>156.16999999999999</v>
      </c>
      <c r="AS8" s="160">
        <v>1</v>
      </c>
      <c r="AT8" s="157">
        <v>485.88600000000002</v>
      </c>
      <c r="AU8" s="157">
        <v>485.88600000000002</v>
      </c>
      <c r="AV8" s="19"/>
      <c r="AW8" s="19"/>
      <c r="AX8" s="149" t="s">
        <v>76</v>
      </c>
      <c r="AY8" s="155" t="s">
        <v>20</v>
      </c>
      <c r="AZ8" s="159">
        <v>7.0099999999999996E-2</v>
      </c>
      <c r="BA8" s="159">
        <v>2.9999999999999997E-4</v>
      </c>
    </row>
    <row r="9" spans="1:53" x14ac:dyDescent="0.2">
      <c r="A9" s="141">
        <v>269</v>
      </c>
      <c r="B9" s="141">
        <v>269</v>
      </c>
      <c r="C9" s="154">
        <v>512475203</v>
      </c>
      <c r="D9" s="155" t="s">
        <v>111</v>
      </c>
      <c r="E9" s="155" t="s">
        <v>445</v>
      </c>
      <c r="F9" s="154">
        <v>100072602</v>
      </c>
      <c r="G9" s="155" t="s">
        <v>349</v>
      </c>
      <c r="I9" s="149" t="s">
        <v>75</v>
      </c>
      <c r="J9" s="149" t="s">
        <v>75</v>
      </c>
      <c r="K9" s="155" t="s">
        <v>434</v>
      </c>
      <c r="L9" s="155" t="s">
        <v>76</v>
      </c>
      <c r="M9" s="155" t="s">
        <v>76</v>
      </c>
      <c r="N9" s="19"/>
      <c r="O9" s="158">
        <v>37346</v>
      </c>
      <c r="P9" s="155" t="s">
        <v>175</v>
      </c>
      <c r="Q9" s="155" t="s">
        <v>127</v>
      </c>
      <c r="R9" s="155" t="s">
        <v>119</v>
      </c>
      <c r="S9" s="149" t="s">
        <v>79</v>
      </c>
      <c r="T9" s="157">
        <v>0.99</v>
      </c>
      <c r="U9" s="155" t="s">
        <v>349</v>
      </c>
      <c r="V9" s="159">
        <v>6.7100000000000007E-2</v>
      </c>
      <c r="W9" s="155" t="s">
        <v>115</v>
      </c>
      <c r="X9" s="155" t="s">
        <v>436</v>
      </c>
      <c r="Y9" s="19"/>
      <c r="Z9" s="159">
        <v>2.41E-2</v>
      </c>
      <c r="AA9" s="158">
        <v>46568</v>
      </c>
      <c r="AB9" s="149" t="s">
        <v>120</v>
      </c>
      <c r="AC9" s="19"/>
      <c r="AD9" s="19"/>
      <c r="AE9" s="19"/>
      <c r="AF9" s="19"/>
      <c r="AG9" s="155" t="s">
        <v>76</v>
      </c>
      <c r="AH9" s="155" t="s">
        <v>437</v>
      </c>
      <c r="AJ9" s="142" t="s">
        <v>76</v>
      </c>
      <c r="AK9" s="155" t="s">
        <v>350</v>
      </c>
      <c r="AL9" s="155" t="s">
        <v>438</v>
      </c>
      <c r="AM9" s="155" t="s">
        <v>351</v>
      </c>
      <c r="AN9" s="161">
        <v>46022</v>
      </c>
      <c r="AQ9" s="146">
        <v>230675.79</v>
      </c>
      <c r="AR9" s="157">
        <v>153.44999999999999</v>
      </c>
      <c r="AS9" s="160">
        <v>1</v>
      </c>
      <c r="AT9" s="157">
        <v>353.97199999999998</v>
      </c>
      <c r="AU9" s="165">
        <v>353.97199999999998</v>
      </c>
      <c r="AV9" s="24"/>
      <c r="AW9" s="24"/>
      <c r="AX9" s="149" t="s">
        <v>76</v>
      </c>
      <c r="AY9" s="155" t="s">
        <v>20</v>
      </c>
      <c r="AZ9" s="159">
        <v>5.11E-2</v>
      </c>
      <c r="BA9" s="159">
        <v>2.0000000000000001E-4</v>
      </c>
    </row>
    <row r="10" spans="1:53" x14ac:dyDescent="0.2">
      <c r="A10" s="141">
        <v>269</v>
      </c>
      <c r="B10" s="141">
        <v>269</v>
      </c>
      <c r="C10" s="154">
        <v>512475203</v>
      </c>
      <c r="D10" s="155" t="s">
        <v>111</v>
      </c>
      <c r="E10" s="155" t="s">
        <v>446</v>
      </c>
      <c r="F10" s="154">
        <v>100072784</v>
      </c>
      <c r="G10" s="155" t="s">
        <v>349</v>
      </c>
      <c r="I10" s="149" t="s">
        <v>75</v>
      </c>
      <c r="J10" s="149" t="s">
        <v>75</v>
      </c>
      <c r="K10" s="155" t="s">
        <v>434</v>
      </c>
      <c r="L10" s="155" t="s">
        <v>76</v>
      </c>
      <c r="M10" s="155" t="s">
        <v>76</v>
      </c>
      <c r="N10" s="19"/>
      <c r="O10" s="158">
        <v>37437</v>
      </c>
      <c r="P10" s="155" t="s">
        <v>175</v>
      </c>
      <c r="Q10" s="155" t="s">
        <v>127</v>
      </c>
      <c r="R10" s="155" t="s">
        <v>119</v>
      </c>
      <c r="S10" s="149" t="s">
        <v>79</v>
      </c>
      <c r="T10" s="157">
        <v>0.99</v>
      </c>
      <c r="U10" s="155" t="s">
        <v>349</v>
      </c>
      <c r="V10" s="159">
        <v>6.7100000000000007E-2</v>
      </c>
      <c r="W10" s="155" t="s">
        <v>115</v>
      </c>
      <c r="X10" s="155" t="s">
        <v>436</v>
      </c>
      <c r="Y10" s="19"/>
      <c r="Z10" s="159">
        <v>2.41E-2</v>
      </c>
      <c r="AA10" s="158">
        <v>46568</v>
      </c>
      <c r="AB10" s="149" t="s">
        <v>120</v>
      </c>
      <c r="AC10" s="19"/>
      <c r="AD10" s="19"/>
      <c r="AE10" s="19"/>
      <c r="AF10" s="19"/>
      <c r="AG10" s="155" t="s">
        <v>76</v>
      </c>
      <c r="AH10" s="155" t="s">
        <v>437</v>
      </c>
      <c r="AJ10" s="142" t="s">
        <v>76</v>
      </c>
      <c r="AK10" s="155" t="s">
        <v>350</v>
      </c>
      <c r="AL10" s="155" t="s">
        <v>438</v>
      </c>
      <c r="AM10" s="155" t="s">
        <v>351</v>
      </c>
      <c r="AN10" s="161">
        <v>46022</v>
      </c>
      <c r="AQ10" s="146">
        <v>179498.65</v>
      </c>
      <c r="AR10" s="157">
        <v>148.99</v>
      </c>
      <c r="AS10" s="160">
        <v>1</v>
      </c>
      <c r="AT10" s="157">
        <v>267.435</v>
      </c>
      <c r="AU10" s="157">
        <v>267.435</v>
      </c>
      <c r="AV10" s="19"/>
      <c r="AW10" s="19"/>
      <c r="AX10" s="149" t="s">
        <v>76</v>
      </c>
      <c r="AY10" s="155" t="s">
        <v>20</v>
      </c>
      <c r="AZ10" s="159">
        <v>3.8600000000000002E-2</v>
      </c>
      <c r="BA10" s="159">
        <v>1E-4</v>
      </c>
    </row>
    <row r="11" spans="1:53" x14ac:dyDescent="0.2">
      <c r="A11" s="141">
        <v>269</v>
      </c>
      <c r="B11" s="141">
        <v>269</v>
      </c>
      <c r="C11" s="154">
        <v>512475203</v>
      </c>
      <c r="D11" s="155" t="s">
        <v>111</v>
      </c>
      <c r="E11" s="155" t="s">
        <v>447</v>
      </c>
      <c r="F11" s="154">
        <v>100072867</v>
      </c>
      <c r="G11" s="155" t="s">
        <v>349</v>
      </c>
      <c r="I11" s="149" t="s">
        <v>75</v>
      </c>
      <c r="J11" s="149" t="s">
        <v>75</v>
      </c>
      <c r="K11" s="155" t="s">
        <v>448</v>
      </c>
      <c r="L11" s="155" t="s">
        <v>76</v>
      </c>
      <c r="M11" s="155" t="s">
        <v>76</v>
      </c>
      <c r="N11" s="19"/>
      <c r="O11" s="158">
        <v>36528</v>
      </c>
      <c r="P11" s="155" t="s">
        <v>175</v>
      </c>
      <c r="Q11" s="155" t="s">
        <v>127</v>
      </c>
      <c r="R11" s="155" t="s">
        <v>119</v>
      </c>
      <c r="S11" s="149" t="s">
        <v>79</v>
      </c>
      <c r="T11" s="157">
        <v>0.99</v>
      </c>
      <c r="U11" s="155" t="s">
        <v>349</v>
      </c>
      <c r="V11" s="159">
        <v>6.7100000000000007E-2</v>
      </c>
      <c r="W11" s="155" t="s">
        <v>115</v>
      </c>
      <c r="X11" s="155" t="s">
        <v>436</v>
      </c>
      <c r="Y11" s="19"/>
      <c r="Z11" s="159">
        <v>2.41E-2</v>
      </c>
      <c r="AA11" s="158">
        <v>46568</v>
      </c>
      <c r="AB11" s="149" t="s">
        <v>120</v>
      </c>
      <c r="AC11" s="19"/>
      <c r="AD11" s="19"/>
      <c r="AE11" s="19"/>
      <c r="AF11" s="19"/>
      <c r="AG11" s="155" t="s">
        <v>76</v>
      </c>
      <c r="AH11" s="155" t="s">
        <v>437</v>
      </c>
      <c r="AJ11" s="142" t="s">
        <v>76</v>
      </c>
      <c r="AK11" s="155" t="s">
        <v>350</v>
      </c>
      <c r="AL11" s="155" t="s">
        <v>438</v>
      </c>
      <c r="AM11" s="155" t="s">
        <v>351</v>
      </c>
      <c r="AN11" s="161">
        <v>46022</v>
      </c>
      <c r="AQ11" s="146">
        <v>9927.61</v>
      </c>
      <c r="AR11" s="157">
        <v>158.52000000000001</v>
      </c>
      <c r="AS11" s="160">
        <v>1</v>
      </c>
      <c r="AT11" s="157">
        <v>15.737</v>
      </c>
      <c r="AU11" s="157">
        <v>15.737</v>
      </c>
      <c r="AV11" s="19"/>
      <c r="AW11" s="19"/>
      <c r="AX11" s="149" t="s">
        <v>76</v>
      </c>
      <c r="AY11" s="155" t="s">
        <v>20</v>
      </c>
      <c r="AZ11" s="159">
        <v>2.3E-3</v>
      </c>
      <c r="BA11" s="19"/>
    </row>
    <row r="12" spans="1:53" x14ac:dyDescent="0.2">
      <c r="A12" s="141">
        <v>269</v>
      </c>
      <c r="B12" s="141">
        <v>269</v>
      </c>
      <c r="C12" s="154">
        <v>512475203</v>
      </c>
      <c r="D12" s="155" t="s">
        <v>111</v>
      </c>
      <c r="E12" s="155" t="s">
        <v>449</v>
      </c>
      <c r="F12" s="154">
        <v>100072941</v>
      </c>
      <c r="G12" s="155" t="s">
        <v>349</v>
      </c>
      <c r="I12" s="149" t="s">
        <v>75</v>
      </c>
      <c r="J12" s="149" t="s">
        <v>75</v>
      </c>
      <c r="K12" s="155" t="s">
        <v>448</v>
      </c>
      <c r="L12" s="155" t="s">
        <v>76</v>
      </c>
      <c r="M12" s="155" t="s">
        <v>76</v>
      </c>
      <c r="N12" s="19"/>
      <c r="O12" s="158">
        <v>36461</v>
      </c>
      <c r="P12" s="155" t="s">
        <v>175</v>
      </c>
      <c r="Q12" s="155" t="s">
        <v>127</v>
      </c>
      <c r="R12" s="155" t="s">
        <v>119</v>
      </c>
      <c r="S12" s="149" t="s">
        <v>79</v>
      </c>
      <c r="T12" s="157">
        <v>0.99</v>
      </c>
      <c r="U12" s="155" t="s">
        <v>349</v>
      </c>
      <c r="V12" s="159">
        <v>6.7100000000000007E-2</v>
      </c>
      <c r="W12" s="155" t="s">
        <v>115</v>
      </c>
      <c r="X12" s="155" t="s">
        <v>436</v>
      </c>
      <c r="Y12" s="19"/>
      <c r="Z12" s="159">
        <v>2.41E-2</v>
      </c>
      <c r="AA12" s="158">
        <v>46568</v>
      </c>
      <c r="AB12" s="149" t="s">
        <v>120</v>
      </c>
      <c r="AC12" s="19"/>
      <c r="AD12" s="19"/>
      <c r="AE12" s="19"/>
      <c r="AF12" s="19"/>
      <c r="AG12" s="155" t="s">
        <v>76</v>
      </c>
      <c r="AH12" s="155" t="s">
        <v>437</v>
      </c>
      <c r="AJ12" s="142" t="s">
        <v>76</v>
      </c>
      <c r="AK12" s="155" t="s">
        <v>350</v>
      </c>
      <c r="AL12" s="155" t="s">
        <v>438</v>
      </c>
      <c r="AM12" s="155" t="s">
        <v>351</v>
      </c>
      <c r="AN12" s="161">
        <v>46022</v>
      </c>
      <c r="AQ12" s="146">
        <v>258129.82</v>
      </c>
      <c r="AR12" s="157">
        <v>159.27000000000001</v>
      </c>
      <c r="AS12" s="160">
        <v>1</v>
      </c>
      <c r="AT12" s="157">
        <v>411.12299999999999</v>
      </c>
      <c r="AU12" s="157">
        <v>411.12299999999999</v>
      </c>
      <c r="AV12" s="19"/>
      <c r="AW12" s="19"/>
      <c r="AX12" s="149" t="s">
        <v>76</v>
      </c>
      <c r="AY12" s="155" t="s">
        <v>20</v>
      </c>
      <c r="AZ12" s="159">
        <v>5.9299999999999999E-2</v>
      </c>
      <c r="BA12" s="159">
        <v>2.0000000000000001E-4</v>
      </c>
    </row>
    <row r="13" spans="1:53" x14ac:dyDescent="0.2">
      <c r="A13" s="141">
        <v>269</v>
      </c>
      <c r="B13" s="141">
        <v>269</v>
      </c>
      <c r="C13" s="154">
        <v>512475203</v>
      </c>
      <c r="D13" s="155" t="s">
        <v>111</v>
      </c>
      <c r="E13" s="155" t="s">
        <v>450</v>
      </c>
      <c r="F13" s="154">
        <v>100073022</v>
      </c>
      <c r="G13" s="155" t="s">
        <v>349</v>
      </c>
      <c r="I13" s="149" t="s">
        <v>75</v>
      </c>
      <c r="J13" s="149" t="s">
        <v>75</v>
      </c>
      <c r="K13" s="155" t="s">
        <v>448</v>
      </c>
      <c r="L13" s="155" t="s">
        <v>76</v>
      </c>
      <c r="M13" s="155" t="s">
        <v>76</v>
      </c>
      <c r="N13" s="19"/>
      <c r="O13" s="158">
        <v>36713</v>
      </c>
      <c r="P13" s="155" t="s">
        <v>175</v>
      </c>
      <c r="Q13" s="155" t="s">
        <v>127</v>
      </c>
      <c r="R13" s="155" t="s">
        <v>119</v>
      </c>
      <c r="S13" s="149" t="s">
        <v>79</v>
      </c>
      <c r="T13" s="157">
        <v>0.99</v>
      </c>
      <c r="U13" s="155" t="s">
        <v>349</v>
      </c>
      <c r="V13" s="159">
        <v>6.7100000000000007E-2</v>
      </c>
      <c r="W13" s="155" t="s">
        <v>115</v>
      </c>
      <c r="X13" s="155" t="s">
        <v>436</v>
      </c>
      <c r="Y13" s="19"/>
      <c r="Z13" s="159">
        <v>2.4E-2</v>
      </c>
      <c r="AA13" s="158">
        <v>46568</v>
      </c>
      <c r="AB13" s="149" t="s">
        <v>120</v>
      </c>
      <c r="AC13" s="19"/>
      <c r="AD13" s="19"/>
      <c r="AE13" s="19"/>
      <c r="AF13" s="19"/>
      <c r="AG13" s="155" t="s">
        <v>76</v>
      </c>
      <c r="AH13" s="155" t="s">
        <v>437</v>
      </c>
      <c r="AJ13" s="142" t="s">
        <v>76</v>
      </c>
      <c r="AK13" s="155" t="s">
        <v>350</v>
      </c>
      <c r="AL13" s="155" t="s">
        <v>438</v>
      </c>
      <c r="AM13" s="155" t="s">
        <v>351</v>
      </c>
      <c r="AN13" s="161">
        <v>46022</v>
      </c>
      <c r="AQ13" s="146">
        <v>128072</v>
      </c>
      <c r="AR13" s="157">
        <v>158.38</v>
      </c>
      <c r="AS13" s="160">
        <v>1</v>
      </c>
      <c r="AT13" s="157">
        <v>202.84</v>
      </c>
      <c r="AU13" s="157">
        <v>202.84</v>
      </c>
      <c r="AV13" s="19"/>
      <c r="AW13" s="19"/>
      <c r="AX13" s="149" t="s">
        <v>76</v>
      </c>
      <c r="AY13" s="155" t="s">
        <v>20</v>
      </c>
      <c r="AZ13" s="159">
        <v>2.93E-2</v>
      </c>
      <c r="BA13" s="159">
        <v>1E-4</v>
      </c>
    </row>
    <row r="14" spans="1:53" x14ac:dyDescent="0.2">
      <c r="A14" s="141">
        <v>269</v>
      </c>
      <c r="B14" s="141">
        <v>269</v>
      </c>
      <c r="C14" s="154">
        <v>512475203</v>
      </c>
      <c r="D14" s="155" t="s">
        <v>111</v>
      </c>
      <c r="E14" s="155" t="s">
        <v>451</v>
      </c>
      <c r="F14" s="154">
        <v>100073105</v>
      </c>
      <c r="G14" s="155" t="s">
        <v>349</v>
      </c>
      <c r="I14" s="149" t="s">
        <v>75</v>
      </c>
      <c r="J14" s="149" t="s">
        <v>75</v>
      </c>
      <c r="K14" s="155" t="s">
        <v>448</v>
      </c>
      <c r="L14" s="155" t="s">
        <v>76</v>
      </c>
      <c r="M14" s="155" t="s">
        <v>76</v>
      </c>
      <c r="N14" s="19"/>
      <c r="O14" s="158">
        <v>36804</v>
      </c>
      <c r="P14" s="155" t="s">
        <v>175</v>
      </c>
      <c r="Q14" s="155" t="s">
        <v>127</v>
      </c>
      <c r="R14" s="155" t="s">
        <v>119</v>
      </c>
      <c r="S14" s="149" t="s">
        <v>79</v>
      </c>
      <c r="T14" s="157">
        <v>0.99</v>
      </c>
      <c r="U14" s="155" t="s">
        <v>349</v>
      </c>
      <c r="V14" s="159">
        <v>6.7100000000000007E-2</v>
      </c>
      <c r="W14" s="155" t="s">
        <v>115</v>
      </c>
      <c r="X14" s="155" t="s">
        <v>436</v>
      </c>
      <c r="Y14" s="19"/>
      <c r="Z14" s="159">
        <v>2.4E-2</v>
      </c>
      <c r="AA14" s="158">
        <v>46568</v>
      </c>
      <c r="AB14" s="149" t="s">
        <v>120</v>
      </c>
      <c r="AC14" s="19"/>
      <c r="AD14" s="19"/>
      <c r="AE14" s="19"/>
      <c r="AF14" s="19"/>
      <c r="AG14" s="155" t="s">
        <v>76</v>
      </c>
      <c r="AH14" s="155" t="s">
        <v>437</v>
      </c>
      <c r="AJ14" s="142" t="s">
        <v>76</v>
      </c>
      <c r="AK14" s="155" t="s">
        <v>350</v>
      </c>
      <c r="AL14" s="155" t="s">
        <v>438</v>
      </c>
      <c r="AM14" s="155" t="s">
        <v>351</v>
      </c>
      <c r="AN14" s="161">
        <v>46022</v>
      </c>
      <c r="AQ14" s="146">
        <v>149453.54999999999</v>
      </c>
      <c r="AR14" s="157">
        <v>158.38</v>
      </c>
      <c r="AS14" s="160">
        <v>1</v>
      </c>
      <c r="AT14" s="157">
        <v>236.70500000000001</v>
      </c>
      <c r="AU14" s="157">
        <v>236.70500000000001</v>
      </c>
      <c r="AV14" s="19"/>
      <c r="AW14" s="19"/>
      <c r="AX14" s="149" t="s">
        <v>76</v>
      </c>
      <c r="AY14" s="155" t="s">
        <v>20</v>
      </c>
      <c r="AZ14" s="159">
        <v>3.4200000000000001E-2</v>
      </c>
      <c r="BA14" s="159">
        <v>1E-4</v>
      </c>
    </row>
    <row r="15" spans="1:53" x14ac:dyDescent="0.2">
      <c r="A15" s="141">
        <v>269</v>
      </c>
      <c r="B15" s="141">
        <v>269</v>
      </c>
      <c r="C15" s="154">
        <v>512475203</v>
      </c>
      <c r="D15" s="155" t="s">
        <v>111</v>
      </c>
      <c r="E15" s="155" t="s">
        <v>452</v>
      </c>
      <c r="F15" s="154">
        <v>100073287</v>
      </c>
      <c r="G15" s="155" t="s">
        <v>349</v>
      </c>
      <c r="I15" s="149" t="s">
        <v>75</v>
      </c>
      <c r="J15" s="149" t="s">
        <v>75</v>
      </c>
      <c r="K15" s="155" t="s">
        <v>448</v>
      </c>
      <c r="L15" s="155" t="s">
        <v>76</v>
      </c>
      <c r="M15" s="155" t="s">
        <v>76</v>
      </c>
      <c r="N15" s="19"/>
      <c r="O15" s="158">
        <v>37529</v>
      </c>
      <c r="P15" s="155" t="s">
        <v>175</v>
      </c>
      <c r="Q15" s="155" t="s">
        <v>127</v>
      </c>
      <c r="R15" s="155" t="s">
        <v>119</v>
      </c>
      <c r="S15" s="149" t="s">
        <v>79</v>
      </c>
      <c r="T15" s="157">
        <v>0.99</v>
      </c>
      <c r="U15" s="155" t="s">
        <v>349</v>
      </c>
      <c r="V15" s="159">
        <v>6.7100000000000007E-2</v>
      </c>
      <c r="W15" s="155" t="s">
        <v>115</v>
      </c>
      <c r="X15" s="155" t="s">
        <v>436</v>
      </c>
      <c r="Y15" s="19"/>
      <c r="Z15" s="159">
        <v>2.41E-2</v>
      </c>
      <c r="AA15" s="158">
        <v>46568</v>
      </c>
      <c r="AB15" s="149" t="s">
        <v>120</v>
      </c>
      <c r="AC15" s="19"/>
      <c r="AD15" s="19"/>
      <c r="AE15" s="19"/>
      <c r="AF15" s="19"/>
      <c r="AG15" s="155" t="s">
        <v>76</v>
      </c>
      <c r="AH15" s="155" t="s">
        <v>437</v>
      </c>
      <c r="AJ15" s="142" t="s">
        <v>76</v>
      </c>
      <c r="AK15" s="155" t="s">
        <v>350</v>
      </c>
      <c r="AL15" s="155" t="s">
        <v>438</v>
      </c>
      <c r="AM15" s="155" t="s">
        <v>351</v>
      </c>
      <c r="AN15" s="161">
        <v>46022</v>
      </c>
      <c r="AQ15" s="146">
        <v>223318.58</v>
      </c>
      <c r="AR15" s="157">
        <v>146.65</v>
      </c>
      <c r="AS15" s="160">
        <v>1</v>
      </c>
      <c r="AT15" s="157">
        <v>327.49700000000001</v>
      </c>
      <c r="AU15" s="157">
        <v>327.49700000000001</v>
      </c>
      <c r="AV15" s="19"/>
      <c r="AW15" s="19"/>
      <c r="AX15" s="149" t="s">
        <v>76</v>
      </c>
      <c r="AY15" s="155" t="s">
        <v>20</v>
      </c>
      <c r="AZ15" s="159">
        <v>4.7300000000000002E-2</v>
      </c>
      <c r="BA15" s="159">
        <v>2.0000000000000001E-4</v>
      </c>
    </row>
    <row r="16" spans="1:53" x14ac:dyDescent="0.2">
      <c r="A16" s="141">
        <v>269</v>
      </c>
      <c r="B16" s="141">
        <v>269</v>
      </c>
      <c r="C16" s="154">
        <v>512475203</v>
      </c>
      <c r="D16" s="155" t="s">
        <v>111</v>
      </c>
      <c r="E16" s="155" t="s">
        <v>453</v>
      </c>
      <c r="F16" s="154">
        <v>100073360</v>
      </c>
      <c r="G16" s="155" t="s">
        <v>349</v>
      </c>
      <c r="I16" s="149" t="s">
        <v>75</v>
      </c>
      <c r="J16" s="149" t="s">
        <v>75</v>
      </c>
      <c r="K16" s="155" t="s">
        <v>448</v>
      </c>
      <c r="L16" s="155" t="s">
        <v>76</v>
      </c>
      <c r="M16" s="155" t="s">
        <v>76</v>
      </c>
      <c r="N16" s="19"/>
      <c r="O16" s="158">
        <v>37621</v>
      </c>
      <c r="P16" s="155" t="s">
        <v>175</v>
      </c>
      <c r="Q16" s="155" t="s">
        <v>127</v>
      </c>
      <c r="R16" s="155" t="s">
        <v>119</v>
      </c>
      <c r="S16" s="149" t="s">
        <v>79</v>
      </c>
      <c r="T16" s="157">
        <v>0.99</v>
      </c>
      <c r="U16" s="155" t="s">
        <v>349</v>
      </c>
      <c r="V16" s="159">
        <v>6.7100000000000007E-2</v>
      </c>
      <c r="W16" s="155" t="s">
        <v>115</v>
      </c>
      <c r="X16" s="155" t="s">
        <v>436</v>
      </c>
      <c r="Y16" s="19"/>
      <c r="Z16" s="159">
        <v>2.41E-2</v>
      </c>
      <c r="AA16" s="158">
        <v>46568</v>
      </c>
      <c r="AB16" s="149" t="s">
        <v>120</v>
      </c>
      <c r="AC16" s="19"/>
      <c r="AD16" s="19"/>
      <c r="AE16" s="19"/>
      <c r="AF16" s="19"/>
      <c r="AG16" s="155" t="s">
        <v>76</v>
      </c>
      <c r="AH16" s="155" t="s">
        <v>437</v>
      </c>
      <c r="AJ16" s="142" t="s">
        <v>76</v>
      </c>
      <c r="AK16" s="155" t="s">
        <v>350</v>
      </c>
      <c r="AL16" s="155" t="s">
        <v>438</v>
      </c>
      <c r="AM16" s="155" t="s">
        <v>351</v>
      </c>
      <c r="AN16" s="161">
        <v>46022</v>
      </c>
      <c r="AQ16" s="146">
        <v>215051.22</v>
      </c>
      <c r="AR16" s="157">
        <v>146.38</v>
      </c>
      <c r="AS16" s="160">
        <v>1</v>
      </c>
      <c r="AT16" s="157">
        <v>314.79199999999997</v>
      </c>
      <c r="AU16" s="157">
        <v>314.79199999999997</v>
      </c>
      <c r="AV16" s="19"/>
      <c r="AW16" s="19"/>
      <c r="AX16" s="149" t="s">
        <v>76</v>
      </c>
      <c r="AY16" s="155" t="s">
        <v>20</v>
      </c>
      <c r="AZ16" s="159">
        <v>4.5400000000000003E-2</v>
      </c>
      <c r="BA16" s="159">
        <v>2.0000000000000001E-4</v>
      </c>
    </row>
    <row r="17" spans="1:53" x14ac:dyDescent="0.2">
      <c r="A17" s="141">
        <v>269</v>
      </c>
      <c r="B17" s="141">
        <v>269</v>
      </c>
      <c r="C17" s="154">
        <v>512475203</v>
      </c>
      <c r="D17" s="155" t="s">
        <v>111</v>
      </c>
      <c r="E17" s="155" t="s">
        <v>454</v>
      </c>
      <c r="F17" s="154">
        <v>100073444</v>
      </c>
      <c r="G17" s="155" t="s">
        <v>349</v>
      </c>
      <c r="I17" s="149" t="s">
        <v>75</v>
      </c>
      <c r="J17" s="149" t="s">
        <v>75</v>
      </c>
      <c r="K17" s="155" t="s">
        <v>448</v>
      </c>
      <c r="L17" s="155" t="s">
        <v>76</v>
      </c>
      <c r="M17" s="155" t="s">
        <v>76</v>
      </c>
      <c r="N17" s="19"/>
      <c r="O17" s="158">
        <v>37711</v>
      </c>
      <c r="P17" s="155" t="s">
        <v>175</v>
      </c>
      <c r="Q17" s="155" t="s">
        <v>127</v>
      </c>
      <c r="R17" s="155" t="s">
        <v>119</v>
      </c>
      <c r="S17" s="149" t="s">
        <v>79</v>
      </c>
      <c r="T17" s="157">
        <v>0.99</v>
      </c>
      <c r="U17" s="155" t="s">
        <v>349</v>
      </c>
      <c r="V17" s="159">
        <v>6.7100000000000007E-2</v>
      </c>
      <c r="W17" s="155" t="s">
        <v>115</v>
      </c>
      <c r="X17" s="155" t="s">
        <v>436</v>
      </c>
      <c r="Y17" s="19"/>
      <c r="Z17" s="159">
        <v>2.41E-2</v>
      </c>
      <c r="AA17" s="158">
        <v>46568</v>
      </c>
      <c r="AB17" s="149" t="s">
        <v>120</v>
      </c>
      <c r="AC17" s="19"/>
      <c r="AD17" s="19"/>
      <c r="AE17" s="19"/>
      <c r="AF17" s="19"/>
      <c r="AG17" s="155" t="s">
        <v>76</v>
      </c>
      <c r="AH17" s="155" t="s">
        <v>437</v>
      </c>
      <c r="AJ17" s="142" t="s">
        <v>76</v>
      </c>
      <c r="AK17" s="155" t="s">
        <v>350</v>
      </c>
      <c r="AL17" s="155" t="s">
        <v>438</v>
      </c>
      <c r="AM17" s="155" t="s">
        <v>351</v>
      </c>
      <c r="AN17" s="161">
        <v>46022</v>
      </c>
      <c r="AQ17" s="146">
        <v>189472.97</v>
      </c>
      <c r="AR17" s="157">
        <v>145.93</v>
      </c>
      <c r="AS17" s="160">
        <v>1</v>
      </c>
      <c r="AT17" s="157">
        <v>276.49799999999999</v>
      </c>
      <c r="AU17" s="157">
        <v>276.49799999999999</v>
      </c>
      <c r="AV17" s="19"/>
      <c r="AW17" s="19"/>
      <c r="AX17" s="149" t="s">
        <v>76</v>
      </c>
      <c r="AY17" s="155" t="s">
        <v>20</v>
      </c>
      <c r="AZ17" s="159">
        <v>3.9899999999999998E-2</v>
      </c>
      <c r="BA17" s="159">
        <v>1E-4</v>
      </c>
    </row>
    <row r="18" spans="1:53" x14ac:dyDescent="0.2">
      <c r="A18" s="141">
        <v>269</v>
      </c>
      <c r="B18" s="141">
        <v>269</v>
      </c>
      <c r="C18" s="154">
        <v>512475203</v>
      </c>
      <c r="D18" s="155" t="s">
        <v>111</v>
      </c>
      <c r="E18" s="155" t="s">
        <v>455</v>
      </c>
      <c r="F18" s="154">
        <v>100073519</v>
      </c>
      <c r="G18" s="155" t="s">
        <v>349</v>
      </c>
      <c r="I18" s="149" t="s">
        <v>75</v>
      </c>
      <c r="J18" s="149" t="s">
        <v>75</v>
      </c>
      <c r="K18" s="155" t="s">
        <v>448</v>
      </c>
      <c r="L18" s="155" t="s">
        <v>76</v>
      </c>
      <c r="M18" s="155" t="s">
        <v>76</v>
      </c>
      <c r="N18" s="19"/>
      <c r="O18" s="158">
        <v>37802</v>
      </c>
      <c r="P18" s="155" t="s">
        <v>175</v>
      </c>
      <c r="Q18" s="155" t="s">
        <v>127</v>
      </c>
      <c r="R18" s="155" t="s">
        <v>119</v>
      </c>
      <c r="S18" s="149" t="s">
        <v>79</v>
      </c>
      <c r="T18" s="157">
        <v>0.99</v>
      </c>
      <c r="U18" s="155" t="s">
        <v>349</v>
      </c>
      <c r="V18" s="159">
        <v>6.7100000000000007E-2</v>
      </c>
      <c r="W18" s="155" t="s">
        <v>115</v>
      </c>
      <c r="X18" s="155" t="s">
        <v>436</v>
      </c>
      <c r="Y18" s="19"/>
      <c r="Z18" s="159">
        <v>2.4E-2</v>
      </c>
      <c r="AA18" s="158">
        <v>46568</v>
      </c>
      <c r="AB18" s="149" t="s">
        <v>120</v>
      </c>
      <c r="AC18" s="19"/>
      <c r="AD18" s="19"/>
      <c r="AE18" s="19"/>
      <c r="AF18" s="19"/>
      <c r="AG18" s="155" t="s">
        <v>76</v>
      </c>
      <c r="AH18" s="155" t="s">
        <v>437</v>
      </c>
      <c r="AJ18" s="142" t="s">
        <v>76</v>
      </c>
      <c r="AK18" s="155" t="s">
        <v>350</v>
      </c>
      <c r="AL18" s="155" t="s">
        <v>438</v>
      </c>
      <c r="AM18" s="155" t="s">
        <v>351</v>
      </c>
      <c r="AN18" s="161">
        <v>46022</v>
      </c>
      <c r="AQ18" s="146">
        <v>196438.94</v>
      </c>
      <c r="AR18" s="157">
        <v>146.66</v>
      </c>
      <c r="AS18" s="160">
        <v>1</v>
      </c>
      <c r="AT18" s="157">
        <v>288.09699999999998</v>
      </c>
      <c r="AU18" s="157">
        <v>288.09699999999998</v>
      </c>
      <c r="AV18" s="19"/>
      <c r="AW18" s="19"/>
      <c r="AX18" s="149" t="s">
        <v>76</v>
      </c>
      <c r="AY18" s="155" t="s">
        <v>20</v>
      </c>
      <c r="AZ18" s="159">
        <v>4.1599999999999998E-2</v>
      </c>
      <c r="BA18" s="159">
        <v>1E-4</v>
      </c>
    </row>
    <row r="19" spans="1:53" x14ac:dyDescent="0.2">
      <c r="A19" s="141">
        <v>269</v>
      </c>
      <c r="B19" s="141">
        <v>269</v>
      </c>
      <c r="C19" s="154">
        <v>512475203</v>
      </c>
      <c r="D19" s="155" t="s">
        <v>111</v>
      </c>
      <c r="E19" s="155" t="s">
        <v>456</v>
      </c>
      <c r="F19" s="154">
        <v>100073691</v>
      </c>
      <c r="G19" s="155" t="s">
        <v>349</v>
      </c>
      <c r="I19" s="149" t="s">
        <v>75</v>
      </c>
      <c r="J19" s="149" t="s">
        <v>75</v>
      </c>
      <c r="K19" s="155" t="s">
        <v>448</v>
      </c>
      <c r="L19" s="155" t="s">
        <v>76</v>
      </c>
      <c r="M19" s="155" t="s">
        <v>76</v>
      </c>
      <c r="N19" s="19"/>
      <c r="O19" s="158">
        <v>37894</v>
      </c>
      <c r="P19" s="155" t="s">
        <v>175</v>
      </c>
      <c r="Q19" s="155" t="s">
        <v>127</v>
      </c>
      <c r="R19" s="155" t="s">
        <v>119</v>
      </c>
      <c r="S19" s="149" t="s">
        <v>79</v>
      </c>
      <c r="T19" s="157">
        <v>0.99</v>
      </c>
      <c r="U19" s="155" t="s">
        <v>349</v>
      </c>
      <c r="V19" s="159">
        <v>6.7100000000000007E-2</v>
      </c>
      <c r="W19" s="155" t="s">
        <v>115</v>
      </c>
      <c r="X19" s="155" t="s">
        <v>436</v>
      </c>
      <c r="Y19" s="19"/>
      <c r="Z19" s="159">
        <v>2.41E-2</v>
      </c>
      <c r="AA19" s="158">
        <v>46568</v>
      </c>
      <c r="AB19" s="149" t="s">
        <v>120</v>
      </c>
      <c r="AC19" s="19"/>
      <c r="AD19" s="19"/>
      <c r="AE19" s="19"/>
      <c r="AF19" s="19"/>
      <c r="AG19" s="155" t="s">
        <v>76</v>
      </c>
      <c r="AH19" s="155" t="s">
        <v>437</v>
      </c>
      <c r="AJ19" s="142" t="s">
        <v>76</v>
      </c>
      <c r="AK19" s="155" t="s">
        <v>350</v>
      </c>
      <c r="AL19" s="155" t="s">
        <v>438</v>
      </c>
      <c r="AM19" s="155" t="s">
        <v>351</v>
      </c>
      <c r="AN19" s="161">
        <v>46022</v>
      </c>
      <c r="AQ19" s="146">
        <v>139345.89000000001</v>
      </c>
      <c r="AR19" s="157">
        <v>148.26</v>
      </c>
      <c r="AS19" s="160">
        <v>1</v>
      </c>
      <c r="AT19" s="157">
        <v>206.59399999999999</v>
      </c>
      <c r="AU19" s="157">
        <v>206.59399999999999</v>
      </c>
      <c r="AV19" s="19"/>
      <c r="AW19" s="19"/>
      <c r="AX19" s="149" t="s">
        <v>76</v>
      </c>
      <c r="AY19" s="155" t="s">
        <v>20</v>
      </c>
      <c r="AZ19" s="159">
        <v>2.98E-2</v>
      </c>
      <c r="BA19" s="159">
        <v>1E-4</v>
      </c>
    </row>
    <row r="20" spans="1:53" x14ac:dyDescent="0.2">
      <c r="A20" s="141">
        <v>269</v>
      </c>
      <c r="B20" s="141">
        <v>269</v>
      </c>
      <c r="C20" s="141">
        <v>512475203</v>
      </c>
      <c r="D20" s="155" t="s">
        <v>111</v>
      </c>
      <c r="E20" s="142" t="s">
        <v>457</v>
      </c>
      <c r="F20" s="141">
        <v>100073774</v>
      </c>
      <c r="G20" s="155" t="s">
        <v>349</v>
      </c>
      <c r="I20" s="149" t="s">
        <v>75</v>
      </c>
      <c r="J20" s="149" t="s">
        <v>75</v>
      </c>
      <c r="K20" s="155" t="s">
        <v>448</v>
      </c>
      <c r="L20" s="155" t="s">
        <v>76</v>
      </c>
      <c r="M20" s="155" t="s">
        <v>76</v>
      </c>
      <c r="O20" s="161">
        <v>37986</v>
      </c>
      <c r="P20" s="142" t="s">
        <v>175</v>
      </c>
      <c r="Q20" s="155" t="s">
        <v>127</v>
      </c>
      <c r="R20" s="155" t="s">
        <v>119</v>
      </c>
      <c r="S20" s="149" t="s">
        <v>79</v>
      </c>
      <c r="T20" s="146">
        <v>0.99</v>
      </c>
      <c r="U20" s="155" t="s">
        <v>349</v>
      </c>
      <c r="V20" s="147">
        <v>6.7100000000000007E-2</v>
      </c>
      <c r="W20" s="155" t="s">
        <v>115</v>
      </c>
      <c r="X20" s="155" t="s">
        <v>436</v>
      </c>
      <c r="Z20" s="147">
        <v>2.4E-2</v>
      </c>
      <c r="AA20" s="161">
        <v>46568</v>
      </c>
      <c r="AB20" s="149" t="s">
        <v>120</v>
      </c>
      <c r="AC20" s="19"/>
      <c r="AG20" s="155" t="s">
        <v>76</v>
      </c>
      <c r="AH20" s="155" t="s">
        <v>437</v>
      </c>
      <c r="AJ20" s="142" t="s">
        <v>76</v>
      </c>
      <c r="AK20" s="155" t="s">
        <v>350</v>
      </c>
      <c r="AL20" s="142" t="s">
        <v>438</v>
      </c>
      <c r="AM20" s="155" t="s">
        <v>351</v>
      </c>
      <c r="AN20" s="161">
        <v>46022</v>
      </c>
      <c r="AQ20" s="146">
        <v>83981.3</v>
      </c>
      <c r="AR20" s="146">
        <v>149.31</v>
      </c>
      <c r="AS20" s="145">
        <v>1</v>
      </c>
      <c r="AT20" s="146">
        <v>125.392</v>
      </c>
      <c r="AU20" s="146">
        <v>125.392</v>
      </c>
      <c r="AX20" s="149" t="s">
        <v>76</v>
      </c>
      <c r="AY20" s="155" t="s">
        <v>20</v>
      </c>
      <c r="AZ20" s="147">
        <v>1.8100000000000002E-2</v>
      </c>
      <c r="BA20" s="147">
        <v>1E-4</v>
      </c>
    </row>
    <row r="21" spans="1:53" x14ac:dyDescent="0.2">
      <c r="A21" s="141">
        <v>269</v>
      </c>
      <c r="B21" s="141">
        <v>269</v>
      </c>
      <c r="C21" s="141">
        <v>512475203</v>
      </c>
      <c r="D21" s="143" t="s">
        <v>111</v>
      </c>
      <c r="E21" s="142" t="s">
        <v>458</v>
      </c>
      <c r="F21" s="141">
        <v>100073857</v>
      </c>
      <c r="G21" s="142" t="s">
        <v>349</v>
      </c>
      <c r="I21" s="142" t="s">
        <v>75</v>
      </c>
      <c r="J21" s="142" t="s">
        <v>75</v>
      </c>
      <c r="K21" s="142" t="s">
        <v>448</v>
      </c>
      <c r="L21" s="142" t="s">
        <v>76</v>
      </c>
      <c r="M21" s="142" t="s">
        <v>76</v>
      </c>
      <c r="O21" s="161">
        <v>38105</v>
      </c>
      <c r="P21" s="142" t="s">
        <v>175</v>
      </c>
      <c r="Q21" s="142" t="s">
        <v>127</v>
      </c>
      <c r="R21" s="142" t="s">
        <v>119</v>
      </c>
      <c r="S21" s="149" t="s">
        <v>79</v>
      </c>
      <c r="T21" s="146">
        <v>0.99</v>
      </c>
      <c r="U21" s="142" t="s">
        <v>349</v>
      </c>
      <c r="V21" s="147">
        <v>6.7100000000000007E-2</v>
      </c>
      <c r="W21" s="142" t="s">
        <v>115</v>
      </c>
      <c r="X21" s="142" t="s">
        <v>436</v>
      </c>
      <c r="Z21" s="147">
        <v>2.4E-2</v>
      </c>
      <c r="AA21" s="161">
        <v>46568</v>
      </c>
      <c r="AB21" s="143" t="s">
        <v>120</v>
      </c>
      <c r="AG21" s="142" t="s">
        <v>76</v>
      </c>
      <c r="AH21" s="142" t="s">
        <v>437</v>
      </c>
      <c r="AJ21" s="142" t="s">
        <v>76</v>
      </c>
      <c r="AK21" s="142" t="s">
        <v>350</v>
      </c>
      <c r="AL21" s="142" t="s">
        <v>438</v>
      </c>
      <c r="AM21" s="142" t="s">
        <v>351</v>
      </c>
      <c r="AN21" s="161">
        <v>46022</v>
      </c>
      <c r="AQ21" s="166">
        <v>84443.53</v>
      </c>
      <c r="AR21" s="146">
        <v>149.76</v>
      </c>
      <c r="AS21" s="145">
        <v>1</v>
      </c>
      <c r="AT21" s="146">
        <v>126.46299999999999</v>
      </c>
      <c r="AU21" s="146">
        <v>126.46299999999999</v>
      </c>
      <c r="AX21" s="143" t="s">
        <v>76</v>
      </c>
      <c r="AY21" s="142" t="s">
        <v>20</v>
      </c>
      <c r="AZ21" s="147">
        <v>1.8200000000000001E-2</v>
      </c>
      <c r="BA21" s="147">
        <v>1E-4</v>
      </c>
    </row>
    <row r="22" spans="1:53" x14ac:dyDescent="0.2">
      <c r="D22" s="4"/>
      <c r="S22" s="17"/>
    </row>
    <row r="23" spans="1:53" x14ac:dyDescent="0.2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>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31" width="9" style="2" hidden="1" customWidth="1"/>
    <col min="32" max="16384" width="9" style="2" hidden="1"/>
  </cols>
  <sheetData>
    <row r="1" spans="1:30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61</v>
      </c>
      <c r="M1" s="18" t="s">
        <v>265</v>
      </c>
      <c r="N1" s="18" t="s">
        <v>266</v>
      </c>
      <c r="O1" s="18" t="s">
        <v>85</v>
      </c>
      <c r="P1" s="18" t="s">
        <v>63</v>
      </c>
      <c r="Q1" s="18" t="s">
        <v>104</v>
      </c>
      <c r="R1" s="18" t="s">
        <v>64</v>
      </c>
      <c r="S1" s="18" t="s">
        <v>86</v>
      </c>
      <c r="T1" s="18" t="s">
        <v>67</v>
      </c>
      <c r="U1" s="18" t="s">
        <v>88</v>
      </c>
      <c r="V1" s="18" t="s">
        <v>341</v>
      </c>
      <c r="W1" s="18" t="s">
        <v>342</v>
      </c>
      <c r="X1" s="18" t="s">
        <v>344</v>
      </c>
      <c r="Y1" s="18" t="s">
        <v>90</v>
      </c>
      <c r="Z1" s="18" t="s">
        <v>66</v>
      </c>
      <c r="AA1" s="18" t="s">
        <v>91</v>
      </c>
      <c r="AB1" s="18" t="s">
        <v>68</v>
      </c>
      <c r="AC1" s="18" t="s">
        <v>69</v>
      </c>
      <c r="AD1" s="18" t="s">
        <v>70</v>
      </c>
    </row>
    <row r="2" spans="1:30" x14ac:dyDescent="0.2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Y2" s="19"/>
      <c r="Z2" s="19"/>
      <c r="AA2" s="19"/>
      <c r="AB2" s="19"/>
      <c r="AC2" s="19"/>
      <c r="AD2" s="19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topLeftCell="C1" workbookViewId="0">
      <selection activeCell="R37" sqref="R37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23" width="9" style="2" hidden="1" customWidth="1"/>
    <col min="24" max="16384" width="9" style="2" hidden="1"/>
  </cols>
  <sheetData>
    <row r="1" spans="1:22" ht="51" x14ac:dyDescent="0.2">
      <c r="A1" s="18" t="s">
        <v>54</v>
      </c>
      <c r="B1" s="18" t="s">
        <v>55</v>
      </c>
      <c r="C1" s="18" t="s">
        <v>56</v>
      </c>
      <c r="D1" s="18" t="s">
        <v>57</v>
      </c>
      <c r="E1" s="18" t="s">
        <v>58</v>
      </c>
      <c r="F1" s="18" t="s">
        <v>59</v>
      </c>
      <c r="G1" s="18" t="s">
        <v>459</v>
      </c>
      <c r="H1" s="18" t="s">
        <v>60</v>
      </c>
      <c r="I1" s="18" t="s">
        <v>83</v>
      </c>
      <c r="J1" s="18" t="s">
        <v>61</v>
      </c>
      <c r="K1" s="18" t="s">
        <v>62</v>
      </c>
      <c r="L1" s="18" t="s">
        <v>63</v>
      </c>
      <c r="M1" s="18" t="s">
        <v>64</v>
      </c>
      <c r="N1" s="18" t="s">
        <v>86</v>
      </c>
      <c r="O1" s="18" t="s">
        <v>67</v>
      </c>
      <c r="P1" s="18" t="s">
        <v>88</v>
      </c>
      <c r="Q1" s="18" t="s">
        <v>65</v>
      </c>
      <c r="R1" s="18" t="s">
        <v>66</v>
      </c>
      <c r="S1" s="18" t="s">
        <v>460</v>
      </c>
      <c r="T1" s="18" t="s">
        <v>68</v>
      </c>
      <c r="U1" s="18" t="s">
        <v>69</v>
      </c>
      <c r="V1" s="18" t="s">
        <v>70</v>
      </c>
    </row>
    <row r="2" spans="1:22" x14ac:dyDescent="0.2">
      <c r="A2" s="154">
        <v>269</v>
      </c>
      <c r="B2" s="154">
        <v>269</v>
      </c>
      <c r="C2" s="155" t="s">
        <v>187</v>
      </c>
      <c r="D2" s="141">
        <v>520018078</v>
      </c>
      <c r="E2" s="149" t="s">
        <v>111</v>
      </c>
      <c r="F2" s="155" t="s">
        <v>115</v>
      </c>
      <c r="G2" s="158">
        <v>46629</v>
      </c>
      <c r="H2" s="149" t="s">
        <v>75</v>
      </c>
      <c r="I2" s="149" t="s">
        <v>75</v>
      </c>
      <c r="J2" s="155" t="s">
        <v>76</v>
      </c>
      <c r="K2" s="155" t="s">
        <v>77</v>
      </c>
      <c r="L2" s="142" t="s">
        <v>78</v>
      </c>
      <c r="M2" s="149" t="s">
        <v>79</v>
      </c>
      <c r="N2" s="157">
        <v>1.63</v>
      </c>
      <c r="O2" s="159">
        <v>3.4000000000000002E-2</v>
      </c>
      <c r="P2" s="159">
        <v>2.06E-2</v>
      </c>
      <c r="Q2" s="146">
        <v>62255</v>
      </c>
      <c r="R2" s="160">
        <v>1</v>
      </c>
      <c r="S2" s="157">
        <v>124.51</v>
      </c>
      <c r="T2" s="157">
        <v>62255</v>
      </c>
      <c r="U2" s="159">
        <v>0.60950000000000004</v>
      </c>
      <c r="V2" s="159">
        <v>3.2199999999999999E-2</v>
      </c>
    </row>
    <row r="3" spans="1:22" x14ac:dyDescent="0.2">
      <c r="A3" s="154">
        <v>269</v>
      </c>
      <c r="B3" s="154">
        <v>269</v>
      </c>
      <c r="C3" s="155" t="s">
        <v>180</v>
      </c>
      <c r="D3" s="141">
        <v>520032046</v>
      </c>
      <c r="E3" s="149" t="s">
        <v>111</v>
      </c>
      <c r="F3" s="155" t="s">
        <v>115</v>
      </c>
      <c r="G3" s="158">
        <v>46850</v>
      </c>
      <c r="H3" s="149" t="s">
        <v>75</v>
      </c>
      <c r="I3" s="149" t="s">
        <v>75</v>
      </c>
      <c r="J3" s="155" t="s">
        <v>76</v>
      </c>
      <c r="K3" s="155" t="s">
        <v>77</v>
      </c>
      <c r="L3" s="142" t="s">
        <v>78</v>
      </c>
      <c r="M3" s="149" t="s">
        <v>79</v>
      </c>
      <c r="N3" s="157">
        <v>2.16</v>
      </c>
      <c r="O3" s="159">
        <v>0.04</v>
      </c>
      <c r="P3" s="159">
        <v>1.9900000000000001E-2</v>
      </c>
      <c r="Q3" s="146">
        <v>39879</v>
      </c>
      <c r="R3" s="160">
        <v>1</v>
      </c>
      <c r="S3" s="146">
        <v>132.93</v>
      </c>
      <c r="T3" s="157">
        <v>39879</v>
      </c>
      <c r="U3" s="159">
        <v>0.39050000000000001</v>
      </c>
      <c r="V3" s="159">
        <v>2.07E-2</v>
      </c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 x14ac:dyDescent="0.2"/>
  <cols>
    <col min="1" max="24" width="11.625" style="2" customWidth="1"/>
    <col min="25" max="25" width="9" style="2" hidden="1" customWidth="1"/>
    <col min="26" max="16384" width="9" style="2" hidden="1"/>
  </cols>
  <sheetData>
    <row r="1" spans="1:24" ht="51" x14ac:dyDescent="0.2">
      <c r="A1" s="18" t="s">
        <v>54</v>
      </c>
      <c r="B1" s="18" t="s">
        <v>55</v>
      </c>
      <c r="C1" s="18" t="s">
        <v>461</v>
      </c>
      <c r="D1" s="18" t="s">
        <v>59</v>
      </c>
      <c r="E1" s="18" t="s">
        <v>462</v>
      </c>
      <c r="F1" s="18" t="s">
        <v>61</v>
      </c>
      <c r="G1" s="18" t="s">
        <v>266</v>
      </c>
      <c r="H1" s="18" t="s">
        <v>463</v>
      </c>
      <c r="I1" s="18" t="s">
        <v>464</v>
      </c>
      <c r="J1" s="18" t="s">
        <v>465</v>
      </c>
      <c r="K1" s="18" t="s">
        <v>466</v>
      </c>
      <c r="L1" s="18" t="s">
        <v>467</v>
      </c>
      <c r="M1" s="18" t="s">
        <v>341</v>
      </c>
      <c r="N1" s="18" t="s">
        <v>343</v>
      </c>
      <c r="O1" s="18" t="s">
        <v>342</v>
      </c>
      <c r="P1" s="18" t="s">
        <v>344</v>
      </c>
      <c r="Q1" s="18" t="s">
        <v>64</v>
      </c>
      <c r="R1" s="18" t="s">
        <v>432</v>
      </c>
      <c r="S1" s="18" t="s">
        <v>68</v>
      </c>
      <c r="T1" s="18" t="s">
        <v>92</v>
      </c>
      <c r="U1" s="18" t="s">
        <v>108</v>
      </c>
      <c r="V1" s="18" t="s">
        <v>22</v>
      </c>
      <c r="W1" s="18" t="s">
        <v>69</v>
      </c>
      <c r="X1" s="18" t="s">
        <v>70</v>
      </c>
    </row>
    <row r="2" spans="1:24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9" style="2" hidden="1" customWidth="1"/>
    <col min="25" max="16384" width="9" style="2" hidden="1"/>
  </cols>
  <sheetData>
    <row r="1" spans="1:23" ht="51" x14ac:dyDescent="0.2">
      <c r="A1" s="18" t="s">
        <v>54</v>
      </c>
      <c r="B1" s="18" t="s">
        <v>55</v>
      </c>
      <c r="C1" s="18" t="s">
        <v>80</v>
      </c>
      <c r="D1" s="18" t="s">
        <v>100</v>
      </c>
      <c r="E1" s="18" t="s">
        <v>101</v>
      </c>
      <c r="F1" s="18" t="s">
        <v>81</v>
      </c>
      <c r="G1" s="18" t="s">
        <v>82</v>
      </c>
      <c r="H1" s="18" t="s">
        <v>102</v>
      </c>
      <c r="I1" s="18" t="s">
        <v>59</v>
      </c>
      <c r="J1" s="18" t="s">
        <v>60</v>
      </c>
      <c r="K1" s="18" t="s">
        <v>83</v>
      </c>
      <c r="L1" s="18" t="s">
        <v>103</v>
      </c>
      <c r="M1" s="18" t="s">
        <v>61</v>
      </c>
      <c r="N1" s="18" t="s">
        <v>64</v>
      </c>
      <c r="O1" s="18" t="s">
        <v>341</v>
      </c>
      <c r="P1" s="18" t="s">
        <v>342</v>
      </c>
      <c r="Q1" s="18" t="s">
        <v>344</v>
      </c>
      <c r="R1" s="18" t="s">
        <v>345</v>
      </c>
      <c r="S1" s="18" t="s">
        <v>468</v>
      </c>
      <c r="T1" s="18" t="s">
        <v>469</v>
      </c>
      <c r="U1" s="18" t="s">
        <v>68</v>
      </c>
      <c r="V1" s="18" t="s">
        <v>69</v>
      </c>
      <c r="W1" s="18" t="s">
        <v>70</v>
      </c>
    </row>
    <row r="2" spans="1:23" x14ac:dyDescent="0.2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6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8" t="s">
        <v>54</v>
      </c>
      <c r="B1" s="18" t="s">
        <v>55</v>
      </c>
      <c r="C1" s="18" t="s">
        <v>470</v>
      </c>
      <c r="D1" s="18" t="s">
        <v>471</v>
      </c>
      <c r="E1" s="18" t="s">
        <v>59</v>
      </c>
      <c r="F1" s="18" t="s">
        <v>60</v>
      </c>
      <c r="G1" s="18" t="s">
        <v>83</v>
      </c>
      <c r="H1" s="18" t="s">
        <v>61</v>
      </c>
      <c r="I1" s="18" t="s">
        <v>472</v>
      </c>
      <c r="J1" s="18" t="s">
        <v>64</v>
      </c>
      <c r="K1" s="18" t="s">
        <v>344</v>
      </c>
      <c r="L1" s="18" t="s">
        <v>65</v>
      </c>
      <c r="M1" s="18" t="s">
        <v>66</v>
      </c>
      <c r="N1" s="18" t="s">
        <v>68</v>
      </c>
      <c r="O1" s="18" t="s">
        <v>92</v>
      </c>
      <c r="P1" s="18" t="s">
        <v>22</v>
      </c>
      <c r="Q1" s="18" t="s">
        <v>69</v>
      </c>
      <c r="R1" s="18" t="s">
        <v>70</v>
      </c>
    </row>
    <row r="2" spans="1:18" x14ac:dyDescent="0.2">
      <c r="A2" s="19"/>
      <c r="B2" s="19"/>
      <c r="C2" s="24"/>
      <c r="D2" s="24"/>
      <c r="E2" s="24"/>
      <c r="F2" s="17"/>
      <c r="G2" s="17"/>
      <c r="H2" s="19"/>
      <c r="I2" s="19"/>
      <c r="J2" s="17"/>
      <c r="K2" s="19"/>
      <c r="M2" s="19"/>
      <c r="N2" s="19"/>
      <c r="O2" s="19"/>
      <c r="P2" s="17"/>
      <c r="Q2" s="19"/>
      <c r="R2" s="19"/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20" width="11.625" style="2" customWidth="1"/>
    <col min="21" max="21" width="11.625" style="2" hidden="1" customWidth="1"/>
    <col min="22" max="16384" width="11.625" style="2" hidden="1"/>
  </cols>
  <sheetData>
    <row r="1" spans="1:20" ht="63.75" x14ac:dyDescent="0.2">
      <c r="A1" s="18" t="s">
        <v>54</v>
      </c>
      <c r="B1" s="18" t="s">
        <v>55</v>
      </c>
      <c r="C1" s="18" t="s">
        <v>410</v>
      </c>
      <c r="D1" s="18" t="s">
        <v>411</v>
      </c>
      <c r="E1" s="18" t="s">
        <v>412</v>
      </c>
      <c r="F1" s="18" t="s">
        <v>413</v>
      </c>
      <c r="G1" s="18" t="s">
        <v>473</v>
      </c>
      <c r="H1" s="18" t="s">
        <v>60</v>
      </c>
      <c r="I1" s="18" t="s">
        <v>83</v>
      </c>
      <c r="J1" s="18" t="s">
        <v>61</v>
      </c>
      <c r="K1" s="18" t="s">
        <v>85</v>
      </c>
      <c r="L1" s="18" t="s">
        <v>63</v>
      </c>
      <c r="M1" s="18" t="s">
        <v>418</v>
      </c>
      <c r="N1" s="18" t="s">
        <v>64</v>
      </c>
      <c r="O1" s="18" t="s">
        <v>66</v>
      </c>
      <c r="P1" s="18" t="s">
        <v>67</v>
      </c>
      <c r="Q1" s="18" t="s">
        <v>419</v>
      </c>
      <c r="R1" s="18" t="s">
        <v>474</v>
      </c>
      <c r="S1" s="18" t="s">
        <v>475</v>
      </c>
      <c r="T1" s="18" t="s">
        <v>476</v>
      </c>
    </row>
    <row r="2" spans="1:20" ht="14.1" customHeight="1" x14ac:dyDescent="0.2">
      <c r="D2" s="19"/>
      <c r="G2" s="17"/>
      <c r="H2" s="17"/>
      <c r="I2" s="17"/>
      <c r="J2" s="19"/>
      <c r="K2" s="19"/>
      <c r="L2" s="19"/>
      <c r="M2" s="19"/>
      <c r="Q2" s="19"/>
      <c r="R2" s="17"/>
      <c r="S2" s="17"/>
      <c r="T2" s="17"/>
    </row>
    <row r="3" spans="1:20" ht="14.1" customHeight="1" x14ac:dyDescent="0.2">
      <c r="D3" s="19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H20" s="17"/>
      <c r="I20" s="17"/>
      <c r="J20" s="19"/>
      <c r="L20" s="19"/>
      <c r="M20" s="19"/>
      <c r="Q20" s="19"/>
    </row>
    <row r="21" spans="4:17" ht="14.1" customHeight="1" x14ac:dyDescent="0.2">
      <c r="D21" s="4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8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8" width="11.625" style="2" customWidth="1"/>
    <col min="9" max="9" width="12.625" style="2" customWidth="1"/>
    <col min="10" max="17" width="11.625" style="2" customWidth="1"/>
    <col min="18" max="18" width="11.625" style="2" hidden="1" customWidth="1"/>
    <col min="19" max="16384" width="11.625" style="2" hidden="1"/>
  </cols>
  <sheetData>
    <row r="1" spans="1:17" ht="76.5" x14ac:dyDescent="0.2">
      <c r="A1" s="18" t="s">
        <v>54</v>
      </c>
      <c r="B1" s="18" t="s">
        <v>55</v>
      </c>
      <c r="C1" s="18" t="s">
        <v>59</v>
      </c>
      <c r="D1" s="18" t="s">
        <v>368</v>
      </c>
      <c r="E1" s="18" t="s">
        <v>369</v>
      </c>
      <c r="F1" s="18" t="s">
        <v>370</v>
      </c>
      <c r="G1" s="18" t="s">
        <v>371</v>
      </c>
      <c r="H1" s="18" t="s">
        <v>372</v>
      </c>
      <c r="I1" s="18" t="s">
        <v>373</v>
      </c>
      <c r="J1" s="18" t="s">
        <v>64</v>
      </c>
      <c r="K1" s="18" t="s">
        <v>477</v>
      </c>
      <c r="L1" s="18" t="s">
        <v>478</v>
      </c>
      <c r="M1" s="18" t="s">
        <v>479</v>
      </c>
      <c r="N1" s="18" t="s">
        <v>480</v>
      </c>
      <c r="O1" s="18" t="s">
        <v>481</v>
      </c>
      <c r="P1" s="18" t="s">
        <v>482</v>
      </c>
      <c r="Q1" s="18" t="s">
        <v>483</v>
      </c>
    </row>
    <row r="2" spans="1:17" ht="14.1" customHeight="1" x14ac:dyDescent="0.2">
      <c r="F2" s="19"/>
      <c r="I2" s="19"/>
      <c r="K2" s="24"/>
      <c r="P2" s="19"/>
    </row>
    <row r="3" spans="1:17" ht="14.1" customHeight="1" x14ac:dyDescent="0.2">
      <c r="F3" s="19"/>
      <c r="I3" s="19"/>
      <c r="K3" s="19"/>
      <c r="P3" s="19"/>
    </row>
    <row r="4" spans="1:17" ht="13.7" customHeight="1" x14ac:dyDescent="0.2">
      <c r="F4" s="19"/>
      <c r="I4" s="19"/>
      <c r="K4" s="19"/>
      <c r="P4" s="19"/>
    </row>
    <row r="5" spans="1:17" ht="13.7" customHeight="1" x14ac:dyDescent="0.2">
      <c r="F5" s="19"/>
      <c r="I5" s="19"/>
      <c r="K5" s="19"/>
      <c r="P5" s="19"/>
    </row>
    <row r="6" spans="1:17" ht="14.1" customHeight="1" x14ac:dyDescent="0.2">
      <c r="F6" s="19"/>
      <c r="I6" s="19"/>
      <c r="K6" s="19"/>
      <c r="P6" s="19"/>
    </row>
    <row r="7" spans="1:17" ht="14.1" customHeight="1" x14ac:dyDescent="0.2">
      <c r="F7" s="19"/>
      <c r="I7" s="19"/>
      <c r="K7" s="19"/>
      <c r="P7" s="19"/>
    </row>
    <row r="8" spans="1:17" ht="14.1" customHeight="1" x14ac:dyDescent="0.2">
      <c r="F8" s="19"/>
      <c r="I8" s="19"/>
      <c r="K8" s="19"/>
      <c r="P8" s="19"/>
    </row>
    <row r="9" spans="1:17" ht="14.1" customHeight="1" x14ac:dyDescent="0.2">
      <c r="F9" s="19"/>
      <c r="I9" s="19"/>
      <c r="K9" s="19"/>
      <c r="P9" s="19"/>
    </row>
    <row r="10" spans="1:17" ht="14.1" customHeight="1" x14ac:dyDescent="0.2">
      <c r="F10" s="19"/>
      <c r="I10" s="19"/>
      <c r="K10" s="19"/>
      <c r="P10" s="19"/>
    </row>
    <row r="11" spans="1:17" ht="14.1" customHeight="1" x14ac:dyDescent="0.2">
      <c r="F11" s="19"/>
      <c r="I11" s="19"/>
      <c r="K11" s="19"/>
    </row>
    <row r="12" spans="1:17" ht="14.1" customHeight="1" x14ac:dyDescent="0.2">
      <c r="F12" s="19"/>
      <c r="I12" s="19"/>
      <c r="K12" s="19"/>
    </row>
    <row r="13" spans="1:17" ht="14.1" customHeight="1" x14ac:dyDescent="0.2">
      <c r="F13" s="19"/>
      <c r="I13" s="19"/>
      <c r="K13" s="19"/>
    </row>
    <row r="14" spans="1:17" ht="14.1" customHeight="1" x14ac:dyDescent="0.2">
      <c r="F14" s="19"/>
      <c r="I14" s="19"/>
      <c r="K14" s="19"/>
    </row>
    <row r="15" spans="1:17" ht="14.1" customHeight="1" x14ac:dyDescent="0.2">
      <c r="F15" s="19"/>
      <c r="I15" s="19"/>
      <c r="K15" s="19"/>
    </row>
    <row r="16" spans="1:17" ht="14.1" customHeight="1" x14ac:dyDescent="0.2">
      <c r="F16" s="19"/>
      <c r="I16" s="19"/>
      <c r="K16" s="19"/>
    </row>
    <row r="17" spans="6:11" ht="14.1" customHeight="1" x14ac:dyDescent="0.2">
      <c r="F17" s="19"/>
      <c r="I17" s="19"/>
      <c r="K17" s="19"/>
    </row>
    <row r="18" spans="6:11" ht="14.1" customHeight="1" x14ac:dyDescent="0.2">
      <c r="F18" s="19"/>
      <c r="I18" s="19"/>
      <c r="K18" s="19"/>
    </row>
    <row r="19" spans="6:11" ht="14.1" customHeight="1" x14ac:dyDescent="0.2">
      <c r="F19" s="19"/>
      <c r="I19" s="19"/>
      <c r="K19" s="19"/>
    </row>
    <row r="20" spans="6:11" ht="14.1" customHeight="1" x14ac:dyDescent="0.2">
      <c r="F20" s="19"/>
      <c r="I20" s="19"/>
    </row>
    <row r="24" spans="6:11" ht="14.1" customHeight="1" x14ac:dyDescent="0.2">
      <c r="K24" s="7"/>
    </row>
    <row r="25" spans="6:11" ht="14.1" customHeight="1" x14ac:dyDescent="0.2">
      <c r="K25" s="7"/>
    </row>
    <row r="26" spans="6:11" ht="14.1" customHeight="1" x14ac:dyDescent="0.2">
      <c r="K26" s="7"/>
    </row>
    <row r="28" spans="6:11" ht="14.1" customHeight="1" x14ac:dyDescent="0.2">
      <c r="K28" s="7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6" width="9" hidden="1" customWidth="1"/>
    <col min="7" max="16384" width="9" hidden="1"/>
  </cols>
  <sheetData>
    <row r="1" spans="1:5" s="43" customFormat="1" ht="45" x14ac:dyDescent="0.2">
      <c r="A1" s="42" t="s">
        <v>484</v>
      </c>
      <c r="B1" s="42" t="s">
        <v>485</v>
      </c>
      <c r="C1" s="42" t="s">
        <v>486</v>
      </c>
      <c r="D1" s="42" t="s">
        <v>487</v>
      </c>
      <c r="E1"/>
    </row>
    <row r="2" spans="1:5" x14ac:dyDescent="0.2">
      <c r="A2" s="77"/>
      <c r="B2" s="77" t="s">
        <v>488</v>
      </c>
      <c r="C2" s="20" t="s">
        <v>75</v>
      </c>
      <c r="D2" s="20"/>
    </row>
    <row r="3" spans="1:5" x14ac:dyDescent="0.2">
      <c r="A3" s="78"/>
      <c r="B3" s="78"/>
      <c r="C3" s="20" t="s">
        <v>489</v>
      </c>
      <c r="D3" s="20"/>
    </row>
    <row r="4" spans="1:5" ht="42.75" x14ac:dyDescent="0.2">
      <c r="A4" s="70"/>
      <c r="B4" s="91" t="s">
        <v>490</v>
      </c>
      <c r="C4" s="21" t="s">
        <v>75</v>
      </c>
      <c r="D4" s="21"/>
    </row>
    <row r="5" spans="1:5" x14ac:dyDescent="0.2">
      <c r="A5" s="71"/>
      <c r="B5" s="92"/>
      <c r="C5" s="21" t="s">
        <v>491</v>
      </c>
      <c r="D5" s="21"/>
    </row>
    <row r="6" spans="1:5" x14ac:dyDescent="0.2">
      <c r="A6" s="71"/>
      <c r="B6" s="92"/>
      <c r="C6" s="21" t="s">
        <v>492</v>
      </c>
      <c r="D6" s="21"/>
    </row>
    <row r="7" spans="1:5" x14ac:dyDescent="0.2">
      <c r="A7" s="71"/>
      <c r="B7" s="92"/>
      <c r="C7" s="21" t="s">
        <v>493</v>
      </c>
      <c r="D7" s="21"/>
    </row>
    <row r="8" spans="1:5" x14ac:dyDescent="0.2">
      <c r="A8" s="71"/>
      <c r="B8" s="92"/>
      <c r="C8" s="21" t="s">
        <v>494</v>
      </c>
      <c r="D8" s="21"/>
    </row>
    <row r="9" spans="1:5" x14ac:dyDescent="0.2">
      <c r="A9" s="71"/>
      <c r="B9" s="92"/>
      <c r="C9" s="21" t="s">
        <v>495</v>
      </c>
      <c r="D9" s="21"/>
    </row>
    <row r="10" spans="1:5" x14ac:dyDescent="0.2">
      <c r="A10" s="71"/>
      <c r="B10" s="92"/>
      <c r="C10" s="21" t="s">
        <v>496</v>
      </c>
      <c r="D10" s="21"/>
    </row>
    <row r="11" spans="1:5" x14ac:dyDescent="0.2">
      <c r="A11" s="71"/>
      <c r="B11" s="92"/>
      <c r="C11" s="21" t="s">
        <v>497</v>
      </c>
      <c r="D11" s="21"/>
      <c r="E11" t="s">
        <v>498</v>
      </c>
    </row>
    <row r="12" spans="1:5" x14ac:dyDescent="0.2">
      <c r="A12" s="71"/>
      <c r="B12" s="92"/>
      <c r="C12" s="21" t="s">
        <v>499</v>
      </c>
      <c r="D12" s="21"/>
      <c r="E12" t="s">
        <v>498</v>
      </c>
    </row>
    <row r="13" spans="1:5" x14ac:dyDescent="0.2">
      <c r="A13" s="71"/>
      <c r="B13" s="92"/>
      <c r="C13" s="21" t="s">
        <v>500</v>
      </c>
      <c r="D13" s="21"/>
    </row>
    <row r="14" spans="1:5" x14ac:dyDescent="0.2">
      <c r="A14" s="71"/>
      <c r="B14" s="92"/>
      <c r="C14" s="21" t="s">
        <v>501</v>
      </c>
      <c r="D14" s="21"/>
    </row>
    <row r="15" spans="1:5" x14ac:dyDescent="0.2">
      <c r="A15" s="71"/>
      <c r="B15" s="92"/>
      <c r="C15" s="21" t="s">
        <v>502</v>
      </c>
      <c r="D15" s="21"/>
    </row>
    <row r="16" spans="1:5" x14ac:dyDescent="0.2">
      <c r="A16" s="71"/>
      <c r="B16" s="92"/>
      <c r="C16" s="21" t="s">
        <v>503</v>
      </c>
      <c r="D16" s="21"/>
    </row>
    <row r="17" spans="1:4" x14ac:dyDescent="0.2">
      <c r="A17" s="71"/>
      <c r="B17" s="92"/>
      <c r="C17" s="21" t="s">
        <v>504</v>
      </c>
      <c r="D17" s="21"/>
    </row>
    <row r="18" spans="1:4" x14ac:dyDescent="0.2">
      <c r="A18" s="71"/>
      <c r="B18" s="92"/>
      <c r="C18" s="21" t="s">
        <v>505</v>
      </c>
      <c r="D18" s="21"/>
    </row>
    <row r="19" spans="1:4" x14ac:dyDescent="0.2">
      <c r="A19" s="71"/>
      <c r="B19" s="92"/>
      <c r="C19" s="21" t="s">
        <v>506</v>
      </c>
      <c r="D19" s="21"/>
    </row>
    <row r="20" spans="1:4" x14ac:dyDescent="0.2">
      <c r="A20" s="71"/>
      <c r="B20" s="92"/>
      <c r="C20" s="21" t="s">
        <v>507</v>
      </c>
      <c r="D20" s="21"/>
    </row>
    <row r="21" spans="1:4" x14ac:dyDescent="0.2">
      <c r="A21" s="71"/>
      <c r="B21" s="92"/>
      <c r="C21" s="21" t="s">
        <v>508</v>
      </c>
      <c r="D21" s="21"/>
    </row>
    <row r="22" spans="1:4" x14ac:dyDescent="0.2">
      <c r="A22" s="71"/>
      <c r="B22" s="92"/>
      <c r="C22" s="21" t="s">
        <v>509</v>
      </c>
      <c r="D22" s="21"/>
    </row>
    <row r="23" spans="1:4" x14ac:dyDescent="0.2">
      <c r="A23" s="71"/>
      <c r="B23" s="92"/>
      <c r="C23" s="21" t="s">
        <v>510</v>
      </c>
      <c r="D23" s="21"/>
    </row>
    <row r="24" spans="1:4" x14ac:dyDescent="0.2">
      <c r="A24" s="71"/>
      <c r="B24" s="92"/>
      <c r="C24" s="21" t="s">
        <v>511</v>
      </c>
      <c r="D24" s="21"/>
    </row>
    <row r="25" spans="1:4" x14ac:dyDescent="0.2">
      <c r="A25" s="71"/>
      <c r="B25" s="92"/>
      <c r="C25" s="21" t="s">
        <v>512</v>
      </c>
      <c r="D25" s="21"/>
    </row>
    <row r="26" spans="1:4" x14ac:dyDescent="0.2">
      <c r="A26" s="71"/>
      <c r="B26" s="92"/>
      <c r="C26" s="21" t="s">
        <v>513</v>
      </c>
      <c r="D26" s="21"/>
    </row>
    <row r="27" spans="1:4" x14ac:dyDescent="0.2">
      <c r="A27" s="71"/>
      <c r="B27" s="92"/>
      <c r="C27" s="21" t="s">
        <v>514</v>
      </c>
      <c r="D27" s="21"/>
    </row>
    <row r="28" spans="1:4" x14ac:dyDescent="0.2">
      <c r="A28" s="71"/>
      <c r="B28" s="92"/>
      <c r="C28" s="21" t="s">
        <v>515</v>
      </c>
      <c r="D28" s="21"/>
    </row>
    <row r="29" spans="1:4" x14ac:dyDescent="0.2">
      <c r="A29" s="71"/>
      <c r="B29" s="92"/>
      <c r="C29" s="21" t="s">
        <v>516</v>
      </c>
      <c r="D29" s="21"/>
    </row>
    <row r="30" spans="1:4" x14ac:dyDescent="0.2">
      <c r="A30" s="71"/>
      <c r="B30" s="92"/>
      <c r="C30" s="21" t="s">
        <v>517</v>
      </c>
      <c r="D30" s="21"/>
    </row>
    <row r="31" spans="1:4" x14ac:dyDescent="0.2">
      <c r="A31" s="71"/>
      <c r="B31" s="92"/>
      <c r="C31" s="21" t="s">
        <v>518</v>
      </c>
      <c r="D31" s="21"/>
    </row>
    <row r="32" spans="1:4" x14ac:dyDescent="0.2">
      <c r="A32" s="71"/>
      <c r="B32" s="92"/>
      <c r="C32" s="21" t="s">
        <v>519</v>
      </c>
      <c r="D32" s="21"/>
    </row>
    <row r="33" spans="1:5" x14ac:dyDescent="0.2">
      <c r="A33" s="71"/>
      <c r="B33" s="92"/>
      <c r="C33" s="21" t="s">
        <v>520</v>
      </c>
      <c r="D33" s="21"/>
    </row>
    <row r="34" spans="1:5" x14ac:dyDescent="0.2">
      <c r="A34" s="71"/>
      <c r="B34" s="92"/>
      <c r="C34" s="21" t="s">
        <v>521</v>
      </c>
      <c r="D34" s="21"/>
    </row>
    <row r="35" spans="1:5" x14ac:dyDescent="0.2">
      <c r="A35" s="71"/>
      <c r="B35" s="92"/>
      <c r="C35" s="21" t="s">
        <v>522</v>
      </c>
      <c r="D35" s="21"/>
    </row>
    <row r="36" spans="1:5" x14ac:dyDescent="0.2">
      <c r="A36" s="71"/>
      <c r="B36" s="92"/>
      <c r="C36" s="21" t="s">
        <v>523</v>
      </c>
      <c r="D36" s="21"/>
      <c r="E36" t="s">
        <v>498</v>
      </c>
    </row>
    <row r="37" spans="1:5" x14ac:dyDescent="0.2">
      <c r="A37" s="71"/>
      <c r="B37" s="92"/>
      <c r="C37" s="7" t="s">
        <v>524</v>
      </c>
      <c r="D37" s="21"/>
      <c r="E37" t="s">
        <v>498</v>
      </c>
    </row>
    <row r="38" spans="1:5" x14ac:dyDescent="0.2">
      <c r="A38" s="71"/>
      <c r="B38" s="92"/>
      <c r="C38" s="21" t="s">
        <v>525</v>
      </c>
      <c r="D38" s="21"/>
    </row>
    <row r="39" spans="1:5" x14ac:dyDescent="0.2">
      <c r="A39" s="71"/>
      <c r="B39" s="92"/>
      <c r="C39" s="21" t="s">
        <v>526</v>
      </c>
      <c r="D39" s="21"/>
    </row>
    <row r="40" spans="1:5" x14ac:dyDescent="0.2">
      <c r="A40" s="71"/>
      <c r="B40" s="92"/>
      <c r="C40" s="21" t="s">
        <v>527</v>
      </c>
      <c r="D40" s="21"/>
      <c r="E40" t="s">
        <v>498</v>
      </c>
    </row>
    <row r="41" spans="1:5" x14ac:dyDescent="0.2">
      <c r="A41" s="71"/>
      <c r="B41" s="92"/>
      <c r="C41" s="21" t="s">
        <v>528</v>
      </c>
      <c r="D41" s="21"/>
    </row>
    <row r="42" spans="1:5" x14ac:dyDescent="0.2">
      <c r="A42" s="71"/>
      <c r="B42" s="92"/>
      <c r="C42" s="21" t="s">
        <v>529</v>
      </c>
      <c r="D42" s="21"/>
    </row>
    <row r="43" spans="1:5" x14ac:dyDescent="0.2">
      <c r="A43" s="71"/>
      <c r="B43" s="92"/>
      <c r="C43" s="21" t="s">
        <v>530</v>
      </c>
      <c r="D43" s="21"/>
    </row>
    <row r="44" spans="1:5" x14ac:dyDescent="0.2">
      <c r="A44" s="71"/>
      <c r="B44" s="92"/>
      <c r="C44" s="21" t="s">
        <v>531</v>
      </c>
      <c r="D44" s="21"/>
    </row>
    <row r="45" spans="1:5" x14ac:dyDescent="0.2">
      <c r="A45" s="71"/>
      <c r="B45" s="92"/>
      <c r="C45" s="21" t="s">
        <v>532</v>
      </c>
      <c r="D45" s="21"/>
    </row>
    <row r="46" spans="1:5" x14ac:dyDescent="0.2">
      <c r="A46" s="71"/>
      <c r="B46" s="92"/>
      <c r="C46" s="21" t="s">
        <v>533</v>
      </c>
      <c r="D46" s="21"/>
      <c r="E46" t="s">
        <v>498</v>
      </c>
    </row>
    <row r="47" spans="1:5" x14ac:dyDescent="0.2">
      <c r="A47" s="71"/>
      <c r="B47" s="92"/>
      <c r="C47" s="21" t="s">
        <v>534</v>
      </c>
      <c r="D47" s="21"/>
    </row>
    <row r="48" spans="1:5" x14ac:dyDescent="0.2">
      <c r="A48" s="71"/>
      <c r="B48" s="92"/>
      <c r="C48" s="21" t="s">
        <v>535</v>
      </c>
      <c r="D48" s="21"/>
    </row>
    <row r="49" spans="1:5" x14ac:dyDescent="0.2">
      <c r="A49" s="71"/>
      <c r="B49" s="92"/>
      <c r="C49" s="21" t="s">
        <v>536</v>
      </c>
      <c r="D49" s="21"/>
    </row>
    <row r="50" spans="1:5" x14ac:dyDescent="0.2">
      <c r="A50" s="71"/>
      <c r="B50" s="92"/>
      <c r="C50" s="21" t="s">
        <v>537</v>
      </c>
      <c r="D50" s="21"/>
    </row>
    <row r="51" spans="1:5" x14ac:dyDescent="0.2">
      <c r="A51" s="71"/>
      <c r="B51" s="92"/>
      <c r="C51" s="21" t="s">
        <v>538</v>
      </c>
      <c r="D51" s="21"/>
    </row>
    <row r="52" spans="1:5" x14ac:dyDescent="0.2">
      <c r="A52" s="71"/>
      <c r="B52" s="92"/>
      <c r="C52" s="21" t="s">
        <v>539</v>
      </c>
      <c r="D52" s="21"/>
    </row>
    <row r="53" spans="1:5" x14ac:dyDescent="0.2">
      <c r="A53" s="71"/>
      <c r="B53" s="92"/>
      <c r="C53" s="21" t="s">
        <v>540</v>
      </c>
      <c r="D53" s="21"/>
    </row>
    <row r="54" spans="1:5" x14ac:dyDescent="0.2">
      <c r="A54" s="71"/>
      <c r="B54" s="92"/>
      <c r="C54" s="21" t="s">
        <v>541</v>
      </c>
      <c r="D54" s="21"/>
    </row>
    <row r="55" spans="1:5" x14ac:dyDescent="0.2">
      <c r="A55" s="71"/>
      <c r="B55" s="92"/>
      <c r="C55" s="21" t="s">
        <v>542</v>
      </c>
      <c r="D55" s="21"/>
    </row>
    <row r="56" spans="1:5" x14ac:dyDescent="0.2">
      <c r="A56" s="71"/>
      <c r="B56" s="92"/>
      <c r="C56" s="21" t="s">
        <v>543</v>
      </c>
      <c r="D56" s="21"/>
    </row>
    <row r="57" spans="1:5" x14ac:dyDescent="0.2">
      <c r="A57" s="71"/>
      <c r="B57" s="92"/>
      <c r="C57" s="21" t="s">
        <v>544</v>
      </c>
      <c r="D57" s="21"/>
    </row>
    <row r="58" spans="1:5" x14ac:dyDescent="0.2">
      <c r="A58" s="71"/>
      <c r="B58" s="92"/>
      <c r="C58" s="21" t="s">
        <v>545</v>
      </c>
      <c r="D58" s="21"/>
    </row>
    <row r="59" spans="1:5" x14ac:dyDescent="0.2">
      <c r="A59" s="71"/>
      <c r="B59" s="92"/>
      <c r="C59" s="21" t="s">
        <v>546</v>
      </c>
      <c r="D59" s="21"/>
    </row>
    <row r="60" spans="1:5" x14ac:dyDescent="0.2">
      <c r="A60" s="71"/>
      <c r="B60" s="92"/>
      <c r="C60" s="21" t="s">
        <v>547</v>
      </c>
      <c r="D60" s="21"/>
    </row>
    <row r="61" spans="1:5" x14ac:dyDescent="0.2">
      <c r="A61" s="71"/>
      <c r="B61" s="92"/>
      <c r="C61" s="21" t="s">
        <v>548</v>
      </c>
      <c r="D61" s="21"/>
    </row>
    <row r="62" spans="1:5" x14ac:dyDescent="0.2">
      <c r="A62" s="71"/>
      <c r="B62" s="92"/>
      <c r="C62" s="21" t="s">
        <v>549</v>
      </c>
      <c r="D62" s="21"/>
    </row>
    <row r="63" spans="1:5" x14ac:dyDescent="0.2">
      <c r="A63" s="71"/>
      <c r="B63" s="92"/>
      <c r="C63" s="21" t="s">
        <v>550</v>
      </c>
      <c r="D63" s="21"/>
      <c r="E63" t="s">
        <v>498</v>
      </c>
    </row>
    <row r="64" spans="1:5" x14ac:dyDescent="0.2">
      <c r="A64" s="71"/>
      <c r="B64" s="92"/>
      <c r="C64" s="21" t="s">
        <v>551</v>
      </c>
      <c r="D64" s="21"/>
    </row>
    <row r="65" spans="1:4" x14ac:dyDescent="0.2">
      <c r="A65" s="71"/>
      <c r="B65" s="92"/>
      <c r="C65" s="21" t="s">
        <v>552</v>
      </c>
      <c r="D65" s="21"/>
    </row>
    <row r="66" spans="1:4" x14ac:dyDescent="0.2">
      <c r="A66" s="71"/>
      <c r="B66" s="92"/>
      <c r="C66" s="21" t="s">
        <v>553</v>
      </c>
      <c r="D66" s="21"/>
    </row>
    <row r="67" spans="1:4" x14ac:dyDescent="0.2">
      <c r="A67" s="71"/>
      <c r="B67" s="92"/>
      <c r="C67" s="21" t="s">
        <v>554</v>
      </c>
      <c r="D67" s="21"/>
    </row>
    <row r="68" spans="1:4" x14ac:dyDescent="0.2">
      <c r="A68" s="71"/>
      <c r="B68" s="92"/>
      <c r="C68" s="21" t="s">
        <v>555</v>
      </c>
      <c r="D68" s="21"/>
    </row>
    <row r="69" spans="1:4" x14ac:dyDescent="0.2">
      <c r="A69" s="71"/>
      <c r="B69" s="92"/>
      <c r="C69" s="21" t="s">
        <v>556</v>
      </c>
      <c r="D69" s="21"/>
    </row>
    <row r="70" spans="1:4" x14ac:dyDescent="0.2">
      <c r="A70" s="71"/>
      <c r="B70" s="92"/>
      <c r="C70" s="21" t="s">
        <v>557</v>
      </c>
      <c r="D70" s="21"/>
    </row>
    <row r="71" spans="1:4" x14ac:dyDescent="0.2">
      <c r="A71" s="71"/>
      <c r="B71" s="92"/>
      <c r="C71" s="21" t="s">
        <v>558</v>
      </c>
      <c r="D71" s="21"/>
    </row>
    <row r="72" spans="1:4" x14ac:dyDescent="0.2">
      <c r="A72" s="71"/>
      <c r="B72" s="92"/>
      <c r="C72" s="21" t="s">
        <v>559</v>
      </c>
      <c r="D72" s="21"/>
    </row>
    <row r="73" spans="1:4" x14ac:dyDescent="0.2">
      <c r="A73" s="71"/>
      <c r="B73" s="92"/>
      <c r="C73" s="21" t="s">
        <v>560</v>
      </c>
      <c r="D73" s="21"/>
    </row>
    <row r="74" spans="1:4" x14ac:dyDescent="0.2">
      <c r="A74" s="71"/>
      <c r="B74" s="92"/>
      <c r="C74" s="21" t="s">
        <v>561</v>
      </c>
      <c r="D74" s="21"/>
    </row>
    <row r="75" spans="1:4" x14ac:dyDescent="0.2">
      <c r="A75" s="71"/>
      <c r="B75" s="92"/>
      <c r="C75" s="21" t="s">
        <v>562</v>
      </c>
      <c r="D75" s="21"/>
    </row>
    <row r="76" spans="1:4" x14ac:dyDescent="0.2">
      <c r="A76" s="71"/>
      <c r="B76" s="92"/>
      <c r="C76" s="21" t="s">
        <v>563</v>
      </c>
      <c r="D76" s="21"/>
    </row>
    <row r="77" spans="1:4" x14ac:dyDescent="0.2">
      <c r="A77" s="71"/>
      <c r="B77" s="92"/>
      <c r="C77" s="21" t="s">
        <v>564</v>
      </c>
      <c r="D77" s="21"/>
    </row>
    <row r="78" spans="1:4" x14ac:dyDescent="0.2">
      <c r="A78" s="71"/>
      <c r="B78" s="92"/>
      <c r="C78" s="21" t="s">
        <v>565</v>
      </c>
      <c r="D78" s="21"/>
    </row>
    <row r="79" spans="1:4" x14ac:dyDescent="0.2">
      <c r="A79" s="71"/>
      <c r="B79" s="92"/>
      <c r="C79" s="21" t="s">
        <v>566</v>
      </c>
      <c r="D79" s="21"/>
    </row>
    <row r="80" spans="1:4" x14ac:dyDescent="0.2">
      <c r="A80" s="71"/>
      <c r="B80" s="92"/>
      <c r="C80" s="21" t="s">
        <v>567</v>
      </c>
      <c r="D80" s="21"/>
    </row>
    <row r="81" spans="1:5" x14ac:dyDescent="0.2">
      <c r="A81" s="71"/>
      <c r="B81" s="92"/>
      <c r="C81" s="21" t="s">
        <v>568</v>
      </c>
      <c r="D81" s="21"/>
    </row>
    <row r="82" spans="1:5" x14ac:dyDescent="0.2">
      <c r="A82" s="71"/>
      <c r="B82" s="92"/>
      <c r="C82" s="21" t="s">
        <v>569</v>
      </c>
      <c r="D82" s="21"/>
    </row>
    <row r="83" spans="1:5" x14ac:dyDescent="0.2">
      <c r="A83" s="71"/>
      <c r="B83" s="92"/>
      <c r="C83" s="21" t="s">
        <v>570</v>
      </c>
      <c r="D83" s="21"/>
    </row>
    <row r="84" spans="1:5" x14ac:dyDescent="0.2">
      <c r="A84" s="71"/>
      <c r="B84" s="92"/>
      <c r="C84" s="21" t="s">
        <v>571</v>
      </c>
      <c r="D84" s="21"/>
    </row>
    <row r="85" spans="1:5" x14ac:dyDescent="0.2">
      <c r="A85" s="71"/>
      <c r="B85" s="92"/>
      <c r="C85" s="21" t="s">
        <v>572</v>
      </c>
      <c r="D85" s="21"/>
    </row>
    <row r="86" spans="1:5" x14ac:dyDescent="0.2">
      <c r="A86" s="71"/>
      <c r="B86" s="92"/>
      <c r="C86" s="21" t="s">
        <v>573</v>
      </c>
      <c r="D86" s="21"/>
    </row>
    <row r="87" spans="1:5" x14ac:dyDescent="0.2">
      <c r="A87" s="71"/>
      <c r="B87" s="92"/>
      <c r="C87" s="21" t="s">
        <v>574</v>
      </c>
      <c r="D87" s="21"/>
    </row>
    <row r="88" spans="1:5" x14ac:dyDescent="0.2">
      <c r="A88" s="71"/>
      <c r="B88" s="92"/>
      <c r="C88" s="21" t="s">
        <v>575</v>
      </c>
      <c r="D88" s="21"/>
    </row>
    <row r="89" spans="1:5" x14ac:dyDescent="0.2">
      <c r="A89" s="71"/>
      <c r="B89" s="92"/>
      <c r="C89" s="21" t="s">
        <v>576</v>
      </c>
      <c r="D89" s="21"/>
    </row>
    <row r="90" spans="1:5" x14ac:dyDescent="0.2">
      <c r="A90" s="71"/>
      <c r="B90" s="92"/>
      <c r="C90" s="21" t="s">
        <v>577</v>
      </c>
      <c r="D90" s="21"/>
    </row>
    <row r="91" spans="1:5" x14ac:dyDescent="0.2">
      <c r="A91" s="71"/>
      <c r="B91" s="92"/>
      <c r="C91" s="21" t="s">
        <v>578</v>
      </c>
      <c r="D91" s="21"/>
    </row>
    <row r="92" spans="1:5" x14ac:dyDescent="0.2">
      <c r="A92" s="71"/>
      <c r="B92" s="92"/>
      <c r="C92" s="21" t="s">
        <v>579</v>
      </c>
      <c r="D92" s="21"/>
    </row>
    <row r="93" spans="1:5" x14ac:dyDescent="0.2">
      <c r="A93" s="71"/>
      <c r="B93" s="92"/>
      <c r="C93" s="21" t="s">
        <v>580</v>
      </c>
      <c r="D93" s="21"/>
    </row>
    <row r="94" spans="1:5" x14ac:dyDescent="0.2">
      <c r="A94" s="71"/>
      <c r="B94" s="92"/>
      <c r="C94" s="21" t="s">
        <v>581</v>
      </c>
      <c r="D94" s="21" t="s">
        <v>582</v>
      </c>
      <c r="E94" t="s">
        <v>498</v>
      </c>
    </row>
    <row r="95" spans="1:5" x14ac:dyDescent="0.2">
      <c r="A95" s="71"/>
      <c r="B95" s="92"/>
      <c r="C95" s="21" t="s">
        <v>583</v>
      </c>
      <c r="D95" s="21" t="s">
        <v>584</v>
      </c>
      <c r="E95" t="s">
        <v>498</v>
      </c>
    </row>
    <row r="96" spans="1:5" x14ac:dyDescent="0.2">
      <c r="A96" s="71"/>
      <c r="B96" s="92"/>
      <c r="C96" s="21" t="s">
        <v>585</v>
      </c>
      <c r="D96" s="21" t="s">
        <v>584</v>
      </c>
      <c r="E96" t="s">
        <v>498</v>
      </c>
    </row>
    <row r="97" spans="1:5" x14ac:dyDescent="0.2">
      <c r="A97" s="71"/>
      <c r="B97" s="92"/>
      <c r="C97" s="21" t="s">
        <v>586</v>
      </c>
      <c r="D97" s="21" t="s">
        <v>584</v>
      </c>
      <c r="E97" t="s">
        <v>498</v>
      </c>
    </row>
    <row r="98" spans="1:5" x14ac:dyDescent="0.2">
      <c r="A98" s="71"/>
      <c r="B98" s="92"/>
      <c r="C98" s="21" t="s">
        <v>587</v>
      </c>
      <c r="D98" s="21" t="s">
        <v>584</v>
      </c>
      <c r="E98" t="s">
        <v>498</v>
      </c>
    </row>
    <row r="99" spans="1:5" x14ac:dyDescent="0.2">
      <c r="A99" s="71"/>
      <c r="B99" s="92"/>
      <c r="C99" s="21" t="s">
        <v>588</v>
      </c>
      <c r="D99" s="21" t="s">
        <v>584</v>
      </c>
      <c r="E99" t="s">
        <v>498</v>
      </c>
    </row>
    <row r="100" spans="1:5" x14ac:dyDescent="0.2">
      <c r="A100" s="71"/>
      <c r="B100" s="92"/>
      <c r="C100" s="21" t="s">
        <v>589</v>
      </c>
      <c r="D100" s="21" t="s">
        <v>584</v>
      </c>
      <c r="E100" t="s">
        <v>498</v>
      </c>
    </row>
    <row r="101" spans="1:5" x14ac:dyDescent="0.2">
      <c r="A101" s="71"/>
      <c r="B101" s="92"/>
      <c r="C101" s="21" t="s">
        <v>590</v>
      </c>
      <c r="D101" s="21" t="s">
        <v>584</v>
      </c>
      <c r="E101" t="s">
        <v>498</v>
      </c>
    </row>
    <row r="102" spans="1:5" x14ac:dyDescent="0.2">
      <c r="A102" s="71"/>
      <c r="B102" s="92"/>
      <c r="C102" s="21" t="s">
        <v>591</v>
      </c>
      <c r="D102" s="21" t="s">
        <v>584</v>
      </c>
      <c r="E102" t="s">
        <v>498</v>
      </c>
    </row>
    <row r="103" spans="1:5" x14ac:dyDescent="0.2">
      <c r="A103" s="71"/>
      <c r="B103" s="92"/>
      <c r="C103" s="21" t="s">
        <v>592</v>
      </c>
      <c r="D103" s="21" t="s">
        <v>584</v>
      </c>
      <c r="E103" t="s">
        <v>498</v>
      </c>
    </row>
    <row r="104" spans="1:5" x14ac:dyDescent="0.2">
      <c r="A104" s="66"/>
      <c r="B104" s="66" t="s">
        <v>101</v>
      </c>
      <c r="C104" s="20" t="s">
        <v>593</v>
      </c>
      <c r="D104" s="20"/>
    </row>
    <row r="105" spans="1:5" x14ac:dyDescent="0.2">
      <c r="A105" s="67"/>
      <c r="B105" s="67"/>
      <c r="C105" s="20" t="s">
        <v>100</v>
      </c>
      <c r="D105" s="20"/>
    </row>
    <row r="106" spans="1:5" x14ac:dyDescent="0.2">
      <c r="A106" s="67"/>
      <c r="B106" s="67"/>
      <c r="C106" s="20" t="s">
        <v>198</v>
      </c>
      <c r="D106" s="20"/>
    </row>
    <row r="107" spans="1:5" x14ac:dyDescent="0.2">
      <c r="A107" s="67"/>
      <c r="B107" s="67"/>
      <c r="C107" s="20" t="s">
        <v>594</v>
      </c>
      <c r="D107" s="20"/>
    </row>
    <row r="108" spans="1:5" x14ac:dyDescent="0.2">
      <c r="A108" s="67"/>
      <c r="B108" s="67"/>
      <c r="C108" s="20" t="s">
        <v>363</v>
      </c>
      <c r="D108" s="20"/>
    </row>
    <row r="109" spans="1:5" x14ac:dyDescent="0.2">
      <c r="A109" s="67"/>
      <c r="B109" s="67"/>
      <c r="C109" s="20" t="s">
        <v>595</v>
      </c>
      <c r="D109" s="20"/>
    </row>
    <row r="110" spans="1:5" x14ac:dyDescent="0.2">
      <c r="A110" s="68"/>
      <c r="B110" s="68"/>
      <c r="C110" s="20" t="s">
        <v>349</v>
      </c>
      <c r="D110" s="20"/>
    </row>
    <row r="111" spans="1:5" x14ac:dyDescent="0.2">
      <c r="A111" s="71"/>
      <c r="B111" s="57" t="s">
        <v>58</v>
      </c>
      <c r="C111" s="21" t="s">
        <v>593</v>
      </c>
      <c r="D111" s="21"/>
    </row>
    <row r="112" spans="1:5" x14ac:dyDescent="0.2">
      <c r="A112" s="71"/>
      <c r="B112" s="58"/>
      <c r="C112" s="21" t="s">
        <v>73</v>
      </c>
      <c r="D112" s="21"/>
    </row>
    <row r="113" spans="1:4" x14ac:dyDescent="0.2">
      <c r="A113" s="71"/>
      <c r="B113" s="59"/>
      <c r="C113" s="21" t="s">
        <v>596</v>
      </c>
      <c r="D113" s="21"/>
    </row>
    <row r="114" spans="1:4" x14ac:dyDescent="0.2">
      <c r="A114" s="84"/>
      <c r="B114" s="84" t="s">
        <v>597</v>
      </c>
      <c r="C114" s="20" t="s">
        <v>593</v>
      </c>
      <c r="D114" s="20"/>
    </row>
    <row r="115" spans="1:4" x14ac:dyDescent="0.2">
      <c r="A115" s="84"/>
      <c r="B115" s="84"/>
      <c r="C115" s="20" t="s">
        <v>198</v>
      </c>
      <c r="D115" s="20"/>
    </row>
    <row r="116" spans="1:4" x14ac:dyDescent="0.2">
      <c r="A116" s="84"/>
      <c r="B116" s="84"/>
      <c r="C116" s="20" t="s">
        <v>594</v>
      </c>
      <c r="D116" s="20"/>
    </row>
    <row r="117" spans="1:4" x14ac:dyDescent="0.2">
      <c r="A117" s="84"/>
      <c r="B117" s="84"/>
      <c r="C117" s="20" t="s">
        <v>595</v>
      </c>
      <c r="D117" s="20"/>
    </row>
    <row r="118" spans="1:4" x14ac:dyDescent="0.2">
      <c r="A118" s="70"/>
      <c r="B118" s="85" t="s">
        <v>411</v>
      </c>
      <c r="C118" s="21" t="s">
        <v>593</v>
      </c>
      <c r="D118" s="21"/>
    </row>
    <row r="119" spans="1:4" x14ac:dyDescent="0.2">
      <c r="A119" s="8"/>
      <c r="B119" s="104"/>
      <c r="C119" s="21" t="s">
        <v>598</v>
      </c>
      <c r="D119" s="21"/>
    </row>
    <row r="120" spans="1:4" x14ac:dyDescent="0.2">
      <c r="A120" s="8"/>
      <c r="B120" s="104"/>
      <c r="C120" s="21" t="s">
        <v>594</v>
      </c>
      <c r="D120" s="21"/>
    </row>
    <row r="121" spans="1:4" x14ac:dyDescent="0.2">
      <c r="A121" s="8"/>
      <c r="B121" s="104"/>
      <c r="C121" s="21" t="s">
        <v>363</v>
      </c>
      <c r="D121" s="21"/>
    </row>
    <row r="122" spans="1:4" x14ac:dyDescent="0.2">
      <c r="A122" s="8"/>
      <c r="B122" s="104"/>
      <c r="C122" s="21" t="s">
        <v>198</v>
      </c>
      <c r="D122" s="21"/>
    </row>
    <row r="123" spans="1:4" x14ac:dyDescent="0.2">
      <c r="A123" s="8"/>
      <c r="B123" s="104"/>
      <c r="C123" s="21" t="s">
        <v>599</v>
      </c>
      <c r="D123" s="21"/>
    </row>
    <row r="124" spans="1:4" x14ac:dyDescent="0.2">
      <c r="A124" s="8"/>
      <c r="B124" s="104"/>
      <c r="C124" s="21" t="s">
        <v>600</v>
      </c>
      <c r="D124" s="21"/>
    </row>
    <row r="125" spans="1:4" x14ac:dyDescent="0.2">
      <c r="A125" s="8"/>
      <c r="B125" s="104"/>
      <c r="C125" s="21" t="s">
        <v>595</v>
      </c>
      <c r="D125" s="21"/>
    </row>
    <row r="126" spans="1:4" x14ac:dyDescent="0.2">
      <c r="A126" s="71"/>
      <c r="B126" s="86"/>
      <c r="C126" s="21" t="s">
        <v>349</v>
      </c>
      <c r="D126" s="21"/>
    </row>
    <row r="127" spans="1:4" x14ac:dyDescent="0.2">
      <c r="A127" s="66"/>
      <c r="B127" s="66" t="s">
        <v>102</v>
      </c>
      <c r="C127" s="20" t="s">
        <v>114</v>
      </c>
      <c r="D127" s="20"/>
    </row>
    <row r="128" spans="1:4" x14ac:dyDescent="0.2">
      <c r="A128" s="67"/>
      <c r="B128" s="67"/>
      <c r="C128" s="20" t="s">
        <v>601</v>
      </c>
      <c r="D128" s="20"/>
    </row>
    <row r="129" spans="1:5" x14ac:dyDescent="0.2">
      <c r="A129" s="67"/>
      <c r="B129" s="67"/>
      <c r="C129" s="20" t="s">
        <v>602</v>
      </c>
      <c r="D129" s="20"/>
    </row>
    <row r="130" spans="1:5" x14ac:dyDescent="0.2">
      <c r="A130" s="67"/>
      <c r="B130" s="67"/>
      <c r="C130" s="20" t="s">
        <v>396</v>
      </c>
      <c r="D130" s="20"/>
    </row>
    <row r="131" spans="1:5" x14ac:dyDescent="0.2">
      <c r="A131" s="67"/>
      <c r="B131" s="67"/>
      <c r="C131" s="20" t="s">
        <v>363</v>
      </c>
      <c r="D131" s="20"/>
    </row>
    <row r="132" spans="1:5" x14ac:dyDescent="0.2">
      <c r="A132" s="71"/>
      <c r="B132" s="58" t="s">
        <v>603</v>
      </c>
      <c r="C132" s="21" t="s">
        <v>114</v>
      </c>
      <c r="D132" s="21"/>
    </row>
    <row r="133" spans="1:5" x14ac:dyDescent="0.2">
      <c r="A133" s="71"/>
      <c r="B133" s="58"/>
      <c r="C133" s="21" t="s">
        <v>363</v>
      </c>
      <c r="D133" s="21"/>
    </row>
    <row r="134" spans="1:5" x14ac:dyDescent="0.2">
      <c r="A134" s="72"/>
      <c r="B134" s="59"/>
      <c r="C134" s="21" t="s">
        <v>349</v>
      </c>
      <c r="D134" s="21"/>
    </row>
    <row r="135" spans="1:5" x14ac:dyDescent="0.2">
      <c r="A135" s="73"/>
      <c r="B135" s="73" t="s">
        <v>109</v>
      </c>
      <c r="C135" s="20" t="s">
        <v>116</v>
      </c>
      <c r="D135" s="20"/>
    </row>
    <row r="136" spans="1:5" x14ac:dyDescent="0.2">
      <c r="A136" s="74"/>
      <c r="B136" s="74"/>
      <c r="C136" s="20" t="s">
        <v>604</v>
      </c>
      <c r="D136" s="20"/>
      <c r="E136" t="s">
        <v>498</v>
      </c>
    </row>
    <row r="137" spans="1:5" x14ac:dyDescent="0.2">
      <c r="A137" s="74"/>
      <c r="B137" s="74"/>
      <c r="C137" s="20" t="s">
        <v>605</v>
      </c>
      <c r="D137" s="20" t="s">
        <v>606</v>
      </c>
    </row>
    <row r="138" spans="1:5" x14ac:dyDescent="0.2">
      <c r="A138" s="74"/>
      <c r="B138" s="74"/>
      <c r="C138" s="20" t="s">
        <v>607</v>
      </c>
      <c r="D138" s="20" t="s">
        <v>608</v>
      </c>
    </row>
    <row r="139" spans="1:5" x14ac:dyDescent="0.2">
      <c r="A139" s="74"/>
      <c r="B139" s="74"/>
      <c r="C139" s="20" t="s">
        <v>609</v>
      </c>
      <c r="D139" s="20"/>
    </row>
    <row r="140" spans="1:5" x14ac:dyDescent="0.2">
      <c r="A140" s="74"/>
      <c r="B140" s="74"/>
      <c r="C140" s="20" t="s">
        <v>610</v>
      </c>
      <c r="D140" s="20"/>
    </row>
    <row r="141" spans="1:5" x14ac:dyDescent="0.2">
      <c r="A141" s="74"/>
      <c r="B141" s="74"/>
      <c r="C141" s="20" t="s">
        <v>611</v>
      </c>
      <c r="D141" s="20"/>
    </row>
    <row r="142" spans="1:5" x14ac:dyDescent="0.2">
      <c r="A142" s="74"/>
      <c r="B142" s="74"/>
      <c r="C142" s="20" t="s">
        <v>612</v>
      </c>
      <c r="D142" s="20"/>
    </row>
    <row r="143" spans="1:5" x14ac:dyDescent="0.2">
      <c r="A143" s="74"/>
      <c r="B143" s="74"/>
      <c r="C143" s="20" t="s">
        <v>613</v>
      </c>
      <c r="D143" s="20"/>
    </row>
    <row r="144" spans="1:5" x14ac:dyDescent="0.2">
      <c r="A144" s="74"/>
      <c r="B144" s="74"/>
      <c r="C144" s="20" t="s">
        <v>614</v>
      </c>
      <c r="D144" s="20"/>
    </row>
    <row r="145" spans="1:4" x14ac:dyDescent="0.2">
      <c r="A145" s="74"/>
      <c r="B145" s="74"/>
      <c r="C145" s="20" t="s">
        <v>349</v>
      </c>
      <c r="D145" s="20"/>
    </row>
    <row r="146" spans="1:4" x14ac:dyDescent="0.2">
      <c r="A146" s="70"/>
      <c r="B146" s="63" t="s">
        <v>615</v>
      </c>
      <c r="C146" s="21" t="s">
        <v>616</v>
      </c>
      <c r="D146" s="21"/>
    </row>
    <row r="147" spans="1:4" x14ac:dyDescent="0.2">
      <c r="A147" s="72"/>
      <c r="B147" s="65"/>
      <c r="C147" s="21" t="s">
        <v>76</v>
      </c>
      <c r="D147" s="21"/>
    </row>
    <row r="148" spans="1:4" x14ac:dyDescent="0.2">
      <c r="A148" s="52"/>
      <c r="B148" s="103" t="s">
        <v>84</v>
      </c>
      <c r="C148" s="20" t="s">
        <v>98</v>
      </c>
      <c r="D148" s="20" t="s">
        <v>617</v>
      </c>
    </row>
    <row r="149" spans="1:4" x14ac:dyDescent="0.2">
      <c r="A149" s="53"/>
      <c r="B149" s="53"/>
      <c r="C149" s="20" t="s">
        <v>618</v>
      </c>
      <c r="D149" s="20" t="s">
        <v>619</v>
      </c>
    </row>
    <row r="150" spans="1:4" x14ac:dyDescent="0.2">
      <c r="A150" s="53"/>
      <c r="B150" s="53"/>
      <c r="C150" s="20" t="s">
        <v>620</v>
      </c>
      <c r="D150" s="20" t="s">
        <v>621</v>
      </c>
    </row>
    <row r="151" spans="1:4" x14ac:dyDescent="0.2">
      <c r="A151" s="53"/>
      <c r="B151" s="53"/>
      <c r="C151" s="20" t="s">
        <v>622</v>
      </c>
      <c r="D151" s="20" t="s">
        <v>623</v>
      </c>
    </row>
    <row r="152" spans="1:4" x14ac:dyDescent="0.2">
      <c r="A152" s="53"/>
      <c r="B152" s="53"/>
      <c r="C152" s="20" t="s">
        <v>624</v>
      </c>
      <c r="D152" s="20" t="s">
        <v>625</v>
      </c>
    </row>
    <row r="153" spans="1:4" x14ac:dyDescent="0.2">
      <c r="A153" s="53"/>
      <c r="B153" s="53"/>
      <c r="C153" s="20" t="s">
        <v>626</v>
      </c>
      <c r="D153" s="20" t="s">
        <v>627</v>
      </c>
    </row>
    <row r="154" spans="1:4" x14ac:dyDescent="0.2">
      <c r="A154" s="53"/>
      <c r="B154" s="53"/>
      <c r="C154" s="20" t="s">
        <v>628</v>
      </c>
      <c r="D154" s="20" t="s">
        <v>629</v>
      </c>
    </row>
    <row r="155" spans="1:4" x14ac:dyDescent="0.2">
      <c r="A155" s="53"/>
      <c r="B155" s="53"/>
      <c r="C155" s="20" t="s">
        <v>630</v>
      </c>
      <c r="D155" s="20" t="s">
        <v>631</v>
      </c>
    </row>
    <row r="156" spans="1:4" x14ac:dyDescent="0.2">
      <c r="A156" s="53"/>
      <c r="B156" s="53"/>
      <c r="C156" s="20" t="s">
        <v>632</v>
      </c>
      <c r="D156" s="20" t="s">
        <v>633</v>
      </c>
    </row>
    <row r="157" spans="1:4" x14ac:dyDescent="0.2">
      <c r="A157" s="53"/>
      <c r="B157" s="53"/>
      <c r="C157" s="20" t="s">
        <v>634</v>
      </c>
      <c r="D157" s="20" t="s">
        <v>635</v>
      </c>
    </row>
    <row r="158" spans="1:4" x14ac:dyDescent="0.2">
      <c r="A158" s="53"/>
      <c r="B158" s="53"/>
      <c r="C158" s="20" t="s">
        <v>636</v>
      </c>
      <c r="D158" s="20" t="s">
        <v>637</v>
      </c>
    </row>
    <row r="159" spans="1:4" x14ac:dyDescent="0.2">
      <c r="A159" s="53"/>
      <c r="B159" s="53"/>
      <c r="C159" s="20" t="s">
        <v>638</v>
      </c>
      <c r="D159" s="20" t="s">
        <v>639</v>
      </c>
    </row>
    <row r="160" spans="1:4" x14ac:dyDescent="0.2">
      <c r="A160" s="53"/>
      <c r="B160" s="53"/>
      <c r="C160" s="20" t="s">
        <v>640</v>
      </c>
      <c r="D160" s="20" t="s">
        <v>641</v>
      </c>
    </row>
    <row r="161" spans="1:4" x14ac:dyDescent="0.2">
      <c r="A161" s="53"/>
      <c r="B161" s="53"/>
      <c r="C161" s="20" t="s">
        <v>642</v>
      </c>
      <c r="D161" s="20" t="s">
        <v>643</v>
      </c>
    </row>
    <row r="162" spans="1:4" x14ac:dyDescent="0.2">
      <c r="A162" s="53"/>
      <c r="B162" s="53"/>
      <c r="C162" s="20" t="s">
        <v>644</v>
      </c>
      <c r="D162" s="20" t="s">
        <v>645</v>
      </c>
    </row>
    <row r="163" spans="1:4" x14ac:dyDescent="0.2">
      <c r="A163" s="53"/>
      <c r="B163" s="53"/>
      <c r="C163" s="20" t="s">
        <v>646</v>
      </c>
      <c r="D163" s="20" t="s">
        <v>647</v>
      </c>
    </row>
    <row r="164" spans="1:4" x14ac:dyDescent="0.2">
      <c r="A164" s="53"/>
      <c r="B164" s="53"/>
      <c r="C164" s="20" t="s">
        <v>648</v>
      </c>
      <c r="D164" s="20" t="s">
        <v>649</v>
      </c>
    </row>
    <row r="165" spans="1:4" x14ac:dyDescent="0.2">
      <c r="A165" s="53"/>
      <c r="B165" s="53"/>
      <c r="C165" s="20" t="s">
        <v>650</v>
      </c>
      <c r="D165" s="20" t="s">
        <v>651</v>
      </c>
    </row>
    <row r="166" spans="1:4" x14ac:dyDescent="0.2">
      <c r="A166" s="53"/>
      <c r="B166" s="53"/>
      <c r="C166" s="20" t="s">
        <v>652</v>
      </c>
      <c r="D166" s="20" t="s">
        <v>653</v>
      </c>
    </row>
    <row r="167" spans="1:4" x14ac:dyDescent="0.2">
      <c r="A167" s="53"/>
      <c r="B167" s="53"/>
      <c r="C167" s="20" t="s">
        <v>654</v>
      </c>
      <c r="D167" s="20" t="s">
        <v>655</v>
      </c>
    </row>
    <row r="168" spans="1:4" x14ac:dyDescent="0.2">
      <c r="A168" s="53"/>
      <c r="B168" s="53"/>
      <c r="C168" s="20" t="s">
        <v>656</v>
      </c>
      <c r="D168" s="20" t="s">
        <v>657</v>
      </c>
    </row>
    <row r="169" spans="1:4" x14ac:dyDescent="0.2">
      <c r="A169" s="53"/>
      <c r="B169" s="53"/>
      <c r="C169" s="20" t="s">
        <v>658</v>
      </c>
      <c r="D169" s="20" t="s">
        <v>659</v>
      </c>
    </row>
    <row r="170" spans="1:4" x14ac:dyDescent="0.2">
      <c r="A170" s="53"/>
      <c r="B170" s="53"/>
      <c r="C170" s="20" t="s">
        <v>660</v>
      </c>
      <c r="D170" s="20" t="s">
        <v>661</v>
      </c>
    </row>
    <row r="171" spans="1:4" x14ac:dyDescent="0.2">
      <c r="A171" s="53"/>
      <c r="B171" s="53"/>
      <c r="C171" s="20" t="s">
        <v>662</v>
      </c>
      <c r="D171" s="20" t="s">
        <v>663</v>
      </c>
    </row>
    <row r="172" spans="1:4" x14ac:dyDescent="0.2">
      <c r="A172" s="53"/>
      <c r="B172" s="53"/>
      <c r="C172" s="20" t="s">
        <v>664</v>
      </c>
      <c r="D172" s="20" t="s">
        <v>665</v>
      </c>
    </row>
    <row r="173" spans="1:4" x14ac:dyDescent="0.2">
      <c r="A173" s="53"/>
      <c r="B173" s="53"/>
      <c r="C173" s="20" t="s">
        <v>666</v>
      </c>
      <c r="D173" s="20" t="s">
        <v>667</v>
      </c>
    </row>
    <row r="174" spans="1:4" x14ac:dyDescent="0.2">
      <c r="A174" s="53"/>
      <c r="B174" s="53"/>
      <c r="C174" s="20" t="s">
        <v>668</v>
      </c>
      <c r="D174" s="20" t="s">
        <v>669</v>
      </c>
    </row>
    <row r="175" spans="1:4" x14ac:dyDescent="0.2">
      <c r="A175" s="53"/>
      <c r="B175" s="53"/>
      <c r="C175" s="20" t="s">
        <v>670</v>
      </c>
      <c r="D175" s="20" t="s">
        <v>671</v>
      </c>
    </row>
    <row r="176" spans="1:4" x14ac:dyDescent="0.2">
      <c r="A176" s="53"/>
      <c r="B176" s="53"/>
      <c r="C176" s="20" t="s">
        <v>672</v>
      </c>
      <c r="D176" s="20" t="s">
        <v>673</v>
      </c>
    </row>
    <row r="177" spans="1:5" x14ac:dyDescent="0.2">
      <c r="A177" s="53"/>
      <c r="B177" s="53"/>
      <c r="C177" s="20" t="s">
        <v>674</v>
      </c>
      <c r="D177" s="20" t="s">
        <v>675</v>
      </c>
    </row>
    <row r="178" spans="1:5" x14ac:dyDescent="0.2">
      <c r="A178" s="53"/>
      <c r="B178" s="53"/>
      <c r="C178" s="20" t="s">
        <v>676</v>
      </c>
      <c r="D178" s="20" t="s">
        <v>677</v>
      </c>
    </row>
    <row r="179" spans="1:5" x14ac:dyDescent="0.2">
      <c r="A179" s="53"/>
      <c r="B179" s="53"/>
      <c r="C179" s="20" t="s">
        <v>678</v>
      </c>
      <c r="D179" s="20" t="s">
        <v>679</v>
      </c>
    </row>
    <row r="180" spans="1:5" x14ac:dyDescent="0.2">
      <c r="A180" s="53"/>
      <c r="B180" s="53"/>
      <c r="C180" s="20" t="s">
        <v>680</v>
      </c>
      <c r="D180" s="20" t="s">
        <v>681</v>
      </c>
      <c r="E180" t="s">
        <v>498</v>
      </c>
    </row>
    <row r="181" spans="1:5" x14ac:dyDescent="0.2">
      <c r="A181" s="53"/>
      <c r="B181" s="53"/>
      <c r="C181" s="20" t="s">
        <v>349</v>
      </c>
      <c r="D181" s="20" t="s">
        <v>349</v>
      </c>
    </row>
    <row r="182" spans="1:5" x14ac:dyDescent="0.2">
      <c r="A182" s="70"/>
      <c r="B182" s="63" t="s">
        <v>682</v>
      </c>
      <c r="C182" s="45" t="s">
        <v>119</v>
      </c>
      <c r="D182" s="45"/>
    </row>
    <row r="183" spans="1:5" x14ac:dyDescent="0.2">
      <c r="A183" s="71"/>
      <c r="B183" s="64"/>
      <c r="C183" s="45" t="s">
        <v>683</v>
      </c>
      <c r="D183" s="45"/>
    </row>
    <row r="184" spans="1:5" x14ac:dyDescent="0.2">
      <c r="A184" s="71"/>
      <c r="B184" s="64"/>
      <c r="C184" s="45" t="s">
        <v>684</v>
      </c>
      <c r="D184" s="45"/>
    </row>
    <row r="185" spans="1:5" x14ac:dyDescent="0.2">
      <c r="A185" s="72"/>
      <c r="B185" s="65"/>
      <c r="C185" s="46" t="s">
        <v>99</v>
      </c>
      <c r="D185" s="46"/>
    </row>
    <row r="186" spans="1:5" x14ac:dyDescent="0.2">
      <c r="A186" s="66"/>
      <c r="B186" s="66" t="s">
        <v>106</v>
      </c>
      <c r="C186" s="44" t="s">
        <v>685</v>
      </c>
      <c r="D186" s="44"/>
    </row>
    <row r="187" spans="1:5" x14ac:dyDescent="0.2">
      <c r="A187" s="67"/>
      <c r="B187" s="67"/>
      <c r="C187" s="44" t="s">
        <v>120</v>
      </c>
      <c r="D187" s="44"/>
    </row>
    <row r="188" spans="1:5" x14ac:dyDescent="0.2">
      <c r="A188" s="70"/>
      <c r="B188" s="63" t="s">
        <v>63</v>
      </c>
      <c r="C188" s="46" t="s">
        <v>78</v>
      </c>
      <c r="D188" s="46" t="s">
        <v>686</v>
      </c>
    </row>
    <row r="189" spans="1:5" x14ac:dyDescent="0.2">
      <c r="A189" s="71"/>
      <c r="B189" s="64"/>
      <c r="C189" s="46" t="s">
        <v>687</v>
      </c>
      <c r="D189" s="46" t="s">
        <v>688</v>
      </c>
    </row>
    <row r="190" spans="1:5" x14ac:dyDescent="0.2">
      <c r="A190" s="71"/>
      <c r="B190" s="64"/>
      <c r="C190" s="46" t="s">
        <v>363</v>
      </c>
      <c r="D190" s="46" t="s">
        <v>363</v>
      </c>
    </row>
    <row r="191" spans="1:5" x14ac:dyDescent="0.2">
      <c r="A191" s="71"/>
      <c r="B191" s="64"/>
      <c r="C191" s="46" t="s">
        <v>689</v>
      </c>
      <c r="D191" s="46" t="s">
        <v>690</v>
      </c>
    </row>
    <row r="192" spans="1:5" x14ac:dyDescent="0.2">
      <c r="A192" s="71"/>
      <c r="B192" s="64"/>
      <c r="C192" s="46" t="s">
        <v>691</v>
      </c>
      <c r="D192" s="46" t="s">
        <v>692</v>
      </c>
    </row>
    <row r="193" spans="1:4" x14ac:dyDescent="0.2">
      <c r="A193" s="71"/>
      <c r="B193" s="64"/>
      <c r="C193" s="46" t="s">
        <v>693</v>
      </c>
      <c r="D193" s="46" t="s">
        <v>694</v>
      </c>
    </row>
    <row r="194" spans="1:4" x14ac:dyDescent="0.2">
      <c r="A194" s="71"/>
      <c r="B194" s="64"/>
      <c r="C194" s="46" t="s">
        <v>695</v>
      </c>
      <c r="D194" s="46" t="s">
        <v>696</v>
      </c>
    </row>
    <row r="195" spans="1:4" x14ac:dyDescent="0.2">
      <c r="A195" s="71"/>
      <c r="B195" s="64"/>
      <c r="C195" s="46" t="s">
        <v>697</v>
      </c>
      <c r="D195" s="46" t="s">
        <v>698</v>
      </c>
    </row>
    <row r="196" spans="1:4" x14ac:dyDescent="0.2">
      <c r="A196" s="71"/>
      <c r="B196" s="64"/>
      <c r="C196" s="46" t="s">
        <v>699</v>
      </c>
      <c r="D196" s="46" t="s">
        <v>700</v>
      </c>
    </row>
    <row r="197" spans="1:4" x14ac:dyDescent="0.2">
      <c r="A197" s="71"/>
      <c r="B197" s="64"/>
      <c r="C197" s="46" t="s">
        <v>701</v>
      </c>
      <c r="D197" s="46" t="s">
        <v>702</v>
      </c>
    </row>
    <row r="198" spans="1:4" x14ac:dyDescent="0.2">
      <c r="A198" s="71"/>
      <c r="B198" s="64"/>
      <c r="C198" s="46" t="s">
        <v>703</v>
      </c>
      <c r="D198" s="46" t="s">
        <v>704</v>
      </c>
    </row>
    <row r="199" spans="1:4" x14ac:dyDescent="0.2">
      <c r="A199" s="71"/>
      <c r="B199" s="64"/>
      <c r="C199" s="46" t="s">
        <v>705</v>
      </c>
      <c r="D199" s="46" t="s">
        <v>706</v>
      </c>
    </row>
    <row r="200" spans="1:4" x14ac:dyDescent="0.2">
      <c r="A200" s="71"/>
      <c r="B200" s="64"/>
      <c r="C200" s="46" t="s">
        <v>349</v>
      </c>
      <c r="D200" s="46" t="s">
        <v>349</v>
      </c>
    </row>
    <row r="201" spans="1:4" x14ac:dyDescent="0.2">
      <c r="A201" s="72"/>
      <c r="B201" s="65"/>
      <c r="C201" s="46" t="s">
        <v>99</v>
      </c>
      <c r="D201" s="46" t="s">
        <v>707</v>
      </c>
    </row>
    <row r="202" spans="1:4" x14ac:dyDescent="0.2">
      <c r="A202" s="103"/>
      <c r="B202" s="103" t="s">
        <v>103</v>
      </c>
      <c r="C202" s="20" t="s">
        <v>708</v>
      </c>
      <c r="D202" s="20"/>
    </row>
    <row r="203" spans="1:4" x14ac:dyDescent="0.2">
      <c r="A203" s="53"/>
      <c r="B203" s="53"/>
      <c r="C203" s="20" t="s">
        <v>709</v>
      </c>
      <c r="D203" s="20"/>
    </row>
    <row r="204" spans="1:4" x14ac:dyDescent="0.2">
      <c r="A204" s="53"/>
      <c r="B204" s="53"/>
      <c r="C204" s="20" t="s">
        <v>710</v>
      </c>
      <c r="D204" s="20"/>
    </row>
    <row r="205" spans="1:4" x14ac:dyDescent="0.2">
      <c r="A205" s="53"/>
      <c r="B205" s="53"/>
      <c r="C205" s="20" t="s">
        <v>711</v>
      </c>
      <c r="D205" s="20"/>
    </row>
    <row r="206" spans="1:4" x14ac:dyDescent="0.2">
      <c r="A206" s="53"/>
      <c r="B206" s="53"/>
      <c r="C206" s="20" t="s">
        <v>164</v>
      </c>
      <c r="D206" s="20"/>
    </row>
    <row r="207" spans="1:4" x14ac:dyDescent="0.2">
      <c r="A207" s="53"/>
      <c r="B207" s="53"/>
      <c r="C207" s="20" t="s">
        <v>251</v>
      </c>
      <c r="D207" s="20"/>
    </row>
    <row r="208" spans="1:4" x14ac:dyDescent="0.2">
      <c r="A208" s="53"/>
      <c r="B208" s="53"/>
      <c r="C208" s="20" t="s">
        <v>712</v>
      </c>
      <c r="D208" s="20"/>
    </row>
    <row r="209" spans="1:5" x14ac:dyDescent="0.2">
      <c r="A209" s="53"/>
      <c r="B209" s="53"/>
      <c r="C209" s="20" t="s">
        <v>713</v>
      </c>
      <c r="D209" s="20"/>
    </row>
    <row r="210" spans="1:5" x14ac:dyDescent="0.2">
      <c r="A210" s="53"/>
      <c r="B210" s="53"/>
      <c r="C210" s="20" t="s">
        <v>714</v>
      </c>
      <c r="D210" s="20"/>
    </row>
    <row r="211" spans="1:5" x14ac:dyDescent="0.2">
      <c r="A211" s="53"/>
      <c r="B211" s="53"/>
      <c r="C211" s="20" t="s">
        <v>213</v>
      </c>
      <c r="D211" s="20"/>
    </row>
    <row r="212" spans="1:5" x14ac:dyDescent="0.2">
      <c r="A212" s="53"/>
      <c r="B212" s="53"/>
      <c r="C212" s="20" t="s">
        <v>149</v>
      </c>
      <c r="D212" s="20"/>
    </row>
    <row r="213" spans="1:5" x14ac:dyDescent="0.2">
      <c r="A213" s="53"/>
      <c r="B213" s="53"/>
      <c r="C213" s="20" t="s">
        <v>159</v>
      </c>
      <c r="D213" s="20"/>
    </row>
    <row r="214" spans="1:5" x14ac:dyDescent="0.2">
      <c r="A214" s="53"/>
      <c r="B214" s="53"/>
      <c r="C214" s="20" t="s">
        <v>183</v>
      </c>
      <c r="D214" s="20"/>
    </row>
    <row r="215" spans="1:5" x14ac:dyDescent="0.2">
      <c r="A215" s="53"/>
      <c r="B215" s="53"/>
      <c r="C215" s="20" t="s">
        <v>715</v>
      </c>
      <c r="D215" s="20"/>
    </row>
    <row r="216" spans="1:5" x14ac:dyDescent="0.2">
      <c r="A216" s="53"/>
      <c r="B216" s="53"/>
      <c r="C216" s="20" t="s">
        <v>716</v>
      </c>
      <c r="D216" s="20"/>
    </row>
    <row r="217" spans="1:5" x14ac:dyDescent="0.2">
      <c r="A217" s="53"/>
      <c r="B217" s="53"/>
      <c r="C217" s="20" t="s">
        <v>355</v>
      </c>
      <c r="D217" s="20"/>
    </row>
    <row r="218" spans="1:5" x14ac:dyDescent="0.2">
      <c r="A218" s="53"/>
      <c r="B218" s="53"/>
      <c r="C218" s="20" t="s">
        <v>717</v>
      </c>
      <c r="D218" s="20" t="s">
        <v>718</v>
      </c>
      <c r="E218" t="s">
        <v>498</v>
      </c>
    </row>
    <row r="219" spans="1:5" x14ac:dyDescent="0.2">
      <c r="A219" s="53"/>
      <c r="B219" s="53"/>
      <c r="C219" s="20" t="s">
        <v>125</v>
      </c>
      <c r="D219" s="20"/>
    </row>
    <row r="220" spans="1:5" x14ac:dyDescent="0.2">
      <c r="A220" s="53"/>
      <c r="B220" s="53"/>
      <c r="C220" s="20" t="s">
        <v>719</v>
      </c>
      <c r="D220" s="20"/>
    </row>
    <row r="221" spans="1:5" x14ac:dyDescent="0.2">
      <c r="A221" s="53"/>
      <c r="B221" s="53"/>
      <c r="C221" s="20" t="s">
        <v>117</v>
      </c>
      <c r="D221" s="20"/>
    </row>
    <row r="222" spans="1:5" x14ac:dyDescent="0.2">
      <c r="A222" s="53"/>
      <c r="B222" s="53"/>
      <c r="C222" s="20" t="s">
        <v>720</v>
      </c>
      <c r="D222" s="20"/>
    </row>
    <row r="223" spans="1:5" x14ac:dyDescent="0.2">
      <c r="A223" s="53"/>
      <c r="B223" s="53"/>
      <c r="C223" s="20" t="s">
        <v>721</v>
      </c>
      <c r="D223" s="20"/>
    </row>
    <row r="224" spans="1:5" x14ac:dyDescent="0.2">
      <c r="A224" s="53"/>
      <c r="B224" s="53"/>
      <c r="C224" s="20" t="s">
        <v>722</v>
      </c>
      <c r="D224" s="20"/>
    </row>
    <row r="225" spans="1:4" x14ac:dyDescent="0.2">
      <c r="A225" s="53"/>
      <c r="B225" s="53"/>
      <c r="C225" s="20" t="s">
        <v>723</v>
      </c>
      <c r="D225" s="20"/>
    </row>
    <row r="226" spans="1:4" x14ac:dyDescent="0.2">
      <c r="A226" s="53"/>
      <c r="B226" s="53"/>
      <c r="C226" s="20" t="s">
        <v>724</v>
      </c>
      <c r="D226" s="20"/>
    </row>
    <row r="227" spans="1:4" x14ac:dyDescent="0.2">
      <c r="A227" s="53"/>
      <c r="B227" s="53"/>
      <c r="C227" s="20" t="s">
        <v>725</v>
      </c>
      <c r="D227" s="20"/>
    </row>
    <row r="228" spans="1:4" x14ac:dyDescent="0.2">
      <c r="A228" s="53"/>
      <c r="B228" s="53"/>
      <c r="C228" s="20" t="s">
        <v>726</v>
      </c>
      <c r="D228" s="20"/>
    </row>
    <row r="229" spans="1:4" x14ac:dyDescent="0.2">
      <c r="A229" s="53"/>
      <c r="B229" s="53"/>
      <c r="C229" s="20" t="s">
        <v>141</v>
      </c>
      <c r="D229" s="20"/>
    </row>
    <row r="230" spans="1:4" x14ac:dyDescent="0.2">
      <c r="A230" s="53"/>
      <c r="B230" s="53"/>
      <c r="C230" s="20" t="s">
        <v>258</v>
      </c>
      <c r="D230" s="20"/>
    </row>
    <row r="231" spans="1:4" x14ac:dyDescent="0.2">
      <c r="A231" s="53"/>
      <c r="B231" s="53"/>
      <c r="C231" s="20" t="s">
        <v>727</v>
      </c>
      <c r="D231" s="20"/>
    </row>
    <row r="232" spans="1:4" x14ac:dyDescent="0.2">
      <c r="A232" s="53"/>
      <c r="B232" s="53"/>
      <c r="C232" s="20" t="s">
        <v>728</v>
      </c>
      <c r="D232" s="20"/>
    </row>
    <row r="233" spans="1:4" x14ac:dyDescent="0.2">
      <c r="A233" s="53"/>
      <c r="B233" s="53"/>
      <c r="C233" s="20" t="s">
        <v>729</v>
      </c>
      <c r="D233" s="20"/>
    </row>
    <row r="234" spans="1:4" x14ac:dyDescent="0.2">
      <c r="A234" s="53"/>
      <c r="B234" s="53"/>
      <c r="C234" s="20" t="s">
        <v>730</v>
      </c>
      <c r="D234" s="20"/>
    </row>
    <row r="235" spans="1:4" x14ac:dyDescent="0.2">
      <c r="A235" s="53"/>
      <c r="B235" s="53"/>
      <c r="C235" s="20" t="s">
        <v>731</v>
      </c>
      <c r="D235" s="20"/>
    </row>
    <row r="236" spans="1:4" x14ac:dyDescent="0.2">
      <c r="A236" s="53"/>
      <c r="B236" s="53"/>
      <c r="C236" s="20" t="s">
        <v>732</v>
      </c>
      <c r="D236" s="20"/>
    </row>
    <row r="237" spans="1:4" x14ac:dyDescent="0.2">
      <c r="A237" s="53"/>
      <c r="B237" s="53"/>
      <c r="C237" s="20" t="s">
        <v>733</v>
      </c>
      <c r="D237" s="20"/>
    </row>
    <row r="238" spans="1:4" x14ac:dyDescent="0.2">
      <c r="A238" s="53"/>
      <c r="B238" s="53"/>
      <c r="C238" s="20" t="s">
        <v>29</v>
      </c>
      <c r="D238" s="20"/>
    </row>
    <row r="239" spans="1:4" x14ac:dyDescent="0.2">
      <c r="A239" s="53"/>
      <c r="B239" s="53"/>
      <c r="C239" s="20" t="s">
        <v>734</v>
      </c>
      <c r="D239" s="20"/>
    </row>
    <row r="240" spans="1:4" x14ac:dyDescent="0.2">
      <c r="A240" s="53"/>
      <c r="B240" s="53"/>
      <c r="C240" s="20" t="s">
        <v>735</v>
      </c>
      <c r="D240" s="20"/>
    </row>
    <row r="241" spans="1:4" x14ac:dyDescent="0.2">
      <c r="A241" s="53"/>
      <c r="B241" s="53"/>
      <c r="C241" s="20" t="s">
        <v>736</v>
      </c>
      <c r="D241" s="20"/>
    </row>
    <row r="242" spans="1:4" x14ac:dyDescent="0.2">
      <c r="A242" s="53"/>
      <c r="B242" s="53"/>
      <c r="C242" s="20" t="s">
        <v>737</v>
      </c>
      <c r="D242" s="20"/>
    </row>
    <row r="243" spans="1:4" x14ac:dyDescent="0.2">
      <c r="A243" s="53"/>
      <c r="B243" s="53"/>
      <c r="C243" s="20" t="s">
        <v>738</v>
      </c>
      <c r="D243" s="20"/>
    </row>
    <row r="244" spans="1:4" x14ac:dyDescent="0.2">
      <c r="A244" s="53"/>
      <c r="B244" s="53"/>
      <c r="C244" s="20" t="s">
        <v>247</v>
      </c>
      <c r="D244" s="20"/>
    </row>
    <row r="245" spans="1:4" x14ac:dyDescent="0.2">
      <c r="A245" s="53"/>
      <c r="B245" s="53"/>
      <c r="C245" s="20" t="s">
        <v>739</v>
      </c>
      <c r="D245" s="20"/>
    </row>
    <row r="246" spans="1:4" x14ac:dyDescent="0.2">
      <c r="A246" s="53"/>
      <c r="B246" s="53"/>
      <c r="C246" s="20" t="s">
        <v>217</v>
      </c>
      <c r="D246" s="20"/>
    </row>
    <row r="247" spans="1:4" x14ac:dyDescent="0.2">
      <c r="A247" s="53"/>
      <c r="B247" s="53"/>
      <c r="C247" s="20" t="s">
        <v>740</v>
      </c>
      <c r="D247" s="20"/>
    </row>
    <row r="248" spans="1:4" x14ac:dyDescent="0.2">
      <c r="A248" s="53"/>
      <c r="B248" s="53"/>
      <c r="C248" s="20" t="s">
        <v>741</v>
      </c>
      <c r="D248" s="20"/>
    </row>
    <row r="249" spans="1:4" x14ac:dyDescent="0.2">
      <c r="A249" s="53"/>
      <c r="B249" s="53"/>
      <c r="C249" s="20" t="s">
        <v>742</v>
      </c>
      <c r="D249" s="20"/>
    </row>
    <row r="250" spans="1:4" x14ac:dyDescent="0.2">
      <c r="A250" s="53"/>
      <c r="B250" s="53"/>
      <c r="C250" s="20" t="s">
        <v>196</v>
      </c>
      <c r="D250" s="20"/>
    </row>
    <row r="251" spans="1:4" x14ac:dyDescent="0.2">
      <c r="A251" s="53"/>
      <c r="B251" s="53"/>
      <c r="C251" s="20" t="s">
        <v>448</v>
      </c>
      <c r="D251" s="20"/>
    </row>
    <row r="252" spans="1:4" x14ac:dyDescent="0.2">
      <c r="A252" s="53"/>
      <c r="B252" s="53"/>
      <c r="C252" s="20" t="s">
        <v>349</v>
      </c>
      <c r="D252" s="20"/>
    </row>
    <row r="253" spans="1:4" x14ac:dyDescent="0.2">
      <c r="A253" s="53"/>
      <c r="B253" s="53"/>
      <c r="C253" s="20" t="s">
        <v>743</v>
      </c>
      <c r="D253" s="20"/>
    </row>
    <row r="254" spans="1:4" x14ac:dyDescent="0.2">
      <c r="A254" s="53"/>
      <c r="B254" s="53"/>
      <c r="C254" s="20" t="s">
        <v>744</v>
      </c>
      <c r="D254" s="20"/>
    </row>
    <row r="255" spans="1:4" x14ac:dyDescent="0.2">
      <c r="A255" s="53"/>
      <c r="B255" s="53"/>
      <c r="C255" s="20" t="s">
        <v>745</v>
      </c>
      <c r="D255" s="20"/>
    </row>
    <row r="256" spans="1:4" x14ac:dyDescent="0.2">
      <c r="A256" s="53"/>
      <c r="B256" s="53"/>
      <c r="C256" s="20" t="s">
        <v>746</v>
      </c>
      <c r="D256" s="20"/>
    </row>
    <row r="257" spans="1:5" x14ac:dyDescent="0.2">
      <c r="A257" s="53"/>
      <c r="B257" s="53"/>
      <c r="C257" s="20" t="s">
        <v>747</v>
      </c>
      <c r="D257" s="20"/>
    </row>
    <row r="258" spans="1:5" x14ac:dyDescent="0.2">
      <c r="A258" s="53"/>
      <c r="B258" s="53"/>
      <c r="C258" s="20" t="s">
        <v>748</v>
      </c>
      <c r="D258" s="20"/>
    </row>
    <row r="259" spans="1:5" x14ac:dyDescent="0.2">
      <c r="A259" s="53"/>
      <c r="B259" s="53"/>
      <c r="C259" s="20" t="s">
        <v>749</v>
      </c>
      <c r="D259" s="20"/>
    </row>
    <row r="260" spans="1:5" x14ac:dyDescent="0.2">
      <c r="A260" s="53"/>
      <c r="B260" s="53"/>
      <c r="C260" s="20" t="s">
        <v>750</v>
      </c>
      <c r="D260" s="20"/>
    </row>
    <row r="261" spans="1:5" x14ac:dyDescent="0.2">
      <c r="A261" s="53"/>
      <c r="B261" s="53"/>
      <c r="C261" s="20" t="s">
        <v>751</v>
      </c>
      <c r="D261" s="20"/>
    </row>
    <row r="262" spans="1:5" x14ac:dyDescent="0.2">
      <c r="A262" s="53"/>
      <c r="B262" s="53"/>
      <c r="C262" s="20" t="s">
        <v>752</v>
      </c>
      <c r="D262" s="20"/>
    </row>
    <row r="263" spans="1:5" x14ac:dyDescent="0.2">
      <c r="A263" s="53"/>
      <c r="B263" s="53"/>
      <c r="C263" s="20" t="s">
        <v>753</v>
      </c>
      <c r="D263" s="20"/>
    </row>
    <row r="264" spans="1:5" x14ac:dyDescent="0.2">
      <c r="A264" s="53"/>
      <c r="B264" s="53"/>
      <c r="C264" s="20" t="s">
        <v>754</v>
      </c>
      <c r="D264" s="20"/>
    </row>
    <row r="265" spans="1:5" x14ac:dyDescent="0.2">
      <c r="A265" s="53"/>
      <c r="B265" s="53"/>
      <c r="C265" s="20" t="s">
        <v>755</v>
      </c>
      <c r="D265" s="20"/>
    </row>
    <row r="266" spans="1:5" x14ac:dyDescent="0.2">
      <c r="A266" s="53"/>
      <c r="B266" s="53"/>
      <c r="C266" s="20" t="s">
        <v>756</v>
      </c>
      <c r="D266" s="20"/>
    </row>
    <row r="267" spans="1:5" x14ac:dyDescent="0.2">
      <c r="A267" s="53"/>
      <c r="B267" s="53"/>
      <c r="C267" s="20" t="s">
        <v>757</v>
      </c>
      <c r="D267" s="20"/>
    </row>
    <row r="268" spans="1:5" x14ac:dyDescent="0.2">
      <c r="A268" s="53"/>
      <c r="B268" s="53"/>
      <c r="C268" s="20" t="s">
        <v>758</v>
      </c>
      <c r="D268" s="20"/>
    </row>
    <row r="269" spans="1:5" x14ac:dyDescent="0.2">
      <c r="A269" s="53"/>
      <c r="B269" s="53"/>
      <c r="C269" s="20" t="s">
        <v>759</v>
      </c>
      <c r="D269" s="20"/>
    </row>
    <row r="270" spans="1:5" x14ac:dyDescent="0.2">
      <c r="A270" s="53"/>
      <c r="B270" s="53"/>
      <c r="C270" s="20" t="s">
        <v>760</v>
      </c>
      <c r="D270" s="20" t="s">
        <v>761</v>
      </c>
      <c r="E270" t="s">
        <v>498</v>
      </c>
    </row>
    <row r="271" spans="1:5" x14ac:dyDescent="0.2">
      <c r="A271" s="53"/>
      <c r="B271" s="53"/>
      <c r="C271" s="20" t="s">
        <v>762</v>
      </c>
      <c r="D271" s="20" t="s">
        <v>763</v>
      </c>
      <c r="E271" t="s">
        <v>498</v>
      </c>
    </row>
    <row r="272" spans="1:5" x14ac:dyDescent="0.2">
      <c r="A272" s="53"/>
      <c r="B272" s="53"/>
      <c r="C272" s="20" t="s">
        <v>764</v>
      </c>
      <c r="D272" s="20" t="s">
        <v>765</v>
      </c>
      <c r="E272" t="s">
        <v>498</v>
      </c>
    </row>
    <row r="273" spans="1:5" x14ac:dyDescent="0.2">
      <c r="A273" s="53"/>
      <c r="B273" s="53"/>
      <c r="C273" s="20" t="s">
        <v>766</v>
      </c>
      <c r="D273" s="20"/>
    </row>
    <row r="274" spans="1:5" x14ac:dyDescent="0.2">
      <c r="A274" s="53"/>
      <c r="B274" s="53"/>
      <c r="C274" s="20" t="s">
        <v>767</v>
      </c>
      <c r="D274" s="20" t="s">
        <v>768</v>
      </c>
      <c r="E274" t="s">
        <v>498</v>
      </c>
    </row>
    <row r="275" spans="1:5" x14ac:dyDescent="0.2">
      <c r="A275" s="53"/>
      <c r="B275" s="53"/>
      <c r="C275" s="20" t="s">
        <v>769</v>
      </c>
      <c r="D275" s="20"/>
    </row>
    <row r="276" spans="1:5" x14ac:dyDescent="0.2">
      <c r="A276" s="53"/>
      <c r="B276" s="53"/>
      <c r="C276" s="20" t="s">
        <v>770</v>
      </c>
      <c r="D276" s="20"/>
    </row>
    <row r="277" spans="1:5" x14ac:dyDescent="0.2">
      <c r="A277" s="53"/>
      <c r="B277" s="53"/>
      <c r="C277" s="20" t="s">
        <v>771</v>
      </c>
      <c r="D277" s="20"/>
    </row>
    <row r="278" spans="1:5" x14ac:dyDescent="0.2">
      <c r="A278" s="53"/>
      <c r="B278" s="53"/>
      <c r="C278" s="20" t="s">
        <v>772</v>
      </c>
      <c r="D278" s="20"/>
    </row>
    <row r="279" spans="1:5" x14ac:dyDescent="0.2">
      <c r="A279" s="53"/>
      <c r="B279" s="53"/>
      <c r="C279" s="20" t="s">
        <v>773</v>
      </c>
      <c r="D279" s="20"/>
    </row>
    <row r="280" spans="1:5" x14ac:dyDescent="0.2">
      <c r="A280" s="53"/>
      <c r="B280" s="53"/>
      <c r="C280" s="20" t="s">
        <v>774</v>
      </c>
      <c r="D280" s="20"/>
    </row>
    <row r="281" spans="1:5" x14ac:dyDescent="0.2">
      <c r="A281" s="53"/>
      <c r="B281" s="53"/>
      <c r="C281" s="20" t="s">
        <v>775</v>
      </c>
      <c r="D281" s="20"/>
    </row>
    <row r="282" spans="1:5" x14ac:dyDescent="0.2">
      <c r="A282" s="53"/>
      <c r="B282" s="53"/>
      <c r="C282" s="20" t="s">
        <v>776</v>
      </c>
      <c r="D282" s="20" t="s">
        <v>777</v>
      </c>
      <c r="E282" t="s">
        <v>498</v>
      </c>
    </row>
    <row r="283" spans="1:5" x14ac:dyDescent="0.2">
      <c r="A283" s="53"/>
      <c r="B283" s="53"/>
      <c r="C283" s="20" t="s">
        <v>778</v>
      </c>
      <c r="D283" s="20"/>
    </row>
    <row r="284" spans="1:5" x14ac:dyDescent="0.2">
      <c r="A284" s="53"/>
      <c r="B284" s="53"/>
      <c r="C284" s="20" t="s">
        <v>779</v>
      </c>
      <c r="D284" s="20" t="s">
        <v>780</v>
      </c>
      <c r="E284" t="s">
        <v>498</v>
      </c>
    </row>
    <row r="285" spans="1:5" x14ac:dyDescent="0.2">
      <c r="A285" s="53"/>
      <c r="B285" s="53"/>
      <c r="C285" s="20" t="s">
        <v>781</v>
      </c>
      <c r="D285" s="20"/>
    </row>
    <row r="286" spans="1:5" x14ac:dyDescent="0.2">
      <c r="A286" s="53"/>
      <c r="B286" s="53"/>
      <c r="C286" s="20" t="s">
        <v>782</v>
      </c>
      <c r="D286" s="20"/>
    </row>
    <row r="287" spans="1:5" x14ac:dyDescent="0.2">
      <c r="A287" s="53"/>
      <c r="B287" s="53"/>
      <c r="C287" s="20" t="s">
        <v>783</v>
      </c>
      <c r="D287" s="20"/>
    </row>
    <row r="288" spans="1:5" x14ac:dyDescent="0.2">
      <c r="A288" s="53"/>
      <c r="B288" s="53"/>
      <c r="C288" s="20" t="s">
        <v>784</v>
      </c>
      <c r="D288" s="20"/>
    </row>
    <row r="289" spans="1:5" x14ac:dyDescent="0.2">
      <c r="A289" s="53"/>
      <c r="B289" s="53"/>
      <c r="C289" s="20" t="s">
        <v>785</v>
      </c>
      <c r="D289" s="20" t="s">
        <v>786</v>
      </c>
      <c r="E289" t="s">
        <v>498</v>
      </c>
    </row>
    <row r="290" spans="1:5" x14ac:dyDescent="0.2">
      <c r="A290" s="53"/>
      <c r="B290" s="53"/>
      <c r="C290" s="20" t="s">
        <v>787</v>
      </c>
      <c r="D290" s="20"/>
    </row>
    <row r="291" spans="1:5" x14ac:dyDescent="0.2">
      <c r="A291" s="53"/>
      <c r="B291" s="53"/>
      <c r="C291" s="20" t="s">
        <v>788</v>
      </c>
      <c r="D291" s="20"/>
    </row>
    <row r="292" spans="1:5" x14ac:dyDescent="0.2">
      <c r="A292" s="53"/>
      <c r="B292" s="53"/>
      <c r="C292" s="20" t="s">
        <v>789</v>
      </c>
      <c r="D292" s="20"/>
    </row>
    <row r="293" spans="1:5" x14ac:dyDescent="0.2">
      <c r="A293" s="53"/>
      <c r="B293" s="53"/>
      <c r="C293" s="20" t="s">
        <v>790</v>
      </c>
      <c r="D293" s="20"/>
    </row>
    <row r="294" spans="1:5" x14ac:dyDescent="0.2">
      <c r="A294" s="53"/>
      <c r="B294" s="53"/>
      <c r="C294" s="20" t="s">
        <v>791</v>
      </c>
      <c r="D294" s="20"/>
    </row>
    <row r="295" spans="1:5" x14ac:dyDescent="0.2">
      <c r="A295" s="53"/>
      <c r="B295" s="53"/>
      <c r="C295" s="20" t="s">
        <v>792</v>
      </c>
      <c r="D295" s="20"/>
    </row>
    <row r="296" spans="1:5" x14ac:dyDescent="0.2">
      <c r="A296" s="53"/>
      <c r="B296" s="53"/>
      <c r="C296" s="20" t="s">
        <v>793</v>
      </c>
      <c r="D296" s="20"/>
    </row>
    <row r="297" spans="1:5" x14ac:dyDescent="0.2">
      <c r="A297" s="53"/>
      <c r="B297" s="53"/>
      <c r="C297" s="20" t="s">
        <v>794</v>
      </c>
      <c r="D297" s="20" t="s">
        <v>795</v>
      </c>
      <c r="E297" t="s">
        <v>498</v>
      </c>
    </row>
    <row r="298" spans="1:5" x14ac:dyDescent="0.2">
      <c r="A298" s="53"/>
      <c r="B298" s="53"/>
      <c r="C298" s="20" t="s">
        <v>796</v>
      </c>
      <c r="D298" s="20"/>
    </row>
    <row r="299" spans="1:5" x14ac:dyDescent="0.2">
      <c r="A299" s="53"/>
      <c r="B299" s="53"/>
      <c r="C299" s="20" t="s">
        <v>797</v>
      </c>
      <c r="D299" s="20"/>
    </row>
    <row r="300" spans="1:5" x14ac:dyDescent="0.2">
      <c r="A300" s="53"/>
      <c r="B300" s="53"/>
      <c r="C300" s="20" t="s">
        <v>798</v>
      </c>
      <c r="D300" s="20"/>
      <c r="E300" t="s">
        <v>498</v>
      </c>
    </row>
    <row r="301" spans="1:5" x14ac:dyDescent="0.2">
      <c r="A301" s="53"/>
      <c r="B301" s="53"/>
      <c r="C301" s="20" t="s">
        <v>799</v>
      </c>
      <c r="D301" s="20"/>
    </row>
    <row r="302" spans="1:5" x14ac:dyDescent="0.2">
      <c r="A302" s="53"/>
      <c r="B302" s="53"/>
      <c r="C302" s="20" t="s">
        <v>800</v>
      </c>
      <c r="D302" s="20"/>
    </row>
    <row r="303" spans="1:5" x14ac:dyDescent="0.2">
      <c r="A303" s="53"/>
      <c r="B303" s="53"/>
      <c r="C303" s="20" t="s">
        <v>801</v>
      </c>
      <c r="D303" s="20"/>
    </row>
    <row r="304" spans="1:5" x14ac:dyDescent="0.2">
      <c r="A304" s="53"/>
      <c r="B304" s="53"/>
      <c r="C304" s="20" t="s">
        <v>802</v>
      </c>
      <c r="D304" s="20"/>
    </row>
    <row r="305" spans="1:5" x14ac:dyDescent="0.2">
      <c r="A305" s="53"/>
      <c r="B305" s="53"/>
      <c r="C305" s="20" t="s">
        <v>803</v>
      </c>
      <c r="D305" s="20"/>
    </row>
    <row r="306" spans="1:5" x14ac:dyDescent="0.2">
      <c r="A306" s="53"/>
      <c r="B306" s="53"/>
      <c r="C306" s="20" t="s">
        <v>804</v>
      </c>
      <c r="D306" s="20"/>
    </row>
    <row r="307" spans="1:5" x14ac:dyDescent="0.2">
      <c r="A307" s="53"/>
      <c r="B307" s="53"/>
      <c r="C307" s="20" t="s">
        <v>805</v>
      </c>
      <c r="D307" s="20"/>
    </row>
    <row r="308" spans="1:5" x14ac:dyDescent="0.2">
      <c r="A308" s="53"/>
      <c r="B308" s="53"/>
      <c r="C308" s="20" t="s">
        <v>806</v>
      </c>
      <c r="D308" s="20"/>
    </row>
    <row r="309" spans="1:5" x14ac:dyDescent="0.2">
      <c r="A309" s="53"/>
      <c r="B309" s="53"/>
      <c r="C309" s="20" t="s">
        <v>807</v>
      </c>
      <c r="D309" s="20"/>
    </row>
    <row r="310" spans="1:5" x14ac:dyDescent="0.2">
      <c r="A310" s="53"/>
      <c r="B310" s="53"/>
      <c r="C310" s="20" t="s">
        <v>808</v>
      </c>
      <c r="D310" s="20"/>
      <c r="E310" t="s">
        <v>498</v>
      </c>
    </row>
    <row r="311" spans="1:5" x14ac:dyDescent="0.2">
      <c r="A311" s="53"/>
      <c r="B311" s="53"/>
      <c r="C311" s="20" t="s">
        <v>809</v>
      </c>
      <c r="D311" s="20"/>
      <c r="E311" t="s">
        <v>498</v>
      </c>
    </row>
    <row r="312" spans="1:5" x14ac:dyDescent="0.2">
      <c r="A312" s="53"/>
      <c r="B312" s="53"/>
      <c r="C312" s="20" t="s">
        <v>810</v>
      </c>
      <c r="D312" s="20"/>
      <c r="E312" t="s">
        <v>498</v>
      </c>
    </row>
    <row r="313" spans="1:5" x14ac:dyDescent="0.2">
      <c r="A313" s="53"/>
      <c r="B313" s="53"/>
      <c r="C313" s="20" t="s">
        <v>811</v>
      </c>
      <c r="D313" s="20"/>
    </row>
    <row r="314" spans="1:5" x14ac:dyDescent="0.2">
      <c r="A314" s="53"/>
      <c r="B314" s="53"/>
      <c r="C314" s="20" t="s">
        <v>812</v>
      </c>
      <c r="D314" s="20"/>
    </row>
    <row r="315" spans="1:5" x14ac:dyDescent="0.2">
      <c r="A315" s="53"/>
      <c r="B315" s="53"/>
      <c r="C315" s="20" t="s">
        <v>813</v>
      </c>
      <c r="D315" s="20"/>
    </row>
    <row r="316" spans="1:5" x14ac:dyDescent="0.2">
      <c r="A316" s="53"/>
      <c r="B316" s="53"/>
      <c r="C316" s="20" t="s">
        <v>814</v>
      </c>
      <c r="D316" s="20"/>
    </row>
    <row r="317" spans="1:5" x14ac:dyDescent="0.2">
      <c r="A317" s="53"/>
      <c r="B317" s="53"/>
      <c r="C317" s="20" t="s">
        <v>815</v>
      </c>
      <c r="D317" s="20"/>
    </row>
    <row r="318" spans="1:5" x14ac:dyDescent="0.2">
      <c r="A318" s="53"/>
      <c r="B318" s="53"/>
      <c r="C318" s="20" t="s">
        <v>816</v>
      </c>
      <c r="D318" s="117" t="s">
        <v>817</v>
      </c>
      <c r="E318" t="s">
        <v>498</v>
      </c>
    </row>
    <row r="319" spans="1:5" x14ac:dyDescent="0.2">
      <c r="A319" s="53"/>
      <c r="B319" s="53"/>
      <c r="C319" s="20" t="s">
        <v>818</v>
      </c>
      <c r="D319" s="20"/>
    </row>
    <row r="320" spans="1:5" x14ac:dyDescent="0.2">
      <c r="A320" s="53"/>
      <c r="B320" s="53"/>
      <c r="C320" s="20" t="s">
        <v>819</v>
      </c>
      <c r="D320" s="20"/>
    </row>
    <row r="321" spans="1:5" x14ac:dyDescent="0.2">
      <c r="A321" s="53"/>
      <c r="B321" s="53"/>
      <c r="C321" s="20" t="s">
        <v>820</v>
      </c>
      <c r="D321" s="20"/>
    </row>
    <row r="322" spans="1:5" x14ac:dyDescent="0.2">
      <c r="A322" s="53"/>
      <c r="B322" s="53"/>
      <c r="C322" s="20" t="s">
        <v>821</v>
      </c>
      <c r="D322" s="20"/>
    </row>
    <row r="323" spans="1:5" x14ac:dyDescent="0.2">
      <c r="A323" s="53"/>
      <c r="B323" s="53"/>
      <c r="C323" s="20" t="s">
        <v>822</v>
      </c>
      <c r="D323" s="20"/>
    </row>
    <row r="324" spans="1:5" x14ac:dyDescent="0.2">
      <c r="A324" s="53"/>
      <c r="B324" s="53"/>
      <c r="C324" s="20" t="s">
        <v>823</v>
      </c>
      <c r="D324" s="20"/>
    </row>
    <row r="325" spans="1:5" x14ac:dyDescent="0.2">
      <c r="A325" s="53"/>
      <c r="B325" s="53"/>
      <c r="C325" s="20" t="s">
        <v>824</v>
      </c>
      <c r="D325" s="20"/>
    </row>
    <row r="326" spans="1:5" x14ac:dyDescent="0.2">
      <c r="A326" s="53"/>
      <c r="B326" s="53"/>
      <c r="C326" s="20" t="s">
        <v>825</v>
      </c>
      <c r="D326" s="20"/>
    </row>
    <row r="327" spans="1:5" x14ac:dyDescent="0.2">
      <c r="A327" s="53"/>
      <c r="B327" s="53"/>
      <c r="C327" s="20" t="s">
        <v>826</v>
      </c>
      <c r="D327" s="20"/>
    </row>
    <row r="328" spans="1:5" x14ac:dyDescent="0.2">
      <c r="A328" s="70"/>
      <c r="B328" s="60" t="s">
        <v>259</v>
      </c>
      <c r="C328" s="46" t="s">
        <v>827</v>
      </c>
      <c r="D328" s="46"/>
      <c r="E328" t="s">
        <v>498</v>
      </c>
    </row>
    <row r="329" spans="1:5" x14ac:dyDescent="0.2">
      <c r="A329" s="71"/>
      <c r="B329" s="61"/>
      <c r="C329" s="46" t="s">
        <v>828</v>
      </c>
      <c r="D329" s="46"/>
      <c r="E329" t="s">
        <v>498</v>
      </c>
    </row>
    <row r="330" spans="1:5" x14ac:dyDescent="0.2">
      <c r="A330" s="71"/>
      <c r="B330" s="61"/>
      <c r="C330" s="119" t="s">
        <v>829</v>
      </c>
      <c r="D330" s="46"/>
      <c r="E330" t="s">
        <v>498</v>
      </c>
    </row>
    <row r="331" spans="1:5" x14ac:dyDescent="0.2">
      <c r="A331" s="71"/>
      <c r="B331" s="61"/>
      <c r="C331" s="118" t="s">
        <v>830</v>
      </c>
      <c r="D331" s="46"/>
      <c r="E331" t="s">
        <v>498</v>
      </c>
    </row>
    <row r="332" spans="1:5" x14ac:dyDescent="0.2">
      <c r="A332" s="71"/>
      <c r="B332" s="61"/>
      <c r="C332" s="118" t="s">
        <v>831</v>
      </c>
      <c r="D332" s="46"/>
      <c r="E332" t="s">
        <v>498</v>
      </c>
    </row>
    <row r="333" spans="1:5" x14ac:dyDescent="0.2">
      <c r="A333" s="71"/>
      <c r="B333" s="61"/>
      <c r="C333" s="118" t="s">
        <v>832</v>
      </c>
      <c r="D333" s="46"/>
      <c r="E333" t="s">
        <v>498</v>
      </c>
    </row>
    <row r="334" spans="1:5" x14ac:dyDescent="0.2">
      <c r="A334" s="71"/>
      <c r="B334" s="61"/>
      <c r="C334" s="118" t="s">
        <v>833</v>
      </c>
      <c r="D334" s="46"/>
      <c r="E334" t="s">
        <v>498</v>
      </c>
    </row>
    <row r="335" spans="1:5" x14ac:dyDescent="0.2">
      <c r="A335" s="71"/>
      <c r="B335" s="61"/>
      <c r="C335" s="46" t="s">
        <v>834</v>
      </c>
      <c r="D335" s="46"/>
      <c r="E335" t="s">
        <v>498</v>
      </c>
    </row>
    <row r="336" spans="1:5" x14ac:dyDescent="0.2">
      <c r="A336" s="71"/>
      <c r="B336" s="61"/>
      <c r="C336" s="46" t="s">
        <v>835</v>
      </c>
      <c r="D336" s="46"/>
      <c r="E336" t="s">
        <v>498</v>
      </c>
    </row>
    <row r="337" spans="1:5" x14ac:dyDescent="0.2">
      <c r="A337" s="71"/>
      <c r="B337" s="61"/>
      <c r="C337" s="46" t="s">
        <v>836</v>
      </c>
      <c r="D337" s="46"/>
      <c r="E337" t="s">
        <v>498</v>
      </c>
    </row>
    <row r="338" spans="1:5" x14ac:dyDescent="0.2">
      <c r="A338" s="71"/>
      <c r="B338" s="61"/>
      <c r="C338" s="46" t="s">
        <v>837</v>
      </c>
      <c r="D338" s="46"/>
      <c r="E338" t="s">
        <v>498</v>
      </c>
    </row>
    <row r="339" spans="1:5" x14ac:dyDescent="0.2">
      <c r="A339" s="71"/>
      <c r="B339" s="61"/>
      <c r="C339" s="46" t="s">
        <v>838</v>
      </c>
      <c r="D339" s="46"/>
      <c r="E339" t="s">
        <v>498</v>
      </c>
    </row>
    <row r="340" spans="1:5" x14ac:dyDescent="0.2">
      <c r="A340" s="71"/>
      <c r="B340" s="61"/>
      <c r="C340" s="46" t="s">
        <v>839</v>
      </c>
      <c r="D340" s="46"/>
      <c r="E340" t="s">
        <v>498</v>
      </c>
    </row>
    <row r="341" spans="1:5" x14ac:dyDescent="0.2">
      <c r="A341" s="71"/>
      <c r="B341" s="61"/>
      <c r="C341" s="46" t="s">
        <v>840</v>
      </c>
      <c r="D341" s="46"/>
      <c r="E341" t="s">
        <v>498</v>
      </c>
    </row>
    <row r="342" spans="1:5" x14ac:dyDescent="0.2">
      <c r="A342" s="71"/>
      <c r="B342" s="61"/>
      <c r="C342" s="46" t="s">
        <v>841</v>
      </c>
      <c r="D342" s="46"/>
      <c r="E342" t="s">
        <v>498</v>
      </c>
    </row>
    <row r="343" spans="1:5" x14ac:dyDescent="0.2">
      <c r="A343" s="71"/>
      <c r="B343" s="61"/>
      <c r="C343" s="46" t="s">
        <v>842</v>
      </c>
      <c r="D343" s="46"/>
      <c r="E343" t="s">
        <v>498</v>
      </c>
    </row>
    <row r="344" spans="1:5" x14ac:dyDescent="0.2">
      <c r="A344" s="71"/>
      <c r="B344" s="61"/>
      <c r="C344" s="46" t="s">
        <v>843</v>
      </c>
      <c r="D344" s="46"/>
      <c r="E344" t="s">
        <v>498</v>
      </c>
    </row>
    <row r="345" spans="1:5" x14ac:dyDescent="0.2">
      <c r="A345" s="71"/>
      <c r="B345" s="61"/>
      <c r="C345" s="46" t="s">
        <v>844</v>
      </c>
      <c r="D345" s="46"/>
      <c r="E345" t="s">
        <v>498</v>
      </c>
    </row>
    <row r="346" spans="1:5" x14ac:dyDescent="0.2">
      <c r="A346" s="71"/>
      <c r="B346" s="61"/>
      <c r="C346" s="46" t="s">
        <v>845</v>
      </c>
      <c r="D346" s="46"/>
      <c r="E346" t="s">
        <v>498</v>
      </c>
    </row>
    <row r="347" spans="1:5" x14ac:dyDescent="0.2">
      <c r="A347" s="71"/>
      <c r="B347" s="61"/>
      <c r="C347" s="46" t="s">
        <v>846</v>
      </c>
      <c r="D347" s="46"/>
      <c r="E347" t="s">
        <v>498</v>
      </c>
    </row>
    <row r="348" spans="1:5" x14ac:dyDescent="0.2">
      <c r="A348" s="71"/>
      <c r="B348" s="61"/>
      <c r="C348" s="46" t="s">
        <v>847</v>
      </c>
      <c r="D348" s="46"/>
      <c r="E348" t="s">
        <v>498</v>
      </c>
    </row>
    <row r="349" spans="1:5" x14ac:dyDescent="0.2">
      <c r="A349" s="71"/>
      <c r="B349" s="61"/>
      <c r="C349" s="46" t="s">
        <v>848</v>
      </c>
      <c r="D349" s="46"/>
      <c r="E349" t="s">
        <v>498</v>
      </c>
    </row>
    <row r="350" spans="1:5" x14ac:dyDescent="0.2">
      <c r="A350" s="71"/>
      <c r="B350" s="61"/>
      <c r="C350" s="46" t="s">
        <v>849</v>
      </c>
      <c r="D350" s="46"/>
      <c r="E350" t="s">
        <v>498</v>
      </c>
    </row>
    <row r="351" spans="1:5" x14ac:dyDescent="0.2">
      <c r="A351" s="71"/>
      <c r="B351" s="61"/>
      <c r="C351" s="46" t="s">
        <v>850</v>
      </c>
      <c r="D351" s="46"/>
      <c r="E351" t="s">
        <v>498</v>
      </c>
    </row>
    <row r="352" spans="1:5" x14ac:dyDescent="0.2">
      <c r="A352" s="71"/>
      <c r="B352" s="61"/>
      <c r="C352" s="46" t="s">
        <v>851</v>
      </c>
      <c r="D352" s="46"/>
      <c r="E352" t="s">
        <v>498</v>
      </c>
    </row>
    <row r="353" spans="1:5" x14ac:dyDescent="0.2">
      <c r="A353" s="71"/>
      <c r="B353" s="61"/>
      <c r="C353" s="46" t="s">
        <v>852</v>
      </c>
      <c r="D353" s="46"/>
      <c r="E353" t="s">
        <v>498</v>
      </c>
    </row>
    <row r="354" spans="1:5" x14ac:dyDescent="0.2">
      <c r="A354" s="71"/>
      <c r="B354" s="61"/>
      <c r="C354" s="46" t="s">
        <v>853</v>
      </c>
      <c r="D354" s="46"/>
      <c r="E354" t="s">
        <v>498</v>
      </c>
    </row>
    <row r="355" spans="1:5" x14ac:dyDescent="0.2">
      <c r="A355" s="71"/>
      <c r="B355" s="61"/>
      <c r="C355" s="46" t="s">
        <v>854</v>
      </c>
      <c r="D355" s="46"/>
      <c r="E355" t="s">
        <v>498</v>
      </c>
    </row>
    <row r="356" spans="1:5" x14ac:dyDescent="0.2">
      <c r="A356" s="71"/>
      <c r="B356" s="61"/>
      <c r="C356" s="46" t="s">
        <v>855</v>
      </c>
      <c r="D356" s="46"/>
      <c r="E356" t="s">
        <v>498</v>
      </c>
    </row>
    <row r="357" spans="1:5" x14ac:dyDescent="0.2">
      <c r="A357" s="71"/>
      <c r="B357" s="61"/>
      <c r="C357" s="46" t="s">
        <v>856</v>
      </c>
      <c r="D357" s="46"/>
      <c r="E357" t="s">
        <v>498</v>
      </c>
    </row>
    <row r="358" spans="1:5" x14ac:dyDescent="0.2">
      <c r="A358" s="71"/>
      <c r="B358" s="61"/>
      <c r="C358" s="46" t="s">
        <v>857</v>
      </c>
      <c r="D358" s="46"/>
      <c r="E358" t="s">
        <v>498</v>
      </c>
    </row>
    <row r="359" spans="1:5" x14ac:dyDescent="0.2">
      <c r="A359" s="71"/>
      <c r="B359" s="61"/>
      <c r="C359" s="46" t="s">
        <v>858</v>
      </c>
      <c r="D359" s="46"/>
      <c r="E359" t="s">
        <v>498</v>
      </c>
    </row>
    <row r="360" spans="1:5" x14ac:dyDescent="0.2">
      <c r="A360" s="71"/>
      <c r="B360" s="61"/>
      <c r="C360" s="46" t="s">
        <v>859</v>
      </c>
      <c r="D360" s="46"/>
      <c r="E360" t="s">
        <v>498</v>
      </c>
    </row>
    <row r="361" spans="1:5" x14ac:dyDescent="0.2">
      <c r="A361" s="71"/>
      <c r="B361" s="61"/>
      <c r="C361" s="46" t="s">
        <v>860</v>
      </c>
      <c r="D361" s="46"/>
      <c r="E361" t="s">
        <v>498</v>
      </c>
    </row>
    <row r="362" spans="1:5" x14ac:dyDescent="0.2">
      <c r="A362" s="71"/>
      <c r="B362" s="61"/>
      <c r="C362" s="46" t="s">
        <v>861</v>
      </c>
      <c r="D362" s="46"/>
      <c r="E362" t="s">
        <v>498</v>
      </c>
    </row>
    <row r="363" spans="1:5" x14ac:dyDescent="0.2">
      <c r="A363" s="71"/>
      <c r="B363" s="61"/>
      <c r="C363" s="46" t="s">
        <v>862</v>
      </c>
      <c r="D363" s="46"/>
      <c r="E363" t="s">
        <v>498</v>
      </c>
    </row>
    <row r="364" spans="1:5" x14ac:dyDescent="0.2">
      <c r="A364" s="71"/>
      <c r="B364" s="61"/>
      <c r="C364" s="46" t="s">
        <v>863</v>
      </c>
      <c r="D364" s="46"/>
      <c r="E364" t="s">
        <v>498</v>
      </c>
    </row>
    <row r="365" spans="1:5" x14ac:dyDescent="0.2">
      <c r="A365" s="71"/>
      <c r="B365" s="61"/>
      <c r="C365" s="46" t="s">
        <v>864</v>
      </c>
      <c r="D365" s="46"/>
      <c r="E365" t="s">
        <v>498</v>
      </c>
    </row>
    <row r="366" spans="1:5" x14ac:dyDescent="0.2">
      <c r="A366" s="71"/>
      <c r="B366" s="61"/>
      <c r="C366" s="46" t="s">
        <v>865</v>
      </c>
      <c r="D366" s="46"/>
      <c r="E366" t="s">
        <v>498</v>
      </c>
    </row>
    <row r="367" spans="1:5" x14ac:dyDescent="0.2">
      <c r="A367" s="71"/>
      <c r="B367" s="61"/>
      <c r="C367" s="46" t="s">
        <v>866</v>
      </c>
      <c r="D367" s="46"/>
      <c r="E367" t="s">
        <v>498</v>
      </c>
    </row>
    <row r="368" spans="1:5" x14ac:dyDescent="0.2">
      <c r="A368" s="71"/>
      <c r="B368" s="61"/>
      <c r="C368" s="46" t="s">
        <v>867</v>
      </c>
      <c r="D368" s="46"/>
      <c r="E368" t="s">
        <v>498</v>
      </c>
    </row>
    <row r="369" spans="1:5" x14ac:dyDescent="0.2">
      <c r="A369" s="71"/>
      <c r="B369" s="61"/>
      <c r="C369" s="46" t="s">
        <v>868</v>
      </c>
      <c r="D369" s="46"/>
      <c r="E369" t="s">
        <v>498</v>
      </c>
    </row>
    <row r="370" spans="1:5" x14ac:dyDescent="0.2">
      <c r="A370" s="71"/>
      <c r="B370" s="61"/>
      <c r="C370" s="46" t="s">
        <v>869</v>
      </c>
      <c r="D370" s="46"/>
      <c r="E370" t="s">
        <v>498</v>
      </c>
    </row>
    <row r="371" spans="1:5" x14ac:dyDescent="0.2">
      <c r="A371" s="71"/>
      <c r="B371" s="61"/>
      <c r="C371" s="46" t="s">
        <v>870</v>
      </c>
      <c r="D371" s="46"/>
      <c r="E371" t="s">
        <v>498</v>
      </c>
    </row>
    <row r="372" spans="1:5" x14ac:dyDescent="0.2">
      <c r="A372" s="71"/>
      <c r="B372" s="61"/>
      <c r="C372" s="46" t="s">
        <v>871</v>
      </c>
      <c r="D372" s="46"/>
      <c r="E372" t="s">
        <v>498</v>
      </c>
    </row>
    <row r="373" spans="1:5" x14ac:dyDescent="0.2">
      <c r="A373" s="71"/>
      <c r="B373" s="61"/>
      <c r="C373" s="46" t="s">
        <v>872</v>
      </c>
      <c r="D373" s="46"/>
      <c r="E373" t="s">
        <v>498</v>
      </c>
    </row>
    <row r="374" spans="1:5" x14ac:dyDescent="0.2">
      <c r="A374" s="71"/>
      <c r="B374" s="61"/>
      <c r="C374" s="46" t="s">
        <v>873</v>
      </c>
      <c r="D374" s="46"/>
      <c r="E374" t="s">
        <v>498</v>
      </c>
    </row>
    <row r="375" spans="1:5" x14ac:dyDescent="0.2">
      <c r="A375" s="71"/>
      <c r="B375" s="61"/>
      <c r="C375" s="46" t="s">
        <v>874</v>
      </c>
      <c r="D375" s="46"/>
      <c r="E375" t="s">
        <v>498</v>
      </c>
    </row>
    <row r="376" spans="1:5" x14ac:dyDescent="0.2">
      <c r="A376" s="71"/>
      <c r="B376" s="61"/>
      <c r="C376" s="46" t="s">
        <v>875</v>
      </c>
      <c r="D376" s="46"/>
      <c r="E376" t="s">
        <v>498</v>
      </c>
    </row>
    <row r="377" spans="1:5" x14ac:dyDescent="0.2">
      <c r="A377" s="71"/>
      <c r="B377" s="61"/>
      <c r="C377" s="46" t="s">
        <v>876</v>
      </c>
      <c r="D377" s="46"/>
      <c r="E377" t="s">
        <v>498</v>
      </c>
    </row>
    <row r="378" spans="1:5" x14ac:dyDescent="0.2">
      <c r="A378" s="71"/>
      <c r="B378" s="61"/>
      <c r="C378" s="46" t="s">
        <v>877</v>
      </c>
      <c r="D378" s="46"/>
      <c r="E378" t="s">
        <v>498</v>
      </c>
    </row>
    <row r="379" spans="1:5" x14ac:dyDescent="0.2">
      <c r="A379" s="71"/>
      <c r="B379" s="61"/>
      <c r="C379" s="46" t="s">
        <v>878</v>
      </c>
      <c r="D379" s="46"/>
      <c r="E379" t="s">
        <v>498</v>
      </c>
    </row>
    <row r="380" spans="1:5" x14ac:dyDescent="0.2">
      <c r="A380" s="71"/>
      <c r="B380" s="61"/>
      <c r="C380" s="46" t="s">
        <v>879</v>
      </c>
      <c r="D380" s="46"/>
      <c r="E380" t="s">
        <v>498</v>
      </c>
    </row>
    <row r="381" spans="1:5" x14ac:dyDescent="0.2">
      <c r="A381" s="71"/>
      <c r="B381" s="61"/>
      <c r="C381" s="46" t="s">
        <v>880</v>
      </c>
      <c r="D381" s="46"/>
      <c r="E381" t="s">
        <v>498</v>
      </c>
    </row>
    <row r="382" spans="1:5" x14ac:dyDescent="0.2">
      <c r="A382" s="71"/>
      <c r="B382" s="61"/>
      <c r="C382" s="46" t="s">
        <v>881</v>
      </c>
      <c r="D382" s="46"/>
      <c r="E382" t="s">
        <v>498</v>
      </c>
    </row>
    <row r="383" spans="1:5" x14ac:dyDescent="0.2">
      <c r="A383" s="71"/>
      <c r="B383" s="61"/>
      <c r="C383" s="46" t="s">
        <v>882</v>
      </c>
      <c r="D383" s="46"/>
      <c r="E383" t="s">
        <v>498</v>
      </c>
    </row>
    <row r="384" spans="1:5" x14ac:dyDescent="0.2">
      <c r="A384" s="71"/>
      <c r="B384" s="61"/>
      <c r="C384" s="46" t="s">
        <v>883</v>
      </c>
      <c r="D384" s="46"/>
      <c r="E384" t="s">
        <v>498</v>
      </c>
    </row>
    <row r="385" spans="1:5" x14ac:dyDescent="0.2">
      <c r="A385" s="71"/>
      <c r="B385" s="61"/>
      <c r="C385" s="46" t="s">
        <v>884</v>
      </c>
      <c r="D385" s="46"/>
      <c r="E385" t="s">
        <v>498</v>
      </c>
    </row>
    <row r="386" spans="1:5" x14ac:dyDescent="0.2">
      <c r="A386" s="71"/>
      <c r="B386" s="61"/>
      <c r="C386" s="46" t="s">
        <v>885</v>
      </c>
      <c r="D386" s="46"/>
      <c r="E386" t="s">
        <v>498</v>
      </c>
    </row>
    <row r="387" spans="1:5" x14ac:dyDescent="0.2">
      <c r="A387" s="71"/>
      <c r="B387" s="61"/>
      <c r="C387" s="46" t="s">
        <v>886</v>
      </c>
      <c r="D387" s="46"/>
      <c r="E387" t="s">
        <v>498</v>
      </c>
    </row>
    <row r="388" spans="1:5" x14ac:dyDescent="0.2">
      <c r="A388" s="71"/>
      <c r="B388" s="61"/>
      <c r="C388" s="46" t="s">
        <v>887</v>
      </c>
      <c r="D388" s="46"/>
      <c r="E388" t="s">
        <v>498</v>
      </c>
    </row>
    <row r="389" spans="1:5" x14ac:dyDescent="0.2">
      <c r="A389" s="71"/>
      <c r="B389" s="61"/>
      <c r="C389" s="46" t="s">
        <v>888</v>
      </c>
      <c r="D389" s="46"/>
      <c r="E389" t="s">
        <v>498</v>
      </c>
    </row>
    <row r="390" spans="1:5" x14ac:dyDescent="0.2">
      <c r="A390" s="71"/>
      <c r="B390" s="61"/>
      <c r="C390" s="46" t="s">
        <v>889</v>
      </c>
      <c r="D390" s="46"/>
      <c r="E390" t="s">
        <v>498</v>
      </c>
    </row>
    <row r="391" spans="1:5" x14ac:dyDescent="0.2">
      <c r="A391" s="71"/>
      <c r="B391" s="61"/>
      <c r="C391" s="46" t="s">
        <v>890</v>
      </c>
      <c r="D391" s="46"/>
      <c r="E391" t="s">
        <v>498</v>
      </c>
    </row>
    <row r="392" spans="1:5" x14ac:dyDescent="0.2">
      <c r="A392" s="71"/>
      <c r="B392" s="61"/>
      <c r="C392" s="46" t="s">
        <v>891</v>
      </c>
      <c r="D392" s="46"/>
      <c r="E392" t="s">
        <v>498</v>
      </c>
    </row>
    <row r="393" spans="1:5" x14ac:dyDescent="0.2">
      <c r="A393" s="71"/>
      <c r="B393" s="61"/>
      <c r="C393" s="46" t="s">
        <v>892</v>
      </c>
      <c r="D393" s="46"/>
      <c r="E393" t="s">
        <v>498</v>
      </c>
    </row>
    <row r="394" spans="1:5" x14ac:dyDescent="0.2">
      <c r="A394" s="71"/>
      <c r="B394" s="61"/>
      <c r="C394" s="46" t="s">
        <v>893</v>
      </c>
      <c r="D394" s="46"/>
      <c r="E394" t="s">
        <v>498</v>
      </c>
    </row>
    <row r="395" spans="1:5" x14ac:dyDescent="0.2">
      <c r="A395" s="71"/>
      <c r="B395" s="61"/>
      <c r="C395" s="46" t="s">
        <v>894</v>
      </c>
      <c r="D395" s="46"/>
      <c r="E395" t="s">
        <v>498</v>
      </c>
    </row>
    <row r="396" spans="1:5" x14ac:dyDescent="0.2">
      <c r="A396" s="71"/>
      <c r="B396" s="61"/>
      <c r="C396" s="46" t="s">
        <v>895</v>
      </c>
      <c r="D396" s="46"/>
      <c r="E396" t="s">
        <v>498</v>
      </c>
    </row>
    <row r="397" spans="1:5" x14ac:dyDescent="0.2">
      <c r="A397" s="71"/>
      <c r="B397" s="61"/>
      <c r="C397" s="46" t="s">
        <v>896</v>
      </c>
      <c r="D397" s="46"/>
      <c r="E397" t="s">
        <v>498</v>
      </c>
    </row>
    <row r="398" spans="1:5" x14ac:dyDescent="0.2">
      <c r="A398" s="71"/>
      <c r="B398" s="61"/>
      <c r="C398" s="46" t="s">
        <v>897</v>
      </c>
      <c r="D398" s="46"/>
      <c r="E398" t="s">
        <v>498</v>
      </c>
    </row>
    <row r="399" spans="1:5" x14ac:dyDescent="0.2">
      <c r="A399" s="71"/>
      <c r="B399" s="61"/>
      <c r="C399" s="46" t="s">
        <v>898</v>
      </c>
      <c r="D399" s="46"/>
      <c r="E399" t="s">
        <v>498</v>
      </c>
    </row>
    <row r="400" spans="1:5" x14ac:dyDescent="0.2">
      <c r="A400" s="71"/>
      <c r="B400" s="61"/>
      <c r="C400" s="46" t="s">
        <v>899</v>
      </c>
      <c r="D400" s="46"/>
      <c r="E400" t="s">
        <v>498</v>
      </c>
    </row>
    <row r="401" spans="1:5" x14ac:dyDescent="0.2">
      <c r="A401" s="71"/>
      <c r="B401" s="61"/>
      <c r="C401" s="46" t="s">
        <v>900</v>
      </c>
      <c r="D401" s="46"/>
      <c r="E401" t="s">
        <v>498</v>
      </c>
    </row>
    <row r="402" spans="1:5" x14ac:dyDescent="0.2">
      <c r="A402" s="71"/>
      <c r="B402" s="61"/>
      <c r="C402" s="46" t="s">
        <v>901</v>
      </c>
      <c r="D402" s="46"/>
      <c r="E402" t="s">
        <v>498</v>
      </c>
    </row>
    <row r="403" spans="1:5" x14ac:dyDescent="0.2">
      <c r="A403" s="71"/>
      <c r="B403" s="61"/>
      <c r="C403" s="46" t="s">
        <v>902</v>
      </c>
      <c r="D403" s="46"/>
      <c r="E403" t="s">
        <v>498</v>
      </c>
    </row>
    <row r="404" spans="1:5" x14ac:dyDescent="0.2">
      <c r="A404" s="71"/>
      <c r="B404" s="61"/>
      <c r="C404" s="46" t="s">
        <v>903</v>
      </c>
      <c r="D404" s="46"/>
      <c r="E404" t="s">
        <v>498</v>
      </c>
    </row>
    <row r="405" spans="1:5" x14ac:dyDescent="0.2">
      <c r="A405" s="71"/>
      <c r="B405" s="61"/>
      <c r="C405" s="46" t="s">
        <v>904</v>
      </c>
      <c r="D405" s="46"/>
      <c r="E405" t="s">
        <v>498</v>
      </c>
    </row>
    <row r="406" spans="1:5" x14ac:dyDescent="0.2">
      <c r="A406" s="71"/>
      <c r="B406" s="61"/>
      <c r="C406" s="46" t="s">
        <v>905</v>
      </c>
      <c r="D406" s="46"/>
      <c r="E406" t="s">
        <v>498</v>
      </c>
    </row>
    <row r="407" spans="1:5" x14ac:dyDescent="0.2">
      <c r="A407" s="71"/>
      <c r="B407" s="61"/>
      <c r="C407" s="46" t="s">
        <v>906</v>
      </c>
      <c r="D407" s="46"/>
      <c r="E407" t="s">
        <v>498</v>
      </c>
    </row>
    <row r="408" spans="1:5" x14ac:dyDescent="0.2">
      <c r="A408" s="71"/>
      <c r="B408" s="61"/>
      <c r="C408" s="46" t="s">
        <v>907</v>
      </c>
      <c r="D408" s="46"/>
      <c r="E408" t="s">
        <v>498</v>
      </c>
    </row>
    <row r="409" spans="1:5" x14ac:dyDescent="0.2">
      <c r="A409" s="71"/>
      <c r="B409" s="61"/>
      <c r="C409" s="46" t="s">
        <v>908</v>
      </c>
      <c r="D409" s="46"/>
      <c r="E409" t="s">
        <v>498</v>
      </c>
    </row>
    <row r="410" spans="1:5" x14ac:dyDescent="0.2">
      <c r="A410" s="71"/>
      <c r="B410" s="61"/>
      <c r="C410" s="46" t="s">
        <v>909</v>
      </c>
      <c r="D410" s="46"/>
      <c r="E410" t="s">
        <v>498</v>
      </c>
    </row>
    <row r="411" spans="1:5" x14ac:dyDescent="0.2">
      <c r="A411" s="71"/>
      <c r="B411" s="61"/>
      <c r="C411" s="46" t="s">
        <v>910</v>
      </c>
      <c r="D411" s="46"/>
      <c r="E411" t="s">
        <v>498</v>
      </c>
    </row>
    <row r="412" spans="1:5" x14ac:dyDescent="0.2">
      <c r="A412" s="71"/>
      <c r="B412" s="61"/>
      <c r="C412" s="46" t="s">
        <v>911</v>
      </c>
      <c r="D412" s="46"/>
      <c r="E412" t="s">
        <v>498</v>
      </c>
    </row>
    <row r="413" spans="1:5" x14ac:dyDescent="0.2">
      <c r="A413" s="71"/>
      <c r="B413" s="61"/>
      <c r="C413" s="46" t="s">
        <v>912</v>
      </c>
      <c r="D413" s="46"/>
      <c r="E413" t="s">
        <v>498</v>
      </c>
    </row>
    <row r="414" spans="1:5" x14ac:dyDescent="0.2">
      <c r="A414" s="71"/>
      <c r="B414" s="61"/>
      <c r="C414" s="46" t="s">
        <v>913</v>
      </c>
      <c r="D414" s="46"/>
      <c r="E414" t="s">
        <v>498</v>
      </c>
    </row>
    <row r="415" spans="1:5" x14ac:dyDescent="0.2">
      <c r="A415" s="71"/>
      <c r="B415" s="61"/>
      <c r="C415" s="46" t="s">
        <v>914</v>
      </c>
      <c r="D415" s="46"/>
      <c r="E415" t="s">
        <v>498</v>
      </c>
    </row>
    <row r="416" spans="1:5" x14ac:dyDescent="0.2">
      <c r="A416" s="71"/>
      <c r="B416" s="61"/>
      <c r="C416" s="46" t="s">
        <v>915</v>
      </c>
      <c r="D416" s="46"/>
      <c r="E416" t="s">
        <v>498</v>
      </c>
    </row>
    <row r="417" spans="1:5" x14ac:dyDescent="0.2">
      <c r="A417" s="71"/>
      <c r="B417" s="61"/>
      <c r="C417" s="46" t="s">
        <v>916</v>
      </c>
      <c r="D417" s="46"/>
      <c r="E417" t="s">
        <v>498</v>
      </c>
    </row>
    <row r="418" spans="1:5" x14ac:dyDescent="0.2">
      <c r="A418" s="71"/>
      <c r="B418" s="61"/>
      <c r="C418" s="46" t="s">
        <v>917</v>
      </c>
      <c r="D418" s="46"/>
      <c r="E418" t="s">
        <v>498</v>
      </c>
    </row>
    <row r="419" spans="1:5" x14ac:dyDescent="0.2">
      <c r="A419" s="71"/>
      <c r="B419" s="61"/>
      <c r="C419" s="46" t="s">
        <v>918</v>
      </c>
      <c r="D419" s="46"/>
      <c r="E419" t="s">
        <v>498</v>
      </c>
    </row>
    <row r="420" spans="1:5" x14ac:dyDescent="0.2">
      <c r="A420" s="71"/>
      <c r="B420" s="61"/>
      <c r="C420" s="46" t="s">
        <v>919</v>
      </c>
      <c r="D420" s="46"/>
      <c r="E420" t="s">
        <v>498</v>
      </c>
    </row>
    <row r="421" spans="1:5" x14ac:dyDescent="0.2">
      <c r="A421" s="71"/>
      <c r="B421" s="61"/>
      <c r="C421" s="46" t="s">
        <v>920</v>
      </c>
      <c r="D421" s="46"/>
      <c r="E421" t="s">
        <v>498</v>
      </c>
    </row>
    <row r="422" spans="1:5" x14ac:dyDescent="0.2">
      <c r="A422" s="71"/>
      <c r="B422" s="61"/>
      <c r="C422" s="46" t="s">
        <v>921</v>
      </c>
      <c r="D422" s="46"/>
      <c r="E422" t="s">
        <v>498</v>
      </c>
    </row>
    <row r="423" spans="1:5" x14ac:dyDescent="0.2">
      <c r="A423" s="71"/>
      <c r="B423" s="61"/>
      <c r="C423" s="46" t="s">
        <v>922</v>
      </c>
      <c r="D423" s="46"/>
      <c r="E423" t="s">
        <v>498</v>
      </c>
    </row>
    <row r="424" spans="1:5" x14ac:dyDescent="0.2">
      <c r="A424" s="71"/>
      <c r="B424" s="61"/>
      <c r="C424" s="46" t="s">
        <v>923</v>
      </c>
      <c r="D424" s="46"/>
      <c r="E424" t="s">
        <v>498</v>
      </c>
    </row>
    <row r="425" spans="1:5" x14ac:dyDescent="0.2">
      <c r="A425" s="71"/>
      <c r="B425" s="61"/>
      <c r="C425" s="46" t="s">
        <v>924</v>
      </c>
      <c r="D425" s="46"/>
      <c r="E425" t="s">
        <v>498</v>
      </c>
    </row>
    <row r="426" spans="1:5" x14ac:dyDescent="0.2">
      <c r="A426" s="71"/>
      <c r="B426" s="61"/>
      <c r="C426" s="46" t="s">
        <v>925</v>
      </c>
      <c r="D426" s="46"/>
      <c r="E426" t="s">
        <v>498</v>
      </c>
    </row>
    <row r="427" spans="1:5" x14ac:dyDescent="0.2">
      <c r="A427" s="71"/>
      <c r="B427" s="61"/>
      <c r="C427" s="46" t="s">
        <v>926</v>
      </c>
      <c r="D427" s="46"/>
      <c r="E427" t="s">
        <v>498</v>
      </c>
    </row>
    <row r="428" spans="1:5" x14ac:dyDescent="0.2">
      <c r="A428" s="71"/>
      <c r="B428" s="61"/>
      <c r="C428" s="46" t="s">
        <v>927</v>
      </c>
      <c r="D428" s="46"/>
      <c r="E428" t="s">
        <v>498</v>
      </c>
    </row>
    <row r="429" spans="1:5" x14ac:dyDescent="0.2">
      <c r="A429" s="71"/>
      <c r="B429" s="61"/>
      <c r="C429" s="46" t="s">
        <v>928</v>
      </c>
      <c r="D429" s="46"/>
      <c r="E429" t="s">
        <v>498</v>
      </c>
    </row>
    <row r="430" spans="1:5" x14ac:dyDescent="0.2">
      <c r="A430" s="71"/>
      <c r="B430" s="61"/>
      <c r="C430" s="46" t="s">
        <v>929</v>
      </c>
      <c r="D430" s="46"/>
      <c r="E430" t="s">
        <v>498</v>
      </c>
    </row>
    <row r="431" spans="1:5" x14ac:dyDescent="0.2">
      <c r="A431" s="71"/>
      <c r="B431" s="61"/>
      <c r="C431" s="46" t="s">
        <v>930</v>
      </c>
      <c r="D431" s="46"/>
      <c r="E431" t="s">
        <v>498</v>
      </c>
    </row>
    <row r="432" spans="1:5" x14ac:dyDescent="0.2">
      <c r="A432" s="71"/>
      <c r="B432" s="61"/>
      <c r="C432" s="46" t="s">
        <v>931</v>
      </c>
      <c r="D432" s="46"/>
      <c r="E432" t="s">
        <v>498</v>
      </c>
    </row>
    <row r="433" spans="1:5" x14ac:dyDescent="0.2">
      <c r="A433" s="71"/>
      <c r="B433" s="61"/>
      <c r="C433" s="46" t="s">
        <v>932</v>
      </c>
      <c r="D433" s="46"/>
      <c r="E433" t="s">
        <v>498</v>
      </c>
    </row>
    <row r="434" spans="1:5" x14ac:dyDescent="0.2">
      <c r="A434" s="71"/>
      <c r="B434" s="61"/>
      <c r="C434" s="46" t="s">
        <v>933</v>
      </c>
      <c r="D434" s="46"/>
      <c r="E434" t="s">
        <v>498</v>
      </c>
    </row>
    <row r="435" spans="1:5" x14ac:dyDescent="0.2">
      <c r="A435" s="71"/>
      <c r="B435" s="61"/>
      <c r="C435" s="46" t="s">
        <v>934</v>
      </c>
      <c r="D435" s="46"/>
      <c r="E435" t="s">
        <v>498</v>
      </c>
    </row>
    <row r="436" spans="1:5" x14ac:dyDescent="0.2">
      <c r="A436" s="71"/>
      <c r="B436" s="61"/>
      <c r="C436" s="46" t="s">
        <v>935</v>
      </c>
      <c r="D436" s="46"/>
      <c r="E436" t="s">
        <v>498</v>
      </c>
    </row>
    <row r="437" spans="1:5" x14ac:dyDescent="0.2">
      <c r="A437" s="71"/>
      <c r="B437" s="61"/>
      <c r="C437" s="46" t="s">
        <v>936</v>
      </c>
      <c r="D437" s="46"/>
      <c r="E437" t="s">
        <v>498</v>
      </c>
    </row>
    <row r="438" spans="1:5" x14ac:dyDescent="0.2">
      <c r="A438" s="71"/>
      <c r="B438" s="61"/>
      <c r="C438" s="46" t="s">
        <v>937</v>
      </c>
      <c r="D438" s="46"/>
      <c r="E438" t="s">
        <v>498</v>
      </c>
    </row>
    <row r="439" spans="1:5" x14ac:dyDescent="0.2">
      <c r="A439" s="71"/>
      <c r="B439" s="61"/>
      <c r="C439" s="46" t="s">
        <v>938</v>
      </c>
      <c r="D439" s="46"/>
      <c r="E439" t="s">
        <v>498</v>
      </c>
    </row>
    <row r="440" spans="1:5" x14ac:dyDescent="0.2">
      <c r="A440" s="71"/>
      <c r="B440" s="61"/>
      <c r="C440" s="46" t="s">
        <v>939</v>
      </c>
      <c r="D440" s="46"/>
      <c r="E440" t="s">
        <v>498</v>
      </c>
    </row>
    <row r="441" spans="1:5" x14ac:dyDescent="0.2">
      <c r="A441" s="71"/>
      <c r="B441" s="61"/>
      <c r="C441" s="46" t="s">
        <v>940</v>
      </c>
      <c r="D441" s="46"/>
      <c r="E441" t="s">
        <v>498</v>
      </c>
    </row>
    <row r="442" spans="1:5" x14ac:dyDescent="0.2">
      <c r="A442" s="71"/>
      <c r="B442" s="61"/>
      <c r="C442" s="46" t="s">
        <v>941</v>
      </c>
      <c r="D442" s="46"/>
      <c r="E442" t="s">
        <v>498</v>
      </c>
    </row>
    <row r="443" spans="1:5" x14ac:dyDescent="0.2">
      <c r="A443" s="71"/>
      <c r="B443" s="61"/>
      <c r="C443" s="46" t="s">
        <v>942</v>
      </c>
      <c r="D443" s="46"/>
      <c r="E443" t="s">
        <v>498</v>
      </c>
    </row>
    <row r="444" spans="1:5" x14ac:dyDescent="0.2">
      <c r="A444" s="71"/>
      <c r="B444" s="61"/>
      <c r="C444" s="46" t="s">
        <v>943</v>
      </c>
      <c r="D444" s="46"/>
      <c r="E444" t="s">
        <v>498</v>
      </c>
    </row>
    <row r="445" spans="1:5" x14ac:dyDescent="0.2">
      <c r="A445" s="71"/>
      <c r="B445" s="61"/>
      <c r="C445" s="46" t="s">
        <v>944</v>
      </c>
      <c r="D445" s="46"/>
      <c r="E445" t="s">
        <v>498</v>
      </c>
    </row>
    <row r="446" spans="1:5" x14ac:dyDescent="0.2">
      <c r="A446" s="71"/>
      <c r="B446" s="61"/>
      <c r="C446" s="46" t="s">
        <v>945</v>
      </c>
      <c r="D446" s="46"/>
      <c r="E446" t="s">
        <v>498</v>
      </c>
    </row>
    <row r="447" spans="1:5" x14ac:dyDescent="0.2">
      <c r="A447" s="71"/>
      <c r="B447" s="61"/>
      <c r="C447" s="46" t="s">
        <v>946</v>
      </c>
      <c r="D447" s="46"/>
      <c r="E447" t="s">
        <v>498</v>
      </c>
    </row>
    <row r="448" spans="1:5" x14ac:dyDescent="0.2">
      <c r="A448" s="71"/>
      <c r="B448" s="61"/>
      <c r="C448" s="46" t="s">
        <v>947</v>
      </c>
      <c r="D448" s="46"/>
      <c r="E448" t="s">
        <v>498</v>
      </c>
    </row>
    <row r="449" spans="1:5" x14ac:dyDescent="0.2">
      <c r="A449" s="71"/>
      <c r="B449" s="61"/>
      <c r="C449" s="46" t="s">
        <v>948</v>
      </c>
      <c r="D449" s="46"/>
      <c r="E449" t="s">
        <v>498</v>
      </c>
    </row>
    <row r="450" spans="1:5" x14ac:dyDescent="0.2">
      <c r="A450" s="71"/>
      <c r="B450" s="61"/>
      <c r="C450" s="46" t="s">
        <v>949</v>
      </c>
      <c r="D450" s="46"/>
      <c r="E450" t="s">
        <v>498</v>
      </c>
    </row>
    <row r="451" spans="1:5" x14ac:dyDescent="0.2">
      <c r="A451" s="71"/>
      <c r="B451" s="61"/>
      <c r="C451" s="46" t="s">
        <v>950</v>
      </c>
      <c r="D451" s="46"/>
      <c r="E451" t="s">
        <v>498</v>
      </c>
    </row>
    <row r="452" spans="1:5" x14ac:dyDescent="0.2">
      <c r="A452" s="71"/>
      <c r="B452" s="61"/>
      <c r="C452" s="46" t="s">
        <v>951</v>
      </c>
      <c r="D452" s="46"/>
      <c r="E452" t="s">
        <v>498</v>
      </c>
    </row>
    <row r="453" spans="1:5" x14ac:dyDescent="0.2">
      <c r="A453" s="71"/>
      <c r="B453" s="61"/>
      <c r="C453" s="46" t="s">
        <v>952</v>
      </c>
      <c r="D453" s="46"/>
      <c r="E453" t="s">
        <v>498</v>
      </c>
    </row>
    <row r="454" spans="1:5" x14ac:dyDescent="0.2">
      <c r="A454" s="71"/>
      <c r="B454" s="61"/>
      <c r="C454" s="46" t="s">
        <v>953</v>
      </c>
      <c r="D454" s="46"/>
      <c r="E454" t="s">
        <v>498</v>
      </c>
    </row>
    <row r="455" spans="1:5" x14ac:dyDescent="0.2">
      <c r="A455" s="71"/>
      <c r="B455" s="61"/>
      <c r="C455" s="46" t="s">
        <v>954</v>
      </c>
      <c r="D455" s="46"/>
      <c r="E455" t="s">
        <v>498</v>
      </c>
    </row>
    <row r="456" spans="1:5" x14ac:dyDescent="0.2">
      <c r="A456" s="71"/>
      <c r="B456" s="61"/>
      <c r="C456" s="46" t="s">
        <v>955</v>
      </c>
      <c r="D456" s="46"/>
      <c r="E456" t="s">
        <v>498</v>
      </c>
    </row>
    <row r="457" spans="1:5" x14ac:dyDescent="0.2">
      <c r="A457" s="71"/>
      <c r="B457" s="61"/>
      <c r="C457" s="46" t="s">
        <v>956</v>
      </c>
      <c r="D457" s="46"/>
      <c r="E457" t="s">
        <v>498</v>
      </c>
    </row>
    <row r="458" spans="1:5" x14ac:dyDescent="0.2">
      <c r="A458" s="71"/>
      <c r="B458" s="61"/>
      <c r="C458" s="46" t="s">
        <v>957</v>
      </c>
      <c r="D458" s="46"/>
      <c r="E458" t="s">
        <v>498</v>
      </c>
    </row>
    <row r="459" spans="1:5" x14ac:dyDescent="0.2">
      <c r="A459" s="71"/>
      <c r="B459" s="61"/>
      <c r="C459" s="46" t="s">
        <v>958</v>
      </c>
      <c r="D459" s="46"/>
      <c r="E459" t="s">
        <v>498</v>
      </c>
    </row>
    <row r="460" spans="1:5" x14ac:dyDescent="0.2">
      <c r="A460" s="71"/>
      <c r="B460" s="61"/>
      <c r="C460" s="46" t="s">
        <v>959</v>
      </c>
      <c r="D460" s="46"/>
      <c r="E460" t="s">
        <v>498</v>
      </c>
    </row>
    <row r="461" spans="1:5" x14ac:dyDescent="0.2">
      <c r="A461" s="71"/>
      <c r="B461" s="61"/>
      <c r="C461" s="46" t="s">
        <v>960</v>
      </c>
      <c r="D461" s="46"/>
      <c r="E461" t="s">
        <v>498</v>
      </c>
    </row>
    <row r="462" spans="1:5" x14ac:dyDescent="0.2">
      <c r="A462" s="71"/>
      <c r="B462" s="61"/>
      <c r="C462" s="46" t="s">
        <v>961</v>
      </c>
      <c r="D462" s="46"/>
      <c r="E462" t="s">
        <v>498</v>
      </c>
    </row>
    <row r="463" spans="1:5" x14ac:dyDescent="0.2">
      <c r="A463" s="71"/>
      <c r="B463" s="61"/>
      <c r="C463" s="46" t="s">
        <v>962</v>
      </c>
      <c r="D463" s="46"/>
      <c r="E463" t="s">
        <v>498</v>
      </c>
    </row>
    <row r="464" spans="1:5" x14ac:dyDescent="0.2">
      <c r="A464" s="71"/>
      <c r="B464" s="61"/>
      <c r="C464" s="46" t="s">
        <v>963</v>
      </c>
      <c r="D464" s="46"/>
      <c r="E464" t="s">
        <v>498</v>
      </c>
    </row>
    <row r="465" spans="1:5" x14ac:dyDescent="0.2">
      <c r="A465" s="71"/>
      <c r="B465" s="61"/>
      <c r="C465" s="46" t="s">
        <v>964</v>
      </c>
      <c r="D465" s="46"/>
      <c r="E465" t="s">
        <v>498</v>
      </c>
    </row>
    <row r="466" spans="1:5" x14ac:dyDescent="0.2">
      <c r="A466" s="71"/>
      <c r="B466" s="61"/>
      <c r="C466" s="46" t="s">
        <v>965</v>
      </c>
      <c r="D466" s="46"/>
      <c r="E466" t="s">
        <v>498</v>
      </c>
    </row>
    <row r="467" spans="1:5" x14ac:dyDescent="0.2">
      <c r="A467" s="71"/>
      <c r="B467" s="61"/>
      <c r="C467" s="46" t="s">
        <v>966</v>
      </c>
      <c r="D467" s="46"/>
      <c r="E467" t="s">
        <v>498</v>
      </c>
    </row>
    <row r="468" spans="1:5" x14ac:dyDescent="0.2">
      <c r="A468" s="71"/>
      <c r="B468" s="61"/>
      <c r="C468" s="46" t="s">
        <v>967</v>
      </c>
      <c r="D468" s="46"/>
      <c r="E468" t="s">
        <v>498</v>
      </c>
    </row>
    <row r="469" spans="1:5" x14ac:dyDescent="0.2">
      <c r="A469" s="71"/>
      <c r="B469" s="61"/>
      <c r="C469" s="46" t="s">
        <v>968</v>
      </c>
      <c r="D469" s="46"/>
      <c r="E469" t="s">
        <v>498</v>
      </c>
    </row>
    <row r="470" spans="1:5" x14ac:dyDescent="0.2">
      <c r="A470" s="71"/>
      <c r="B470" s="61"/>
      <c r="C470" s="46" t="s">
        <v>969</v>
      </c>
      <c r="D470" s="46"/>
      <c r="E470" t="s">
        <v>498</v>
      </c>
    </row>
    <row r="471" spans="1:5" x14ac:dyDescent="0.2">
      <c r="A471" s="71"/>
      <c r="B471" s="61"/>
      <c r="C471" s="46" t="s">
        <v>970</v>
      </c>
      <c r="D471" s="46"/>
      <c r="E471" t="s">
        <v>498</v>
      </c>
    </row>
    <row r="472" spans="1:5" x14ac:dyDescent="0.2">
      <c r="A472" s="71"/>
      <c r="B472" s="61"/>
      <c r="C472" s="46" t="s">
        <v>971</v>
      </c>
      <c r="D472" s="46"/>
      <c r="E472" t="s">
        <v>498</v>
      </c>
    </row>
    <row r="473" spans="1:5" x14ac:dyDescent="0.2">
      <c r="A473" s="71"/>
      <c r="B473" s="61"/>
      <c r="C473" s="46" t="s">
        <v>972</v>
      </c>
      <c r="D473" s="46"/>
      <c r="E473" t="s">
        <v>498</v>
      </c>
    </row>
    <row r="474" spans="1:5" x14ac:dyDescent="0.2">
      <c r="A474" s="71"/>
      <c r="B474" s="61"/>
      <c r="C474" s="46" t="s">
        <v>973</v>
      </c>
      <c r="D474" s="46"/>
      <c r="E474" t="s">
        <v>498</v>
      </c>
    </row>
    <row r="475" spans="1:5" x14ac:dyDescent="0.2">
      <c r="A475" s="71"/>
      <c r="B475" s="61"/>
      <c r="C475" s="46" t="s">
        <v>974</v>
      </c>
      <c r="D475" s="46"/>
      <c r="E475" t="s">
        <v>498</v>
      </c>
    </row>
    <row r="476" spans="1:5" x14ac:dyDescent="0.2">
      <c r="A476" s="71"/>
      <c r="B476" s="61"/>
      <c r="C476" s="46" t="s">
        <v>975</v>
      </c>
      <c r="D476" s="46"/>
      <c r="E476" t="s">
        <v>498</v>
      </c>
    </row>
    <row r="477" spans="1:5" x14ac:dyDescent="0.2">
      <c r="A477" s="71"/>
      <c r="B477" s="61"/>
      <c r="C477" s="46" t="s">
        <v>976</v>
      </c>
      <c r="D477" s="46"/>
      <c r="E477" t="s">
        <v>498</v>
      </c>
    </row>
    <row r="478" spans="1:5" x14ac:dyDescent="0.2">
      <c r="A478" s="71"/>
      <c r="B478" s="61"/>
      <c r="C478" s="46" t="s">
        <v>977</v>
      </c>
      <c r="D478" s="46"/>
      <c r="E478" t="s">
        <v>498</v>
      </c>
    </row>
    <row r="479" spans="1:5" x14ac:dyDescent="0.2">
      <c r="A479" s="71"/>
      <c r="B479" s="61"/>
      <c r="C479" s="46" t="s">
        <v>978</v>
      </c>
      <c r="D479" s="46"/>
      <c r="E479" t="s">
        <v>498</v>
      </c>
    </row>
    <row r="480" spans="1:5" x14ac:dyDescent="0.2">
      <c r="A480" s="71"/>
      <c r="B480" s="61"/>
      <c r="C480" s="46" t="s">
        <v>979</v>
      </c>
      <c r="D480" s="46"/>
      <c r="E480" t="s">
        <v>498</v>
      </c>
    </row>
    <row r="481" spans="1:5" x14ac:dyDescent="0.2">
      <c r="A481" s="71"/>
      <c r="B481" s="61"/>
      <c r="C481" s="46" t="s">
        <v>980</v>
      </c>
      <c r="D481" s="46"/>
      <c r="E481" t="s">
        <v>498</v>
      </c>
    </row>
    <row r="482" spans="1:5" x14ac:dyDescent="0.2">
      <c r="A482" s="71"/>
      <c r="B482" s="61"/>
      <c r="C482" s="46" t="s">
        <v>981</v>
      </c>
      <c r="D482" s="46"/>
      <c r="E482" t="s">
        <v>498</v>
      </c>
    </row>
    <row r="483" spans="1:5" x14ac:dyDescent="0.2">
      <c r="A483" s="71"/>
      <c r="B483" s="61"/>
      <c r="C483" s="46" t="s">
        <v>982</v>
      </c>
      <c r="D483" s="46"/>
      <c r="E483" t="s">
        <v>498</v>
      </c>
    </row>
    <row r="484" spans="1:5" x14ac:dyDescent="0.2">
      <c r="A484" s="71"/>
      <c r="B484" s="61"/>
      <c r="C484" s="46" t="s">
        <v>983</v>
      </c>
      <c r="D484" s="46"/>
      <c r="E484" t="s">
        <v>498</v>
      </c>
    </row>
    <row r="485" spans="1:5" x14ac:dyDescent="0.2">
      <c r="A485" s="71"/>
      <c r="B485" s="61"/>
      <c r="C485" s="46" t="s">
        <v>984</v>
      </c>
      <c r="D485" s="46"/>
      <c r="E485" t="s">
        <v>498</v>
      </c>
    </row>
    <row r="486" spans="1:5" x14ac:dyDescent="0.2">
      <c r="A486" s="71"/>
      <c r="B486" s="61"/>
      <c r="C486" s="46" t="s">
        <v>985</v>
      </c>
      <c r="D486" s="46"/>
      <c r="E486" t="s">
        <v>498</v>
      </c>
    </row>
    <row r="487" spans="1:5" x14ac:dyDescent="0.2">
      <c r="A487" s="71"/>
      <c r="B487" s="61"/>
      <c r="C487" s="46" t="s">
        <v>986</v>
      </c>
      <c r="D487" s="46"/>
      <c r="E487" t="s">
        <v>498</v>
      </c>
    </row>
    <row r="488" spans="1:5" x14ac:dyDescent="0.2">
      <c r="A488" s="71"/>
      <c r="B488" s="61"/>
      <c r="C488" s="46" t="s">
        <v>987</v>
      </c>
      <c r="D488" s="46"/>
      <c r="E488" t="s">
        <v>498</v>
      </c>
    </row>
    <row r="489" spans="1:5" x14ac:dyDescent="0.2">
      <c r="A489" s="71"/>
      <c r="B489" s="61"/>
      <c r="C489" s="46" t="s">
        <v>349</v>
      </c>
      <c r="D489" s="46"/>
    </row>
    <row r="490" spans="1:5" x14ac:dyDescent="0.2">
      <c r="A490" s="71"/>
      <c r="B490" s="61"/>
      <c r="C490" s="46" t="s">
        <v>988</v>
      </c>
      <c r="D490" s="46"/>
    </row>
    <row r="491" spans="1:5" x14ac:dyDescent="0.2">
      <c r="A491" s="71"/>
      <c r="B491" s="61"/>
      <c r="C491" s="46" t="s">
        <v>989</v>
      </c>
      <c r="D491" s="46"/>
    </row>
    <row r="492" spans="1:5" x14ac:dyDescent="0.2">
      <c r="A492" s="71"/>
      <c r="B492" s="61"/>
      <c r="C492" s="46" t="s">
        <v>990</v>
      </c>
      <c r="D492" s="46"/>
    </row>
    <row r="493" spans="1:5" x14ac:dyDescent="0.2">
      <c r="A493" s="71"/>
      <c r="B493" s="61"/>
      <c r="C493" s="46" t="s">
        <v>991</v>
      </c>
      <c r="D493" s="46"/>
    </row>
    <row r="494" spans="1:5" x14ac:dyDescent="0.2">
      <c r="A494" s="71"/>
      <c r="B494" s="61"/>
      <c r="C494" s="46" t="s">
        <v>992</v>
      </c>
      <c r="D494" s="46"/>
    </row>
    <row r="495" spans="1:5" x14ac:dyDescent="0.2">
      <c r="A495" s="71"/>
      <c r="B495" s="61"/>
      <c r="C495" s="46" t="s">
        <v>993</v>
      </c>
      <c r="D495" s="46"/>
    </row>
    <row r="496" spans="1:5" x14ac:dyDescent="0.2">
      <c r="A496" s="71"/>
      <c r="B496" s="61"/>
      <c r="C496" s="46" t="s">
        <v>994</v>
      </c>
      <c r="D496" s="46"/>
    </row>
    <row r="497" spans="1:4" x14ac:dyDescent="0.2">
      <c r="A497" s="71"/>
      <c r="B497" s="61"/>
      <c r="C497" s="46" t="s">
        <v>995</v>
      </c>
      <c r="D497" s="46"/>
    </row>
    <row r="498" spans="1:4" x14ac:dyDescent="0.2">
      <c r="A498" s="72"/>
      <c r="B498" s="62"/>
      <c r="C498" s="46" t="s">
        <v>826</v>
      </c>
      <c r="D498" s="46"/>
    </row>
    <row r="499" spans="1:4" x14ac:dyDescent="0.2">
      <c r="A499" s="103"/>
      <c r="B499" s="107" t="s">
        <v>996</v>
      </c>
      <c r="C499" s="44" t="s">
        <v>164</v>
      </c>
      <c r="D499" s="44"/>
    </row>
    <row r="500" spans="1:4" x14ac:dyDescent="0.2">
      <c r="A500" s="53"/>
      <c r="B500" s="107"/>
      <c r="C500" s="44" t="s">
        <v>997</v>
      </c>
      <c r="D500" s="44"/>
    </row>
    <row r="501" spans="1:4" x14ac:dyDescent="0.2">
      <c r="A501" s="53"/>
      <c r="B501" s="107"/>
      <c r="C501" s="44" t="s">
        <v>998</v>
      </c>
      <c r="D501" s="44"/>
    </row>
    <row r="502" spans="1:4" x14ac:dyDescent="0.2">
      <c r="A502" s="53"/>
      <c r="B502" s="107"/>
      <c r="C502" s="44" t="s">
        <v>999</v>
      </c>
      <c r="D502" s="44"/>
    </row>
    <row r="503" spans="1:4" x14ac:dyDescent="0.2">
      <c r="A503" s="53"/>
      <c r="B503" s="107"/>
      <c r="C503" s="44" t="s">
        <v>1000</v>
      </c>
      <c r="D503" s="44"/>
    </row>
    <row r="504" spans="1:4" x14ac:dyDescent="0.2">
      <c r="A504" s="53"/>
      <c r="B504" s="107"/>
      <c r="C504" s="44" t="s">
        <v>1001</v>
      </c>
      <c r="D504" s="44"/>
    </row>
    <row r="505" spans="1:4" x14ac:dyDescent="0.2">
      <c r="A505" s="53"/>
      <c r="B505" s="107"/>
      <c r="C505" s="44" t="s">
        <v>1002</v>
      </c>
      <c r="D505" s="44"/>
    </row>
    <row r="506" spans="1:4" x14ac:dyDescent="0.2">
      <c r="A506" s="53"/>
      <c r="B506" s="107"/>
      <c r="C506" s="44" t="s">
        <v>1003</v>
      </c>
      <c r="D506" s="44"/>
    </row>
    <row r="507" spans="1:4" x14ac:dyDescent="0.2">
      <c r="A507" s="53"/>
      <c r="B507" s="107"/>
      <c r="C507" s="44" t="s">
        <v>1004</v>
      </c>
      <c r="D507" s="44"/>
    </row>
    <row r="508" spans="1:4" x14ac:dyDescent="0.2">
      <c r="A508" s="53"/>
      <c r="B508" s="107"/>
      <c r="C508" s="44" t="s">
        <v>1005</v>
      </c>
      <c r="D508" s="44"/>
    </row>
    <row r="509" spans="1:4" x14ac:dyDescent="0.2">
      <c r="A509" s="53"/>
      <c r="B509" s="107"/>
      <c r="C509" s="44" t="s">
        <v>1006</v>
      </c>
      <c r="D509" s="44"/>
    </row>
    <row r="510" spans="1:4" x14ac:dyDescent="0.2">
      <c r="A510" s="53"/>
      <c r="B510" s="107"/>
      <c r="C510" s="44" t="s">
        <v>1007</v>
      </c>
      <c r="D510" s="44"/>
    </row>
    <row r="511" spans="1:4" x14ac:dyDescent="0.2">
      <c r="A511" s="53"/>
      <c r="B511" s="107"/>
      <c r="C511" s="44" t="s">
        <v>1008</v>
      </c>
      <c r="D511" s="44"/>
    </row>
    <row r="512" spans="1:4" x14ac:dyDescent="0.2">
      <c r="A512" s="53"/>
      <c r="B512" s="107"/>
      <c r="C512" s="44" t="s">
        <v>448</v>
      </c>
      <c r="D512" s="44"/>
    </row>
    <row r="513" spans="1:4" x14ac:dyDescent="0.2">
      <c r="A513" s="53"/>
      <c r="B513" s="107"/>
      <c r="C513" s="44" t="s">
        <v>349</v>
      </c>
      <c r="D513" s="44"/>
    </row>
    <row r="514" spans="1:4" x14ac:dyDescent="0.2">
      <c r="A514" s="71"/>
      <c r="B514" s="57" t="s">
        <v>1009</v>
      </c>
      <c r="C514" s="46" t="s">
        <v>616</v>
      </c>
      <c r="D514" s="46"/>
    </row>
    <row r="515" spans="1:4" x14ac:dyDescent="0.2">
      <c r="A515" s="72"/>
      <c r="B515" s="59"/>
      <c r="C515" s="46" t="s">
        <v>76</v>
      </c>
      <c r="D515" s="46"/>
    </row>
    <row r="516" spans="1:4" x14ac:dyDescent="0.2">
      <c r="A516" s="53"/>
      <c r="B516" s="107" t="s">
        <v>267</v>
      </c>
      <c r="C516" s="44" t="s">
        <v>1010</v>
      </c>
      <c r="D516" s="44"/>
    </row>
    <row r="517" spans="1:4" x14ac:dyDescent="0.2">
      <c r="A517" s="53"/>
      <c r="B517" s="107"/>
      <c r="C517" s="44" t="s">
        <v>115</v>
      </c>
      <c r="D517" s="44"/>
    </row>
    <row r="518" spans="1:4" x14ac:dyDescent="0.2">
      <c r="A518" s="53"/>
      <c r="B518" s="107"/>
      <c r="C518" s="44" t="s">
        <v>124</v>
      </c>
      <c r="D518" s="44"/>
    </row>
    <row r="519" spans="1:4" x14ac:dyDescent="0.2">
      <c r="A519" s="53"/>
      <c r="B519" s="107"/>
      <c r="C519" s="44" t="s">
        <v>1011</v>
      </c>
      <c r="D519" s="44"/>
    </row>
    <row r="520" spans="1:4" x14ac:dyDescent="0.2">
      <c r="A520" s="105"/>
      <c r="B520" s="57" t="s">
        <v>421</v>
      </c>
      <c r="C520" s="46" t="s">
        <v>1012</v>
      </c>
      <c r="D520" s="46"/>
    </row>
    <row r="521" spans="1:4" x14ac:dyDescent="0.2">
      <c r="A521" s="69"/>
      <c r="B521" s="58"/>
      <c r="C521" s="46" t="s">
        <v>1013</v>
      </c>
      <c r="D521" s="46"/>
    </row>
    <row r="522" spans="1:4" x14ac:dyDescent="0.2">
      <c r="A522" s="69"/>
      <c r="B522" s="58"/>
      <c r="C522" s="46" t="s">
        <v>1014</v>
      </c>
      <c r="D522" s="46"/>
    </row>
    <row r="523" spans="1:4" x14ac:dyDescent="0.2">
      <c r="A523" s="69"/>
      <c r="B523" s="58"/>
      <c r="C523" s="46" t="s">
        <v>1015</v>
      </c>
      <c r="D523" s="46"/>
    </row>
    <row r="524" spans="1:4" x14ac:dyDescent="0.2">
      <c r="A524" s="69"/>
      <c r="B524" s="58"/>
      <c r="C524" s="46" t="s">
        <v>1016</v>
      </c>
      <c r="D524" s="46"/>
    </row>
    <row r="525" spans="1:4" x14ac:dyDescent="0.2">
      <c r="A525" s="69"/>
      <c r="B525" s="58"/>
      <c r="C525" s="46" t="s">
        <v>1017</v>
      </c>
      <c r="D525" s="46"/>
    </row>
    <row r="526" spans="1:4" x14ac:dyDescent="0.2">
      <c r="A526" s="69"/>
      <c r="B526" s="58"/>
      <c r="C526" s="46" t="s">
        <v>1018</v>
      </c>
      <c r="D526" s="46"/>
    </row>
    <row r="527" spans="1:4" x14ac:dyDescent="0.2">
      <c r="A527" s="69"/>
      <c r="B527" s="58"/>
      <c r="C527" s="46" t="s">
        <v>1019</v>
      </c>
      <c r="D527" s="46"/>
    </row>
    <row r="528" spans="1:4" x14ac:dyDescent="0.2">
      <c r="A528" s="69"/>
      <c r="B528" s="58"/>
      <c r="C528" s="46" t="s">
        <v>364</v>
      </c>
      <c r="D528" s="46"/>
    </row>
    <row r="529" spans="1:4" x14ac:dyDescent="0.2">
      <c r="A529" s="69"/>
      <c r="B529" s="58"/>
      <c r="C529" s="46" t="s">
        <v>1005</v>
      </c>
      <c r="D529" s="46"/>
    </row>
    <row r="530" spans="1:4" x14ac:dyDescent="0.2">
      <c r="B530" s="58"/>
      <c r="C530" s="46" t="s">
        <v>1020</v>
      </c>
      <c r="D530" s="46"/>
    </row>
    <row r="531" spans="1:4" ht="15" x14ac:dyDescent="0.25">
      <c r="A531" s="69"/>
      <c r="B531" s="58"/>
      <c r="C531" s="46" t="s">
        <v>1021</v>
      </c>
      <c r="D531" s="46" t="s">
        <v>1022</v>
      </c>
    </row>
    <row r="532" spans="1:4" ht="15" x14ac:dyDescent="0.25">
      <c r="A532" s="69"/>
      <c r="B532" s="58"/>
      <c r="C532" s="46" t="s">
        <v>1023</v>
      </c>
      <c r="D532" s="46" t="s">
        <v>1022</v>
      </c>
    </row>
    <row r="533" spans="1:4" ht="15" x14ac:dyDescent="0.25">
      <c r="A533" s="69"/>
      <c r="B533" s="58"/>
      <c r="C533" s="46" t="s">
        <v>1024</v>
      </c>
      <c r="D533" s="46" t="s">
        <v>1022</v>
      </c>
    </row>
    <row r="534" spans="1:4" x14ac:dyDescent="0.2">
      <c r="A534" s="69"/>
      <c r="B534" s="58"/>
      <c r="C534" s="46" t="s">
        <v>1025</v>
      </c>
      <c r="D534" s="46"/>
    </row>
    <row r="535" spans="1:4" x14ac:dyDescent="0.2">
      <c r="A535" s="69"/>
      <c r="B535" s="58"/>
      <c r="C535" s="46" t="s">
        <v>1026</v>
      </c>
      <c r="D535" s="46"/>
    </row>
    <row r="536" spans="1:4" x14ac:dyDescent="0.2">
      <c r="A536" s="69"/>
      <c r="B536" s="58"/>
      <c r="C536" s="46" t="s">
        <v>41</v>
      </c>
      <c r="D536" s="46"/>
    </row>
    <row r="537" spans="1:4" x14ac:dyDescent="0.2">
      <c r="A537" s="69"/>
      <c r="B537" s="58"/>
      <c r="C537" s="46" t="s">
        <v>1027</v>
      </c>
      <c r="D537" s="46"/>
    </row>
    <row r="538" spans="1:4" x14ac:dyDescent="0.2">
      <c r="A538" s="69"/>
      <c r="B538" s="58"/>
      <c r="C538" s="46" t="s">
        <v>1028</v>
      </c>
      <c r="D538" s="46"/>
    </row>
    <row r="539" spans="1:4" x14ac:dyDescent="0.2">
      <c r="A539" s="69"/>
      <c r="B539" s="58"/>
      <c r="C539" s="46" t="s">
        <v>1029</v>
      </c>
      <c r="D539" s="46"/>
    </row>
    <row r="540" spans="1:4" x14ac:dyDescent="0.2">
      <c r="A540" s="69"/>
      <c r="B540" s="58"/>
      <c r="C540" s="46" t="s">
        <v>1030</v>
      </c>
      <c r="D540" s="46"/>
    </row>
    <row r="541" spans="1:4" x14ac:dyDescent="0.2">
      <c r="A541" s="69"/>
      <c r="B541" s="58"/>
      <c r="C541" s="46" t="s">
        <v>1031</v>
      </c>
      <c r="D541" s="46"/>
    </row>
    <row r="542" spans="1:4" x14ac:dyDescent="0.2">
      <c r="A542" s="69"/>
      <c r="B542" s="58"/>
      <c r="C542" s="46" t="s">
        <v>448</v>
      </c>
      <c r="D542" s="46"/>
    </row>
    <row r="543" spans="1:4" x14ac:dyDescent="0.2">
      <c r="A543" s="69"/>
      <c r="B543" s="58"/>
      <c r="C543" s="46" t="s">
        <v>349</v>
      </c>
      <c r="D543" s="47"/>
    </row>
    <row r="544" spans="1:4" x14ac:dyDescent="0.2">
      <c r="A544" s="75"/>
      <c r="B544" s="48" t="s">
        <v>425</v>
      </c>
      <c r="C544" s="44" t="s">
        <v>616</v>
      </c>
      <c r="D544" s="44"/>
    </row>
    <row r="545" spans="1:4" x14ac:dyDescent="0.2">
      <c r="A545" s="76"/>
      <c r="B545" s="106"/>
      <c r="C545" s="44" t="s">
        <v>76</v>
      </c>
      <c r="D545" s="44"/>
    </row>
    <row r="546" spans="1:4" x14ac:dyDescent="0.2">
      <c r="A546" s="69"/>
      <c r="B546" s="57" t="s">
        <v>426</v>
      </c>
      <c r="C546" s="46" t="s">
        <v>1032</v>
      </c>
      <c r="D546" s="46"/>
    </row>
    <row r="547" spans="1:4" x14ac:dyDescent="0.2">
      <c r="A547" s="69"/>
      <c r="B547" s="58"/>
      <c r="C547" s="46" t="s">
        <v>1033</v>
      </c>
      <c r="D547" s="46"/>
    </row>
    <row r="548" spans="1:4" x14ac:dyDescent="0.2">
      <c r="A548" s="69"/>
      <c r="B548" s="58"/>
      <c r="C548" s="46" t="s">
        <v>437</v>
      </c>
      <c r="D548" s="46"/>
    </row>
    <row r="549" spans="1:4" x14ac:dyDescent="0.2">
      <c r="A549" s="69"/>
      <c r="B549" s="58"/>
      <c r="C549" s="46" t="s">
        <v>1034</v>
      </c>
      <c r="D549" s="46"/>
    </row>
    <row r="550" spans="1:4" x14ac:dyDescent="0.2">
      <c r="A550" s="69"/>
      <c r="B550" s="58"/>
      <c r="C550" s="46" t="s">
        <v>1035</v>
      </c>
      <c r="D550" s="46"/>
    </row>
    <row r="551" spans="1:4" x14ac:dyDescent="0.2">
      <c r="A551" s="75"/>
      <c r="B551" s="48" t="s">
        <v>428</v>
      </c>
      <c r="C551" s="44" t="s">
        <v>616</v>
      </c>
      <c r="D551" s="44"/>
    </row>
    <row r="552" spans="1:4" x14ac:dyDescent="0.2">
      <c r="A552" s="76"/>
      <c r="B552" s="106"/>
      <c r="C552" s="44" t="s">
        <v>76</v>
      </c>
      <c r="D552" s="44"/>
    </row>
    <row r="553" spans="1:4" x14ac:dyDescent="0.2">
      <c r="A553" s="54"/>
      <c r="B553" s="57" t="s">
        <v>1036</v>
      </c>
      <c r="C553" s="46" t="s">
        <v>1037</v>
      </c>
      <c r="D553" s="46"/>
    </row>
    <row r="554" spans="1:4" x14ac:dyDescent="0.2">
      <c r="A554" s="55"/>
      <c r="B554" s="55"/>
      <c r="C554" s="46" t="s">
        <v>1038</v>
      </c>
      <c r="D554" s="46"/>
    </row>
    <row r="555" spans="1:4" x14ac:dyDescent="0.2">
      <c r="A555" s="55"/>
      <c r="B555" s="55"/>
      <c r="C555" s="46" t="s">
        <v>1039</v>
      </c>
      <c r="D555" s="46"/>
    </row>
    <row r="556" spans="1:4" x14ac:dyDescent="0.2">
      <c r="A556" s="55"/>
      <c r="B556" s="55"/>
      <c r="C556" s="46" t="s">
        <v>1040</v>
      </c>
      <c r="D556" s="46"/>
    </row>
    <row r="557" spans="1:4" x14ac:dyDescent="0.2">
      <c r="A557" s="55"/>
      <c r="B557" s="55"/>
      <c r="C557" s="46" t="s">
        <v>1041</v>
      </c>
      <c r="D557" s="46"/>
    </row>
    <row r="558" spans="1:4" x14ac:dyDescent="0.2">
      <c r="A558" s="55"/>
      <c r="B558" s="55"/>
      <c r="C558" s="46" t="s">
        <v>1042</v>
      </c>
      <c r="D558" s="46"/>
    </row>
    <row r="559" spans="1:4" x14ac:dyDescent="0.2">
      <c r="A559" s="55"/>
      <c r="B559" s="55"/>
      <c r="C559" s="46" t="s">
        <v>1043</v>
      </c>
      <c r="D559" s="46"/>
    </row>
    <row r="560" spans="1:4" x14ac:dyDescent="0.2">
      <c r="A560" s="55"/>
      <c r="B560" s="55"/>
      <c r="C560" s="46" t="s">
        <v>1044</v>
      </c>
      <c r="D560" s="46"/>
    </row>
    <row r="561" spans="1:4" x14ac:dyDescent="0.2">
      <c r="A561" s="55"/>
      <c r="B561" s="55"/>
      <c r="C561" s="46" t="s">
        <v>1045</v>
      </c>
      <c r="D561" s="46"/>
    </row>
    <row r="562" spans="1:4" x14ac:dyDescent="0.2">
      <c r="A562" s="55"/>
      <c r="B562" s="55"/>
      <c r="C562" s="46" t="s">
        <v>1046</v>
      </c>
      <c r="D562" s="46"/>
    </row>
    <row r="563" spans="1:4" x14ac:dyDescent="0.2">
      <c r="A563" s="55"/>
      <c r="B563" s="55"/>
      <c r="C563" s="46" t="s">
        <v>1047</v>
      </c>
      <c r="D563" s="46"/>
    </row>
    <row r="564" spans="1:4" x14ac:dyDescent="0.2">
      <c r="A564" s="55"/>
      <c r="B564" s="55"/>
      <c r="C564" s="46" t="s">
        <v>1048</v>
      </c>
      <c r="D564" s="46"/>
    </row>
    <row r="565" spans="1:4" x14ac:dyDescent="0.2">
      <c r="A565" s="55"/>
      <c r="B565" s="55"/>
      <c r="C565" s="46" t="s">
        <v>1049</v>
      </c>
      <c r="D565" s="46"/>
    </row>
    <row r="566" spans="1:4" x14ac:dyDescent="0.2">
      <c r="A566" s="55"/>
      <c r="B566" s="55"/>
      <c r="C566" s="46" t="s">
        <v>1050</v>
      </c>
      <c r="D566" s="46"/>
    </row>
    <row r="567" spans="1:4" x14ac:dyDescent="0.2">
      <c r="A567" s="55"/>
      <c r="B567" s="55"/>
      <c r="C567" s="46" t="s">
        <v>1051</v>
      </c>
      <c r="D567" s="46"/>
    </row>
    <row r="568" spans="1:4" x14ac:dyDescent="0.2">
      <c r="A568" s="55"/>
      <c r="B568" s="55"/>
      <c r="C568" s="46" t="s">
        <v>1052</v>
      </c>
      <c r="D568" s="46"/>
    </row>
    <row r="569" spans="1:4" x14ac:dyDescent="0.2">
      <c r="A569" s="55"/>
      <c r="B569" s="55"/>
      <c r="C569" s="46" t="s">
        <v>1053</v>
      </c>
      <c r="D569" s="46"/>
    </row>
    <row r="570" spans="1:4" x14ac:dyDescent="0.2">
      <c r="A570" s="55"/>
      <c r="B570" s="55"/>
      <c r="C570" s="46" t="s">
        <v>1054</v>
      </c>
      <c r="D570" s="46"/>
    </row>
    <row r="571" spans="1:4" x14ac:dyDescent="0.2">
      <c r="A571" s="55"/>
      <c r="B571" s="55"/>
      <c r="C571" s="46" t="s">
        <v>1055</v>
      </c>
      <c r="D571" s="46"/>
    </row>
    <row r="572" spans="1:4" x14ac:dyDescent="0.2">
      <c r="A572" s="55"/>
      <c r="B572" s="55"/>
      <c r="C572" s="46" t="s">
        <v>1056</v>
      </c>
      <c r="D572" s="46"/>
    </row>
    <row r="573" spans="1:4" x14ac:dyDescent="0.2">
      <c r="A573" s="55"/>
      <c r="B573" s="55"/>
      <c r="C573" s="46" t="s">
        <v>1057</v>
      </c>
      <c r="D573" s="46"/>
    </row>
    <row r="574" spans="1:4" x14ac:dyDescent="0.2">
      <c r="A574" s="55"/>
      <c r="B574" s="55"/>
      <c r="C574" s="46" t="s">
        <v>1058</v>
      </c>
      <c r="D574" s="46"/>
    </row>
    <row r="575" spans="1:4" x14ac:dyDescent="0.2">
      <c r="A575" s="55"/>
      <c r="B575" s="55"/>
      <c r="C575" s="46" t="s">
        <v>1059</v>
      </c>
      <c r="D575" s="46"/>
    </row>
    <row r="576" spans="1:4" x14ac:dyDescent="0.2">
      <c r="A576" s="55"/>
      <c r="B576" s="55"/>
      <c r="C576" s="46" t="s">
        <v>1060</v>
      </c>
      <c r="D576" s="46"/>
    </row>
    <row r="577" spans="1:5" x14ac:dyDescent="0.2">
      <c r="A577" s="55"/>
      <c r="B577" s="55"/>
      <c r="C577" s="46" t="s">
        <v>1061</v>
      </c>
      <c r="D577" s="46"/>
    </row>
    <row r="578" spans="1:5" x14ac:dyDescent="0.2">
      <c r="A578" s="55"/>
      <c r="B578" s="55"/>
      <c r="C578" s="46" t="s">
        <v>1062</v>
      </c>
      <c r="D578" s="46"/>
    </row>
    <row r="579" spans="1:5" x14ac:dyDescent="0.2">
      <c r="A579" s="55"/>
      <c r="B579" s="55"/>
      <c r="C579" s="46" t="s">
        <v>1063</v>
      </c>
      <c r="D579" s="46"/>
    </row>
    <row r="580" spans="1:5" x14ac:dyDescent="0.2">
      <c r="A580" s="55"/>
      <c r="B580" s="55"/>
      <c r="C580" s="46" t="s">
        <v>1064</v>
      </c>
      <c r="D580" s="46"/>
      <c r="E580" t="s">
        <v>498</v>
      </c>
    </row>
    <row r="581" spans="1:5" x14ac:dyDescent="0.2">
      <c r="A581" s="55"/>
      <c r="B581" s="55"/>
      <c r="C581" s="46" t="s">
        <v>1065</v>
      </c>
      <c r="D581" s="46"/>
      <c r="E581" t="s">
        <v>498</v>
      </c>
    </row>
    <row r="582" spans="1:5" x14ac:dyDescent="0.2">
      <c r="A582" s="55"/>
      <c r="B582" s="55"/>
      <c r="C582" s="46" t="s">
        <v>1066</v>
      </c>
      <c r="D582" s="46"/>
    </row>
    <row r="583" spans="1:5" x14ac:dyDescent="0.2">
      <c r="A583" s="55"/>
      <c r="B583" s="55"/>
      <c r="C583" s="46" t="s">
        <v>1067</v>
      </c>
      <c r="D583" s="46"/>
    </row>
    <row r="584" spans="1:5" x14ac:dyDescent="0.2">
      <c r="A584" s="55"/>
      <c r="B584" s="55"/>
      <c r="C584" s="46" t="s">
        <v>1068</v>
      </c>
      <c r="D584" s="46"/>
    </row>
    <row r="585" spans="1:5" x14ac:dyDescent="0.2">
      <c r="A585" s="55"/>
      <c r="B585" s="55"/>
      <c r="C585" s="46" t="s">
        <v>1069</v>
      </c>
      <c r="D585" s="46"/>
    </row>
    <row r="586" spans="1:5" x14ac:dyDescent="0.2">
      <c r="A586" s="55"/>
      <c r="B586" s="55"/>
      <c r="C586" s="46" t="s">
        <v>1070</v>
      </c>
      <c r="D586" s="46"/>
    </row>
    <row r="587" spans="1:5" x14ac:dyDescent="0.2">
      <c r="A587" s="55"/>
      <c r="B587" s="55"/>
      <c r="C587" s="46" t="s">
        <v>1071</v>
      </c>
      <c r="D587" s="46"/>
    </row>
    <row r="588" spans="1:5" x14ac:dyDescent="0.2">
      <c r="A588" s="55"/>
      <c r="B588" s="55"/>
      <c r="C588" s="46" t="s">
        <v>1072</v>
      </c>
      <c r="D588" s="46"/>
    </row>
    <row r="589" spans="1:5" x14ac:dyDescent="0.2">
      <c r="A589" s="55"/>
      <c r="B589" s="55"/>
      <c r="C589" s="46" t="s">
        <v>1073</v>
      </c>
      <c r="D589" s="46"/>
    </row>
    <row r="590" spans="1:5" x14ac:dyDescent="0.2">
      <c r="A590" s="55"/>
      <c r="B590" s="55"/>
      <c r="C590" s="46" t="s">
        <v>1074</v>
      </c>
      <c r="D590" s="46"/>
    </row>
    <row r="591" spans="1:5" x14ac:dyDescent="0.2">
      <c r="A591" s="56"/>
      <c r="B591" s="56"/>
      <c r="C591" s="46" t="s">
        <v>1075</v>
      </c>
      <c r="D591" s="46"/>
    </row>
    <row r="592" spans="1:5" x14ac:dyDescent="0.2">
      <c r="A592" s="53"/>
      <c r="B592" s="107" t="s">
        <v>419</v>
      </c>
      <c r="C592" s="44" t="s">
        <v>1076</v>
      </c>
      <c r="D592" s="44"/>
    </row>
    <row r="593" spans="1:4" x14ac:dyDescent="0.2">
      <c r="A593" s="53"/>
      <c r="B593" s="107"/>
      <c r="C593" s="44" t="s">
        <v>1077</v>
      </c>
      <c r="D593" s="44"/>
    </row>
    <row r="594" spans="1:4" x14ac:dyDescent="0.2">
      <c r="A594" s="53"/>
      <c r="B594" s="107"/>
      <c r="C594" s="44" t="s">
        <v>349</v>
      </c>
      <c r="D594" s="44"/>
    </row>
    <row r="595" spans="1:4" x14ac:dyDescent="0.2">
      <c r="A595" s="57"/>
      <c r="B595" s="63" t="s">
        <v>107</v>
      </c>
      <c r="C595" s="46" t="s">
        <v>616</v>
      </c>
      <c r="D595" s="46"/>
    </row>
    <row r="596" spans="1:4" x14ac:dyDescent="0.2">
      <c r="A596" s="108"/>
      <c r="B596" s="110"/>
      <c r="C596" s="109" t="s">
        <v>76</v>
      </c>
      <c r="D596" s="46"/>
    </row>
    <row r="597" spans="1:4" x14ac:dyDescent="0.2">
      <c r="A597" s="103"/>
      <c r="B597" s="103" t="s">
        <v>374</v>
      </c>
      <c r="C597" s="44" t="s">
        <v>1078</v>
      </c>
      <c r="D597" s="44"/>
    </row>
    <row r="598" spans="1:4" x14ac:dyDescent="0.2">
      <c r="A598" s="53"/>
      <c r="B598" s="53"/>
      <c r="C598" s="44" t="s">
        <v>1079</v>
      </c>
      <c r="D598" s="44"/>
    </row>
    <row r="599" spans="1:4" x14ac:dyDescent="0.2">
      <c r="A599" s="53"/>
      <c r="B599" s="53"/>
      <c r="C599" s="44" t="s">
        <v>1080</v>
      </c>
      <c r="D599" s="44"/>
    </row>
    <row r="600" spans="1:4" x14ac:dyDescent="0.2">
      <c r="A600" s="53"/>
      <c r="B600" s="53"/>
      <c r="C600" s="44" t="s">
        <v>1081</v>
      </c>
      <c r="D600" s="44"/>
    </row>
    <row r="601" spans="1:4" x14ac:dyDescent="0.2">
      <c r="A601" s="53"/>
      <c r="B601" s="53"/>
      <c r="C601" s="44" t="s">
        <v>1082</v>
      </c>
      <c r="D601" s="44"/>
    </row>
    <row r="602" spans="1:4" x14ac:dyDescent="0.2">
      <c r="A602" s="53"/>
      <c r="B602" s="53"/>
      <c r="C602" s="44" t="s">
        <v>1083</v>
      </c>
      <c r="D602" s="44"/>
    </row>
    <row r="603" spans="1:4" x14ac:dyDescent="0.2">
      <c r="A603" s="53"/>
      <c r="B603" s="53"/>
      <c r="C603" s="44" t="s">
        <v>1084</v>
      </c>
      <c r="D603" s="44"/>
    </row>
    <row r="604" spans="1:4" x14ac:dyDescent="0.2">
      <c r="A604" s="53"/>
      <c r="B604" s="53"/>
      <c r="C604" s="44" t="s">
        <v>1085</v>
      </c>
      <c r="D604" s="44"/>
    </row>
    <row r="605" spans="1:4" x14ac:dyDescent="0.2">
      <c r="A605" s="53"/>
      <c r="B605" s="53"/>
      <c r="C605" s="44" t="s">
        <v>1086</v>
      </c>
      <c r="D605" s="44"/>
    </row>
    <row r="606" spans="1:4" x14ac:dyDescent="0.2">
      <c r="A606" s="53"/>
      <c r="B606" s="53"/>
      <c r="C606" s="44" t="s">
        <v>1087</v>
      </c>
      <c r="D606" s="44"/>
    </row>
    <row r="607" spans="1:4" x14ac:dyDescent="0.2">
      <c r="A607" s="53"/>
      <c r="B607" s="53"/>
      <c r="C607" s="44" t="s">
        <v>1088</v>
      </c>
      <c r="D607" s="44"/>
    </row>
    <row r="608" spans="1:4" x14ac:dyDescent="0.2">
      <c r="A608" s="53"/>
      <c r="B608" s="53"/>
      <c r="C608" s="44" t="s">
        <v>1089</v>
      </c>
      <c r="D608" s="44"/>
    </row>
    <row r="609" spans="1:5" x14ac:dyDescent="0.2">
      <c r="A609" s="53"/>
      <c r="B609" s="53"/>
      <c r="C609" s="44" t="s">
        <v>1090</v>
      </c>
      <c r="D609" s="44"/>
    </row>
    <row r="610" spans="1:5" x14ac:dyDescent="0.2">
      <c r="A610" s="53"/>
      <c r="B610" s="53"/>
      <c r="C610" s="44" t="s">
        <v>1091</v>
      </c>
      <c r="D610" s="44"/>
    </row>
    <row r="611" spans="1:5" x14ac:dyDescent="0.2">
      <c r="A611" s="53"/>
      <c r="B611" s="53"/>
      <c r="C611" s="44" t="s">
        <v>1092</v>
      </c>
      <c r="D611" s="44"/>
    </row>
    <row r="612" spans="1:5" x14ac:dyDescent="0.2">
      <c r="A612" s="53"/>
      <c r="B612" s="53"/>
      <c r="C612" s="44" t="s">
        <v>1093</v>
      </c>
      <c r="D612" s="44"/>
    </row>
    <row r="613" spans="1:5" x14ac:dyDescent="0.2">
      <c r="A613" s="53"/>
      <c r="B613" s="53"/>
      <c r="C613" s="44" t="s">
        <v>1094</v>
      </c>
      <c r="D613" s="44"/>
    </row>
    <row r="614" spans="1:5" x14ac:dyDescent="0.2">
      <c r="A614" s="53"/>
      <c r="B614" s="53"/>
      <c r="C614" s="44" t="s">
        <v>1095</v>
      </c>
      <c r="D614" s="44"/>
    </row>
    <row r="615" spans="1:5" x14ac:dyDescent="0.2">
      <c r="A615" s="53"/>
      <c r="B615" s="53"/>
      <c r="C615" s="44" t="s">
        <v>1096</v>
      </c>
      <c r="D615" s="44"/>
    </row>
    <row r="616" spans="1:5" x14ac:dyDescent="0.2">
      <c r="A616" s="53"/>
      <c r="B616" s="53"/>
      <c r="C616" s="44" t="s">
        <v>1097</v>
      </c>
      <c r="D616" s="44"/>
    </row>
    <row r="617" spans="1:5" x14ac:dyDescent="0.2">
      <c r="A617" s="53"/>
      <c r="B617" s="53"/>
      <c r="C617" s="44" t="s">
        <v>1098</v>
      </c>
      <c r="D617" s="44"/>
    </row>
    <row r="618" spans="1:5" x14ac:dyDescent="0.2">
      <c r="A618" s="53"/>
      <c r="B618" s="53"/>
      <c r="C618" s="44" t="s">
        <v>1099</v>
      </c>
      <c r="D618" s="44"/>
    </row>
    <row r="619" spans="1:5" x14ac:dyDescent="0.2">
      <c r="A619" s="53"/>
      <c r="B619" s="53"/>
      <c r="C619" s="44" t="s">
        <v>1100</v>
      </c>
      <c r="D619" s="44"/>
    </row>
    <row r="620" spans="1:5" x14ac:dyDescent="0.2">
      <c r="A620" s="53"/>
      <c r="B620" s="53"/>
      <c r="C620" s="44" t="s">
        <v>826</v>
      </c>
      <c r="D620" s="44"/>
    </row>
    <row r="621" spans="1:5" x14ac:dyDescent="0.2">
      <c r="A621" s="53"/>
      <c r="B621" s="53"/>
      <c r="C621" s="44" t="s">
        <v>1101</v>
      </c>
      <c r="D621" s="44"/>
      <c r="E621" t="s">
        <v>498</v>
      </c>
    </row>
    <row r="622" spans="1:5" x14ac:dyDescent="0.2">
      <c r="A622" s="57"/>
      <c r="B622" s="57" t="s">
        <v>463</v>
      </c>
      <c r="C622" s="46" t="s">
        <v>1102</v>
      </c>
      <c r="D622" s="46"/>
    </row>
    <row r="623" spans="1:5" x14ac:dyDescent="0.2">
      <c r="A623" s="58"/>
      <c r="B623" s="58"/>
      <c r="C623" s="46" t="s">
        <v>1103</v>
      </c>
      <c r="D623" s="46"/>
    </row>
    <row r="624" spans="1:5" x14ac:dyDescent="0.2">
      <c r="A624" s="58"/>
      <c r="B624" s="58"/>
      <c r="C624" s="46" t="s">
        <v>1104</v>
      </c>
      <c r="D624" s="46"/>
    </row>
    <row r="625" spans="1:5" x14ac:dyDescent="0.2">
      <c r="A625" s="58"/>
      <c r="B625" s="58"/>
      <c r="C625" s="46" t="s">
        <v>1105</v>
      </c>
      <c r="D625" s="46"/>
    </row>
    <row r="626" spans="1:5" x14ac:dyDescent="0.2">
      <c r="A626" s="58"/>
      <c r="B626" s="58"/>
      <c r="C626" s="46" t="s">
        <v>1106</v>
      </c>
      <c r="D626" s="46"/>
      <c r="E626" t="s">
        <v>498</v>
      </c>
    </row>
    <row r="627" spans="1:5" x14ac:dyDescent="0.2">
      <c r="A627" s="58"/>
      <c r="B627" s="58"/>
      <c r="C627" s="46" t="s">
        <v>1107</v>
      </c>
      <c r="D627" s="46"/>
    </row>
    <row r="628" spans="1:5" x14ac:dyDescent="0.2">
      <c r="A628" s="58"/>
      <c r="B628" s="58"/>
      <c r="C628" s="46" t="s">
        <v>1108</v>
      </c>
      <c r="D628" s="46"/>
    </row>
    <row r="629" spans="1:5" x14ac:dyDescent="0.2">
      <c r="A629" s="58"/>
      <c r="B629" s="58"/>
      <c r="C629" s="46" t="s">
        <v>725</v>
      </c>
      <c r="D629" s="46"/>
    </row>
    <row r="630" spans="1:5" x14ac:dyDescent="0.2">
      <c r="A630" s="58"/>
      <c r="B630" s="58"/>
      <c r="C630" s="46" t="s">
        <v>1109</v>
      </c>
      <c r="D630" s="46"/>
    </row>
    <row r="631" spans="1:5" x14ac:dyDescent="0.2">
      <c r="A631" s="58"/>
      <c r="B631" s="58"/>
      <c r="C631" s="46" t="s">
        <v>1110</v>
      </c>
      <c r="D631" s="46"/>
    </row>
    <row r="632" spans="1:5" x14ac:dyDescent="0.2">
      <c r="A632" s="58"/>
      <c r="B632" s="58"/>
      <c r="C632" s="46" t="s">
        <v>1111</v>
      </c>
      <c r="D632" s="46"/>
    </row>
    <row r="633" spans="1:5" x14ac:dyDescent="0.2">
      <c r="A633" s="59"/>
      <c r="B633" s="59"/>
      <c r="C633" s="46" t="s">
        <v>349</v>
      </c>
      <c r="D633" s="46"/>
    </row>
    <row r="634" spans="1:5" x14ac:dyDescent="0.2">
      <c r="A634" s="53"/>
      <c r="B634" s="107" t="s">
        <v>464</v>
      </c>
      <c r="C634" s="44" t="s">
        <v>1112</v>
      </c>
      <c r="D634" s="44" t="s">
        <v>1113</v>
      </c>
    </row>
    <row r="635" spans="1:5" x14ac:dyDescent="0.2">
      <c r="A635" s="53"/>
      <c r="B635" s="107"/>
      <c r="C635" s="44" t="s">
        <v>1114</v>
      </c>
      <c r="D635" s="44" t="s">
        <v>1115</v>
      </c>
    </row>
    <row r="636" spans="1:5" x14ac:dyDescent="0.2">
      <c r="A636" s="53"/>
      <c r="B636" s="107"/>
      <c r="C636" s="44" t="s">
        <v>1116</v>
      </c>
      <c r="D636" s="44" t="s">
        <v>1117</v>
      </c>
    </row>
    <row r="637" spans="1:5" x14ac:dyDescent="0.2">
      <c r="A637" s="53"/>
      <c r="B637" s="107"/>
      <c r="C637" s="44" t="s">
        <v>1118</v>
      </c>
      <c r="D637" s="44" t="s">
        <v>1119</v>
      </c>
    </row>
    <row r="638" spans="1:5" x14ac:dyDescent="0.2">
      <c r="A638" s="53"/>
      <c r="B638" s="107"/>
      <c r="C638" s="44" t="s">
        <v>1120</v>
      </c>
      <c r="D638" s="44" t="s">
        <v>1121</v>
      </c>
    </row>
    <row r="639" spans="1:5" x14ac:dyDescent="0.2">
      <c r="A639" s="53"/>
      <c r="B639" s="107"/>
      <c r="C639" s="44" t="s">
        <v>1122</v>
      </c>
      <c r="D639" s="44" t="s">
        <v>1123</v>
      </c>
    </row>
    <row r="640" spans="1:5" x14ac:dyDescent="0.2">
      <c r="A640" s="53"/>
      <c r="B640" s="107"/>
      <c r="C640" s="44" t="s">
        <v>1124</v>
      </c>
      <c r="D640" s="44" t="s">
        <v>1125</v>
      </c>
    </row>
    <row r="641" spans="1:4" x14ac:dyDescent="0.2">
      <c r="A641" s="53"/>
      <c r="B641" s="107"/>
      <c r="C641" s="44" t="s">
        <v>1126</v>
      </c>
      <c r="D641" s="44" t="s">
        <v>1126</v>
      </c>
    </row>
    <row r="642" spans="1:4" x14ac:dyDescent="0.2">
      <c r="A642" s="53"/>
      <c r="B642" s="107"/>
      <c r="C642" s="44" t="s">
        <v>349</v>
      </c>
      <c r="D642" s="44"/>
    </row>
    <row r="643" spans="1:4" x14ac:dyDescent="0.2">
      <c r="A643" s="60"/>
      <c r="B643" s="60" t="s">
        <v>1127</v>
      </c>
      <c r="C643" s="46" t="s">
        <v>1128</v>
      </c>
      <c r="D643" s="46" t="s">
        <v>1129</v>
      </c>
    </row>
    <row r="644" spans="1:4" x14ac:dyDescent="0.2">
      <c r="A644" s="61"/>
      <c r="B644" s="61"/>
      <c r="C644" s="46" t="s">
        <v>1130</v>
      </c>
      <c r="D644" s="46" t="s">
        <v>1131</v>
      </c>
    </row>
    <row r="645" spans="1:4" x14ac:dyDescent="0.2">
      <c r="A645" s="61"/>
      <c r="B645" s="61"/>
      <c r="C645" s="46" t="s">
        <v>1132</v>
      </c>
      <c r="D645" s="46" t="s">
        <v>1133</v>
      </c>
    </row>
    <row r="646" spans="1:4" x14ac:dyDescent="0.2">
      <c r="A646" s="61"/>
      <c r="B646" s="61"/>
      <c r="C646" s="46" t="s">
        <v>1134</v>
      </c>
      <c r="D646" s="46" t="s">
        <v>1135</v>
      </c>
    </row>
    <row r="647" spans="1:4" x14ac:dyDescent="0.2">
      <c r="A647" s="61"/>
      <c r="B647" s="61"/>
      <c r="C647" s="46" t="s">
        <v>1136</v>
      </c>
      <c r="D647" s="46"/>
    </row>
    <row r="648" spans="1:4" x14ac:dyDescent="0.2">
      <c r="A648" s="62"/>
      <c r="B648" s="62"/>
      <c r="C648" s="46" t="s">
        <v>349</v>
      </c>
      <c r="D648" s="46"/>
    </row>
    <row r="649" spans="1:4" x14ac:dyDescent="0.2">
      <c r="A649" s="53"/>
      <c r="B649" s="107" t="s">
        <v>341</v>
      </c>
      <c r="C649" s="44" t="s">
        <v>367</v>
      </c>
      <c r="D649" s="44"/>
    </row>
    <row r="650" spans="1:4" x14ac:dyDescent="0.2">
      <c r="A650" s="53"/>
      <c r="B650" s="107"/>
      <c r="C650" s="44" t="s">
        <v>1137</v>
      </c>
      <c r="D650" s="44"/>
    </row>
    <row r="651" spans="1:4" x14ac:dyDescent="0.2">
      <c r="A651" s="53"/>
      <c r="B651" s="107"/>
      <c r="C651" s="44" t="s">
        <v>350</v>
      </c>
      <c r="D651" s="44"/>
    </row>
    <row r="652" spans="1:4" x14ac:dyDescent="0.2">
      <c r="A652" s="53"/>
      <c r="B652" s="107"/>
      <c r="C652" s="44" t="s">
        <v>1138</v>
      </c>
      <c r="D652" s="44"/>
    </row>
    <row r="653" spans="1:4" x14ac:dyDescent="0.2">
      <c r="A653" s="53"/>
      <c r="B653" s="107"/>
      <c r="C653" s="44" t="s">
        <v>349</v>
      </c>
      <c r="D653" s="44"/>
    </row>
    <row r="654" spans="1:4" x14ac:dyDescent="0.2">
      <c r="A654" s="60"/>
      <c r="B654" s="60" t="s">
        <v>342</v>
      </c>
      <c r="C654" s="46" t="s">
        <v>1139</v>
      </c>
      <c r="D654" s="46"/>
    </row>
    <row r="655" spans="1:4" x14ac:dyDescent="0.2">
      <c r="A655" s="61"/>
      <c r="B655" s="61"/>
      <c r="C655" s="46" t="s">
        <v>351</v>
      </c>
      <c r="D655" s="46"/>
    </row>
    <row r="656" spans="1:4" x14ac:dyDescent="0.2">
      <c r="A656" s="53"/>
      <c r="B656" s="107" t="s">
        <v>22</v>
      </c>
      <c r="C656" s="44" t="s">
        <v>20</v>
      </c>
      <c r="D656" s="44"/>
    </row>
    <row r="657" spans="1:4" x14ac:dyDescent="0.2">
      <c r="A657" s="53"/>
      <c r="B657" s="107"/>
      <c r="C657" s="44" t="s">
        <v>21</v>
      </c>
      <c r="D657" s="44"/>
    </row>
    <row r="658" spans="1:4" x14ac:dyDescent="0.2">
      <c r="A658" s="60"/>
      <c r="B658" s="60" t="s">
        <v>399</v>
      </c>
      <c r="C658" s="46" t="s">
        <v>1140</v>
      </c>
      <c r="D658" s="46"/>
    </row>
    <row r="659" spans="1:4" x14ac:dyDescent="0.2">
      <c r="A659" s="61"/>
      <c r="B659" s="61"/>
      <c r="C659" s="46" t="s">
        <v>1141</v>
      </c>
      <c r="D659" s="46"/>
    </row>
    <row r="660" spans="1:4" x14ac:dyDescent="0.2">
      <c r="A660" s="61"/>
      <c r="B660" s="61"/>
      <c r="C660" s="46" t="s">
        <v>1142</v>
      </c>
      <c r="D660" s="46"/>
    </row>
    <row r="661" spans="1:4" x14ac:dyDescent="0.2">
      <c r="A661" s="61"/>
      <c r="B661" s="61"/>
      <c r="C661" s="46" t="s">
        <v>1143</v>
      </c>
      <c r="D661" s="46"/>
    </row>
    <row r="662" spans="1:4" x14ac:dyDescent="0.2">
      <c r="A662" s="61"/>
      <c r="B662" s="61"/>
      <c r="C662" s="46" t="s">
        <v>1144</v>
      </c>
      <c r="D662" s="46"/>
    </row>
    <row r="663" spans="1:4" x14ac:dyDescent="0.2">
      <c r="A663" s="61"/>
      <c r="B663" s="61"/>
      <c r="C663" s="46" t="s">
        <v>1145</v>
      </c>
      <c r="D663" s="46"/>
    </row>
    <row r="664" spans="1:4" x14ac:dyDescent="0.2">
      <c r="A664" s="61"/>
      <c r="B664" s="61"/>
      <c r="C664" s="46" t="s">
        <v>349</v>
      </c>
      <c r="D664" s="46"/>
    </row>
    <row r="665" spans="1:4" x14ac:dyDescent="0.2">
      <c r="A665" s="62"/>
      <c r="B665" s="62"/>
      <c r="C665" s="46" t="s">
        <v>436</v>
      </c>
      <c r="D665" s="46"/>
    </row>
    <row r="666" spans="1:4" x14ac:dyDescent="0.2">
      <c r="A666" s="53"/>
      <c r="B666" s="107" t="s">
        <v>400</v>
      </c>
      <c r="C666" s="44" t="s">
        <v>1146</v>
      </c>
      <c r="D666" s="44"/>
    </row>
    <row r="667" spans="1:4" x14ac:dyDescent="0.2">
      <c r="A667" s="53"/>
      <c r="B667" s="107"/>
      <c r="C667" s="44" t="s">
        <v>1147</v>
      </c>
      <c r="D667" s="44"/>
    </row>
    <row r="668" spans="1:4" x14ac:dyDescent="0.2">
      <c r="A668" s="60"/>
      <c r="B668" s="60" t="s">
        <v>105</v>
      </c>
      <c r="C668" s="46" t="s">
        <v>1148</v>
      </c>
      <c r="D668" s="46"/>
    </row>
    <row r="669" spans="1:4" x14ac:dyDescent="0.2">
      <c r="A669" s="61"/>
      <c r="B669" s="61"/>
      <c r="C669" s="46" t="s">
        <v>1149</v>
      </c>
      <c r="D669" s="46"/>
    </row>
    <row r="670" spans="1:4" x14ac:dyDescent="0.2">
      <c r="A670" s="61"/>
      <c r="B670" s="61"/>
      <c r="C670" s="46" t="s">
        <v>1150</v>
      </c>
      <c r="D670" s="46"/>
    </row>
    <row r="671" spans="1:4" x14ac:dyDescent="0.2">
      <c r="A671" s="61"/>
      <c r="B671" s="61"/>
      <c r="C671" s="46" t="s">
        <v>1151</v>
      </c>
      <c r="D671" s="46"/>
    </row>
    <row r="672" spans="1:4" x14ac:dyDescent="0.2">
      <c r="A672" s="61"/>
      <c r="B672" s="61"/>
      <c r="C672" s="46" t="s">
        <v>1152</v>
      </c>
      <c r="D672" s="46"/>
    </row>
    <row r="673" spans="1:4" x14ac:dyDescent="0.2">
      <c r="A673" s="61"/>
      <c r="B673" s="61"/>
      <c r="C673" s="46" t="s">
        <v>1153</v>
      </c>
      <c r="D673" s="46"/>
    </row>
    <row r="674" spans="1:4" x14ac:dyDescent="0.2">
      <c r="A674" s="61"/>
      <c r="B674" s="61"/>
      <c r="C674" s="46" t="s">
        <v>1154</v>
      </c>
      <c r="D674" s="46"/>
    </row>
    <row r="675" spans="1:4" x14ac:dyDescent="0.2">
      <c r="A675" s="61"/>
      <c r="B675" s="61"/>
      <c r="C675" s="46" t="s">
        <v>1155</v>
      </c>
      <c r="D675" s="46"/>
    </row>
    <row r="676" spans="1:4" x14ac:dyDescent="0.2">
      <c r="A676" s="61"/>
      <c r="B676" s="61"/>
      <c r="C676" s="46" t="s">
        <v>1156</v>
      </c>
      <c r="D676" s="46"/>
    </row>
    <row r="677" spans="1:4" x14ac:dyDescent="0.2">
      <c r="A677" s="61"/>
      <c r="B677" s="61"/>
      <c r="C677" s="46" t="s">
        <v>1157</v>
      </c>
      <c r="D677" s="46"/>
    </row>
    <row r="678" spans="1:4" x14ac:dyDescent="0.2">
      <c r="A678" s="61"/>
      <c r="B678" s="61"/>
      <c r="C678" s="46" t="s">
        <v>826</v>
      </c>
      <c r="D678" s="46"/>
    </row>
    <row r="679" spans="1:4" x14ac:dyDescent="0.2">
      <c r="A679" s="62"/>
      <c r="B679" s="62"/>
      <c r="C679" s="46" t="s">
        <v>436</v>
      </c>
      <c r="D679" s="46"/>
    </row>
    <row r="680" spans="1:4" x14ac:dyDescent="0.2">
      <c r="A680" s="82"/>
      <c r="B680" s="82" t="s">
        <v>403</v>
      </c>
      <c r="C680" s="44" t="s">
        <v>1140</v>
      </c>
      <c r="D680" s="44"/>
    </row>
    <row r="681" spans="1:4" x14ac:dyDescent="0.2">
      <c r="A681" s="84"/>
      <c r="B681" s="84"/>
      <c r="C681" s="44" t="s">
        <v>1141</v>
      </c>
      <c r="D681" s="44"/>
    </row>
    <row r="682" spans="1:4" x14ac:dyDescent="0.2">
      <c r="A682" s="84"/>
      <c r="B682" s="84"/>
      <c r="C682" s="44" t="s">
        <v>1142</v>
      </c>
      <c r="D682" s="44"/>
    </row>
    <row r="683" spans="1:4" x14ac:dyDescent="0.2">
      <c r="A683" s="84"/>
      <c r="B683" s="84"/>
      <c r="C683" s="44" t="s">
        <v>1143</v>
      </c>
      <c r="D683" s="44"/>
    </row>
    <row r="684" spans="1:4" x14ac:dyDescent="0.2">
      <c r="A684" s="84"/>
      <c r="B684" s="84"/>
      <c r="C684" s="44" t="s">
        <v>1144</v>
      </c>
      <c r="D684" s="44"/>
    </row>
    <row r="685" spans="1:4" x14ac:dyDescent="0.2">
      <c r="A685" s="84"/>
      <c r="B685" s="84"/>
      <c r="C685" s="44" t="s">
        <v>1145</v>
      </c>
      <c r="D685" s="44"/>
    </row>
    <row r="686" spans="1:4" x14ac:dyDescent="0.2">
      <c r="A686" s="84"/>
      <c r="B686" s="84"/>
      <c r="C686" s="44" t="s">
        <v>349</v>
      </c>
      <c r="D686" s="44"/>
    </row>
    <row r="687" spans="1:4" x14ac:dyDescent="0.2">
      <c r="A687" s="84"/>
      <c r="B687" s="84"/>
      <c r="C687" s="44" t="s">
        <v>436</v>
      </c>
      <c r="D687" s="44"/>
    </row>
    <row r="688" spans="1:4" x14ac:dyDescent="0.2">
      <c r="A688" s="60"/>
      <c r="B688" s="57" t="s">
        <v>1158</v>
      </c>
      <c r="C688" s="46" t="s">
        <v>1159</v>
      </c>
      <c r="D688" s="46"/>
    </row>
    <row r="689" spans="1:4" x14ac:dyDescent="0.2">
      <c r="A689" s="61"/>
      <c r="B689" s="59"/>
      <c r="C689" s="46" t="s">
        <v>1160</v>
      </c>
      <c r="D689" s="46"/>
    </row>
    <row r="690" spans="1:4" x14ac:dyDescent="0.2">
      <c r="A690" s="82"/>
      <c r="B690" s="82" t="s">
        <v>402</v>
      </c>
      <c r="C690" s="44" t="s">
        <v>1161</v>
      </c>
      <c r="D690" s="44"/>
    </row>
    <row r="691" spans="1:4" x14ac:dyDescent="0.2">
      <c r="A691" s="84"/>
      <c r="B691" s="84"/>
      <c r="C691" s="44" t="s">
        <v>1162</v>
      </c>
      <c r="D691" s="44"/>
    </row>
    <row r="692" spans="1:4" x14ac:dyDescent="0.2">
      <c r="A692" s="60"/>
      <c r="B692" s="60" t="s">
        <v>394</v>
      </c>
      <c r="C692" s="46" t="s">
        <v>1163</v>
      </c>
      <c r="D692" s="46"/>
    </row>
    <row r="693" spans="1:4" x14ac:dyDescent="0.2">
      <c r="A693" s="61"/>
      <c r="B693" s="61"/>
      <c r="C693" s="46" t="s">
        <v>1002</v>
      </c>
      <c r="D693" s="46"/>
    </row>
    <row r="694" spans="1:4" x14ac:dyDescent="0.2">
      <c r="A694" s="61"/>
      <c r="B694" s="61"/>
      <c r="C694" s="46" t="s">
        <v>1164</v>
      </c>
      <c r="D694" s="46"/>
    </row>
    <row r="695" spans="1:4" x14ac:dyDescent="0.2">
      <c r="A695" s="61"/>
      <c r="B695" s="61"/>
      <c r="C695" s="46" t="s">
        <v>1165</v>
      </c>
      <c r="D695" s="46"/>
    </row>
    <row r="696" spans="1:4" x14ac:dyDescent="0.2">
      <c r="A696" s="61"/>
      <c r="B696" s="61"/>
      <c r="C696" s="46" t="s">
        <v>212</v>
      </c>
      <c r="D696" s="46"/>
    </row>
    <row r="697" spans="1:4" x14ac:dyDescent="0.2">
      <c r="A697" s="61"/>
      <c r="B697" s="61"/>
      <c r="C697" s="46" t="s">
        <v>103</v>
      </c>
      <c r="D697" s="46"/>
    </row>
    <row r="698" spans="1:4" x14ac:dyDescent="0.2">
      <c r="A698" s="61"/>
      <c r="B698" s="61"/>
      <c r="C698" s="46" t="s">
        <v>1166</v>
      </c>
      <c r="D698" s="46"/>
    </row>
    <row r="699" spans="1:4" x14ac:dyDescent="0.2">
      <c r="A699" s="61"/>
      <c r="B699" s="61"/>
      <c r="C699" s="46" t="s">
        <v>1167</v>
      </c>
      <c r="D699" s="46"/>
    </row>
    <row r="700" spans="1:4" x14ac:dyDescent="0.2">
      <c r="A700" s="61"/>
      <c r="B700" s="61"/>
      <c r="C700" s="46" t="s">
        <v>349</v>
      </c>
      <c r="D700" s="46"/>
    </row>
    <row r="701" spans="1:4" x14ac:dyDescent="0.2">
      <c r="A701" s="82"/>
      <c r="B701" s="82" t="s">
        <v>395</v>
      </c>
      <c r="C701" s="44" t="s">
        <v>708</v>
      </c>
      <c r="D701" s="44"/>
    </row>
    <row r="702" spans="1:4" x14ac:dyDescent="0.2">
      <c r="A702" s="84"/>
      <c r="B702" s="84"/>
      <c r="C702" s="44" t="s">
        <v>709</v>
      </c>
      <c r="D702" s="44"/>
    </row>
    <row r="703" spans="1:4" x14ac:dyDescent="0.2">
      <c r="A703" s="84"/>
      <c r="B703" s="84"/>
      <c r="C703" s="44" t="s">
        <v>710</v>
      </c>
      <c r="D703" s="44"/>
    </row>
    <row r="704" spans="1:4" x14ac:dyDescent="0.2">
      <c r="A704" s="84"/>
      <c r="B704" s="84"/>
      <c r="C704" s="44" t="s">
        <v>711</v>
      </c>
      <c r="D704" s="44"/>
    </row>
    <row r="705" spans="1:5" x14ac:dyDescent="0.2">
      <c r="A705" s="84"/>
      <c r="B705" s="84"/>
      <c r="C705" s="44" t="s">
        <v>164</v>
      </c>
      <c r="D705" s="44"/>
    </row>
    <row r="706" spans="1:5" x14ac:dyDescent="0.2">
      <c r="A706" s="84"/>
      <c r="B706" s="84"/>
      <c r="C706" s="44" t="s">
        <v>251</v>
      </c>
      <c r="D706" s="44"/>
    </row>
    <row r="707" spans="1:5" x14ac:dyDescent="0.2">
      <c r="A707" s="84"/>
      <c r="B707" s="84"/>
      <c r="C707" s="44" t="s">
        <v>713</v>
      </c>
      <c r="D707" s="44"/>
    </row>
    <row r="708" spans="1:5" x14ac:dyDescent="0.2">
      <c r="A708" s="84"/>
      <c r="B708" s="84"/>
      <c r="C708" s="44" t="s">
        <v>714</v>
      </c>
      <c r="D708" s="44"/>
    </row>
    <row r="709" spans="1:5" x14ac:dyDescent="0.2">
      <c r="A709" s="84"/>
      <c r="B709" s="84"/>
      <c r="C709" s="44" t="s">
        <v>213</v>
      </c>
      <c r="D709" s="44"/>
    </row>
    <row r="710" spans="1:5" x14ac:dyDescent="0.2">
      <c r="A710" s="84"/>
      <c r="B710" s="84"/>
      <c r="C710" s="44" t="s">
        <v>149</v>
      </c>
      <c r="D710" s="44"/>
    </row>
    <row r="711" spans="1:5" x14ac:dyDescent="0.2">
      <c r="A711" s="84"/>
      <c r="B711" s="84"/>
      <c r="C711" s="44" t="s">
        <v>159</v>
      </c>
      <c r="D711" s="44"/>
    </row>
    <row r="712" spans="1:5" x14ac:dyDescent="0.2">
      <c r="A712" s="84"/>
      <c r="B712" s="84"/>
      <c r="C712" s="44" t="s">
        <v>183</v>
      </c>
      <c r="D712" s="44"/>
    </row>
    <row r="713" spans="1:5" x14ac:dyDescent="0.2">
      <c r="A713" s="84"/>
      <c r="B713" s="84"/>
      <c r="C713" s="44" t="s">
        <v>715</v>
      </c>
      <c r="D713" s="44"/>
    </row>
    <row r="714" spans="1:5" x14ac:dyDescent="0.2">
      <c r="A714" s="84"/>
      <c r="B714" s="84"/>
      <c r="C714" s="44" t="s">
        <v>716</v>
      </c>
      <c r="D714" s="44"/>
    </row>
    <row r="715" spans="1:5" x14ac:dyDescent="0.2">
      <c r="A715" s="84"/>
      <c r="B715" s="84"/>
      <c r="C715" s="44" t="s">
        <v>355</v>
      </c>
      <c r="D715" s="44"/>
    </row>
    <row r="716" spans="1:5" x14ac:dyDescent="0.2">
      <c r="A716" s="84"/>
      <c r="B716" s="84"/>
      <c r="C716" s="44" t="s">
        <v>717</v>
      </c>
      <c r="D716" s="44" t="s">
        <v>718</v>
      </c>
      <c r="E716" t="s">
        <v>498</v>
      </c>
    </row>
    <row r="717" spans="1:5" x14ac:dyDescent="0.2">
      <c r="A717" s="84"/>
      <c r="B717" s="84"/>
      <c r="C717" s="44" t="s">
        <v>125</v>
      </c>
      <c r="D717" s="44"/>
    </row>
    <row r="718" spans="1:5" x14ac:dyDescent="0.2">
      <c r="A718" s="84"/>
      <c r="B718" s="84"/>
      <c r="C718" s="44" t="s">
        <v>719</v>
      </c>
      <c r="D718" s="44"/>
    </row>
    <row r="719" spans="1:5" x14ac:dyDescent="0.2">
      <c r="A719" s="84"/>
      <c r="B719" s="84"/>
      <c r="C719" s="44" t="s">
        <v>117</v>
      </c>
      <c r="D719" s="44"/>
    </row>
    <row r="720" spans="1:5" x14ac:dyDescent="0.2">
      <c r="A720" s="84"/>
      <c r="B720" s="84"/>
      <c r="C720" s="44" t="s">
        <v>720</v>
      </c>
      <c r="D720" s="44"/>
    </row>
    <row r="721" spans="1:4" x14ac:dyDescent="0.2">
      <c r="A721" s="84"/>
      <c r="B721" s="84"/>
      <c r="C721" s="44" t="s">
        <v>721</v>
      </c>
      <c r="D721" s="44"/>
    </row>
    <row r="722" spans="1:4" x14ac:dyDescent="0.2">
      <c r="A722" s="84"/>
      <c r="B722" s="84"/>
      <c r="C722" s="44" t="s">
        <v>722</v>
      </c>
      <c r="D722" s="44"/>
    </row>
    <row r="723" spans="1:4" x14ac:dyDescent="0.2">
      <c r="A723" s="84"/>
      <c r="B723" s="84"/>
      <c r="C723" s="44" t="s">
        <v>723</v>
      </c>
      <c r="D723" s="44"/>
    </row>
    <row r="724" spans="1:4" x14ac:dyDescent="0.2">
      <c r="A724" s="84"/>
      <c r="B724" s="84"/>
      <c r="C724" s="44" t="s">
        <v>724</v>
      </c>
      <c r="D724" s="44"/>
    </row>
    <row r="725" spans="1:4" x14ac:dyDescent="0.2">
      <c r="A725" s="84"/>
      <c r="B725" s="84"/>
      <c r="C725" s="44" t="s">
        <v>725</v>
      </c>
      <c r="D725" s="44"/>
    </row>
    <row r="726" spans="1:4" x14ac:dyDescent="0.2">
      <c r="A726" s="84"/>
      <c r="B726" s="84"/>
      <c r="C726" s="44" t="s">
        <v>726</v>
      </c>
      <c r="D726" s="44"/>
    </row>
    <row r="727" spans="1:4" x14ac:dyDescent="0.2">
      <c r="A727" s="84"/>
      <c r="B727" s="84"/>
      <c r="C727" s="44" t="s">
        <v>141</v>
      </c>
      <c r="D727" s="44"/>
    </row>
    <row r="728" spans="1:4" x14ac:dyDescent="0.2">
      <c r="A728" s="84"/>
      <c r="B728" s="84"/>
      <c r="C728" s="44" t="s">
        <v>258</v>
      </c>
      <c r="D728" s="44"/>
    </row>
    <row r="729" spans="1:4" x14ac:dyDescent="0.2">
      <c r="A729" s="84"/>
      <c r="B729" s="84"/>
      <c r="C729" s="44" t="s">
        <v>727</v>
      </c>
      <c r="D729" s="44"/>
    </row>
    <row r="730" spans="1:4" x14ac:dyDescent="0.2">
      <c r="A730" s="84"/>
      <c r="B730" s="84"/>
      <c r="C730" s="44" t="s">
        <v>728</v>
      </c>
      <c r="D730" s="44"/>
    </row>
    <row r="731" spans="1:4" x14ac:dyDescent="0.2">
      <c r="A731" s="84"/>
      <c r="B731" s="84"/>
      <c r="C731" s="44" t="s">
        <v>729</v>
      </c>
      <c r="D731" s="44"/>
    </row>
    <row r="732" spans="1:4" x14ac:dyDescent="0.2">
      <c r="A732" s="84"/>
      <c r="B732" s="84"/>
      <c r="C732" s="44" t="s">
        <v>730</v>
      </c>
      <c r="D732" s="44"/>
    </row>
    <row r="733" spans="1:4" x14ac:dyDescent="0.2">
      <c r="A733" s="84"/>
      <c r="B733" s="84"/>
      <c r="C733" s="44" t="s">
        <v>731</v>
      </c>
      <c r="D733" s="44"/>
    </row>
    <row r="734" spans="1:4" x14ac:dyDescent="0.2">
      <c r="A734" s="84"/>
      <c r="B734" s="84"/>
      <c r="C734" s="44" t="s">
        <v>732</v>
      </c>
      <c r="D734" s="44"/>
    </row>
    <row r="735" spans="1:4" x14ac:dyDescent="0.2">
      <c r="A735" s="84"/>
      <c r="B735" s="84"/>
      <c r="C735" s="44" t="s">
        <v>733</v>
      </c>
      <c r="D735" s="44"/>
    </row>
    <row r="736" spans="1:4" x14ac:dyDescent="0.2">
      <c r="A736" s="84"/>
      <c r="B736" s="84"/>
      <c r="C736" s="44" t="s">
        <v>29</v>
      </c>
      <c r="D736" s="44"/>
    </row>
    <row r="737" spans="1:4" x14ac:dyDescent="0.2">
      <c r="A737" s="84"/>
      <c r="B737" s="84"/>
      <c r="C737" s="44" t="s">
        <v>734</v>
      </c>
      <c r="D737" s="44"/>
    </row>
    <row r="738" spans="1:4" x14ac:dyDescent="0.2">
      <c r="A738" s="84"/>
      <c r="B738" s="84"/>
      <c r="C738" s="44" t="s">
        <v>735</v>
      </c>
      <c r="D738" s="44"/>
    </row>
    <row r="739" spans="1:4" x14ac:dyDescent="0.2">
      <c r="A739" s="84"/>
      <c r="B739" s="84"/>
      <c r="C739" s="44" t="s">
        <v>736</v>
      </c>
      <c r="D739" s="44"/>
    </row>
    <row r="740" spans="1:4" x14ac:dyDescent="0.2">
      <c r="A740" s="84"/>
      <c r="B740" s="84"/>
      <c r="C740" s="44" t="s">
        <v>737</v>
      </c>
      <c r="D740" s="44"/>
    </row>
    <row r="741" spans="1:4" x14ac:dyDescent="0.2">
      <c r="A741" s="84"/>
      <c r="B741" s="84"/>
      <c r="C741" s="44" t="s">
        <v>738</v>
      </c>
      <c r="D741" s="44"/>
    </row>
    <row r="742" spans="1:4" x14ac:dyDescent="0.2">
      <c r="A742" s="84"/>
      <c r="B742" s="84"/>
      <c r="C742" s="44" t="s">
        <v>247</v>
      </c>
      <c r="D742" s="44"/>
    </row>
    <row r="743" spans="1:4" x14ac:dyDescent="0.2">
      <c r="A743" s="84"/>
      <c r="B743" s="84"/>
      <c r="C743" s="44" t="s">
        <v>739</v>
      </c>
      <c r="D743" s="44"/>
    </row>
    <row r="744" spans="1:4" x14ac:dyDescent="0.2">
      <c r="A744" s="84"/>
      <c r="B744" s="84"/>
      <c r="C744" s="44" t="s">
        <v>217</v>
      </c>
      <c r="D744" s="44"/>
    </row>
    <row r="745" spans="1:4" x14ac:dyDescent="0.2">
      <c r="A745" s="84"/>
      <c r="B745" s="84"/>
      <c r="C745" s="44" t="s">
        <v>740</v>
      </c>
      <c r="D745" s="44"/>
    </row>
    <row r="746" spans="1:4" x14ac:dyDescent="0.2">
      <c r="A746" s="84"/>
      <c r="B746" s="84"/>
      <c r="C746" s="44" t="s">
        <v>741</v>
      </c>
      <c r="D746" s="44"/>
    </row>
    <row r="747" spans="1:4" x14ac:dyDescent="0.2">
      <c r="A747" s="84"/>
      <c r="B747" s="84"/>
      <c r="C747" s="44" t="s">
        <v>742</v>
      </c>
      <c r="D747" s="44"/>
    </row>
    <row r="748" spans="1:4" x14ac:dyDescent="0.2">
      <c r="A748" s="84"/>
      <c r="B748" s="84"/>
      <c r="C748" s="44" t="s">
        <v>196</v>
      </c>
      <c r="D748" s="44"/>
    </row>
    <row r="749" spans="1:4" x14ac:dyDescent="0.2">
      <c r="A749" s="84"/>
      <c r="B749" s="84"/>
      <c r="C749" s="44" t="s">
        <v>448</v>
      </c>
      <c r="D749" s="44"/>
    </row>
    <row r="750" spans="1:4" x14ac:dyDescent="0.2">
      <c r="A750" s="84"/>
      <c r="B750" s="84"/>
      <c r="C750" s="44" t="s">
        <v>75</v>
      </c>
      <c r="D750" s="44"/>
    </row>
    <row r="751" spans="1:4" x14ac:dyDescent="0.2">
      <c r="A751" s="84"/>
      <c r="B751" s="84"/>
      <c r="C751" s="44" t="s">
        <v>491</v>
      </c>
      <c r="D751" s="44"/>
    </row>
    <row r="752" spans="1:4" x14ac:dyDescent="0.2">
      <c r="A752" s="84"/>
      <c r="B752" s="84"/>
      <c r="C752" s="44" t="s">
        <v>492</v>
      </c>
      <c r="D752" s="44"/>
    </row>
    <row r="753" spans="1:4" x14ac:dyDescent="0.2">
      <c r="A753" s="84"/>
      <c r="B753" s="84"/>
      <c r="C753" s="44" t="s">
        <v>493</v>
      </c>
      <c r="D753" s="44"/>
    </row>
    <row r="754" spans="1:4" x14ac:dyDescent="0.2">
      <c r="A754" s="84"/>
      <c r="B754" s="84"/>
      <c r="C754" s="44" t="s">
        <v>494</v>
      </c>
      <c r="D754" s="44"/>
    </row>
    <row r="755" spans="1:4" x14ac:dyDescent="0.2">
      <c r="A755" s="84"/>
      <c r="B755" s="84"/>
      <c r="C755" s="44" t="s">
        <v>495</v>
      </c>
      <c r="D755" s="44"/>
    </row>
    <row r="756" spans="1:4" x14ac:dyDescent="0.2">
      <c r="A756" s="84"/>
      <c r="B756" s="84"/>
      <c r="C756" s="44" t="s">
        <v>496</v>
      </c>
      <c r="D756" s="44"/>
    </row>
    <row r="757" spans="1:4" x14ac:dyDescent="0.2">
      <c r="A757" s="84"/>
      <c r="B757" s="84"/>
      <c r="C757" s="44" t="s">
        <v>497</v>
      </c>
      <c r="D757" s="44"/>
    </row>
    <row r="758" spans="1:4" x14ac:dyDescent="0.2">
      <c r="A758" s="84"/>
      <c r="B758" s="84"/>
      <c r="C758" s="44" t="s">
        <v>499</v>
      </c>
      <c r="D758" s="44"/>
    </row>
    <row r="759" spans="1:4" x14ac:dyDescent="0.2">
      <c r="A759" s="84"/>
      <c r="B759" s="84"/>
      <c r="C759" s="44" t="s">
        <v>500</v>
      </c>
      <c r="D759" s="44"/>
    </row>
    <row r="760" spans="1:4" x14ac:dyDescent="0.2">
      <c r="A760" s="84"/>
      <c r="B760" s="84"/>
      <c r="C760" s="44" t="s">
        <v>501</v>
      </c>
      <c r="D760" s="44"/>
    </row>
    <row r="761" spans="1:4" x14ac:dyDescent="0.2">
      <c r="A761" s="84"/>
      <c r="B761" s="84"/>
      <c r="C761" s="44" t="s">
        <v>502</v>
      </c>
      <c r="D761" s="44"/>
    </row>
    <row r="762" spans="1:4" x14ac:dyDescent="0.2">
      <c r="A762" s="84"/>
      <c r="B762" s="84"/>
      <c r="C762" s="44" t="s">
        <v>503</v>
      </c>
      <c r="D762" s="44"/>
    </row>
    <row r="763" spans="1:4" x14ac:dyDescent="0.2">
      <c r="A763" s="84"/>
      <c r="B763" s="84"/>
      <c r="C763" s="44" t="s">
        <v>504</v>
      </c>
      <c r="D763" s="44"/>
    </row>
    <row r="764" spans="1:4" x14ac:dyDescent="0.2">
      <c r="A764" s="84"/>
      <c r="B764" s="84"/>
      <c r="C764" s="44" t="s">
        <v>505</v>
      </c>
      <c r="D764" s="44"/>
    </row>
    <row r="765" spans="1:4" x14ac:dyDescent="0.2">
      <c r="A765" s="84"/>
      <c r="B765" s="84"/>
      <c r="C765" s="44" t="s">
        <v>506</v>
      </c>
      <c r="D765" s="44"/>
    </row>
    <row r="766" spans="1:4" x14ac:dyDescent="0.2">
      <c r="A766" s="84"/>
      <c r="B766" s="84"/>
      <c r="C766" s="44" t="s">
        <v>507</v>
      </c>
      <c r="D766" s="44"/>
    </row>
    <row r="767" spans="1:4" x14ac:dyDescent="0.2">
      <c r="A767" s="84"/>
      <c r="B767" s="84"/>
      <c r="C767" s="44" t="s">
        <v>508</v>
      </c>
      <c r="D767" s="44"/>
    </row>
    <row r="768" spans="1:4" x14ac:dyDescent="0.2">
      <c r="A768" s="84"/>
      <c r="B768" s="84"/>
      <c r="C768" s="44" t="s">
        <v>509</v>
      </c>
      <c r="D768" s="44"/>
    </row>
    <row r="769" spans="1:5" x14ac:dyDescent="0.2">
      <c r="A769" s="84"/>
      <c r="B769" s="84"/>
      <c r="C769" s="44" t="s">
        <v>510</v>
      </c>
      <c r="D769" s="44"/>
    </row>
    <row r="770" spans="1:5" x14ac:dyDescent="0.2">
      <c r="A770" s="84"/>
      <c r="B770" s="84"/>
      <c r="C770" s="44" t="s">
        <v>511</v>
      </c>
      <c r="D770" s="44"/>
    </row>
    <row r="771" spans="1:5" x14ac:dyDescent="0.2">
      <c r="A771" s="84"/>
      <c r="B771" s="84"/>
      <c r="C771" s="44" t="s">
        <v>512</v>
      </c>
      <c r="D771" s="44"/>
    </row>
    <row r="772" spans="1:5" x14ac:dyDescent="0.2">
      <c r="A772" s="84"/>
      <c r="B772" s="84"/>
      <c r="C772" s="44" t="s">
        <v>513</v>
      </c>
      <c r="D772" s="44"/>
    </row>
    <row r="773" spans="1:5" x14ac:dyDescent="0.2">
      <c r="A773" s="84"/>
      <c r="B773" s="84"/>
      <c r="C773" s="44" t="s">
        <v>514</v>
      </c>
      <c r="D773" s="44"/>
    </row>
    <row r="774" spans="1:5" x14ac:dyDescent="0.2">
      <c r="A774" s="84"/>
      <c r="B774" s="84"/>
      <c r="C774" s="44" t="s">
        <v>515</v>
      </c>
      <c r="D774" s="44"/>
    </row>
    <row r="775" spans="1:5" x14ac:dyDescent="0.2">
      <c r="A775" s="84"/>
      <c r="B775" s="84"/>
      <c r="C775" s="44" t="s">
        <v>516</v>
      </c>
      <c r="D775" s="44"/>
    </row>
    <row r="776" spans="1:5" x14ac:dyDescent="0.2">
      <c r="A776" s="84"/>
      <c r="B776" s="84"/>
      <c r="C776" s="44" t="s">
        <v>517</v>
      </c>
      <c r="D776" s="44"/>
    </row>
    <row r="777" spans="1:5" x14ac:dyDescent="0.2">
      <c r="A777" s="84"/>
      <c r="B777" s="84"/>
      <c r="C777" s="44" t="s">
        <v>518</v>
      </c>
      <c r="D777" s="44"/>
    </row>
    <row r="778" spans="1:5" x14ac:dyDescent="0.2">
      <c r="A778" s="84"/>
      <c r="B778" s="84"/>
      <c r="C778" s="44" t="s">
        <v>519</v>
      </c>
      <c r="D778" s="44"/>
    </row>
    <row r="779" spans="1:5" x14ac:dyDescent="0.2">
      <c r="A779" s="84"/>
      <c r="B779" s="84"/>
      <c r="C779" s="44" t="s">
        <v>520</v>
      </c>
      <c r="D779" s="44"/>
    </row>
    <row r="780" spans="1:5" x14ac:dyDescent="0.2">
      <c r="A780" s="84"/>
      <c r="B780" s="84"/>
      <c r="C780" s="44" t="s">
        <v>521</v>
      </c>
      <c r="D780" s="44"/>
    </row>
    <row r="781" spans="1:5" x14ac:dyDescent="0.2">
      <c r="A781" s="84"/>
      <c r="B781" s="84"/>
      <c r="C781" s="44" t="s">
        <v>522</v>
      </c>
      <c r="D781" s="44"/>
    </row>
    <row r="782" spans="1:5" x14ac:dyDescent="0.2">
      <c r="A782" s="84"/>
      <c r="B782" s="84"/>
      <c r="C782" s="44" t="s">
        <v>523</v>
      </c>
      <c r="D782" s="44"/>
      <c r="E782" t="s">
        <v>498</v>
      </c>
    </row>
    <row r="783" spans="1:5" x14ac:dyDescent="0.2">
      <c r="A783" s="84"/>
      <c r="B783" s="84"/>
      <c r="C783" s="44" t="s">
        <v>524</v>
      </c>
      <c r="D783" s="44"/>
      <c r="E783" t="s">
        <v>498</v>
      </c>
    </row>
    <row r="784" spans="1:5" x14ac:dyDescent="0.2">
      <c r="A784" s="84"/>
      <c r="B784" s="84"/>
      <c r="C784" s="44" t="s">
        <v>527</v>
      </c>
      <c r="D784" s="44"/>
      <c r="E784" t="s">
        <v>498</v>
      </c>
    </row>
    <row r="785" spans="1:5" x14ac:dyDescent="0.2">
      <c r="A785" s="84"/>
      <c r="B785" s="84"/>
      <c r="C785" s="44" t="s">
        <v>528</v>
      </c>
      <c r="D785" s="44"/>
    </row>
    <row r="786" spans="1:5" x14ac:dyDescent="0.2">
      <c r="A786" s="84"/>
      <c r="B786" s="84"/>
      <c r="C786" s="44" t="s">
        <v>529</v>
      </c>
      <c r="D786" s="44"/>
    </row>
    <row r="787" spans="1:5" x14ac:dyDescent="0.2">
      <c r="A787" s="84"/>
      <c r="B787" s="84"/>
      <c r="C787" s="44" t="s">
        <v>530</v>
      </c>
      <c r="D787" s="44"/>
    </row>
    <row r="788" spans="1:5" x14ac:dyDescent="0.2">
      <c r="A788" s="84"/>
      <c r="B788" s="84"/>
      <c r="C788" s="44" t="s">
        <v>531</v>
      </c>
      <c r="D788" s="44"/>
    </row>
    <row r="789" spans="1:5" x14ac:dyDescent="0.2">
      <c r="A789" s="84"/>
      <c r="B789" s="84"/>
      <c r="C789" s="44" t="s">
        <v>532</v>
      </c>
      <c r="D789" s="44"/>
    </row>
    <row r="790" spans="1:5" x14ac:dyDescent="0.2">
      <c r="A790" s="84"/>
      <c r="B790" s="84"/>
      <c r="C790" s="44" t="s">
        <v>533</v>
      </c>
      <c r="D790" s="44"/>
      <c r="E790" t="s">
        <v>498</v>
      </c>
    </row>
    <row r="791" spans="1:5" x14ac:dyDescent="0.2">
      <c r="A791" s="84"/>
      <c r="B791" s="84"/>
      <c r="C791" s="44" t="s">
        <v>534</v>
      </c>
      <c r="D791" s="44"/>
    </row>
    <row r="792" spans="1:5" x14ac:dyDescent="0.2">
      <c r="A792" s="84"/>
      <c r="B792" s="84"/>
      <c r="C792" s="44" t="s">
        <v>535</v>
      </c>
      <c r="D792" s="44"/>
    </row>
    <row r="793" spans="1:5" x14ac:dyDescent="0.2">
      <c r="A793" s="84"/>
      <c r="B793" s="84"/>
      <c r="C793" s="44" t="s">
        <v>536</v>
      </c>
      <c r="D793" s="44"/>
    </row>
    <row r="794" spans="1:5" x14ac:dyDescent="0.2">
      <c r="A794" s="84"/>
      <c r="B794" s="84"/>
      <c r="C794" s="44" t="s">
        <v>1168</v>
      </c>
      <c r="D794" s="44"/>
    </row>
    <row r="795" spans="1:5" x14ac:dyDescent="0.2">
      <c r="A795" s="84"/>
      <c r="B795" s="84"/>
      <c r="C795" s="44" t="s">
        <v>537</v>
      </c>
      <c r="D795" s="44"/>
    </row>
    <row r="796" spans="1:5" x14ac:dyDescent="0.2">
      <c r="A796" s="84"/>
      <c r="B796" s="84"/>
      <c r="C796" s="44" t="s">
        <v>538</v>
      </c>
      <c r="D796" s="44"/>
    </row>
    <row r="797" spans="1:5" x14ac:dyDescent="0.2">
      <c r="A797" s="84"/>
      <c r="B797" s="84"/>
      <c r="C797" s="44" t="s">
        <v>539</v>
      </c>
      <c r="D797" s="44"/>
    </row>
    <row r="798" spans="1:5" x14ac:dyDescent="0.2">
      <c r="A798" s="84"/>
      <c r="B798" s="84"/>
      <c r="C798" s="44" t="s">
        <v>540</v>
      </c>
      <c r="D798" s="44"/>
    </row>
    <row r="799" spans="1:5" x14ac:dyDescent="0.2">
      <c r="A799" s="84"/>
      <c r="B799" s="84"/>
      <c r="C799" s="44" t="s">
        <v>541</v>
      </c>
      <c r="D799" s="44"/>
    </row>
    <row r="800" spans="1:5" x14ac:dyDescent="0.2">
      <c r="A800" s="84"/>
      <c r="B800" s="84"/>
      <c r="C800" s="44" t="s">
        <v>542</v>
      </c>
      <c r="D800" s="44"/>
    </row>
    <row r="801" spans="1:5" x14ac:dyDescent="0.2">
      <c r="A801" s="84"/>
      <c r="B801" s="84"/>
      <c r="C801" s="44" t="s">
        <v>543</v>
      </c>
      <c r="D801" s="44"/>
    </row>
    <row r="802" spans="1:5" x14ac:dyDescent="0.2">
      <c r="A802" s="84"/>
      <c r="B802" s="84"/>
      <c r="C802" s="44" t="s">
        <v>544</v>
      </c>
      <c r="D802" s="44"/>
    </row>
    <row r="803" spans="1:5" x14ac:dyDescent="0.2">
      <c r="A803" s="84"/>
      <c r="B803" s="84"/>
      <c r="C803" s="44" t="s">
        <v>545</v>
      </c>
      <c r="D803" s="44"/>
    </row>
    <row r="804" spans="1:5" x14ac:dyDescent="0.2">
      <c r="A804" s="84"/>
      <c r="B804" s="84"/>
      <c r="C804" s="44" t="s">
        <v>546</v>
      </c>
      <c r="D804" s="44"/>
    </row>
    <row r="805" spans="1:5" x14ac:dyDescent="0.2">
      <c r="A805" s="84"/>
      <c r="B805" s="84"/>
      <c r="C805" s="44" t="s">
        <v>547</v>
      </c>
      <c r="D805" s="44"/>
    </row>
    <row r="806" spans="1:5" x14ac:dyDescent="0.2">
      <c r="A806" s="84"/>
      <c r="B806" s="84"/>
      <c r="C806" s="44" t="s">
        <v>548</v>
      </c>
      <c r="D806" s="44"/>
    </row>
    <row r="807" spans="1:5" x14ac:dyDescent="0.2">
      <c r="A807" s="84"/>
      <c r="B807" s="84"/>
      <c r="C807" s="44" t="s">
        <v>549</v>
      </c>
      <c r="D807" s="44"/>
    </row>
    <row r="808" spans="1:5" x14ac:dyDescent="0.2">
      <c r="A808" s="84"/>
      <c r="B808" s="84"/>
      <c r="C808" s="44" t="s">
        <v>551</v>
      </c>
      <c r="D808" s="44"/>
    </row>
    <row r="809" spans="1:5" x14ac:dyDescent="0.2">
      <c r="A809" s="84"/>
      <c r="B809" s="84"/>
      <c r="C809" s="44" t="s">
        <v>550</v>
      </c>
      <c r="D809" s="44"/>
      <c r="E809" t="s">
        <v>498</v>
      </c>
    </row>
    <row r="810" spans="1:5" x14ac:dyDescent="0.2">
      <c r="A810" s="84"/>
      <c r="B810" s="84"/>
      <c r="C810" s="44" t="s">
        <v>552</v>
      </c>
      <c r="D810" s="44"/>
    </row>
    <row r="811" spans="1:5" x14ac:dyDescent="0.2">
      <c r="A811" s="84"/>
      <c r="B811" s="84"/>
      <c r="C811" s="44" t="s">
        <v>553</v>
      </c>
      <c r="D811" s="44"/>
    </row>
    <row r="812" spans="1:5" x14ac:dyDescent="0.2">
      <c r="A812" s="84"/>
      <c r="B812" s="84"/>
      <c r="C812" s="44" t="s">
        <v>554</v>
      </c>
      <c r="D812" s="44"/>
    </row>
    <row r="813" spans="1:5" x14ac:dyDescent="0.2">
      <c r="A813" s="84"/>
      <c r="B813" s="84"/>
      <c r="C813" s="44" t="s">
        <v>555</v>
      </c>
      <c r="D813" s="44"/>
    </row>
    <row r="814" spans="1:5" x14ac:dyDescent="0.2">
      <c r="A814" s="84"/>
      <c r="B814" s="84"/>
      <c r="C814" s="44" t="s">
        <v>556</v>
      </c>
      <c r="D814" s="44"/>
    </row>
    <row r="815" spans="1:5" x14ac:dyDescent="0.2">
      <c r="A815" s="84"/>
      <c r="B815" s="84"/>
      <c r="C815" s="44" t="s">
        <v>557</v>
      </c>
      <c r="D815" s="44"/>
    </row>
    <row r="816" spans="1:5" x14ac:dyDescent="0.2">
      <c r="A816" s="84"/>
      <c r="B816" s="84"/>
      <c r="C816" s="44" t="s">
        <v>558</v>
      </c>
      <c r="D816" s="44"/>
    </row>
    <row r="817" spans="1:4" x14ac:dyDescent="0.2">
      <c r="A817" s="84"/>
      <c r="B817" s="84"/>
      <c r="C817" s="44" t="s">
        <v>559</v>
      </c>
      <c r="D817" s="44"/>
    </row>
    <row r="818" spans="1:4" x14ac:dyDescent="0.2">
      <c r="A818" s="84"/>
      <c r="B818" s="84"/>
      <c r="C818" s="44" t="s">
        <v>560</v>
      </c>
      <c r="D818" s="44"/>
    </row>
    <row r="819" spans="1:4" x14ac:dyDescent="0.2">
      <c r="A819" s="84"/>
      <c r="B819" s="84"/>
      <c r="C819" s="44" t="s">
        <v>561</v>
      </c>
      <c r="D819" s="44"/>
    </row>
    <row r="820" spans="1:4" x14ac:dyDescent="0.2">
      <c r="A820" s="84"/>
      <c r="B820" s="84"/>
      <c r="C820" s="44" t="s">
        <v>562</v>
      </c>
      <c r="D820" s="44"/>
    </row>
    <row r="821" spans="1:4" x14ac:dyDescent="0.2">
      <c r="A821" s="84"/>
      <c r="B821" s="84"/>
      <c r="C821" s="44" t="s">
        <v>563</v>
      </c>
      <c r="D821" s="44"/>
    </row>
    <row r="822" spans="1:4" x14ac:dyDescent="0.2">
      <c r="A822" s="84"/>
      <c r="B822" s="84"/>
      <c r="C822" s="44" t="s">
        <v>564</v>
      </c>
      <c r="D822" s="44"/>
    </row>
    <row r="823" spans="1:4" x14ac:dyDescent="0.2">
      <c r="A823" s="84"/>
      <c r="B823" s="84"/>
      <c r="C823" s="44" t="s">
        <v>565</v>
      </c>
      <c r="D823" s="44"/>
    </row>
    <row r="824" spans="1:4" x14ac:dyDescent="0.2">
      <c r="A824" s="84"/>
      <c r="B824" s="84"/>
      <c r="C824" s="44" t="s">
        <v>566</v>
      </c>
      <c r="D824" s="44"/>
    </row>
    <row r="825" spans="1:4" x14ac:dyDescent="0.2">
      <c r="A825" s="84"/>
      <c r="B825" s="84"/>
      <c r="C825" s="44" t="s">
        <v>567</v>
      </c>
      <c r="D825" s="44"/>
    </row>
    <row r="826" spans="1:4" x14ac:dyDescent="0.2">
      <c r="A826" s="84"/>
      <c r="B826" s="84"/>
      <c r="C826" s="44" t="s">
        <v>568</v>
      </c>
      <c r="D826" s="44"/>
    </row>
    <row r="827" spans="1:4" x14ac:dyDescent="0.2">
      <c r="A827" s="84"/>
      <c r="B827" s="84"/>
      <c r="C827" s="44" t="s">
        <v>569</v>
      </c>
      <c r="D827" s="44"/>
    </row>
    <row r="828" spans="1:4" x14ac:dyDescent="0.2">
      <c r="A828" s="84"/>
      <c r="B828" s="84"/>
      <c r="C828" s="44" t="s">
        <v>570</v>
      </c>
      <c r="D828" s="44"/>
    </row>
    <row r="829" spans="1:4" x14ac:dyDescent="0.2">
      <c r="A829" s="84"/>
      <c r="B829" s="84"/>
      <c r="C829" s="44" t="s">
        <v>571</v>
      </c>
      <c r="D829" s="44"/>
    </row>
    <row r="830" spans="1:4" x14ac:dyDescent="0.2">
      <c r="A830" s="84"/>
      <c r="B830" s="84"/>
      <c r="C830" s="44" t="s">
        <v>572</v>
      </c>
      <c r="D830" s="44"/>
    </row>
    <row r="831" spans="1:4" x14ac:dyDescent="0.2">
      <c r="A831" s="84"/>
      <c r="B831" s="84"/>
      <c r="C831" s="44" t="s">
        <v>1169</v>
      </c>
      <c r="D831" s="114" t="s">
        <v>1170</v>
      </c>
    </row>
    <row r="832" spans="1:4" x14ac:dyDescent="0.2">
      <c r="A832" s="84"/>
      <c r="B832" s="84"/>
      <c r="C832" s="44" t="s">
        <v>1171</v>
      </c>
      <c r="D832" s="114" t="s">
        <v>584</v>
      </c>
    </row>
    <row r="833" spans="1:4" x14ac:dyDescent="0.2">
      <c r="A833" s="84"/>
      <c r="B833" s="84"/>
      <c r="C833" s="44" t="s">
        <v>1172</v>
      </c>
      <c r="D833" s="114" t="s">
        <v>584</v>
      </c>
    </row>
    <row r="834" spans="1:4" ht="15" x14ac:dyDescent="0.25">
      <c r="A834" s="84"/>
      <c r="B834" s="84"/>
      <c r="C834" s="44" t="s">
        <v>1173</v>
      </c>
      <c r="D834" s="113"/>
    </row>
    <row r="835" spans="1:4" x14ac:dyDescent="0.2">
      <c r="A835" s="84"/>
      <c r="B835" s="84"/>
      <c r="C835" s="44" t="s">
        <v>580</v>
      </c>
      <c r="D835" s="44"/>
    </row>
    <row r="836" spans="1:4" x14ac:dyDescent="0.2">
      <c r="A836" s="84"/>
      <c r="B836" s="84"/>
      <c r="C836" s="44" t="s">
        <v>575</v>
      </c>
      <c r="D836" s="44"/>
    </row>
    <row r="837" spans="1:4" x14ac:dyDescent="0.2">
      <c r="A837" s="84"/>
      <c r="B837" s="84"/>
      <c r="C837" s="44" t="s">
        <v>576</v>
      </c>
      <c r="D837" s="44"/>
    </row>
    <row r="838" spans="1:4" x14ac:dyDescent="0.2">
      <c r="A838" s="84"/>
      <c r="B838" s="84"/>
      <c r="C838" s="44" t="s">
        <v>573</v>
      </c>
      <c r="D838" s="44"/>
    </row>
    <row r="839" spans="1:4" x14ac:dyDescent="0.2">
      <c r="A839" s="84"/>
      <c r="B839" s="84"/>
      <c r="C839" s="44" t="s">
        <v>577</v>
      </c>
      <c r="D839" s="44"/>
    </row>
    <row r="840" spans="1:4" x14ac:dyDescent="0.2">
      <c r="A840" s="84"/>
      <c r="B840" s="84"/>
      <c r="C840" s="44" t="s">
        <v>574</v>
      </c>
      <c r="D840" s="44"/>
    </row>
    <row r="841" spans="1:4" x14ac:dyDescent="0.2">
      <c r="A841" s="84"/>
      <c r="B841" s="84"/>
      <c r="C841" s="44" t="s">
        <v>578</v>
      </c>
      <c r="D841" s="44"/>
    </row>
    <row r="842" spans="1:4" x14ac:dyDescent="0.2">
      <c r="A842" s="84"/>
      <c r="B842" s="84"/>
      <c r="C842" s="44" t="s">
        <v>1174</v>
      </c>
      <c r="D842" s="44"/>
    </row>
    <row r="843" spans="1:4" x14ac:dyDescent="0.2">
      <c r="A843" s="84"/>
      <c r="B843" s="84"/>
      <c r="C843" s="44" t="s">
        <v>1175</v>
      </c>
      <c r="D843" s="44"/>
    </row>
    <row r="844" spans="1:4" x14ac:dyDescent="0.2">
      <c r="A844" s="84"/>
      <c r="B844" s="84"/>
      <c r="C844" s="44" t="s">
        <v>1176</v>
      </c>
      <c r="D844" s="44"/>
    </row>
    <row r="845" spans="1:4" x14ac:dyDescent="0.2">
      <c r="A845" s="84"/>
      <c r="B845" s="84"/>
      <c r="C845" s="44" t="s">
        <v>1177</v>
      </c>
      <c r="D845" s="44"/>
    </row>
    <row r="846" spans="1:4" x14ac:dyDescent="0.2">
      <c r="A846" s="84"/>
      <c r="B846" s="84"/>
      <c r="C846" s="44" t="s">
        <v>1178</v>
      </c>
      <c r="D846" s="44"/>
    </row>
    <row r="847" spans="1:4" x14ac:dyDescent="0.2">
      <c r="A847" s="84"/>
      <c r="B847" s="84"/>
      <c r="C847" s="44" t="s">
        <v>1179</v>
      </c>
      <c r="D847" s="44"/>
    </row>
    <row r="848" spans="1:4" x14ac:dyDescent="0.2">
      <c r="A848" s="84"/>
      <c r="B848" s="84"/>
      <c r="C848" s="44" t="s">
        <v>1180</v>
      </c>
      <c r="D848" s="44"/>
    </row>
    <row r="849" spans="1:4" x14ac:dyDescent="0.2">
      <c r="A849" s="84"/>
      <c r="B849" s="84"/>
      <c r="C849" s="44" t="s">
        <v>1181</v>
      </c>
      <c r="D849" s="44"/>
    </row>
    <row r="850" spans="1:4" x14ac:dyDescent="0.2">
      <c r="A850" s="84"/>
      <c r="B850" s="84"/>
      <c r="C850" s="44" t="s">
        <v>349</v>
      </c>
      <c r="D850" s="44"/>
    </row>
    <row r="851" spans="1:4" x14ac:dyDescent="0.2">
      <c r="A851" s="57" t="s">
        <v>407</v>
      </c>
      <c r="B851" s="57"/>
      <c r="C851" s="46" t="s">
        <v>616</v>
      </c>
      <c r="D851" s="46"/>
    </row>
    <row r="852" spans="1:4" x14ac:dyDescent="0.2">
      <c r="A852" s="58"/>
      <c r="B852" s="58"/>
      <c r="C852" s="46" t="s">
        <v>76</v>
      </c>
      <c r="D852" s="46"/>
    </row>
    <row r="853" spans="1:4" x14ac:dyDescent="0.2">
      <c r="A853" s="84" t="s">
        <v>24</v>
      </c>
      <c r="B853" s="84" t="s">
        <v>59</v>
      </c>
      <c r="C853" s="44" t="s">
        <v>1182</v>
      </c>
      <c r="D853" s="44"/>
    </row>
    <row r="854" spans="1:4" x14ac:dyDescent="0.2">
      <c r="A854" s="84"/>
      <c r="B854" s="84"/>
      <c r="C854" s="44" t="s">
        <v>1183</v>
      </c>
      <c r="D854" s="44"/>
    </row>
    <row r="855" spans="1:4" x14ac:dyDescent="0.2">
      <c r="A855" s="84"/>
      <c r="B855" s="84"/>
      <c r="C855" s="44" t="s">
        <v>1184</v>
      </c>
      <c r="D855" s="44"/>
    </row>
    <row r="856" spans="1:4" x14ac:dyDescent="0.2">
      <c r="A856" s="84"/>
      <c r="B856" s="84"/>
      <c r="C856" s="44" t="s">
        <v>74</v>
      </c>
      <c r="D856" s="44"/>
    </row>
    <row r="857" spans="1:4" x14ac:dyDescent="0.2">
      <c r="A857" s="84"/>
      <c r="B857" s="84"/>
      <c r="C857" s="44" t="s">
        <v>1185</v>
      </c>
      <c r="D857" s="44"/>
    </row>
    <row r="858" spans="1:4" x14ac:dyDescent="0.2">
      <c r="A858" s="84"/>
      <c r="B858" s="84"/>
      <c r="C858" s="44" t="s">
        <v>1186</v>
      </c>
      <c r="D858" s="44"/>
    </row>
    <row r="859" spans="1:4" x14ac:dyDescent="0.2">
      <c r="A859" s="84"/>
      <c r="B859" s="84"/>
      <c r="C859" s="44" t="s">
        <v>1187</v>
      </c>
      <c r="D859" s="44"/>
    </row>
    <row r="860" spans="1:4" x14ac:dyDescent="0.2">
      <c r="A860" s="84"/>
      <c r="B860" s="84"/>
      <c r="C860" s="44" t="s">
        <v>1188</v>
      </c>
      <c r="D860" s="44"/>
    </row>
    <row r="861" spans="1:4" x14ac:dyDescent="0.2">
      <c r="A861" s="84"/>
      <c r="B861" s="84"/>
      <c r="C861" s="44" t="s">
        <v>1189</v>
      </c>
      <c r="D861" s="44"/>
    </row>
    <row r="862" spans="1:4" x14ac:dyDescent="0.2">
      <c r="A862" s="57" t="s">
        <v>25</v>
      </c>
      <c r="B862" s="57" t="s">
        <v>59</v>
      </c>
      <c r="C862" s="46" t="s">
        <v>97</v>
      </c>
      <c r="D862" s="46"/>
    </row>
    <row r="863" spans="1:4" x14ac:dyDescent="0.2">
      <c r="A863" s="58"/>
      <c r="B863" s="58"/>
      <c r="C863" s="46" t="s">
        <v>1190</v>
      </c>
      <c r="D863" s="46"/>
    </row>
    <row r="864" spans="1:4" x14ac:dyDescent="0.2">
      <c r="A864" s="58"/>
      <c r="B864" s="58"/>
      <c r="C864" s="46" t="s">
        <v>1191</v>
      </c>
      <c r="D864" s="46"/>
    </row>
    <row r="865" spans="1:4" x14ac:dyDescent="0.2">
      <c r="A865" s="58"/>
      <c r="B865" s="58"/>
      <c r="C865" s="46" t="s">
        <v>1192</v>
      </c>
      <c r="D865" s="46"/>
    </row>
    <row r="866" spans="1:4" x14ac:dyDescent="0.2">
      <c r="A866" s="58"/>
      <c r="B866" s="58"/>
      <c r="C866" s="46" t="s">
        <v>1193</v>
      </c>
      <c r="D866" s="46"/>
    </row>
    <row r="867" spans="1:4" x14ac:dyDescent="0.2">
      <c r="A867" s="58"/>
      <c r="B867" s="58"/>
      <c r="C867" s="46" t="s">
        <v>1194</v>
      </c>
      <c r="D867" s="46"/>
    </row>
    <row r="868" spans="1:4" x14ac:dyDescent="0.2">
      <c r="A868" s="58"/>
      <c r="B868" s="58"/>
      <c r="C868" s="46" t="s">
        <v>1195</v>
      </c>
      <c r="D868" s="46"/>
    </row>
    <row r="869" spans="1:4" x14ac:dyDescent="0.2">
      <c r="A869" s="58"/>
      <c r="B869" s="58"/>
      <c r="C869" s="46" t="s">
        <v>1196</v>
      </c>
      <c r="D869" s="46"/>
    </row>
    <row r="870" spans="1:4" x14ac:dyDescent="0.2">
      <c r="A870" s="84" t="s">
        <v>26</v>
      </c>
      <c r="B870" s="84" t="s">
        <v>59</v>
      </c>
      <c r="C870" s="44" t="s">
        <v>97</v>
      </c>
      <c r="D870" s="44"/>
    </row>
    <row r="871" spans="1:4" x14ac:dyDescent="0.2">
      <c r="A871" s="84"/>
      <c r="B871" s="84"/>
      <c r="C871" s="44" t="s">
        <v>1191</v>
      </c>
      <c r="D871" s="44"/>
    </row>
    <row r="872" spans="1:4" x14ac:dyDescent="0.2">
      <c r="A872" s="84"/>
      <c r="B872" s="84"/>
      <c r="C872" s="44" t="s">
        <v>1193</v>
      </c>
      <c r="D872" s="44"/>
    </row>
    <row r="873" spans="1:4" x14ac:dyDescent="0.2">
      <c r="A873" s="84"/>
      <c r="B873" s="84"/>
      <c r="C873" s="44" t="s">
        <v>349</v>
      </c>
      <c r="D873" s="44"/>
    </row>
    <row r="874" spans="1:4" x14ac:dyDescent="0.2">
      <c r="A874" s="57" t="s">
        <v>27</v>
      </c>
      <c r="B874" s="57" t="s">
        <v>59</v>
      </c>
      <c r="C874" s="46" t="s">
        <v>1197</v>
      </c>
      <c r="D874" s="46"/>
    </row>
    <row r="875" spans="1:4" x14ac:dyDescent="0.2">
      <c r="A875" s="58"/>
      <c r="B875" s="58"/>
      <c r="C875" s="46" t="s">
        <v>115</v>
      </c>
      <c r="D875" s="46"/>
    </row>
    <row r="876" spans="1:4" x14ac:dyDescent="0.2">
      <c r="A876" s="58"/>
      <c r="B876" s="58"/>
      <c r="C876" s="46" t="s">
        <v>124</v>
      </c>
      <c r="D876" s="46"/>
    </row>
    <row r="877" spans="1:4" x14ac:dyDescent="0.2">
      <c r="A877" s="58"/>
      <c r="B877" s="58"/>
      <c r="C877" s="46" t="s">
        <v>1011</v>
      </c>
      <c r="D877" s="46"/>
    </row>
    <row r="878" spans="1:4" x14ac:dyDescent="0.2">
      <c r="A878" s="58"/>
      <c r="B878" s="58"/>
      <c r="C878" s="46" t="s">
        <v>1198</v>
      </c>
      <c r="D878" s="46"/>
    </row>
    <row r="879" spans="1:4" x14ac:dyDescent="0.2">
      <c r="A879" s="58"/>
      <c r="B879" s="58"/>
      <c r="C879" s="46" t="s">
        <v>1199</v>
      </c>
      <c r="D879" s="46"/>
    </row>
    <row r="880" spans="1:4" x14ac:dyDescent="0.2">
      <c r="A880" s="58"/>
      <c r="B880" s="58"/>
      <c r="C880" s="46" t="s">
        <v>186</v>
      </c>
      <c r="D880" s="46"/>
    </row>
    <row r="881" spans="1:5" x14ac:dyDescent="0.2">
      <c r="A881" s="58"/>
      <c r="B881" s="58"/>
      <c r="C881" s="46" t="s">
        <v>1200</v>
      </c>
      <c r="D881" s="46"/>
    </row>
    <row r="882" spans="1:5" x14ac:dyDescent="0.2">
      <c r="A882" s="58"/>
      <c r="B882" s="58"/>
      <c r="C882" s="46" t="s">
        <v>1201</v>
      </c>
      <c r="D882" s="46" t="s">
        <v>1201</v>
      </c>
      <c r="E882" t="s">
        <v>498</v>
      </c>
    </row>
    <row r="883" spans="1:5" x14ac:dyDescent="0.2">
      <c r="A883" s="59"/>
      <c r="B883" s="59"/>
      <c r="C883" s="46" t="s">
        <v>349</v>
      </c>
      <c r="D883" s="46"/>
    </row>
    <row r="884" spans="1:5" x14ac:dyDescent="0.2">
      <c r="A884" s="73" t="s">
        <v>28</v>
      </c>
      <c r="B884" s="73" t="s">
        <v>59</v>
      </c>
      <c r="C884" s="44" t="s">
        <v>212</v>
      </c>
      <c r="D884" s="44"/>
    </row>
    <row r="885" spans="1:5" x14ac:dyDescent="0.2">
      <c r="A885" s="74"/>
      <c r="B885" s="74"/>
      <c r="C885" s="44" t="s">
        <v>1202</v>
      </c>
      <c r="D885" s="44"/>
    </row>
    <row r="886" spans="1:5" x14ac:dyDescent="0.2">
      <c r="A886" s="74"/>
      <c r="B886" s="74"/>
      <c r="C886" s="44" t="s">
        <v>1203</v>
      </c>
      <c r="D886" s="44"/>
    </row>
    <row r="887" spans="1:5" x14ac:dyDescent="0.2">
      <c r="A887" s="74"/>
      <c r="B887" s="74"/>
      <c r="C887" s="44" t="s">
        <v>1204</v>
      </c>
      <c r="D887" s="44"/>
    </row>
    <row r="888" spans="1:5" x14ac:dyDescent="0.2">
      <c r="A888" s="74"/>
      <c r="B888" s="74"/>
      <c r="C888" s="44" t="s">
        <v>1205</v>
      </c>
      <c r="D888" s="44"/>
    </row>
    <row r="889" spans="1:5" x14ac:dyDescent="0.2">
      <c r="A889" s="74"/>
      <c r="B889" s="74"/>
      <c r="C889" s="44" t="s">
        <v>1206</v>
      </c>
      <c r="D889" s="44" t="s">
        <v>1207</v>
      </c>
    </row>
    <row r="890" spans="1:5" x14ac:dyDescent="0.2">
      <c r="A890" s="74"/>
      <c r="B890" s="74"/>
      <c r="C890" s="44" t="s">
        <v>1208</v>
      </c>
      <c r="D890" s="44"/>
    </row>
    <row r="891" spans="1:5" x14ac:dyDescent="0.2">
      <c r="A891" s="57" t="s">
        <v>29</v>
      </c>
      <c r="B891" s="57" t="s">
        <v>59</v>
      </c>
      <c r="C891" s="46" t="s">
        <v>1209</v>
      </c>
      <c r="D891" s="46"/>
    </row>
    <row r="892" spans="1:5" x14ac:dyDescent="0.2">
      <c r="A892" s="58"/>
      <c r="B892" s="58"/>
      <c r="C892" s="46" t="s">
        <v>1210</v>
      </c>
      <c r="D892" s="46"/>
    </row>
    <row r="893" spans="1:5" x14ac:dyDescent="0.2">
      <c r="A893" s="58"/>
      <c r="B893" s="58"/>
      <c r="C893" s="46" t="s">
        <v>1211</v>
      </c>
      <c r="D893" s="46"/>
    </row>
    <row r="894" spans="1:5" x14ac:dyDescent="0.2">
      <c r="A894" s="58"/>
      <c r="B894" s="58"/>
      <c r="C894" s="46" t="s">
        <v>1212</v>
      </c>
      <c r="D894" s="46"/>
    </row>
    <row r="895" spans="1:5" x14ac:dyDescent="0.2">
      <c r="A895" s="58"/>
      <c r="B895" s="58"/>
      <c r="C895" s="46" t="s">
        <v>1213</v>
      </c>
      <c r="D895" s="46"/>
    </row>
    <row r="896" spans="1:5" x14ac:dyDescent="0.2">
      <c r="A896" s="58"/>
      <c r="B896" s="58"/>
      <c r="C896" s="46" t="s">
        <v>349</v>
      </c>
      <c r="D896" s="46"/>
    </row>
    <row r="897" spans="1:4" x14ac:dyDescent="0.2">
      <c r="A897" s="73" t="s">
        <v>30</v>
      </c>
      <c r="B897" s="73" t="s">
        <v>59</v>
      </c>
      <c r="C897" s="44" t="s">
        <v>1214</v>
      </c>
      <c r="D897" s="44"/>
    </row>
    <row r="898" spans="1:4" x14ac:dyDescent="0.2">
      <c r="A898" s="74"/>
      <c r="B898" s="74"/>
      <c r="C898" s="44" t="s">
        <v>1215</v>
      </c>
      <c r="D898" s="44"/>
    </row>
    <row r="899" spans="1:4" x14ac:dyDescent="0.2">
      <c r="A899" s="74"/>
      <c r="B899" s="74"/>
      <c r="C899" s="44" t="s">
        <v>212</v>
      </c>
      <c r="D899" s="44"/>
    </row>
    <row r="900" spans="1:4" x14ac:dyDescent="0.2">
      <c r="A900" s="74"/>
      <c r="B900" s="74"/>
      <c r="C900" s="44" t="s">
        <v>349</v>
      </c>
      <c r="D900" s="44"/>
    </row>
    <row r="901" spans="1:4" x14ac:dyDescent="0.2">
      <c r="A901" s="57" t="s">
        <v>32</v>
      </c>
      <c r="B901" s="57" t="s">
        <v>59</v>
      </c>
      <c r="C901" s="46" t="s">
        <v>1216</v>
      </c>
      <c r="D901" s="46"/>
    </row>
    <row r="902" spans="1:4" x14ac:dyDescent="0.2">
      <c r="A902" s="58"/>
      <c r="B902" s="58"/>
      <c r="C902" s="46" t="s">
        <v>1217</v>
      </c>
      <c r="D902" s="46"/>
    </row>
    <row r="903" spans="1:4" x14ac:dyDescent="0.2">
      <c r="A903" s="58"/>
      <c r="B903" s="58"/>
      <c r="C903" s="46" t="s">
        <v>1003</v>
      </c>
      <c r="D903" s="46"/>
    </row>
    <row r="904" spans="1:4" x14ac:dyDescent="0.2">
      <c r="A904" s="58"/>
      <c r="B904" s="58"/>
      <c r="C904" s="46" t="s">
        <v>1218</v>
      </c>
      <c r="D904" s="46"/>
    </row>
    <row r="905" spans="1:4" x14ac:dyDescent="0.2">
      <c r="A905" s="58"/>
      <c r="B905" s="58"/>
      <c r="C905" s="46" t="s">
        <v>1219</v>
      </c>
      <c r="D905" s="46"/>
    </row>
    <row r="906" spans="1:4" x14ac:dyDescent="0.2">
      <c r="A906" s="83" t="s">
        <v>34</v>
      </c>
      <c r="B906" s="83" t="s">
        <v>59</v>
      </c>
      <c r="C906" s="49" t="s">
        <v>1220</v>
      </c>
      <c r="D906" s="49"/>
    </row>
    <row r="907" spans="1:4" x14ac:dyDescent="0.2">
      <c r="A907" s="84"/>
      <c r="B907" s="84"/>
      <c r="C907" s="49" t="s">
        <v>1221</v>
      </c>
      <c r="D907" s="49"/>
    </row>
    <row r="908" spans="1:4" x14ac:dyDescent="0.2">
      <c r="A908" s="84"/>
      <c r="B908" s="84"/>
      <c r="C908" s="44" t="s">
        <v>1222</v>
      </c>
      <c r="D908" s="44"/>
    </row>
    <row r="909" spans="1:4" x14ac:dyDescent="0.2">
      <c r="A909" s="84"/>
      <c r="B909" s="84"/>
      <c r="C909" s="44" t="s">
        <v>1223</v>
      </c>
      <c r="D909" s="44"/>
    </row>
    <row r="910" spans="1:4" x14ac:dyDescent="0.2">
      <c r="A910" s="84"/>
      <c r="B910" s="84"/>
      <c r="C910" s="44" t="s">
        <v>1224</v>
      </c>
      <c r="D910" s="44"/>
    </row>
    <row r="911" spans="1:4" x14ac:dyDescent="0.2">
      <c r="A911" s="84"/>
      <c r="B911" s="84"/>
      <c r="C911" s="44" t="s">
        <v>1225</v>
      </c>
      <c r="D911" s="44"/>
    </row>
    <row r="912" spans="1:4" x14ac:dyDescent="0.2">
      <c r="A912" s="79" t="s">
        <v>35</v>
      </c>
      <c r="B912" s="79" t="s">
        <v>59</v>
      </c>
      <c r="C912" s="51" t="s">
        <v>97</v>
      </c>
      <c r="D912" s="51"/>
    </row>
    <row r="913" spans="1:5" x14ac:dyDescent="0.2">
      <c r="A913" s="61"/>
      <c r="B913" s="61"/>
      <c r="C913" s="51" t="s">
        <v>1190</v>
      </c>
      <c r="D913" s="51"/>
    </row>
    <row r="914" spans="1:5" x14ac:dyDescent="0.2">
      <c r="A914" s="61"/>
      <c r="B914" s="61"/>
      <c r="C914" s="46" t="s">
        <v>1191</v>
      </c>
      <c r="D914" s="46"/>
    </row>
    <row r="915" spans="1:5" x14ac:dyDescent="0.2">
      <c r="A915" s="61"/>
      <c r="B915" s="61"/>
      <c r="C915" s="46" t="s">
        <v>1192</v>
      </c>
      <c r="D915" s="46"/>
    </row>
    <row r="916" spans="1:5" x14ac:dyDescent="0.2">
      <c r="A916" s="61"/>
      <c r="B916" s="61"/>
      <c r="C916" s="46" t="s">
        <v>1193</v>
      </c>
      <c r="D916" s="46"/>
    </row>
    <row r="917" spans="1:5" x14ac:dyDescent="0.2">
      <c r="A917" s="61"/>
      <c r="B917" s="61"/>
      <c r="C917" s="46" t="s">
        <v>1194</v>
      </c>
      <c r="D917" s="46"/>
    </row>
    <row r="918" spans="1:5" x14ac:dyDescent="0.2">
      <c r="A918" s="61"/>
      <c r="B918" s="61"/>
      <c r="C918" s="51" t="s">
        <v>1195</v>
      </c>
      <c r="D918" s="51"/>
    </row>
    <row r="919" spans="1:5" x14ac:dyDescent="0.2">
      <c r="A919" s="61"/>
      <c r="B919" s="61"/>
      <c r="C919" s="51" t="s">
        <v>1196</v>
      </c>
      <c r="D919" s="51"/>
    </row>
    <row r="920" spans="1:5" ht="15" x14ac:dyDescent="0.25">
      <c r="A920" s="83" t="s">
        <v>36</v>
      </c>
      <c r="B920" s="83" t="s">
        <v>59</v>
      </c>
      <c r="C920" s="49" t="s">
        <v>1226</v>
      </c>
      <c r="D920" s="49"/>
      <c r="E920" s="50"/>
    </row>
    <row r="921" spans="1:5" ht="15" x14ac:dyDescent="0.25">
      <c r="A921" s="84"/>
      <c r="B921" s="84"/>
      <c r="C921" s="49" t="s">
        <v>1227</v>
      </c>
      <c r="D921" s="49"/>
      <c r="E921" s="50"/>
    </row>
    <row r="922" spans="1:5" ht="15" x14ac:dyDescent="0.25">
      <c r="A922" s="84"/>
      <c r="B922" s="84"/>
      <c r="C922" s="44" t="s">
        <v>1228</v>
      </c>
      <c r="D922" s="44"/>
      <c r="E922" s="50"/>
    </row>
    <row r="923" spans="1:5" ht="15" x14ac:dyDescent="0.25">
      <c r="A923" s="84"/>
      <c r="B923" s="84"/>
      <c r="C923" s="44" t="s">
        <v>268</v>
      </c>
      <c r="D923" s="44"/>
      <c r="E923" s="50"/>
    </row>
    <row r="924" spans="1:5" ht="15" x14ac:dyDescent="0.25">
      <c r="A924" s="84"/>
      <c r="B924" s="84"/>
      <c r="C924" s="44" t="s">
        <v>1229</v>
      </c>
      <c r="D924" s="44"/>
      <c r="E924" s="50"/>
    </row>
    <row r="925" spans="1:5" x14ac:dyDescent="0.2">
      <c r="A925" s="84"/>
      <c r="B925" s="84"/>
      <c r="C925" s="44" t="s">
        <v>349</v>
      </c>
      <c r="D925" s="44"/>
    </row>
    <row r="926" spans="1:5" x14ac:dyDescent="0.2">
      <c r="A926" s="79" t="s">
        <v>37</v>
      </c>
      <c r="B926" s="79" t="s">
        <v>59</v>
      </c>
      <c r="C926" s="46" t="s">
        <v>1230</v>
      </c>
      <c r="D926" s="46"/>
    </row>
    <row r="927" spans="1:5" x14ac:dyDescent="0.2">
      <c r="A927" s="61"/>
      <c r="B927" s="61"/>
      <c r="C927" s="46" t="s">
        <v>1231</v>
      </c>
      <c r="D927" s="46"/>
    </row>
    <row r="928" spans="1:5" x14ac:dyDescent="0.2">
      <c r="A928" s="61"/>
      <c r="B928" s="61"/>
      <c r="C928" s="46" t="s">
        <v>1232</v>
      </c>
      <c r="D928" s="46"/>
    </row>
    <row r="929" spans="1:5" x14ac:dyDescent="0.2">
      <c r="A929" s="80" t="s">
        <v>38</v>
      </c>
      <c r="B929" s="80" t="s">
        <v>59</v>
      </c>
      <c r="C929" s="49" t="s">
        <v>348</v>
      </c>
      <c r="D929" s="49"/>
    </row>
    <row r="930" spans="1:5" x14ac:dyDescent="0.2">
      <c r="A930" s="81"/>
      <c r="B930" s="81"/>
      <c r="C930" s="49" t="s">
        <v>115</v>
      </c>
      <c r="D930" s="49"/>
    </row>
    <row r="931" spans="1:5" x14ac:dyDescent="0.2">
      <c r="A931" s="81"/>
      <c r="B931" s="81"/>
      <c r="C931" s="44" t="s">
        <v>1197</v>
      </c>
      <c r="D931" s="44"/>
    </row>
    <row r="932" spans="1:5" x14ac:dyDescent="0.2">
      <c r="A932" s="81"/>
      <c r="B932" s="81"/>
      <c r="C932" s="44" t="s">
        <v>124</v>
      </c>
      <c r="D932" s="44"/>
    </row>
    <row r="933" spans="1:5" x14ac:dyDescent="0.2">
      <c r="A933" s="81"/>
      <c r="B933" s="81"/>
      <c r="C933" s="44" t="s">
        <v>349</v>
      </c>
      <c r="D933" s="44"/>
    </row>
    <row r="934" spans="1:5" x14ac:dyDescent="0.2">
      <c r="A934" s="87" t="s">
        <v>39</v>
      </c>
      <c r="B934" s="87" t="s">
        <v>59</v>
      </c>
      <c r="C934" s="51" t="s">
        <v>1197</v>
      </c>
      <c r="D934" s="51"/>
    </row>
    <row r="935" spans="1:5" x14ac:dyDescent="0.2">
      <c r="A935" s="88"/>
      <c r="B935" s="88"/>
      <c r="C935" s="51" t="s">
        <v>115</v>
      </c>
      <c r="D935" s="51"/>
    </row>
    <row r="936" spans="1:5" x14ac:dyDescent="0.2">
      <c r="A936" s="88"/>
      <c r="B936" s="88"/>
      <c r="C936" s="46" t="s">
        <v>124</v>
      </c>
      <c r="D936" s="46"/>
    </row>
    <row r="937" spans="1:5" x14ac:dyDescent="0.2">
      <c r="A937" s="88"/>
      <c r="B937" s="88"/>
      <c r="C937" s="46" t="s">
        <v>1011</v>
      </c>
      <c r="D937" s="46"/>
    </row>
    <row r="938" spans="1:5" x14ac:dyDescent="0.2">
      <c r="A938" s="88"/>
      <c r="B938" s="88"/>
      <c r="C938" s="46" t="s">
        <v>1233</v>
      </c>
      <c r="D938" s="46"/>
    </row>
    <row r="939" spans="1:5" x14ac:dyDescent="0.2">
      <c r="A939" s="88"/>
      <c r="B939" s="88"/>
      <c r="C939" s="51" t="s">
        <v>1233</v>
      </c>
      <c r="D939" s="51"/>
    </row>
    <row r="940" spans="1:5" x14ac:dyDescent="0.2">
      <c r="A940" s="88"/>
      <c r="B940" s="88"/>
      <c r="C940" s="51" t="s">
        <v>1199</v>
      </c>
      <c r="D940" s="51"/>
    </row>
    <row r="941" spans="1:5" x14ac:dyDescent="0.2">
      <c r="A941" s="88"/>
      <c r="B941" s="88"/>
      <c r="C941" s="46" t="s">
        <v>186</v>
      </c>
      <c r="D941" s="46"/>
    </row>
    <row r="942" spans="1:5" x14ac:dyDescent="0.2">
      <c r="A942" s="88"/>
      <c r="B942" s="88"/>
      <c r="C942" s="51" t="s">
        <v>1200</v>
      </c>
      <c r="D942" s="51"/>
    </row>
    <row r="943" spans="1:5" x14ac:dyDescent="0.2">
      <c r="A943" s="88"/>
      <c r="B943" s="88"/>
      <c r="C943" s="51" t="s">
        <v>348</v>
      </c>
      <c r="D943" s="51"/>
    </row>
    <row r="944" spans="1:5" x14ac:dyDescent="0.2">
      <c r="A944" s="88"/>
      <c r="B944" s="88"/>
      <c r="C944" s="46" t="s">
        <v>1234</v>
      </c>
      <c r="D944" s="46" t="s">
        <v>1234</v>
      </c>
      <c r="E944" t="s">
        <v>498</v>
      </c>
    </row>
    <row r="945" spans="1:4" x14ac:dyDescent="0.2">
      <c r="A945" s="111"/>
      <c r="B945" s="111"/>
      <c r="C945" s="46" t="s">
        <v>349</v>
      </c>
      <c r="D945" s="46"/>
    </row>
    <row r="946" spans="1:4" ht="14.25" customHeight="1" x14ac:dyDescent="0.2">
      <c r="A946" s="80" t="s">
        <v>40</v>
      </c>
      <c r="B946" s="80" t="s">
        <v>59</v>
      </c>
      <c r="C946" s="49" t="s">
        <v>1235</v>
      </c>
      <c r="D946" s="49"/>
    </row>
    <row r="947" spans="1:4" x14ac:dyDescent="0.2">
      <c r="A947" s="81"/>
      <c r="B947" s="81"/>
      <c r="C947" s="49" t="s">
        <v>1236</v>
      </c>
      <c r="D947" s="49"/>
    </row>
    <row r="948" spans="1:4" x14ac:dyDescent="0.2">
      <c r="A948" s="81"/>
      <c r="B948" s="81"/>
      <c r="C948" s="44" t="s">
        <v>1237</v>
      </c>
      <c r="D948" s="44"/>
    </row>
    <row r="949" spans="1:4" x14ac:dyDescent="0.2">
      <c r="A949" s="81"/>
      <c r="B949" s="81"/>
      <c r="C949" s="44" t="s">
        <v>1238</v>
      </c>
      <c r="D949" s="44"/>
    </row>
    <row r="950" spans="1:4" x14ac:dyDescent="0.2">
      <c r="A950" s="81"/>
      <c r="B950" s="81"/>
      <c r="C950" s="44" t="s">
        <v>1239</v>
      </c>
      <c r="D950" s="44"/>
    </row>
    <row r="951" spans="1:4" x14ac:dyDescent="0.2">
      <c r="A951" s="81"/>
      <c r="B951" s="81"/>
      <c r="C951" s="49" t="s">
        <v>364</v>
      </c>
      <c r="D951" s="49"/>
    </row>
    <row r="952" spans="1:4" x14ac:dyDescent="0.2">
      <c r="A952" s="81"/>
      <c r="B952" s="81"/>
      <c r="C952" s="49" t="s">
        <v>348</v>
      </c>
      <c r="D952" s="49"/>
    </row>
    <row r="953" spans="1:4" x14ac:dyDescent="0.2">
      <c r="A953" s="81"/>
      <c r="B953" s="81"/>
      <c r="C953" s="44" t="s">
        <v>1240</v>
      </c>
      <c r="D953" s="44" t="s">
        <v>1241</v>
      </c>
    </row>
    <row r="954" spans="1:4" x14ac:dyDescent="0.2">
      <c r="A954" s="81"/>
      <c r="B954" s="81"/>
      <c r="C954" s="44" t="s">
        <v>1206</v>
      </c>
      <c r="D954" s="44" t="s">
        <v>1207</v>
      </c>
    </row>
    <row r="955" spans="1:4" x14ac:dyDescent="0.2">
      <c r="A955" s="81"/>
      <c r="B955" s="81"/>
      <c r="C955" s="44" t="s">
        <v>349</v>
      </c>
      <c r="D955" s="44"/>
    </row>
    <row r="956" spans="1:4" x14ac:dyDescent="0.2">
      <c r="A956" s="87" t="s">
        <v>41</v>
      </c>
      <c r="B956" s="87" t="s">
        <v>59</v>
      </c>
      <c r="C956" s="46" t="s">
        <v>1242</v>
      </c>
      <c r="D956" s="46"/>
    </row>
    <row r="957" spans="1:4" x14ac:dyDescent="0.2">
      <c r="A957" s="88"/>
      <c r="B957" s="88"/>
      <c r="C957" s="46" t="s">
        <v>1243</v>
      </c>
      <c r="D957" s="46"/>
    </row>
    <row r="958" spans="1:4" x14ac:dyDescent="0.2">
      <c r="A958" s="88"/>
      <c r="B958" s="88"/>
      <c r="C958" s="46" t="s">
        <v>1244</v>
      </c>
      <c r="D958" s="46"/>
    </row>
    <row r="959" spans="1:4" x14ac:dyDescent="0.2">
      <c r="A959" s="88"/>
      <c r="B959" s="88"/>
      <c r="C959" s="46" t="s">
        <v>1245</v>
      </c>
      <c r="D959" s="46"/>
    </row>
    <row r="960" spans="1:4" x14ac:dyDescent="0.2">
      <c r="A960" s="88"/>
      <c r="B960" s="88"/>
      <c r="C960" s="46" t="s">
        <v>1246</v>
      </c>
      <c r="D960" s="46"/>
    </row>
    <row r="961" spans="1:5" x14ac:dyDescent="0.2">
      <c r="A961" s="88"/>
      <c r="B961" s="88"/>
      <c r="C961" s="46" t="s">
        <v>1247</v>
      </c>
      <c r="D961" s="46"/>
    </row>
    <row r="962" spans="1:5" x14ac:dyDescent="0.2">
      <c r="A962" s="88"/>
      <c r="B962" s="88"/>
      <c r="C962" s="46" t="s">
        <v>1248</v>
      </c>
      <c r="D962" s="46"/>
    </row>
    <row r="963" spans="1:5" x14ac:dyDescent="0.2">
      <c r="A963" s="88"/>
      <c r="B963" s="88"/>
      <c r="C963" s="46" t="s">
        <v>1101</v>
      </c>
      <c r="D963" s="46"/>
      <c r="E963" t="s">
        <v>498</v>
      </c>
    </row>
    <row r="964" spans="1:5" x14ac:dyDescent="0.2">
      <c r="A964" s="89" t="s">
        <v>43</v>
      </c>
      <c r="B964" s="80" t="s">
        <v>59</v>
      </c>
      <c r="C964" s="44" t="s">
        <v>1216</v>
      </c>
      <c r="D964" s="44"/>
    </row>
    <row r="965" spans="1:5" x14ac:dyDescent="0.2">
      <c r="A965" s="90"/>
      <c r="B965" s="81"/>
      <c r="C965" s="44" t="s">
        <v>1217</v>
      </c>
      <c r="D965" s="44"/>
    </row>
    <row r="966" spans="1:5" x14ac:dyDescent="0.2">
      <c r="A966" s="90"/>
      <c r="B966" s="81"/>
      <c r="C966" s="44" t="s">
        <v>1003</v>
      </c>
      <c r="D966" s="44"/>
    </row>
    <row r="967" spans="1:5" x14ac:dyDescent="0.2">
      <c r="A967" s="90"/>
      <c r="B967" s="81"/>
      <c r="C967" s="44" t="s">
        <v>1218</v>
      </c>
      <c r="D967" s="44"/>
    </row>
    <row r="968" spans="1:5" x14ac:dyDescent="0.2">
      <c r="A968" s="90"/>
      <c r="B968" s="81"/>
      <c r="C968" s="44" t="s">
        <v>1219</v>
      </c>
      <c r="D968" s="44"/>
    </row>
    <row r="969" spans="1:5" x14ac:dyDescent="0.2">
      <c r="A969" s="90"/>
      <c r="B969" s="81"/>
      <c r="C969" s="44" t="s">
        <v>1249</v>
      </c>
      <c r="D969" s="44"/>
      <c r="E969" t="s">
        <v>498</v>
      </c>
    </row>
    <row r="970" spans="1:5" x14ac:dyDescent="0.2">
      <c r="A970" s="91" t="s">
        <v>45</v>
      </c>
      <c r="B970" s="87" t="s">
        <v>59</v>
      </c>
      <c r="C970" s="46" t="s">
        <v>1250</v>
      </c>
      <c r="D970" s="46"/>
    </row>
    <row r="971" spans="1:5" x14ac:dyDescent="0.2">
      <c r="A971" s="92"/>
      <c r="B971" s="88"/>
      <c r="C971" s="46" t="s">
        <v>1251</v>
      </c>
      <c r="D971" s="46"/>
    </row>
    <row r="972" spans="1:5" x14ac:dyDescent="0.2">
      <c r="A972" s="92"/>
      <c r="B972" s="88"/>
      <c r="C972" s="46" t="s">
        <v>1252</v>
      </c>
      <c r="D972" s="46"/>
    </row>
    <row r="973" spans="1:5" x14ac:dyDescent="0.2">
      <c r="A973" s="92"/>
      <c r="B973" s="88"/>
      <c r="C973" s="46" t="s">
        <v>1253</v>
      </c>
      <c r="D973" s="46"/>
    </row>
    <row r="974" spans="1:5" x14ac:dyDescent="0.2">
      <c r="A974" s="92"/>
      <c r="B974" s="88"/>
      <c r="C974" s="46" t="s">
        <v>1254</v>
      </c>
      <c r="D974" s="46"/>
    </row>
    <row r="975" spans="1:5" x14ac:dyDescent="0.2">
      <c r="A975" s="92"/>
      <c r="B975" s="88"/>
      <c r="C975" s="46" t="s">
        <v>1255</v>
      </c>
      <c r="D975" s="46"/>
    </row>
    <row r="976" spans="1:5" x14ac:dyDescent="0.2">
      <c r="A976" s="112"/>
      <c r="B976" s="111"/>
      <c r="C976" s="46" t="s">
        <v>349</v>
      </c>
      <c r="D976" s="46"/>
    </row>
    <row r="977" spans="1:5" x14ac:dyDescent="0.2">
      <c r="A977" s="80" t="s">
        <v>44</v>
      </c>
      <c r="B977" s="80" t="s">
        <v>59</v>
      </c>
      <c r="C977" s="44" t="s">
        <v>1256</v>
      </c>
      <c r="D977" s="44"/>
      <c r="E977" t="s">
        <v>1257</v>
      </c>
    </row>
    <row r="978" spans="1:5" x14ac:dyDescent="0.2">
      <c r="A978" s="81"/>
      <c r="B978" s="81"/>
      <c r="C978" s="44" t="s">
        <v>1258</v>
      </c>
      <c r="D978" s="44"/>
    </row>
    <row r="979" spans="1:5" x14ac:dyDescent="0.2">
      <c r="A979" s="81"/>
      <c r="B979" s="81"/>
      <c r="C979" s="44" t="s">
        <v>1259</v>
      </c>
      <c r="D979" s="44"/>
    </row>
    <row r="980" spans="1:5" x14ac:dyDescent="0.2">
      <c r="A980" s="81"/>
      <c r="B980" s="81"/>
      <c r="C980" s="44" t="s">
        <v>1260</v>
      </c>
      <c r="D980" s="44"/>
    </row>
    <row r="981" spans="1:5" x14ac:dyDescent="0.2">
      <c r="A981" s="81"/>
      <c r="B981" s="81"/>
      <c r="C981" s="44" t="s">
        <v>1261</v>
      </c>
      <c r="D981" s="44"/>
    </row>
    <row r="982" spans="1:5" x14ac:dyDescent="0.2">
      <c r="A982" s="81"/>
      <c r="B982" s="81"/>
      <c r="C982" s="44" t="s">
        <v>1262</v>
      </c>
      <c r="D982" s="44"/>
    </row>
    <row r="983" spans="1:5" x14ac:dyDescent="0.2">
      <c r="A983" s="81"/>
      <c r="B983" s="81"/>
      <c r="C983" s="44" t="s">
        <v>1263</v>
      </c>
      <c r="D983" s="44"/>
    </row>
    <row r="984" spans="1:5" x14ac:dyDescent="0.2">
      <c r="A984" s="81"/>
      <c r="B984" s="81"/>
      <c r="C984" s="44" t="s">
        <v>1264</v>
      </c>
      <c r="D984" s="44"/>
    </row>
    <row r="985" spans="1:5" x14ac:dyDescent="0.2">
      <c r="A985" s="81"/>
      <c r="B985" s="81"/>
      <c r="C985" s="44" t="s">
        <v>1265</v>
      </c>
      <c r="D985" s="44" t="s">
        <v>1266</v>
      </c>
      <c r="E985" t="s">
        <v>498</v>
      </c>
    </row>
    <row r="986" spans="1:5" x14ac:dyDescent="0.2">
      <c r="A986" s="91" t="s">
        <v>46</v>
      </c>
      <c r="B986" s="87" t="s">
        <v>59</v>
      </c>
      <c r="C986" s="46" t="s">
        <v>1220</v>
      </c>
      <c r="D986" s="46"/>
    </row>
    <row r="987" spans="1:5" x14ac:dyDescent="0.2">
      <c r="A987" s="92"/>
      <c r="B987" s="88"/>
      <c r="C987" s="46" t="s">
        <v>1221</v>
      </c>
      <c r="D987" s="46"/>
    </row>
    <row r="988" spans="1:5" x14ac:dyDescent="0.2">
      <c r="A988" s="92"/>
      <c r="B988" s="88"/>
      <c r="C988" s="46" t="s">
        <v>1267</v>
      </c>
      <c r="D988" s="46"/>
    </row>
    <row r="989" spans="1:5" x14ac:dyDescent="0.2">
      <c r="A989" s="92"/>
      <c r="B989" s="88"/>
      <c r="C989" s="46" t="s">
        <v>1268</v>
      </c>
      <c r="D989" s="46"/>
    </row>
    <row r="990" spans="1:5" x14ac:dyDescent="0.2">
      <c r="A990" s="92"/>
      <c r="B990" s="88"/>
      <c r="C990" s="46" t="s">
        <v>1269</v>
      </c>
      <c r="D990" s="46"/>
    </row>
    <row r="991" spans="1:5" x14ac:dyDescent="0.2">
      <c r="A991" s="92"/>
      <c r="B991" s="88"/>
      <c r="C991" s="46" t="s">
        <v>1270</v>
      </c>
      <c r="D991" s="46"/>
    </row>
    <row r="992" spans="1:5" x14ac:dyDescent="0.2">
      <c r="A992" s="80" t="s">
        <v>47</v>
      </c>
      <c r="B992" s="80" t="s">
        <v>59</v>
      </c>
      <c r="C992" s="44" t="s">
        <v>115</v>
      </c>
      <c r="D992" s="44"/>
    </row>
    <row r="993" spans="1:5" x14ac:dyDescent="0.2">
      <c r="A993" s="81"/>
      <c r="B993" s="81"/>
      <c r="C993" s="44" t="s">
        <v>1197</v>
      </c>
      <c r="D993" s="44"/>
    </row>
    <row r="994" spans="1:5" x14ac:dyDescent="0.2">
      <c r="A994" s="81"/>
      <c r="B994" s="81"/>
      <c r="C994" s="44" t="s">
        <v>1196</v>
      </c>
      <c r="D994" s="44"/>
    </row>
    <row r="995" spans="1:5" x14ac:dyDescent="0.2">
      <c r="A995" s="81"/>
      <c r="B995" s="81"/>
      <c r="C995" s="44" t="s">
        <v>124</v>
      </c>
      <c r="D995" s="44"/>
    </row>
    <row r="996" spans="1:5" x14ac:dyDescent="0.2">
      <c r="A996" s="81"/>
      <c r="B996" s="81"/>
      <c r="C996" s="44" t="s">
        <v>1271</v>
      </c>
      <c r="D996" s="44" t="s">
        <v>1272</v>
      </c>
    </row>
    <row r="997" spans="1:5" x14ac:dyDescent="0.2">
      <c r="A997" s="81"/>
      <c r="B997" s="81"/>
      <c r="C997" s="44" t="s">
        <v>349</v>
      </c>
      <c r="D997" s="44"/>
    </row>
    <row r="998" spans="1:5" x14ac:dyDescent="0.2">
      <c r="A998" s="87" t="s">
        <v>48</v>
      </c>
      <c r="B998" s="87" t="s">
        <v>59</v>
      </c>
      <c r="C998" s="46" t="s">
        <v>1273</v>
      </c>
      <c r="D998" s="46"/>
      <c r="E998" t="s">
        <v>1257</v>
      </c>
    </row>
    <row r="999" spans="1:5" x14ac:dyDescent="0.2">
      <c r="A999" s="88"/>
      <c r="B999" s="88"/>
      <c r="C999" s="46" t="s">
        <v>1274</v>
      </c>
      <c r="D999" s="46"/>
    </row>
    <row r="1000" spans="1:5" x14ac:dyDescent="0.2">
      <c r="A1000" s="80" t="s">
        <v>50</v>
      </c>
      <c r="B1000" s="80" t="s">
        <v>59</v>
      </c>
      <c r="C1000" s="44" t="s">
        <v>1275</v>
      </c>
      <c r="D1000" s="44"/>
    </row>
    <row r="1001" spans="1:5" x14ac:dyDescent="0.2">
      <c r="A1001" s="81"/>
      <c r="B1001" s="81"/>
      <c r="C1001" s="44" t="s">
        <v>1276</v>
      </c>
      <c r="D1001" s="44"/>
    </row>
    <row r="1002" spans="1:5" x14ac:dyDescent="0.2">
      <c r="A1002" s="81"/>
      <c r="B1002" s="81"/>
      <c r="C1002" s="44" t="s">
        <v>1277</v>
      </c>
      <c r="D1002" s="44"/>
    </row>
    <row r="1003" spans="1:5" x14ac:dyDescent="0.2">
      <c r="A1003" s="81"/>
      <c r="B1003" s="81"/>
      <c r="C1003" s="44" t="s">
        <v>1278</v>
      </c>
      <c r="D1003" s="44"/>
      <c r="E1003" t="s">
        <v>498</v>
      </c>
    </row>
    <row r="1004" spans="1:5" x14ac:dyDescent="0.2">
      <c r="A1004" s="81"/>
      <c r="B1004" s="81"/>
      <c r="C1004" s="44" t="s">
        <v>1279</v>
      </c>
      <c r="D1004" s="44"/>
    </row>
    <row r="1005" spans="1:5" x14ac:dyDescent="0.2">
      <c r="A1005" s="81"/>
      <c r="B1005" s="81"/>
      <c r="C1005" s="44" t="s">
        <v>1280</v>
      </c>
      <c r="D1005" s="44"/>
    </row>
    <row r="1006" spans="1:5" x14ac:dyDescent="0.2">
      <c r="A1006" s="81"/>
      <c r="B1006" s="81"/>
      <c r="C1006" s="44" t="s">
        <v>1281</v>
      </c>
      <c r="D1006" s="44"/>
      <c r="E1006" t="s">
        <v>498</v>
      </c>
    </row>
    <row r="1007" spans="1:5" x14ac:dyDescent="0.2">
      <c r="A1007" s="81"/>
      <c r="B1007" s="81"/>
      <c r="C1007" s="44" t="s">
        <v>1282</v>
      </c>
      <c r="D1007" s="44"/>
    </row>
    <row r="1008" spans="1:5" x14ac:dyDescent="0.2">
      <c r="A1008" s="81"/>
      <c r="B1008" s="81"/>
      <c r="C1008" s="44" t="s">
        <v>1283</v>
      </c>
      <c r="D1008" s="44"/>
    </row>
    <row r="1009" spans="1:4" x14ac:dyDescent="0.2">
      <c r="A1009" s="81"/>
      <c r="B1009" s="81"/>
      <c r="C1009" s="44" t="s">
        <v>1284</v>
      </c>
      <c r="D1009" s="44"/>
    </row>
    <row r="1010" spans="1:4" x14ac:dyDescent="0.2">
      <c r="A1010" s="81"/>
      <c r="B1010" s="81"/>
      <c r="C1010" s="44" t="s">
        <v>1285</v>
      </c>
      <c r="D1010" s="44"/>
    </row>
    <row r="1011" spans="1:4" x14ac:dyDescent="0.2">
      <c r="A1011" s="81"/>
      <c r="B1011" s="81"/>
      <c r="C1011" s="44" t="s">
        <v>1286</v>
      </c>
      <c r="D1011" s="44"/>
    </row>
    <row r="1012" spans="1:4" x14ac:dyDescent="0.2">
      <c r="A1012" s="81"/>
      <c r="B1012" s="81"/>
      <c r="C1012" s="44" t="s">
        <v>1287</v>
      </c>
      <c r="D1012" s="44"/>
    </row>
    <row r="1013" spans="1:4" x14ac:dyDescent="0.2">
      <c r="A1013" s="81"/>
      <c r="B1013" s="81"/>
      <c r="C1013" s="44" t="s">
        <v>1288</v>
      </c>
      <c r="D1013" s="44"/>
    </row>
    <row r="1014" spans="1:4" x14ac:dyDescent="0.2">
      <c r="A1014" s="81"/>
      <c r="B1014" s="81"/>
      <c r="C1014" s="44" t="s">
        <v>1289</v>
      </c>
      <c r="D1014" s="44"/>
    </row>
    <row r="1015" spans="1:4" x14ac:dyDescent="0.2">
      <c r="A1015" s="81"/>
      <c r="B1015" s="81"/>
      <c r="C1015" s="44" t="s">
        <v>1290</v>
      </c>
      <c r="D1015" s="44"/>
    </row>
    <row r="1016" spans="1:4" x14ac:dyDescent="0.2">
      <c r="A1016" s="81"/>
      <c r="B1016" s="81"/>
      <c r="C1016" s="44" t="s">
        <v>1291</v>
      </c>
      <c r="D1016" s="44"/>
    </row>
    <row r="1017" spans="1:4" x14ac:dyDescent="0.2">
      <c r="A1017" s="81"/>
      <c r="B1017" s="81"/>
      <c r="C1017" s="44" t="s">
        <v>1292</v>
      </c>
      <c r="D1017" s="44"/>
    </row>
    <row r="1018" spans="1:4" x14ac:dyDescent="0.2">
      <c r="A1018" s="81"/>
      <c r="B1018" s="81"/>
      <c r="C1018" s="44" t="s">
        <v>1293</v>
      </c>
      <c r="D1018" s="44"/>
    </row>
    <row r="1019" spans="1:4" x14ac:dyDescent="0.2">
      <c r="A1019" s="81"/>
      <c r="B1019" s="81"/>
      <c r="C1019" s="44" t="s">
        <v>1294</v>
      </c>
      <c r="D1019" s="44"/>
    </row>
    <row r="1020" spans="1:4" x14ac:dyDescent="0.2">
      <c r="A1020" s="81"/>
      <c r="B1020" s="81"/>
      <c r="C1020" s="44" t="s">
        <v>1295</v>
      </c>
      <c r="D1020" s="44"/>
    </row>
    <row r="1021" spans="1:4" x14ac:dyDescent="0.2">
      <c r="A1021" s="81"/>
      <c r="B1021" s="81"/>
      <c r="C1021" s="44" t="s">
        <v>1296</v>
      </c>
      <c r="D1021" s="44"/>
    </row>
    <row r="1022" spans="1:4" x14ac:dyDescent="0.2">
      <c r="A1022" s="81"/>
      <c r="B1022" s="81"/>
      <c r="C1022" s="44" t="s">
        <v>1297</v>
      </c>
      <c r="D1022" s="44"/>
    </row>
    <row r="1023" spans="1:4" x14ac:dyDescent="0.2">
      <c r="A1023" s="81"/>
      <c r="B1023" s="81"/>
      <c r="C1023" s="44" t="s">
        <v>1298</v>
      </c>
      <c r="D1023" s="44"/>
    </row>
    <row r="1024" spans="1:4" x14ac:dyDescent="0.2">
      <c r="A1024" s="81"/>
      <c r="B1024" s="81"/>
      <c r="C1024" s="44" t="s">
        <v>1299</v>
      </c>
      <c r="D1024" s="44"/>
    </row>
    <row r="1025" spans="1:5" x14ac:dyDescent="0.2">
      <c r="A1025" s="81"/>
      <c r="B1025" s="81"/>
      <c r="C1025" s="44" t="s">
        <v>1300</v>
      </c>
      <c r="D1025" s="44"/>
    </row>
    <row r="1026" spans="1:5" x14ac:dyDescent="0.2">
      <c r="A1026" s="81"/>
      <c r="B1026" s="81"/>
      <c r="C1026" s="44" t="s">
        <v>1301</v>
      </c>
      <c r="D1026" s="44"/>
    </row>
    <row r="1027" spans="1:5" x14ac:dyDescent="0.2">
      <c r="A1027" s="81"/>
      <c r="B1027" s="81"/>
      <c r="C1027" s="44" t="s">
        <v>1302</v>
      </c>
      <c r="D1027" s="44"/>
    </row>
    <row r="1028" spans="1:5" x14ac:dyDescent="0.2">
      <c r="A1028" s="81"/>
      <c r="B1028" s="81"/>
      <c r="C1028" s="44" t="s">
        <v>1303</v>
      </c>
      <c r="D1028" s="44"/>
    </row>
    <row r="1029" spans="1:5" x14ac:dyDescent="0.2">
      <c r="A1029" s="81"/>
      <c r="B1029" s="81"/>
      <c r="C1029" s="44" t="s">
        <v>1304</v>
      </c>
      <c r="D1029" s="44"/>
    </row>
    <row r="1030" spans="1:5" x14ac:dyDescent="0.2">
      <c r="A1030" s="81"/>
      <c r="B1030" s="81"/>
      <c r="C1030" s="44" t="s">
        <v>1305</v>
      </c>
      <c r="D1030" s="44"/>
    </row>
    <row r="1031" spans="1:5" x14ac:dyDescent="0.2">
      <c r="A1031" s="81"/>
      <c r="B1031" s="81"/>
      <c r="C1031" s="121" t="s">
        <v>1306</v>
      </c>
      <c r="D1031" s="44"/>
      <c r="E1031" t="s">
        <v>498</v>
      </c>
    </row>
    <row r="1032" spans="1:5" x14ac:dyDescent="0.2">
      <c r="A1032" s="81"/>
      <c r="B1032" s="81"/>
      <c r="C1032" s="44" t="s">
        <v>1307</v>
      </c>
      <c r="D1032" s="44"/>
    </row>
    <row r="1033" spans="1:5" x14ac:dyDescent="0.2">
      <c r="A1033" s="81"/>
      <c r="B1033" s="81"/>
      <c r="C1033" s="44" t="s">
        <v>349</v>
      </c>
      <c r="D1033" s="44"/>
    </row>
    <row r="1034" spans="1:5" x14ac:dyDescent="0.2">
      <c r="A1034" s="57" t="s">
        <v>49</v>
      </c>
      <c r="B1034" s="57" t="s">
        <v>59</v>
      </c>
      <c r="C1034" s="46" t="s">
        <v>1308</v>
      </c>
      <c r="D1034" s="46"/>
      <c r="E1034" t="s">
        <v>1257</v>
      </c>
    </row>
    <row r="1035" spans="1:5" x14ac:dyDescent="0.2">
      <c r="A1035" s="58"/>
      <c r="B1035" s="58"/>
      <c r="C1035" s="46" t="s">
        <v>1309</v>
      </c>
      <c r="D1035" s="46"/>
    </row>
    <row r="1036" spans="1:5" x14ac:dyDescent="0.2">
      <c r="A1036" s="58"/>
      <c r="B1036" s="58"/>
      <c r="C1036" s="46" t="s">
        <v>349</v>
      </c>
      <c r="D1036" s="46"/>
    </row>
    <row r="1037" spans="1:5" x14ac:dyDescent="0.2">
      <c r="A1037" s="80" t="s">
        <v>1310</v>
      </c>
      <c r="B1037" s="80" t="s">
        <v>59</v>
      </c>
      <c r="C1037" s="44" t="s">
        <v>1311</v>
      </c>
      <c r="D1037" s="44"/>
    </row>
    <row r="1038" spans="1:5" x14ac:dyDescent="0.2">
      <c r="A1038" s="81"/>
      <c r="B1038" s="81"/>
      <c r="C1038" s="44" t="s">
        <v>1312</v>
      </c>
      <c r="D1038" s="44" t="s">
        <v>1313</v>
      </c>
    </row>
    <row r="1039" spans="1:5" x14ac:dyDescent="0.2">
      <c r="A1039" s="81"/>
      <c r="B1039" s="81"/>
      <c r="C1039" s="44" t="s">
        <v>1314</v>
      </c>
      <c r="D1039" s="44" t="s">
        <v>1315</v>
      </c>
    </row>
    <row r="1040" spans="1:5" x14ac:dyDescent="0.2">
      <c r="A1040" s="81"/>
      <c r="B1040" s="81"/>
      <c r="C1040" s="44" t="s">
        <v>1316</v>
      </c>
      <c r="D1040" s="44" t="s">
        <v>1317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7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593</v>
      </c>
      <c r="E1076"/>
    </row>
    <row r="1077" spans="1:5" s="7" customFormat="1" x14ac:dyDescent="0.2">
      <c r="B1077"/>
      <c r="C1077" s="14" t="s">
        <v>100</v>
      </c>
      <c r="E1077"/>
    </row>
    <row r="1078" spans="1:5" s="7" customFormat="1" x14ac:dyDescent="0.2">
      <c r="B1078"/>
      <c r="C1078" s="14" t="s">
        <v>198</v>
      </c>
      <c r="E1078"/>
    </row>
    <row r="1079" spans="1:5" s="7" customFormat="1" x14ac:dyDescent="0.2">
      <c r="B1079"/>
      <c r="C1079" s="14" t="s">
        <v>595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593</v>
      </c>
      <c r="E1081"/>
    </row>
    <row r="1082" spans="1:5" s="7" customFormat="1" x14ac:dyDescent="0.2">
      <c r="B1082"/>
      <c r="C1082" s="14" t="s">
        <v>100</v>
      </c>
      <c r="E1082"/>
    </row>
    <row r="1083" spans="1:5" s="7" customFormat="1" x14ac:dyDescent="0.2">
      <c r="B1083"/>
      <c r="C1083" s="14" t="s">
        <v>198</v>
      </c>
      <c r="E1083"/>
    </row>
    <row r="1084" spans="1:5" s="7" customFormat="1" x14ac:dyDescent="0.2">
      <c r="B1084"/>
      <c r="C1084" s="14" t="s">
        <v>595</v>
      </c>
      <c r="E1084"/>
    </row>
    <row r="1085" spans="1:5" s="7" customFormat="1" x14ac:dyDescent="0.2">
      <c r="B1085"/>
      <c r="C1085" s="14" t="s">
        <v>594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593</v>
      </c>
      <c r="E1087"/>
    </row>
    <row r="1088" spans="1:5" s="7" customFormat="1" x14ac:dyDescent="0.2">
      <c r="B1088"/>
      <c r="C1088" s="14" t="s">
        <v>100</v>
      </c>
      <c r="E1088"/>
    </row>
    <row r="1089" spans="2:5" s="7" customFormat="1" x14ac:dyDescent="0.2">
      <c r="B1089"/>
      <c r="C1089" s="14" t="s">
        <v>595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350</v>
      </c>
      <c r="E1091"/>
    </row>
    <row r="1092" spans="2:5" s="7" customFormat="1" x14ac:dyDescent="0.2">
      <c r="B1092"/>
      <c r="C1092" s="14" t="s">
        <v>349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164</v>
      </c>
      <c r="E1094"/>
    </row>
    <row r="1095" spans="2:5" s="7" customFormat="1" x14ac:dyDescent="0.2">
      <c r="B1095"/>
      <c r="C1095" s="14" t="s">
        <v>997</v>
      </c>
      <c r="E1095"/>
    </row>
    <row r="1096" spans="2:5" s="7" customFormat="1" x14ac:dyDescent="0.2">
      <c r="B1096"/>
      <c r="C1096" s="14" t="s">
        <v>998</v>
      </c>
      <c r="E1096"/>
    </row>
    <row r="1097" spans="2:5" s="7" customFormat="1" x14ac:dyDescent="0.2">
      <c r="B1097"/>
      <c r="C1097" s="14" t="s">
        <v>1001</v>
      </c>
      <c r="E1097"/>
    </row>
    <row r="1098" spans="2:5" s="7" customFormat="1" x14ac:dyDescent="0.2">
      <c r="B1098"/>
      <c r="C1098" s="14" t="s">
        <v>1002</v>
      </c>
      <c r="E1098"/>
    </row>
    <row r="1099" spans="2:5" s="7" customFormat="1" x14ac:dyDescent="0.2">
      <c r="B1099"/>
      <c r="C1099" s="14" t="s">
        <v>1003</v>
      </c>
      <c r="E1099"/>
    </row>
    <row r="1100" spans="2:5" s="7" customFormat="1" x14ac:dyDescent="0.2">
      <c r="B1100"/>
      <c r="C1100" s="14" t="s">
        <v>1004</v>
      </c>
      <c r="E1100"/>
    </row>
    <row r="1101" spans="2:5" s="7" customFormat="1" x14ac:dyDescent="0.2">
      <c r="B1101"/>
      <c r="C1101" s="14" t="s">
        <v>1005</v>
      </c>
      <c r="E1101"/>
    </row>
    <row r="1102" spans="2:5" s="7" customFormat="1" x14ac:dyDescent="0.2">
      <c r="B1102"/>
      <c r="C1102" s="14" t="s">
        <v>1006</v>
      </c>
      <c r="E1102"/>
    </row>
    <row r="1103" spans="2:5" s="7" customFormat="1" x14ac:dyDescent="0.2">
      <c r="B1103"/>
      <c r="C1103" s="14" t="s">
        <v>1008</v>
      </c>
      <c r="E1103"/>
    </row>
    <row r="1104" spans="2:5" s="7" customFormat="1" x14ac:dyDescent="0.2">
      <c r="B1104"/>
      <c r="C1104" s="14" t="s">
        <v>448</v>
      </c>
      <c r="E1104"/>
    </row>
    <row r="1105" spans="2:5" s="7" customFormat="1" x14ac:dyDescent="0.2">
      <c r="B1105"/>
      <c r="C1105" s="14" t="s">
        <v>349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367</v>
      </c>
    </row>
    <row r="1109" spans="2:5" s="7" customFormat="1" x14ac:dyDescent="0.2">
      <c r="B1109"/>
      <c r="C1109" s="14" t="s">
        <v>1137</v>
      </c>
      <c r="E1109"/>
    </row>
    <row r="1110" spans="2:5" s="7" customFormat="1" x14ac:dyDescent="0.2">
      <c r="B1110"/>
      <c r="C1110" s="14" t="s">
        <v>1138</v>
      </c>
      <c r="E1110"/>
    </row>
    <row r="1111" spans="2:5" s="7" customFormat="1" x14ac:dyDescent="0.2">
      <c r="B1111"/>
      <c r="C1111" s="14" t="s">
        <v>349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114</v>
      </c>
      <c r="E1113"/>
    </row>
    <row r="1114" spans="2:5" s="7" customFormat="1" x14ac:dyDescent="0.2">
      <c r="B1114"/>
      <c r="C1114" s="14" t="s">
        <v>601</v>
      </c>
      <c r="E1114"/>
    </row>
    <row r="1115" spans="2:5" s="7" customFormat="1" x14ac:dyDescent="0.2">
      <c r="B1115"/>
      <c r="C1115" s="14" t="s">
        <v>363</v>
      </c>
      <c r="E1115"/>
    </row>
    <row r="1116" spans="2:5" s="7" customFormat="1" x14ac:dyDescent="0.2">
      <c r="B1116"/>
      <c r="C1116" s="14" t="s">
        <v>349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116</v>
      </c>
      <c r="E1118"/>
    </row>
    <row r="1119" spans="2:5" s="7" customFormat="1" x14ac:dyDescent="0.2">
      <c r="B1119"/>
      <c r="C1119" s="14" t="s">
        <v>1318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116</v>
      </c>
    </row>
    <row r="1122" spans="2:5" s="7" customFormat="1" x14ac:dyDescent="0.2">
      <c r="B1122"/>
      <c r="C1122" s="14" t="s">
        <v>605</v>
      </c>
      <c r="E1122"/>
    </row>
    <row r="1123" spans="2:5" s="7" customFormat="1" x14ac:dyDescent="0.2">
      <c r="B1123"/>
      <c r="C1123" s="14" t="s">
        <v>607</v>
      </c>
      <c r="E1123"/>
    </row>
    <row r="1124" spans="2:5" s="7" customFormat="1" x14ac:dyDescent="0.2">
      <c r="B1124"/>
      <c r="C1124" s="14" t="s">
        <v>609</v>
      </c>
      <c r="E1124"/>
    </row>
    <row r="1125" spans="2:5" x14ac:dyDescent="0.2">
      <c r="C1125" s="14" t="s">
        <v>614</v>
      </c>
    </row>
    <row r="1126" spans="2:5" x14ac:dyDescent="0.2">
      <c r="C1126" s="14" t="s">
        <v>349</v>
      </c>
    </row>
    <row r="1129" spans="2:5" x14ac:dyDescent="0.2">
      <c r="C1129" s="14" t="s">
        <v>708</v>
      </c>
    </row>
    <row r="1130" spans="2:5" x14ac:dyDescent="0.2">
      <c r="C1130" s="14" t="s">
        <v>709</v>
      </c>
    </row>
    <row r="1131" spans="2:5" x14ac:dyDescent="0.2">
      <c r="C1131" s="14" t="s">
        <v>711</v>
      </c>
    </row>
    <row r="1132" spans="2:5" x14ac:dyDescent="0.2">
      <c r="C1132" s="14" t="s">
        <v>164</v>
      </c>
    </row>
    <row r="1133" spans="2:5" x14ac:dyDescent="0.2">
      <c r="C1133" s="14" t="s">
        <v>251</v>
      </c>
    </row>
    <row r="1134" spans="2:5" x14ac:dyDescent="0.2">
      <c r="C1134" s="14" t="s">
        <v>713</v>
      </c>
    </row>
    <row r="1135" spans="2:5" x14ac:dyDescent="0.2">
      <c r="C1135" s="14" t="s">
        <v>714</v>
      </c>
    </row>
    <row r="1136" spans="2:5" x14ac:dyDescent="0.2">
      <c r="C1136" s="14" t="s">
        <v>213</v>
      </c>
    </row>
    <row r="1137" spans="3:3" x14ac:dyDescent="0.2">
      <c r="C1137" s="14" t="s">
        <v>149</v>
      </c>
    </row>
    <row r="1138" spans="3:3" x14ac:dyDescent="0.2">
      <c r="C1138" s="14" t="s">
        <v>159</v>
      </c>
    </row>
    <row r="1139" spans="3:3" x14ac:dyDescent="0.2">
      <c r="C1139" s="14" t="s">
        <v>183</v>
      </c>
    </row>
    <row r="1140" spans="3:3" x14ac:dyDescent="0.2">
      <c r="C1140" s="14" t="s">
        <v>715</v>
      </c>
    </row>
    <row r="1141" spans="3:3" x14ac:dyDescent="0.2">
      <c r="C1141" s="14" t="s">
        <v>716</v>
      </c>
    </row>
    <row r="1142" spans="3:3" x14ac:dyDescent="0.2">
      <c r="C1142" s="14" t="s">
        <v>355</v>
      </c>
    </row>
    <row r="1143" spans="3:3" x14ac:dyDescent="0.2">
      <c r="C1143" s="14" t="s">
        <v>717</v>
      </c>
    </row>
    <row r="1144" spans="3:3" x14ac:dyDescent="0.2">
      <c r="C1144" s="14" t="s">
        <v>125</v>
      </c>
    </row>
    <row r="1145" spans="3:3" x14ac:dyDescent="0.2">
      <c r="C1145" s="14" t="s">
        <v>719</v>
      </c>
    </row>
    <row r="1146" spans="3:3" x14ac:dyDescent="0.2">
      <c r="C1146" s="14" t="s">
        <v>117</v>
      </c>
    </row>
    <row r="1147" spans="3:3" x14ac:dyDescent="0.2">
      <c r="C1147" s="14" t="s">
        <v>721</v>
      </c>
    </row>
    <row r="1148" spans="3:3" x14ac:dyDescent="0.2">
      <c r="C1148" s="14" t="s">
        <v>722</v>
      </c>
    </row>
    <row r="1149" spans="3:3" x14ac:dyDescent="0.2">
      <c r="C1149" s="14" t="s">
        <v>723</v>
      </c>
    </row>
    <row r="1150" spans="3:3" x14ac:dyDescent="0.2">
      <c r="C1150" s="14" t="s">
        <v>724</v>
      </c>
    </row>
    <row r="1151" spans="3:3" x14ac:dyDescent="0.2">
      <c r="C1151" s="14" t="s">
        <v>725</v>
      </c>
    </row>
    <row r="1152" spans="3:3" x14ac:dyDescent="0.2">
      <c r="C1152" s="14" t="s">
        <v>726</v>
      </c>
    </row>
    <row r="1153" spans="3:3" x14ac:dyDescent="0.2">
      <c r="C1153" s="14" t="s">
        <v>141</v>
      </c>
    </row>
    <row r="1154" spans="3:3" x14ac:dyDescent="0.2">
      <c r="C1154" s="14" t="s">
        <v>258</v>
      </c>
    </row>
    <row r="1155" spans="3:3" x14ac:dyDescent="0.2">
      <c r="C1155" s="14" t="s">
        <v>727</v>
      </c>
    </row>
    <row r="1156" spans="3:3" x14ac:dyDescent="0.2">
      <c r="C1156" s="14" t="s">
        <v>728</v>
      </c>
    </row>
    <row r="1157" spans="3:3" x14ac:dyDescent="0.2">
      <c r="C1157" s="14" t="s">
        <v>729</v>
      </c>
    </row>
    <row r="1158" spans="3:3" x14ac:dyDescent="0.2">
      <c r="C1158" s="14" t="s">
        <v>730</v>
      </c>
    </row>
    <row r="1159" spans="3:3" x14ac:dyDescent="0.2">
      <c r="C1159" s="14" t="s">
        <v>731</v>
      </c>
    </row>
    <row r="1160" spans="3:3" x14ac:dyDescent="0.2">
      <c r="C1160" s="14" t="s">
        <v>732</v>
      </c>
    </row>
    <row r="1161" spans="3:3" x14ac:dyDescent="0.2">
      <c r="C1161" s="14" t="s">
        <v>733</v>
      </c>
    </row>
    <row r="1162" spans="3:3" x14ac:dyDescent="0.2">
      <c r="C1162" s="14" t="s">
        <v>29</v>
      </c>
    </row>
    <row r="1163" spans="3:3" ht="14.45" customHeight="1" x14ac:dyDescent="0.2">
      <c r="C1163" s="14" t="s">
        <v>734</v>
      </c>
    </row>
    <row r="1164" spans="3:3" x14ac:dyDescent="0.2">
      <c r="C1164" s="14" t="s">
        <v>736</v>
      </c>
    </row>
    <row r="1165" spans="3:3" x14ac:dyDescent="0.2">
      <c r="C1165" s="14" t="s">
        <v>737</v>
      </c>
    </row>
    <row r="1166" spans="3:3" x14ac:dyDescent="0.2">
      <c r="C1166" s="14" t="s">
        <v>738</v>
      </c>
    </row>
    <row r="1167" spans="3:3" x14ac:dyDescent="0.2">
      <c r="C1167" s="14" t="s">
        <v>247</v>
      </c>
    </row>
    <row r="1168" spans="3:3" x14ac:dyDescent="0.2">
      <c r="C1168" s="14" t="s">
        <v>217</v>
      </c>
    </row>
    <row r="1169" spans="3:3" x14ac:dyDescent="0.2">
      <c r="C1169" s="14" t="s">
        <v>196</v>
      </c>
    </row>
    <row r="1170" spans="3:3" x14ac:dyDescent="0.2">
      <c r="C1170" s="14" t="s">
        <v>349</v>
      </c>
    </row>
    <row r="1171" spans="3:3" x14ac:dyDescent="0.2">
      <c r="C1171" s="14" t="s">
        <v>743</v>
      </c>
    </row>
    <row r="1172" spans="3:3" x14ac:dyDescent="0.2">
      <c r="C1172" s="14" t="s">
        <v>744</v>
      </c>
    </row>
    <row r="1173" spans="3:3" x14ac:dyDescent="0.2">
      <c r="C1173" s="14" t="s">
        <v>745</v>
      </c>
    </row>
    <row r="1174" spans="3:3" x14ac:dyDescent="0.2">
      <c r="C1174" s="14" t="s">
        <v>746</v>
      </c>
    </row>
    <row r="1175" spans="3:3" x14ac:dyDescent="0.2">
      <c r="C1175" s="14" t="s">
        <v>747</v>
      </c>
    </row>
    <row r="1176" spans="3:3" x14ac:dyDescent="0.2">
      <c r="C1176" s="14" t="s">
        <v>748</v>
      </c>
    </row>
    <row r="1177" spans="3:3" x14ac:dyDescent="0.2">
      <c r="C1177" s="14" t="s">
        <v>749</v>
      </c>
    </row>
    <row r="1178" spans="3:3" x14ac:dyDescent="0.2">
      <c r="C1178" s="14" t="s">
        <v>750</v>
      </c>
    </row>
    <row r="1179" spans="3:3" x14ac:dyDescent="0.2">
      <c r="C1179" s="14" t="s">
        <v>751</v>
      </c>
    </row>
    <row r="1180" spans="3:3" x14ac:dyDescent="0.2">
      <c r="C1180" s="14" t="s">
        <v>752</v>
      </c>
    </row>
    <row r="1181" spans="3:3" x14ac:dyDescent="0.2">
      <c r="C1181" s="14" t="s">
        <v>753</v>
      </c>
    </row>
    <row r="1182" spans="3:3" x14ac:dyDescent="0.2">
      <c r="C1182" s="14" t="s">
        <v>754</v>
      </c>
    </row>
    <row r="1183" spans="3:3" x14ac:dyDescent="0.2">
      <c r="C1183" s="14" t="s">
        <v>755</v>
      </c>
    </row>
    <row r="1184" spans="3:3" x14ac:dyDescent="0.2">
      <c r="C1184" s="14" t="s">
        <v>756</v>
      </c>
    </row>
    <row r="1185" spans="3:3" x14ac:dyDescent="0.2">
      <c r="C1185" s="14" t="s">
        <v>757</v>
      </c>
    </row>
    <row r="1186" spans="3:3" x14ac:dyDescent="0.2">
      <c r="C1186" s="14" t="s">
        <v>758</v>
      </c>
    </row>
    <row r="1187" spans="3:3" x14ac:dyDescent="0.2">
      <c r="C1187" s="14" t="s">
        <v>759</v>
      </c>
    </row>
    <row r="1188" spans="3:3" x14ac:dyDescent="0.2">
      <c r="C1188" s="14" t="s">
        <v>760</v>
      </c>
    </row>
    <row r="1189" spans="3:3" x14ac:dyDescent="0.2">
      <c r="C1189" s="14" t="s">
        <v>762</v>
      </c>
    </row>
    <row r="1190" spans="3:3" x14ac:dyDescent="0.2">
      <c r="C1190" s="14" t="s">
        <v>764</v>
      </c>
    </row>
    <row r="1191" spans="3:3" x14ac:dyDescent="0.2">
      <c r="C1191" s="14" t="s">
        <v>766</v>
      </c>
    </row>
    <row r="1192" spans="3:3" x14ac:dyDescent="0.2">
      <c r="C1192" s="120" t="s">
        <v>767</v>
      </c>
    </row>
    <row r="1193" spans="3:3" x14ac:dyDescent="0.2">
      <c r="C1193" s="14" t="s">
        <v>769</v>
      </c>
    </row>
    <row r="1194" spans="3:3" x14ac:dyDescent="0.2">
      <c r="C1194" s="14" t="s">
        <v>770</v>
      </c>
    </row>
    <row r="1195" spans="3:3" x14ac:dyDescent="0.2">
      <c r="C1195" s="14" t="s">
        <v>771</v>
      </c>
    </row>
    <row r="1196" spans="3:3" x14ac:dyDescent="0.2">
      <c r="C1196" s="14" t="s">
        <v>772</v>
      </c>
    </row>
    <row r="1197" spans="3:3" x14ac:dyDescent="0.2">
      <c r="C1197" s="14" t="s">
        <v>773</v>
      </c>
    </row>
    <row r="1198" spans="3:3" x14ac:dyDescent="0.2">
      <c r="C1198" s="14" t="s">
        <v>774</v>
      </c>
    </row>
    <row r="1199" spans="3:3" x14ac:dyDescent="0.2">
      <c r="C1199" s="14" t="s">
        <v>775</v>
      </c>
    </row>
    <row r="1200" spans="3:3" x14ac:dyDescent="0.2">
      <c r="C1200" s="14" t="s">
        <v>776</v>
      </c>
    </row>
    <row r="1201" spans="3:3" x14ac:dyDescent="0.2">
      <c r="C1201" s="14" t="s">
        <v>778</v>
      </c>
    </row>
    <row r="1202" spans="3:3" x14ac:dyDescent="0.2">
      <c r="C1202" s="14" t="s">
        <v>779</v>
      </c>
    </row>
    <row r="1203" spans="3:3" x14ac:dyDescent="0.2">
      <c r="C1203" s="14" t="s">
        <v>781</v>
      </c>
    </row>
    <row r="1204" spans="3:3" x14ac:dyDescent="0.2">
      <c r="C1204" s="14" t="s">
        <v>782</v>
      </c>
    </row>
    <row r="1205" spans="3:3" x14ac:dyDescent="0.2">
      <c r="C1205" s="14" t="s">
        <v>783</v>
      </c>
    </row>
    <row r="1206" spans="3:3" x14ac:dyDescent="0.2">
      <c r="C1206" s="14" t="s">
        <v>784</v>
      </c>
    </row>
    <row r="1207" spans="3:3" x14ac:dyDescent="0.2">
      <c r="C1207" s="14" t="s">
        <v>785</v>
      </c>
    </row>
    <row r="1208" spans="3:3" x14ac:dyDescent="0.2">
      <c r="C1208" s="14" t="s">
        <v>787</v>
      </c>
    </row>
    <row r="1209" spans="3:3" x14ac:dyDescent="0.2">
      <c r="C1209" s="14" t="s">
        <v>788</v>
      </c>
    </row>
    <row r="1210" spans="3:3" x14ac:dyDescent="0.2">
      <c r="C1210" s="14" t="s">
        <v>789</v>
      </c>
    </row>
    <row r="1211" spans="3:3" x14ac:dyDescent="0.2">
      <c r="C1211" s="14" t="s">
        <v>790</v>
      </c>
    </row>
    <row r="1212" spans="3:3" x14ac:dyDescent="0.2">
      <c r="C1212" s="14" t="s">
        <v>791</v>
      </c>
    </row>
    <row r="1213" spans="3:3" x14ac:dyDescent="0.2">
      <c r="C1213" s="14" t="s">
        <v>792</v>
      </c>
    </row>
    <row r="1214" spans="3:3" x14ac:dyDescent="0.2">
      <c r="C1214" s="14" t="s">
        <v>793</v>
      </c>
    </row>
    <row r="1215" spans="3:3" x14ac:dyDescent="0.2">
      <c r="C1215" s="14" t="s">
        <v>794</v>
      </c>
    </row>
    <row r="1216" spans="3:3" x14ac:dyDescent="0.2">
      <c r="C1216" s="14" t="s">
        <v>796</v>
      </c>
    </row>
    <row r="1217" spans="3:3" x14ac:dyDescent="0.2">
      <c r="C1217" s="14" t="s">
        <v>797</v>
      </c>
    </row>
    <row r="1218" spans="3:3" x14ac:dyDescent="0.2">
      <c r="C1218" s="14" t="s">
        <v>798</v>
      </c>
    </row>
    <row r="1219" spans="3:3" x14ac:dyDescent="0.2">
      <c r="C1219" s="14" t="s">
        <v>799</v>
      </c>
    </row>
    <row r="1220" spans="3:3" x14ac:dyDescent="0.2">
      <c r="C1220" s="14" t="s">
        <v>800</v>
      </c>
    </row>
    <row r="1221" spans="3:3" x14ac:dyDescent="0.2">
      <c r="C1221" s="14" t="s">
        <v>801</v>
      </c>
    </row>
    <row r="1222" spans="3:3" x14ac:dyDescent="0.2">
      <c r="C1222" s="14" t="s">
        <v>802</v>
      </c>
    </row>
    <row r="1223" spans="3:3" x14ac:dyDescent="0.2">
      <c r="C1223" s="14" t="s">
        <v>803</v>
      </c>
    </row>
    <row r="1224" spans="3:3" x14ac:dyDescent="0.2">
      <c r="C1224" s="14" t="s">
        <v>804</v>
      </c>
    </row>
    <row r="1225" spans="3:3" x14ac:dyDescent="0.2">
      <c r="C1225" s="14" t="s">
        <v>805</v>
      </c>
    </row>
    <row r="1226" spans="3:3" x14ac:dyDescent="0.2">
      <c r="C1226" s="14" t="s">
        <v>806</v>
      </c>
    </row>
    <row r="1227" spans="3:3" x14ac:dyDescent="0.2">
      <c r="C1227" s="14" t="s">
        <v>807</v>
      </c>
    </row>
    <row r="1228" spans="3:3" x14ac:dyDescent="0.2">
      <c r="C1228" s="14" t="s">
        <v>808</v>
      </c>
    </row>
    <row r="1229" spans="3:3" x14ac:dyDescent="0.2">
      <c r="C1229" s="14" t="s">
        <v>809</v>
      </c>
    </row>
    <row r="1230" spans="3:3" x14ac:dyDescent="0.2">
      <c r="C1230" s="14" t="s">
        <v>810</v>
      </c>
    </row>
    <row r="1231" spans="3:3" x14ac:dyDescent="0.2">
      <c r="C1231" s="14" t="s">
        <v>811</v>
      </c>
    </row>
    <row r="1232" spans="3:3" x14ac:dyDescent="0.2">
      <c r="C1232" s="14" t="s">
        <v>812</v>
      </c>
    </row>
    <row r="1233" spans="3:3" x14ac:dyDescent="0.2">
      <c r="C1233" s="14" t="s">
        <v>813</v>
      </c>
    </row>
    <row r="1234" spans="3:3" x14ac:dyDescent="0.2">
      <c r="C1234" s="14" t="s">
        <v>814</v>
      </c>
    </row>
    <row r="1235" spans="3:3" x14ac:dyDescent="0.2">
      <c r="C1235" s="14" t="s">
        <v>815</v>
      </c>
    </row>
    <row r="1236" spans="3:3" x14ac:dyDescent="0.2">
      <c r="C1236" s="14" t="s">
        <v>816</v>
      </c>
    </row>
    <row r="1237" spans="3:3" x14ac:dyDescent="0.2">
      <c r="C1237" s="14" t="s">
        <v>818</v>
      </c>
    </row>
    <row r="1238" spans="3:3" x14ac:dyDescent="0.2">
      <c r="C1238" s="14" t="s">
        <v>819</v>
      </c>
    </row>
    <row r="1239" spans="3:3" x14ac:dyDescent="0.2">
      <c r="C1239" s="14" t="s">
        <v>820</v>
      </c>
    </row>
    <row r="1240" spans="3:3" x14ac:dyDescent="0.2">
      <c r="C1240" s="14" t="s">
        <v>821</v>
      </c>
    </row>
    <row r="1241" spans="3:3" x14ac:dyDescent="0.2">
      <c r="C1241" s="14" t="s">
        <v>822</v>
      </c>
    </row>
    <row r="1242" spans="3:3" x14ac:dyDescent="0.2">
      <c r="C1242" s="14" t="s">
        <v>823</v>
      </c>
    </row>
    <row r="1243" spans="3:3" x14ac:dyDescent="0.2">
      <c r="C1243" s="14" t="s">
        <v>824</v>
      </c>
    </row>
    <row r="1244" spans="3:3" x14ac:dyDescent="0.2">
      <c r="C1244" s="14" t="s">
        <v>825</v>
      </c>
    </row>
    <row r="1245" spans="3:3" x14ac:dyDescent="0.2">
      <c r="C1245" s="14" t="s">
        <v>826</v>
      </c>
    </row>
    <row r="1248" spans="3:3" x14ac:dyDescent="0.2">
      <c r="C1248" s="14" t="s">
        <v>604</v>
      </c>
    </row>
    <row r="1249" spans="3:3" x14ac:dyDescent="0.2">
      <c r="C1249" s="14" t="s">
        <v>605</v>
      </c>
    </row>
    <row r="1250" spans="3:3" x14ac:dyDescent="0.2">
      <c r="C1250" s="14" t="s">
        <v>607</v>
      </c>
    </row>
    <row r="1251" spans="3:3" x14ac:dyDescent="0.2">
      <c r="C1251" s="14" t="s">
        <v>610</v>
      </c>
    </row>
    <row r="1252" spans="3:3" x14ac:dyDescent="0.2">
      <c r="C1252" s="14" t="s">
        <v>612</v>
      </c>
    </row>
    <row r="1253" spans="3:3" x14ac:dyDescent="0.2">
      <c r="C1253" s="14" t="s">
        <v>349</v>
      </c>
    </row>
    <row r="1255" spans="3:3" x14ac:dyDescent="0.2">
      <c r="C1255" s="14" t="s">
        <v>604</v>
      </c>
    </row>
    <row r="1256" spans="3:3" x14ac:dyDescent="0.2">
      <c r="C1256" s="14" t="s">
        <v>609</v>
      </c>
    </row>
    <row r="1257" spans="3:3" x14ac:dyDescent="0.2">
      <c r="C1257" s="14" t="s">
        <v>614</v>
      </c>
    </row>
    <row r="1258" spans="3:3" x14ac:dyDescent="0.2">
      <c r="C1258" s="14" t="s">
        <v>605</v>
      </c>
    </row>
    <row r="1259" spans="3:3" x14ac:dyDescent="0.2">
      <c r="C1259" s="14" t="s">
        <v>349</v>
      </c>
    </row>
    <row r="1261" spans="3:3" x14ac:dyDescent="0.2">
      <c r="C1261" s="14" t="s">
        <v>116</v>
      </c>
    </row>
    <row r="1262" spans="3:3" x14ac:dyDescent="0.2">
      <c r="C1262" s="14" t="s">
        <v>605</v>
      </c>
    </row>
    <row r="1263" spans="3:3" x14ac:dyDescent="0.2">
      <c r="C1263" s="14" t="s">
        <v>612</v>
      </c>
    </row>
    <row r="1264" spans="3:3" x14ac:dyDescent="0.2">
      <c r="C1264" s="14" t="s">
        <v>610</v>
      </c>
    </row>
    <row r="1265" spans="3:3" x14ac:dyDescent="0.2">
      <c r="C1265" s="14" t="s">
        <v>349</v>
      </c>
    </row>
    <row r="1267" spans="3:3" x14ac:dyDescent="0.2">
      <c r="C1267" s="14" t="s">
        <v>604</v>
      </c>
    </row>
    <row r="1268" spans="3:3" x14ac:dyDescent="0.2">
      <c r="C1268" s="14" t="s">
        <v>605</v>
      </c>
    </row>
    <row r="1269" spans="3:3" x14ac:dyDescent="0.2">
      <c r="C1269" s="14" t="s">
        <v>349</v>
      </c>
    </row>
    <row r="1272" spans="3:3" x14ac:dyDescent="0.2">
      <c r="C1272" s="14" t="s">
        <v>116</v>
      </c>
    </row>
    <row r="1273" spans="3:3" x14ac:dyDescent="0.2">
      <c r="C1273" s="14" t="s">
        <v>605</v>
      </c>
    </row>
    <row r="1274" spans="3:3" x14ac:dyDescent="0.2">
      <c r="C1274" s="14" t="s">
        <v>607</v>
      </c>
    </row>
    <row r="1275" spans="3:3" x14ac:dyDescent="0.2">
      <c r="C1275" s="14" t="s">
        <v>609</v>
      </c>
    </row>
    <row r="1276" spans="3:3" x14ac:dyDescent="0.2">
      <c r="C1276" s="14" t="s">
        <v>610</v>
      </c>
    </row>
    <row r="1277" spans="3:3" x14ac:dyDescent="0.2">
      <c r="C1277" s="14" t="s">
        <v>611</v>
      </c>
    </row>
    <row r="1278" spans="3:3" x14ac:dyDescent="0.2">
      <c r="C1278" s="14" t="s">
        <v>612</v>
      </c>
    </row>
    <row r="1279" spans="3:3" x14ac:dyDescent="0.2">
      <c r="C1279" s="14" t="s">
        <v>613</v>
      </c>
    </row>
    <row r="1280" spans="3:3" x14ac:dyDescent="0.2">
      <c r="C1280" s="14" t="s">
        <v>614</v>
      </c>
    </row>
    <row r="1281" spans="3:3" x14ac:dyDescent="0.2">
      <c r="C1281" s="14" t="s">
        <v>349</v>
      </c>
    </row>
    <row r="1283" spans="3:3" x14ac:dyDescent="0.2">
      <c r="C1283" s="14" t="s">
        <v>98</v>
      </c>
    </row>
    <row r="1284" spans="3:3" x14ac:dyDescent="0.2">
      <c r="C1284" s="14" t="s">
        <v>618</v>
      </c>
    </row>
    <row r="1285" spans="3:3" x14ac:dyDescent="0.2">
      <c r="C1285" s="14" t="s">
        <v>620</v>
      </c>
    </row>
    <row r="1286" spans="3:3" x14ac:dyDescent="0.2">
      <c r="C1286" s="14" t="s">
        <v>622</v>
      </c>
    </row>
    <row r="1287" spans="3:3" x14ac:dyDescent="0.2">
      <c r="C1287" s="14" t="s">
        <v>624</v>
      </c>
    </row>
    <row r="1288" spans="3:3" x14ac:dyDescent="0.2">
      <c r="C1288" s="14" t="s">
        <v>626</v>
      </c>
    </row>
    <row r="1289" spans="3:3" x14ac:dyDescent="0.2">
      <c r="C1289" s="14" t="s">
        <v>628</v>
      </c>
    </row>
    <row r="1290" spans="3:3" x14ac:dyDescent="0.2">
      <c r="C1290" s="14" t="s">
        <v>630</v>
      </c>
    </row>
    <row r="1291" spans="3:3" x14ac:dyDescent="0.2">
      <c r="C1291" s="14" t="s">
        <v>632</v>
      </c>
    </row>
    <row r="1292" spans="3:3" x14ac:dyDescent="0.2">
      <c r="C1292" s="14" t="s">
        <v>634</v>
      </c>
    </row>
    <row r="1293" spans="3:3" x14ac:dyDescent="0.2">
      <c r="C1293" s="14" t="s">
        <v>636</v>
      </c>
    </row>
    <row r="1294" spans="3:3" x14ac:dyDescent="0.2">
      <c r="C1294" s="14" t="s">
        <v>638</v>
      </c>
    </row>
    <row r="1295" spans="3:3" x14ac:dyDescent="0.2">
      <c r="C1295" s="14" t="s">
        <v>640</v>
      </c>
    </row>
    <row r="1296" spans="3:3" x14ac:dyDescent="0.2">
      <c r="C1296" s="14" t="s">
        <v>642</v>
      </c>
    </row>
    <row r="1297" spans="3:3" x14ac:dyDescent="0.2">
      <c r="C1297" s="14" t="s">
        <v>644</v>
      </c>
    </row>
    <row r="1298" spans="3:3" x14ac:dyDescent="0.2">
      <c r="C1298" s="14" t="s">
        <v>646</v>
      </c>
    </row>
    <row r="1299" spans="3:3" x14ac:dyDescent="0.2">
      <c r="C1299" s="14" t="s">
        <v>648</v>
      </c>
    </row>
    <row r="1300" spans="3:3" x14ac:dyDescent="0.2">
      <c r="C1300" s="14" t="s">
        <v>650</v>
      </c>
    </row>
    <row r="1301" spans="3:3" x14ac:dyDescent="0.2">
      <c r="C1301" s="14" t="s">
        <v>652</v>
      </c>
    </row>
    <row r="1302" spans="3:3" x14ac:dyDescent="0.2">
      <c r="C1302" s="14" t="s">
        <v>654</v>
      </c>
    </row>
    <row r="1303" spans="3:3" x14ac:dyDescent="0.2">
      <c r="C1303" s="14" t="s">
        <v>656</v>
      </c>
    </row>
    <row r="1304" spans="3:3" x14ac:dyDescent="0.2">
      <c r="C1304" s="14" t="s">
        <v>658</v>
      </c>
    </row>
    <row r="1305" spans="3:3" x14ac:dyDescent="0.2">
      <c r="C1305" s="14" t="s">
        <v>660</v>
      </c>
    </row>
    <row r="1306" spans="3:3" x14ac:dyDescent="0.2">
      <c r="C1306" s="14" t="s">
        <v>662</v>
      </c>
    </row>
    <row r="1307" spans="3:3" x14ac:dyDescent="0.2">
      <c r="C1307" s="14" t="s">
        <v>664</v>
      </c>
    </row>
    <row r="1308" spans="3:3" x14ac:dyDescent="0.2">
      <c r="C1308" s="14" t="s">
        <v>666</v>
      </c>
    </row>
    <row r="1309" spans="3:3" x14ac:dyDescent="0.2">
      <c r="C1309" s="14" t="s">
        <v>668</v>
      </c>
    </row>
    <row r="1310" spans="3:3" x14ac:dyDescent="0.2">
      <c r="C1310" s="14" t="s">
        <v>670</v>
      </c>
    </row>
    <row r="1311" spans="3:3" x14ac:dyDescent="0.2">
      <c r="C1311" s="14" t="s">
        <v>672</v>
      </c>
    </row>
    <row r="1312" spans="3:3" x14ac:dyDescent="0.2">
      <c r="C1312" s="14" t="s">
        <v>674</v>
      </c>
    </row>
    <row r="1313" spans="3:3" x14ac:dyDescent="0.2">
      <c r="C1313" s="14" t="s">
        <v>676</v>
      </c>
    </row>
    <row r="1314" spans="3:3" x14ac:dyDescent="0.2">
      <c r="C1314" s="14" t="s">
        <v>678</v>
      </c>
    </row>
    <row r="1315" spans="3:3" x14ac:dyDescent="0.2">
      <c r="C1315" s="14" t="s">
        <v>349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0" customWidth="1"/>
    <col min="2" max="2" width="48.75" style="50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98" t="s">
        <v>1319</v>
      </c>
      <c r="B1" s="99" t="s">
        <v>1320</v>
      </c>
      <c r="C1" s="99" t="s">
        <v>1321</v>
      </c>
      <c r="D1" s="100" t="s">
        <v>1322</v>
      </c>
    </row>
    <row r="2" spans="1:4" ht="15.75" hidden="1" outlineLevel="1" x14ac:dyDescent="0.2">
      <c r="A2" s="33" t="s">
        <v>24</v>
      </c>
      <c r="B2" s="34" t="s">
        <v>54</v>
      </c>
      <c r="C2" s="33">
        <v>5.0999999999999996</v>
      </c>
      <c r="D2" s="102"/>
    </row>
    <row r="3" spans="1:4" ht="15.75" hidden="1" outlineLevel="1" x14ac:dyDescent="0.2">
      <c r="A3" s="33" t="s">
        <v>24</v>
      </c>
      <c r="B3" s="34" t="s">
        <v>55</v>
      </c>
      <c r="C3" s="33">
        <v>5.2</v>
      </c>
      <c r="D3" s="102"/>
    </row>
    <row r="4" spans="1:4" ht="15.75" hidden="1" outlineLevel="1" x14ac:dyDescent="0.2">
      <c r="A4" s="33" t="s">
        <v>24</v>
      </c>
      <c r="B4" s="34" t="s">
        <v>56</v>
      </c>
      <c r="C4" s="33">
        <v>5.4</v>
      </c>
      <c r="D4" s="102"/>
    </row>
    <row r="5" spans="1:4" ht="15.75" hidden="1" outlineLevel="1" x14ac:dyDescent="0.2">
      <c r="A5" s="33" t="s">
        <v>24</v>
      </c>
      <c r="B5" s="34" t="s">
        <v>57</v>
      </c>
      <c r="C5" s="33">
        <v>5.7</v>
      </c>
      <c r="D5" s="102"/>
    </row>
    <row r="6" spans="1:4" ht="15.75" hidden="1" outlineLevel="1" x14ac:dyDescent="0.2">
      <c r="A6" s="33" t="s">
        <v>24</v>
      </c>
      <c r="B6" s="34" t="s">
        <v>58</v>
      </c>
      <c r="C6" s="33">
        <v>5.1100000000000003</v>
      </c>
      <c r="D6" s="102"/>
    </row>
    <row r="7" spans="1:4" ht="15.75" hidden="1" outlineLevel="1" x14ac:dyDescent="0.2">
      <c r="A7" s="33" t="s">
        <v>24</v>
      </c>
      <c r="B7" s="34" t="s">
        <v>59</v>
      </c>
      <c r="C7" s="33">
        <v>5.26</v>
      </c>
      <c r="D7" s="102"/>
    </row>
    <row r="8" spans="1:4" ht="15.75" hidden="1" outlineLevel="1" x14ac:dyDescent="0.2">
      <c r="A8" s="33" t="s">
        <v>24</v>
      </c>
      <c r="B8" s="34" t="s">
        <v>60</v>
      </c>
      <c r="C8" s="33">
        <v>5.27</v>
      </c>
      <c r="D8" s="102"/>
    </row>
    <row r="9" spans="1:4" ht="15.75" hidden="1" outlineLevel="1" x14ac:dyDescent="0.2">
      <c r="A9" s="33" t="s">
        <v>24</v>
      </c>
      <c r="B9" s="34" t="s">
        <v>61</v>
      </c>
      <c r="C9" s="33">
        <v>5.36</v>
      </c>
      <c r="D9" s="102"/>
    </row>
    <row r="10" spans="1:4" ht="15.75" hidden="1" outlineLevel="1" x14ac:dyDescent="0.2">
      <c r="A10" s="33" t="s">
        <v>24</v>
      </c>
      <c r="B10" s="34" t="s">
        <v>62</v>
      </c>
      <c r="C10" s="35">
        <v>5.5</v>
      </c>
      <c r="D10" s="102"/>
    </row>
    <row r="11" spans="1:4" ht="15.75" hidden="1" outlineLevel="1" x14ac:dyDescent="0.2">
      <c r="A11" s="33" t="s">
        <v>24</v>
      </c>
      <c r="B11" s="34" t="s">
        <v>63</v>
      </c>
      <c r="C11" s="33">
        <v>5.51</v>
      </c>
      <c r="D11" s="102"/>
    </row>
    <row r="12" spans="1:4" ht="15.75" hidden="1" outlineLevel="1" x14ac:dyDescent="0.2">
      <c r="A12" s="33" t="s">
        <v>24</v>
      </c>
      <c r="B12" s="34" t="s">
        <v>64</v>
      </c>
      <c r="C12" s="33">
        <v>5.53</v>
      </c>
      <c r="D12" s="102"/>
    </row>
    <row r="13" spans="1:4" ht="15.75" hidden="1" outlineLevel="1" x14ac:dyDescent="0.2">
      <c r="A13" s="33" t="s">
        <v>24</v>
      </c>
      <c r="B13" s="34" t="s">
        <v>65</v>
      </c>
      <c r="C13" s="33">
        <v>5.59</v>
      </c>
      <c r="D13" s="102"/>
    </row>
    <row r="14" spans="1:4" ht="15.75" hidden="1" outlineLevel="1" x14ac:dyDescent="0.2">
      <c r="A14" s="33" t="s">
        <v>24</v>
      </c>
      <c r="B14" s="34" t="s">
        <v>66</v>
      </c>
      <c r="C14" s="33">
        <v>5.54</v>
      </c>
      <c r="D14" s="102"/>
    </row>
    <row r="15" spans="1:4" ht="15.75" hidden="1" outlineLevel="1" x14ac:dyDescent="0.2">
      <c r="A15" s="33" t="s">
        <v>24</v>
      </c>
      <c r="B15" s="34" t="s">
        <v>67</v>
      </c>
      <c r="C15" s="35">
        <v>5.7</v>
      </c>
      <c r="D15" s="101" t="s">
        <v>1323</v>
      </c>
    </row>
    <row r="16" spans="1:4" ht="15.75" hidden="1" outlineLevel="1" x14ac:dyDescent="0.2">
      <c r="A16" s="33" t="s">
        <v>24</v>
      </c>
      <c r="B16" s="34" t="s">
        <v>68</v>
      </c>
      <c r="C16" s="33">
        <v>5.63</v>
      </c>
      <c r="D16" s="102"/>
    </row>
    <row r="17" spans="1:4" ht="15.75" hidden="1" outlineLevel="1" x14ac:dyDescent="0.2">
      <c r="A17" s="33" t="s">
        <v>24</v>
      </c>
      <c r="B17" s="34" t="s">
        <v>69</v>
      </c>
      <c r="C17" s="33">
        <v>5.47</v>
      </c>
      <c r="D17" s="102"/>
    </row>
    <row r="18" spans="1:4" ht="15.75" hidden="1" outlineLevel="1" x14ac:dyDescent="0.2">
      <c r="A18" s="33" t="s">
        <v>24</v>
      </c>
      <c r="B18" s="34" t="s">
        <v>70</v>
      </c>
      <c r="C18" s="33">
        <v>5.48</v>
      </c>
      <c r="D18" s="102"/>
    </row>
    <row r="19" spans="1:4" ht="15.75" x14ac:dyDescent="0.2">
      <c r="A19" s="38" t="s">
        <v>24</v>
      </c>
      <c r="B19" s="34"/>
      <c r="C19" s="33"/>
      <c r="D19" s="102"/>
    </row>
    <row r="20" spans="1:4" ht="15.75" hidden="1" outlineLevel="1" x14ac:dyDescent="0.2">
      <c r="A20" s="33" t="s">
        <v>25</v>
      </c>
      <c r="B20" s="34" t="s">
        <v>54</v>
      </c>
      <c r="C20" s="33">
        <v>5.0999999999999996</v>
      </c>
      <c r="D20" s="102"/>
    </row>
    <row r="21" spans="1:4" ht="15.75" hidden="1" outlineLevel="1" x14ac:dyDescent="0.2">
      <c r="A21" s="33" t="s">
        <v>25</v>
      </c>
      <c r="B21" s="34" t="s">
        <v>55</v>
      </c>
      <c r="C21" s="33">
        <v>5.2</v>
      </c>
      <c r="D21" s="102"/>
    </row>
    <row r="22" spans="1:4" ht="15.75" hidden="1" outlineLevel="1" x14ac:dyDescent="0.2">
      <c r="A22" s="33" t="s">
        <v>25</v>
      </c>
      <c r="B22" s="34" t="s">
        <v>80</v>
      </c>
      <c r="C22" s="33">
        <v>5.3</v>
      </c>
      <c r="D22" s="102"/>
    </row>
    <row r="23" spans="1:4" ht="15.75" hidden="1" outlineLevel="1" x14ac:dyDescent="0.2">
      <c r="A23" s="33" t="s">
        <v>25</v>
      </c>
      <c r="B23" s="34" t="s">
        <v>260</v>
      </c>
      <c r="C23" s="33">
        <v>5.14</v>
      </c>
      <c r="D23" s="102"/>
    </row>
    <row r="24" spans="1:4" ht="15.75" hidden="1" outlineLevel="1" x14ac:dyDescent="0.2">
      <c r="A24" s="33" t="s">
        <v>25</v>
      </c>
      <c r="B24" s="34" t="s">
        <v>82</v>
      </c>
      <c r="C24" s="33">
        <v>5.19</v>
      </c>
      <c r="D24" s="102"/>
    </row>
    <row r="25" spans="1:4" ht="15.75" hidden="1" outlineLevel="1" x14ac:dyDescent="0.2">
      <c r="A25" s="33" t="s">
        <v>25</v>
      </c>
      <c r="B25" s="34" t="s">
        <v>59</v>
      </c>
      <c r="C25" s="33">
        <v>5.26</v>
      </c>
      <c r="D25" s="102"/>
    </row>
    <row r="26" spans="1:4" ht="15.75" hidden="1" outlineLevel="1" x14ac:dyDescent="0.2">
      <c r="A26" s="33" t="s">
        <v>25</v>
      </c>
      <c r="B26" s="34" t="s">
        <v>60</v>
      </c>
      <c r="C26" s="33">
        <v>5.27</v>
      </c>
      <c r="D26" s="102"/>
    </row>
    <row r="27" spans="1:4" ht="15.75" hidden="1" outlineLevel="1" x14ac:dyDescent="0.2">
      <c r="A27" s="33" t="s">
        <v>25</v>
      </c>
      <c r="B27" s="34" t="s">
        <v>83</v>
      </c>
      <c r="C27" s="33">
        <v>5.28</v>
      </c>
      <c r="D27" s="102"/>
    </row>
    <row r="28" spans="1:4" ht="15.75" hidden="1" outlineLevel="1" x14ac:dyDescent="0.2">
      <c r="A28" s="33" t="s">
        <v>25</v>
      </c>
      <c r="B28" s="34" t="s">
        <v>84</v>
      </c>
      <c r="C28" s="35">
        <v>5.3</v>
      </c>
      <c r="D28" s="102"/>
    </row>
    <row r="29" spans="1:4" ht="15.75" hidden="1" outlineLevel="1" x14ac:dyDescent="0.2">
      <c r="A29" s="33" t="s">
        <v>25</v>
      </c>
      <c r="B29" s="34" t="s">
        <v>85</v>
      </c>
      <c r="C29" s="33">
        <v>5.49</v>
      </c>
      <c r="D29" s="102"/>
    </row>
    <row r="30" spans="1:4" ht="15.75" hidden="1" outlineLevel="1" x14ac:dyDescent="0.2">
      <c r="A30" s="33" t="s">
        <v>25</v>
      </c>
      <c r="B30" s="34" t="s">
        <v>63</v>
      </c>
      <c r="C30" s="33">
        <v>5.51</v>
      </c>
      <c r="D30" s="102"/>
    </row>
    <row r="31" spans="1:4" ht="15.75" hidden="1" outlineLevel="1" x14ac:dyDescent="0.2">
      <c r="A31" s="33" t="s">
        <v>25</v>
      </c>
      <c r="B31" s="34" t="s">
        <v>64</v>
      </c>
      <c r="C31" s="33">
        <v>5.53</v>
      </c>
      <c r="D31" s="102"/>
    </row>
    <row r="32" spans="1:4" ht="15.75" hidden="1" outlineLevel="1" x14ac:dyDescent="0.2">
      <c r="A32" s="33" t="s">
        <v>25</v>
      </c>
      <c r="B32" s="34" t="s">
        <v>86</v>
      </c>
      <c r="C32" s="33">
        <v>5.69</v>
      </c>
      <c r="D32" s="102"/>
    </row>
    <row r="33" spans="1:4" ht="15.75" hidden="1" outlineLevel="1" x14ac:dyDescent="0.2">
      <c r="A33" s="33" t="s">
        <v>25</v>
      </c>
      <c r="B33" s="34" t="s">
        <v>87</v>
      </c>
      <c r="C33" s="33">
        <v>5.75</v>
      </c>
      <c r="D33" s="102"/>
    </row>
    <row r="34" spans="1:4" ht="15.75" hidden="1" outlineLevel="1" x14ac:dyDescent="0.2">
      <c r="A34" s="33" t="s">
        <v>25</v>
      </c>
      <c r="B34" s="34" t="s">
        <v>67</v>
      </c>
      <c r="C34" s="35">
        <v>5.7</v>
      </c>
      <c r="D34" s="102"/>
    </row>
    <row r="35" spans="1:4" ht="15.75" hidden="1" outlineLevel="1" x14ac:dyDescent="0.2">
      <c r="A35" s="33" t="s">
        <v>25</v>
      </c>
      <c r="B35" s="34" t="s">
        <v>88</v>
      </c>
      <c r="C35" s="33">
        <v>5.74</v>
      </c>
      <c r="D35" s="102"/>
    </row>
    <row r="36" spans="1:4" ht="15.75" hidden="1" outlineLevel="1" x14ac:dyDescent="0.2">
      <c r="A36" s="33" t="s">
        <v>25</v>
      </c>
      <c r="B36" s="34" t="s">
        <v>89</v>
      </c>
      <c r="C36" s="33">
        <v>5.62</v>
      </c>
      <c r="D36" s="102"/>
    </row>
    <row r="37" spans="1:4" ht="15.75" hidden="1" outlineLevel="1" x14ac:dyDescent="0.2">
      <c r="A37" s="33" t="s">
        <v>25</v>
      </c>
      <c r="B37" s="34" t="s">
        <v>90</v>
      </c>
      <c r="C37" s="33">
        <v>5.58</v>
      </c>
      <c r="D37" s="102"/>
    </row>
    <row r="38" spans="1:4" ht="15.75" hidden="1" outlineLevel="1" x14ac:dyDescent="0.2">
      <c r="A38" s="33" t="s">
        <v>25</v>
      </c>
      <c r="B38" s="34" t="s">
        <v>66</v>
      </c>
      <c r="C38" s="33">
        <v>5.54</v>
      </c>
      <c r="D38" s="102"/>
    </row>
    <row r="39" spans="1:4" ht="15.75" hidden="1" outlineLevel="1" x14ac:dyDescent="0.2">
      <c r="A39" s="33" t="s">
        <v>25</v>
      </c>
      <c r="B39" s="34" t="s">
        <v>91</v>
      </c>
      <c r="C39" s="33">
        <v>5.55</v>
      </c>
      <c r="D39" s="102"/>
    </row>
    <row r="40" spans="1:4" ht="15.75" hidden="1" outlineLevel="1" x14ac:dyDescent="0.2">
      <c r="A40" s="33" t="s">
        <v>25</v>
      </c>
      <c r="B40" s="34" t="s">
        <v>68</v>
      </c>
      <c r="C40" s="33">
        <v>5.63</v>
      </c>
      <c r="D40" s="102"/>
    </row>
    <row r="41" spans="1:4" ht="15.75" hidden="1" outlineLevel="1" x14ac:dyDescent="0.2">
      <c r="A41" s="33" t="s">
        <v>25</v>
      </c>
      <c r="B41" s="34" t="s">
        <v>92</v>
      </c>
      <c r="C41" s="33">
        <v>5.65</v>
      </c>
      <c r="D41" s="102"/>
    </row>
    <row r="42" spans="1:4" ht="15.75" hidden="1" outlineLevel="1" x14ac:dyDescent="0.2">
      <c r="A42" s="33" t="s">
        <v>25</v>
      </c>
      <c r="B42" s="34" t="s">
        <v>22</v>
      </c>
      <c r="C42" s="33">
        <v>5.68</v>
      </c>
      <c r="D42" s="102"/>
    </row>
    <row r="43" spans="1:4" ht="15.75" hidden="1" outlineLevel="1" x14ac:dyDescent="0.2">
      <c r="A43" s="33" t="s">
        <v>25</v>
      </c>
      <c r="B43" s="34" t="s">
        <v>93</v>
      </c>
      <c r="C43" s="33">
        <v>5.45</v>
      </c>
      <c r="D43" s="102"/>
    </row>
    <row r="44" spans="1:4" ht="15.75" hidden="1" outlineLevel="1" x14ac:dyDescent="0.2">
      <c r="A44" s="33" t="s">
        <v>25</v>
      </c>
      <c r="B44" s="34" t="s">
        <v>69</v>
      </c>
      <c r="C44" s="33">
        <v>5.47</v>
      </c>
      <c r="D44" s="102"/>
    </row>
    <row r="45" spans="1:4" ht="15.75" hidden="1" outlineLevel="1" x14ac:dyDescent="0.2">
      <c r="A45" s="33" t="s">
        <v>25</v>
      </c>
      <c r="B45" s="34" t="s">
        <v>70</v>
      </c>
      <c r="C45" s="33">
        <v>5.48</v>
      </c>
      <c r="D45" s="102"/>
    </row>
    <row r="46" spans="1:4" ht="15.75" x14ac:dyDescent="0.2">
      <c r="A46" s="38" t="s">
        <v>25</v>
      </c>
      <c r="B46" s="34"/>
      <c r="C46" s="33"/>
      <c r="D46" s="102"/>
    </row>
    <row r="47" spans="1:4" ht="15.75" hidden="1" outlineLevel="1" x14ac:dyDescent="0.2">
      <c r="A47" s="33" t="s">
        <v>26</v>
      </c>
      <c r="B47" s="34" t="s">
        <v>54</v>
      </c>
      <c r="C47" s="33">
        <v>5.0999999999999996</v>
      </c>
      <c r="D47" s="102"/>
    </row>
    <row r="48" spans="1:4" ht="15.75" hidden="1" outlineLevel="1" x14ac:dyDescent="0.2">
      <c r="A48" s="33" t="s">
        <v>26</v>
      </c>
      <c r="B48" s="34" t="s">
        <v>55</v>
      </c>
      <c r="C48" s="33">
        <v>5.2</v>
      </c>
      <c r="D48" s="102"/>
    </row>
    <row r="49" spans="1:4" ht="15.75" hidden="1" outlineLevel="1" x14ac:dyDescent="0.2">
      <c r="A49" s="33" t="s">
        <v>26</v>
      </c>
      <c r="B49" s="34" t="s">
        <v>80</v>
      </c>
      <c r="C49" s="33">
        <v>5.3</v>
      </c>
      <c r="D49" s="102"/>
    </row>
    <row r="50" spans="1:4" ht="15.75" hidden="1" outlineLevel="1" x14ac:dyDescent="0.2">
      <c r="A50" s="33" t="s">
        <v>26</v>
      </c>
      <c r="B50" s="34" t="s">
        <v>100</v>
      </c>
      <c r="C50" s="33">
        <v>5.6</v>
      </c>
      <c r="D50" s="102"/>
    </row>
    <row r="51" spans="1:4" ht="15.75" hidden="1" outlineLevel="1" x14ac:dyDescent="0.2">
      <c r="A51" s="33" t="s">
        <v>26</v>
      </c>
      <c r="B51" s="34" t="s">
        <v>1324</v>
      </c>
      <c r="C51" s="35">
        <v>5.0999999999999996</v>
      </c>
      <c r="D51" s="102"/>
    </row>
    <row r="52" spans="1:4" ht="15.75" hidden="1" outlineLevel="1" x14ac:dyDescent="0.2">
      <c r="A52" s="33" t="s">
        <v>26</v>
      </c>
      <c r="B52" s="34" t="s">
        <v>260</v>
      </c>
      <c r="C52" s="33">
        <v>5.14</v>
      </c>
      <c r="D52" s="102"/>
    </row>
    <row r="53" spans="1:4" ht="15.75" hidden="1" outlineLevel="1" x14ac:dyDescent="0.2">
      <c r="A53" s="33" t="s">
        <v>26</v>
      </c>
      <c r="B53" s="34" t="s">
        <v>82</v>
      </c>
      <c r="C53" s="33">
        <v>5.19</v>
      </c>
      <c r="D53" s="102"/>
    </row>
    <row r="54" spans="1:4" ht="15.75" hidden="1" outlineLevel="1" x14ac:dyDescent="0.2">
      <c r="A54" s="33" t="s">
        <v>26</v>
      </c>
      <c r="B54" s="34" t="s">
        <v>102</v>
      </c>
      <c r="C54" s="33">
        <v>5.24</v>
      </c>
      <c r="D54" s="102"/>
    </row>
    <row r="55" spans="1:4" ht="15.75" hidden="1" outlineLevel="1" x14ac:dyDescent="0.2">
      <c r="A55" s="33" t="s">
        <v>26</v>
      </c>
      <c r="B55" s="34" t="s">
        <v>59</v>
      </c>
      <c r="C55" s="33">
        <v>5.26</v>
      </c>
      <c r="D55" s="102"/>
    </row>
    <row r="56" spans="1:4" ht="15.75" hidden="1" outlineLevel="1" x14ac:dyDescent="0.2">
      <c r="A56" s="33" t="s">
        <v>26</v>
      </c>
      <c r="B56" s="34" t="s">
        <v>60</v>
      </c>
      <c r="C56" s="33">
        <v>5.27</v>
      </c>
      <c r="D56" s="102"/>
    </row>
    <row r="57" spans="1:4" ht="15.75" hidden="1" outlineLevel="1" x14ac:dyDescent="0.2">
      <c r="A57" s="33" t="s">
        <v>26</v>
      </c>
      <c r="B57" s="34" t="s">
        <v>83</v>
      </c>
      <c r="C57" s="33">
        <v>5.28</v>
      </c>
      <c r="D57" s="102"/>
    </row>
    <row r="58" spans="1:4" ht="15.75" hidden="1" outlineLevel="1" x14ac:dyDescent="0.2">
      <c r="A58" s="33" t="s">
        <v>26</v>
      </c>
      <c r="B58" s="34" t="s">
        <v>84</v>
      </c>
      <c r="C58" s="35">
        <v>5.3</v>
      </c>
      <c r="D58" s="102"/>
    </row>
    <row r="59" spans="1:4" ht="15.75" hidden="1" outlineLevel="1" x14ac:dyDescent="0.2">
      <c r="A59" s="33" t="s">
        <v>26</v>
      </c>
      <c r="B59" s="34" t="s">
        <v>103</v>
      </c>
      <c r="C59" s="33">
        <v>5.31</v>
      </c>
      <c r="D59" s="102"/>
    </row>
    <row r="60" spans="1:4" ht="15.75" hidden="1" outlineLevel="1" x14ac:dyDescent="0.2">
      <c r="A60" s="33" t="s">
        <v>26</v>
      </c>
      <c r="B60" s="34" t="s">
        <v>61</v>
      </c>
      <c r="C60" s="33">
        <v>5.36</v>
      </c>
      <c r="D60" s="102"/>
    </row>
    <row r="61" spans="1:4" ht="15.75" hidden="1" outlineLevel="1" x14ac:dyDescent="0.2">
      <c r="A61" s="33" t="s">
        <v>26</v>
      </c>
      <c r="B61" s="34" t="s">
        <v>85</v>
      </c>
      <c r="C61" s="33">
        <v>5.49</v>
      </c>
      <c r="D61" s="102"/>
    </row>
    <row r="62" spans="1:4" ht="15.75" hidden="1" outlineLevel="1" x14ac:dyDescent="0.2">
      <c r="A62" s="33" t="s">
        <v>26</v>
      </c>
      <c r="B62" s="34" t="s">
        <v>63</v>
      </c>
      <c r="C62" s="33">
        <v>5.51</v>
      </c>
      <c r="D62" s="102"/>
    </row>
    <row r="63" spans="1:4" ht="15.75" hidden="1" outlineLevel="1" x14ac:dyDescent="0.2">
      <c r="A63" s="33" t="s">
        <v>26</v>
      </c>
      <c r="B63" s="34" t="s">
        <v>1325</v>
      </c>
      <c r="C63" s="33">
        <v>5.52</v>
      </c>
      <c r="D63" s="102"/>
    </row>
    <row r="64" spans="1:4" ht="15.75" hidden="1" outlineLevel="1" x14ac:dyDescent="0.2">
      <c r="A64" s="33" t="s">
        <v>26</v>
      </c>
      <c r="B64" s="34" t="s">
        <v>64</v>
      </c>
      <c r="C64" s="33">
        <v>5.53</v>
      </c>
      <c r="D64" s="102"/>
    </row>
    <row r="65" spans="1:4" ht="15.75" hidden="1" outlineLevel="1" x14ac:dyDescent="0.2">
      <c r="A65" s="33" t="s">
        <v>26</v>
      </c>
      <c r="B65" s="34" t="s">
        <v>86</v>
      </c>
      <c r="C65" s="33">
        <v>5.69</v>
      </c>
      <c r="D65" s="102"/>
    </row>
    <row r="66" spans="1:4" ht="15.75" hidden="1" outlineLevel="1" x14ac:dyDescent="0.2">
      <c r="A66" s="33" t="s">
        <v>26</v>
      </c>
      <c r="B66" s="34" t="s">
        <v>105</v>
      </c>
      <c r="C66" s="35">
        <v>5.72</v>
      </c>
      <c r="D66" s="102"/>
    </row>
    <row r="67" spans="1:4" ht="15.75" hidden="1" outlineLevel="1" x14ac:dyDescent="0.2">
      <c r="A67" s="33" t="s">
        <v>26</v>
      </c>
      <c r="B67" s="34" t="s">
        <v>87</v>
      </c>
      <c r="C67" s="33">
        <v>5.75</v>
      </c>
      <c r="D67" s="102"/>
    </row>
    <row r="68" spans="1:4" ht="15.75" hidden="1" outlineLevel="1" x14ac:dyDescent="0.2">
      <c r="A68" s="33" t="s">
        <v>26</v>
      </c>
      <c r="B68" s="34" t="s">
        <v>67</v>
      </c>
      <c r="C68" s="35">
        <v>5.7</v>
      </c>
      <c r="D68" s="102"/>
    </row>
    <row r="69" spans="1:4" ht="15.75" hidden="1" outlineLevel="1" x14ac:dyDescent="0.2">
      <c r="A69" s="33" t="s">
        <v>26</v>
      </c>
      <c r="B69" s="34" t="s">
        <v>88</v>
      </c>
      <c r="C69" s="33">
        <v>5.74</v>
      </c>
      <c r="D69" s="102"/>
    </row>
    <row r="70" spans="1:4" ht="15.75" hidden="1" outlineLevel="1" x14ac:dyDescent="0.2">
      <c r="A70" s="33" t="s">
        <v>26</v>
      </c>
      <c r="B70" s="34" t="s">
        <v>106</v>
      </c>
      <c r="C70" s="33">
        <v>5.76</v>
      </c>
      <c r="D70" s="102"/>
    </row>
    <row r="71" spans="1:4" ht="15.75" hidden="1" outlineLevel="1" x14ac:dyDescent="0.2">
      <c r="A71" s="33" t="s">
        <v>26</v>
      </c>
      <c r="B71" s="34" t="s">
        <v>107</v>
      </c>
      <c r="C71" s="33">
        <v>5.89</v>
      </c>
      <c r="D71" s="101" t="s">
        <v>1323</v>
      </c>
    </row>
    <row r="72" spans="1:4" ht="15.75" hidden="1" outlineLevel="1" x14ac:dyDescent="0.2">
      <c r="A72" s="33" t="s">
        <v>26</v>
      </c>
      <c r="B72" s="34" t="s">
        <v>90</v>
      </c>
      <c r="C72" s="33">
        <v>5.58</v>
      </c>
      <c r="D72" s="102"/>
    </row>
    <row r="73" spans="1:4" ht="15.75" hidden="1" outlineLevel="1" x14ac:dyDescent="0.2">
      <c r="A73" s="33" t="s">
        <v>26</v>
      </c>
      <c r="B73" s="34" t="s">
        <v>89</v>
      </c>
      <c r="C73" s="33">
        <v>5.62</v>
      </c>
      <c r="D73" s="102"/>
    </row>
    <row r="74" spans="1:4" ht="15.75" hidden="1" outlineLevel="1" x14ac:dyDescent="0.2">
      <c r="A74" s="33" t="s">
        <v>26</v>
      </c>
      <c r="B74" s="34" t="s">
        <v>66</v>
      </c>
      <c r="C74" s="33">
        <v>5.54</v>
      </c>
      <c r="D74" s="102"/>
    </row>
    <row r="75" spans="1:4" ht="15.75" hidden="1" outlineLevel="1" x14ac:dyDescent="0.2">
      <c r="A75" s="33" t="s">
        <v>26</v>
      </c>
      <c r="B75" s="34" t="s">
        <v>91</v>
      </c>
      <c r="C75" s="33">
        <v>5.55</v>
      </c>
      <c r="D75" s="102"/>
    </row>
    <row r="76" spans="1:4" ht="15.75" hidden="1" outlineLevel="1" x14ac:dyDescent="0.2">
      <c r="A76" s="33" t="s">
        <v>26</v>
      </c>
      <c r="B76" s="34" t="s">
        <v>68</v>
      </c>
      <c r="C76" s="33">
        <v>5.63</v>
      </c>
      <c r="D76" s="102"/>
    </row>
    <row r="77" spans="1:4" ht="15.75" hidden="1" outlineLevel="1" x14ac:dyDescent="0.2">
      <c r="A77" s="33" t="s">
        <v>26</v>
      </c>
      <c r="B77" s="34" t="s">
        <v>92</v>
      </c>
      <c r="C77" s="33">
        <v>5.65</v>
      </c>
      <c r="D77" s="102"/>
    </row>
    <row r="78" spans="1:4" ht="15.75" hidden="1" outlineLevel="1" x14ac:dyDescent="0.2">
      <c r="A78" s="33" t="s">
        <v>26</v>
      </c>
      <c r="B78" s="34" t="s">
        <v>108</v>
      </c>
      <c r="C78" s="33">
        <v>5.66</v>
      </c>
      <c r="D78" s="102"/>
    </row>
    <row r="79" spans="1:4" ht="15.75" hidden="1" outlineLevel="1" x14ac:dyDescent="0.2">
      <c r="A79" s="33" t="s">
        <v>26</v>
      </c>
      <c r="B79" s="34" t="s">
        <v>22</v>
      </c>
      <c r="C79" s="33">
        <v>5.68</v>
      </c>
      <c r="D79" s="102"/>
    </row>
    <row r="80" spans="1:4" ht="15.75" hidden="1" outlineLevel="1" x14ac:dyDescent="0.2">
      <c r="A80" s="33" t="s">
        <v>26</v>
      </c>
      <c r="B80" s="34" t="s">
        <v>93</v>
      </c>
      <c r="C80" s="33">
        <v>5.45</v>
      </c>
      <c r="D80" s="102"/>
    </row>
    <row r="81" spans="1:4" ht="15.75" hidden="1" outlineLevel="1" x14ac:dyDescent="0.2">
      <c r="A81" s="33" t="s">
        <v>26</v>
      </c>
      <c r="B81" s="34" t="s">
        <v>69</v>
      </c>
      <c r="C81" s="33">
        <v>5.47</v>
      </c>
      <c r="D81" s="102"/>
    </row>
    <row r="82" spans="1:4" ht="15.75" hidden="1" outlineLevel="1" x14ac:dyDescent="0.2">
      <c r="A82" s="33" t="s">
        <v>26</v>
      </c>
      <c r="B82" s="34" t="s">
        <v>70</v>
      </c>
      <c r="C82" s="33">
        <v>5.48</v>
      </c>
      <c r="D82" s="102"/>
    </row>
    <row r="83" spans="1:4" ht="15.75" x14ac:dyDescent="0.2">
      <c r="A83" s="38" t="s">
        <v>26</v>
      </c>
      <c r="B83" s="34"/>
      <c r="C83" s="33"/>
      <c r="D83" s="102"/>
    </row>
    <row r="84" spans="1:4" ht="15.75" hidden="1" outlineLevel="1" x14ac:dyDescent="0.2">
      <c r="A84" s="33" t="s">
        <v>27</v>
      </c>
      <c r="B84" s="34" t="s">
        <v>54</v>
      </c>
      <c r="C84" s="33">
        <v>5.0999999999999996</v>
      </c>
      <c r="D84" s="102"/>
    </row>
    <row r="85" spans="1:4" ht="15.75" hidden="1" outlineLevel="1" x14ac:dyDescent="0.2">
      <c r="A85" s="33" t="s">
        <v>27</v>
      </c>
      <c r="B85" s="34" t="s">
        <v>55</v>
      </c>
      <c r="C85" s="33">
        <v>5.2</v>
      </c>
      <c r="D85" s="102"/>
    </row>
    <row r="86" spans="1:4" ht="15.75" hidden="1" outlineLevel="1" x14ac:dyDescent="0.2">
      <c r="A86" s="33" t="s">
        <v>27</v>
      </c>
      <c r="B86" s="34" t="s">
        <v>80</v>
      </c>
      <c r="C86" s="33">
        <v>5.3</v>
      </c>
      <c r="D86" s="102"/>
    </row>
    <row r="87" spans="1:4" ht="15.75" hidden="1" outlineLevel="1" x14ac:dyDescent="0.2">
      <c r="A87" s="33" t="s">
        <v>27</v>
      </c>
      <c r="B87" s="34" t="s">
        <v>100</v>
      </c>
      <c r="C87" s="33">
        <v>5.6</v>
      </c>
      <c r="D87" s="102"/>
    </row>
    <row r="88" spans="1:4" ht="15.75" hidden="1" outlineLevel="1" x14ac:dyDescent="0.2">
      <c r="A88" s="33" t="s">
        <v>27</v>
      </c>
      <c r="B88" s="34" t="s">
        <v>1324</v>
      </c>
      <c r="C88" s="35">
        <v>5.0999999999999996</v>
      </c>
      <c r="D88" s="102"/>
    </row>
    <row r="89" spans="1:4" ht="15.75" hidden="1" outlineLevel="1" x14ac:dyDescent="0.2">
      <c r="A89" s="33" t="s">
        <v>27</v>
      </c>
      <c r="B89" s="34" t="s">
        <v>260</v>
      </c>
      <c r="C89" s="33">
        <v>5.14</v>
      </c>
      <c r="D89" s="102"/>
    </row>
    <row r="90" spans="1:4" ht="15.75" hidden="1" outlineLevel="1" x14ac:dyDescent="0.2">
      <c r="A90" s="33" t="s">
        <v>27</v>
      </c>
      <c r="B90" s="34" t="s">
        <v>82</v>
      </c>
      <c r="C90" s="33">
        <v>5.19</v>
      </c>
      <c r="D90" s="102"/>
    </row>
    <row r="91" spans="1:4" ht="15.75" hidden="1" outlineLevel="1" x14ac:dyDescent="0.2">
      <c r="A91" s="33" t="s">
        <v>27</v>
      </c>
      <c r="B91" s="34" t="s">
        <v>102</v>
      </c>
      <c r="C91" s="33">
        <v>5.24</v>
      </c>
      <c r="D91" s="102"/>
    </row>
    <row r="92" spans="1:4" ht="15.75" hidden="1" outlineLevel="1" x14ac:dyDescent="0.2">
      <c r="A92" s="33" t="s">
        <v>27</v>
      </c>
      <c r="B92" s="34" t="s">
        <v>59</v>
      </c>
      <c r="C92" s="33">
        <v>5.26</v>
      </c>
      <c r="D92" s="102"/>
    </row>
    <row r="93" spans="1:4" ht="15.75" hidden="1" outlineLevel="1" x14ac:dyDescent="0.2">
      <c r="A93" s="33" t="s">
        <v>27</v>
      </c>
      <c r="B93" s="34" t="s">
        <v>60</v>
      </c>
      <c r="C93" s="33">
        <v>5.27</v>
      </c>
      <c r="D93" s="102"/>
    </row>
    <row r="94" spans="1:4" ht="15.75" hidden="1" outlineLevel="1" x14ac:dyDescent="0.2">
      <c r="A94" s="33" t="s">
        <v>27</v>
      </c>
      <c r="B94" s="34" t="s">
        <v>83</v>
      </c>
      <c r="C94" s="33">
        <v>5.28</v>
      </c>
      <c r="D94" s="102"/>
    </row>
    <row r="95" spans="1:4" ht="15.75" hidden="1" outlineLevel="1" x14ac:dyDescent="0.2">
      <c r="A95" s="33" t="s">
        <v>27</v>
      </c>
      <c r="B95" s="34" t="s">
        <v>109</v>
      </c>
      <c r="C95" s="33">
        <v>5.29</v>
      </c>
      <c r="D95" s="102"/>
    </row>
    <row r="96" spans="1:4" ht="15.75" hidden="1" outlineLevel="1" x14ac:dyDescent="0.2">
      <c r="A96" s="33" t="s">
        <v>27</v>
      </c>
      <c r="B96" s="34" t="s">
        <v>84</v>
      </c>
      <c r="C96" s="35">
        <v>5.3</v>
      </c>
      <c r="D96" s="102"/>
    </row>
    <row r="97" spans="1:4" ht="15.75" hidden="1" outlineLevel="1" x14ac:dyDescent="0.2">
      <c r="A97" s="33" t="s">
        <v>27</v>
      </c>
      <c r="B97" s="34" t="s">
        <v>103</v>
      </c>
      <c r="C97" s="33">
        <v>5.31</v>
      </c>
      <c r="D97" s="102"/>
    </row>
    <row r="98" spans="1:4" ht="15.75" hidden="1" outlineLevel="1" x14ac:dyDescent="0.2">
      <c r="A98" s="33" t="s">
        <v>27</v>
      </c>
      <c r="B98" s="34" t="s">
        <v>61</v>
      </c>
      <c r="C98" s="33">
        <v>5.36</v>
      </c>
      <c r="D98" s="102"/>
    </row>
    <row r="99" spans="1:4" ht="15.75" hidden="1" outlineLevel="1" x14ac:dyDescent="0.2">
      <c r="A99" s="33" t="s">
        <v>27</v>
      </c>
      <c r="B99" s="34" t="s">
        <v>85</v>
      </c>
      <c r="C99" s="33">
        <v>5.49</v>
      </c>
      <c r="D99" s="102"/>
    </row>
    <row r="100" spans="1:4" ht="15.75" hidden="1" outlineLevel="1" x14ac:dyDescent="0.2">
      <c r="A100" s="33" t="s">
        <v>27</v>
      </c>
      <c r="B100" s="34" t="s">
        <v>63</v>
      </c>
      <c r="C100" s="33">
        <v>5.51</v>
      </c>
      <c r="D100" s="102"/>
    </row>
    <row r="101" spans="1:4" ht="15.75" hidden="1" outlineLevel="1" x14ac:dyDescent="0.2">
      <c r="A101" s="33" t="s">
        <v>27</v>
      </c>
      <c r="B101" s="34" t="s">
        <v>1325</v>
      </c>
      <c r="C101" s="33">
        <v>5.52</v>
      </c>
      <c r="D101" s="102"/>
    </row>
    <row r="102" spans="1:4" ht="15.75" hidden="1" outlineLevel="1" x14ac:dyDescent="0.2">
      <c r="A102" s="33" t="s">
        <v>27</v>
      </c>
      <c r="B102" s="34" t="s">
        <v>64</v>
      </c>
      <c r="C102" s="33">
        <v>5.53</v>
      </c>
      <c r="D102" s="102"/>
    </row>
    <row r="103" spans="1:4" ht="15.75" hidden="1" outlineLevel="1" x14ac:dyDescent="0.2">
      <c r="A103" s="33" t="s">
        <v>27</v>
      </c>
      <c r="B103" s="34" t="s">
        <v>86</v>
      </c>
      <c r="C103" s="33">
        <v>5.69</v>
      </c>
      <c r="D103" s="102"/>
    </row>
    <row r="104" spans="1:4" ht="15.75" hidden="1" outlineLevel="1" x14ac:dyDescent="0.2">
      <c r="A104" s="33" t="s">
        <v>27</v>
      </c>
      <c r="B104" s="34" t="s">
        <v>87</v>
      </c>
      <c r="C104" s="33">
        <v>5.75</v>
      </c>
      <c r="D104" s="102"/>
    </row>
    <row r="105" spans="1:4" ht="15.75" hidden="1" outlineLevel="1" x14ac:dyDescent="0.2">
      <c r="A105" s="33" t="s">
        <v>27</v>
      </c>
      <c r="B105" s="34" t="s">
        <v>67</v>
      </c>
      <c r="C105" s="35">
        <v>5.7</v>
      </c>
      <c r="D105" s="102"/>
    </row>
    <row r="106" spans="1:4" ht="15.75" hidden="1" outlineLevel="1" x14ac:dyDescent="0.2">
      <c r="A106" s="33" t="s">
        <v>27</v>
      </c>
      <c r="B106" s="34" t="s">
        <v>88</v>
      </c>
      <c r="C106" s="33">
        <v>5.74</v>
      </c>
      <c r="D106" s="102"/>
    </row>
    <row r="107" spans="1:4" ht="15.75" hidden="1" outlineLevel="1" x14ac:dyDescent="0.2">
      <c r="A107" s="33" t="s">
        <v>27</v>
      </c>
      <c r="B107" s="34" t="s">
        <v>106</v>
      </c>
      <c r="C107" s="33">
        <v>5.76</v>
      </c>
      <c r="D107" s="102"/>
    </row>
    <row r="108" spans="1:4" ht="15.75" hidden="1" outlineLevel="1" x14ac:dyDescent="0.2">
      <c r="A108" s="33" t="s">
        <v>27</v>
      </c>
      <c r="B108" s="34" t="s">
        <v>107</v>
      </c>
      <c r="C108" s="33">
        <v>5.89</v>
      </c>
      <c r="D108" s="101" t="s">
        <v>1323</v>
      </c>
    </row>
    <row r="109" spans="1:4" ht="15.75" hidden="1" outlineLevel="1" x14ac:dyDescent="0.2">
      <c r="A109" s="33" t="s">
        <v>27</v>
      </c>
      <c r="B109" s="34" t="s">
        <v>90</v>
      </c>
      <c r="C109" s="33">
        <v>5.58</v>
      </c>
      <c r="D109" s="102"/>
    </row>
    <row r="110" spans="1:4" ht="15.75" hidden="1" outlineLevel="1" x14ac:dyDescent="0.2">
      <c r="A110" s="33" t="s">
        <v>27</v>
      </c>
      <c r="B110" s="34" t="s">
        <v>89</v>
      </c>
      <c r="C110" s="33">
        <v>5.62</v>
      </c>
      <c r="D110" s="102"/>
    </row>
    <row r="111" spans="1:4" ht="15.75" hidden="1" outlineLevel="1" x14ac:dyDescent="0.2">
      <c r="A111" s="33" t="s">
        <v>27</v>
      </c>
      <c r="B111" s="34" t="s">
        <v>66</v>
      </c>
      <c r="C111" s="33">
        <v>5.54</v>
      </c>
      <c r="D111" s="102"/>
    </row>
    <row r="112" spans="1:4" ht="15.75" hidden="1" outlineLevel="1" x14ac:dyDescent="0.2">
      <c r="A112" s="33" t="s">
        <v>27</v>
      </c>
      <c r="B112" s="34" t="s">
        <v>91</v>
      </c>
      <c r="C112" s="33">
        <v>5.55</v>
      </c>
      <c r="D112" s="102"/>
    </row>
    <row r="113" spans="1:4" ht="15.75" hidden="1" outlineLevel="1" x14ac:dyDescent="0.2">
      <c r="A113" s="33" t="s">
        <v>27</v>
      </c>
      <c r="B113" s="34" t="s">
        <v>92</v>
      </c>
      <c r="C113" s="33">
        <v>5.65</v>
      </c>
      <c r="D113" s="102"/>
    </row>
    <row r="114" spans="1:4" ht="15.75" hidden="1" outlineLevel="1" x14ac:dyDescent="0.2">
      <c r="A114" s="33" t="s">
        <v>27</v>
      </c>
      <c r="B114" s="34" t="s">
        <v>108</v>
      </c>
      <c r="C114" s="33">
        <v>5.66</v>
      </c>
      <c r="D114" s="102"/>
    </row>
    <row r="115" spans="1:4" ht="15.75" hidden="1" outlineLevel="1" x14ac:dyDescent="0.2">
      <c r="A115" s="33" t="s">
        <v>27</v>
      </c>
      <c r="B115" s="34" t="s">
        <v>22</v>
      </c>
      <c r="C115" s="33">
        <v>5.68</v>
      </c>
      <c r="D115" s="102"/>
    </row>
    <row r="116" spans="1:4" ht="15.75" hidden="1" outlineLevel="1" x14ac:dyDescent="0.2">
      <c r="A116" s="33" t="s">
        <v>27</v>
      </c>
      <c r="B116" s="34" t="s">
        <v>93</v>
      </c>
      <c r="C116" s="33">
        <v>5.45</v>
      </c>
      <c r="D116" s="102"/>
    </row>
    <row r="117" spans="1:4" ht="15.75" hidden="1" outlineLevel="1" x14ac:dyDescent="0.2">
      <c r="A117" s="33" t="s">
        <v>27</v>
      </c>
      <c r="B117" s="34" t="s">
        <v>69</v>
      </c>
      <c r="C117" s="33">
        <v>5.47</v>
      </c>
      <c r="D117" s="102"/>
    </row>
    <row r="118" spans="1:4" ht="15.75" hidden="1" outlineLevel="1" x14ac:dyDescent="0.2">
      <c r="A118" s="33" t="s">
        <v>27</v>
      </c>
      <c r="B118" s="34" t="s">
        <v>70</v>
      </c>
      <c r="C118" s="33">
        <v>5.48</v>
      </c>
      <c r="D118" s="102"/>
    </row>
    <row r="119" spans="1:4" ht="15.75" x14ac:dyDescent="0.2">
      <c r="A119" s="38" t="s">
        <v>27</v>
      </c>
      <c r="B119" s="34"/>
      <c r="C119" s="33"/>
      <c r="D119" s="102"/>
    </row>
    <row r="120" spans="1:4" ht="15.75" hidden="1" outlineLevel="1" x14ac:dyDescent="0.2">
      <c r="A120" s="33" t="s">
        <v>1326</v>
      </c>
      <c r="B120" s="34" t="s">
        <v>54</v>
      </c>
      <c r="C120" s="33">
        <v>5.0999999999999996</v>
      </c>
      <c r="D120" s="102"/>
    </row>
    <row r="121" spans="1:4" ht="15.75" hidden="1" outlineLevel="1" x14ac:dyDescent="0.2">
      <c r="A121" s="33" t="s">
        <v>1326</v>
      </c>
      <c r="B121" s="34" t="s">
        <v>55</v>
      </c>
      <c r="C121" s="33">
        <v>5.2</v>
      </c>
      <c r="D121" s="102"/>
    </row>
    <row r="122" spans="1:4" ht="15.75" hidden="1" outlineLevel="1" x14ac:dyDescent="0.2">
      <c r="A122" s="33" t="s">
        <v>1326</v>
      </c>
      <c r="B122" s="34" t="s">
        <v>80</v>
      </c>
      <c r="C122" s="33">
        <v>5.3</v>
      </c>
      <c r="D122" s="102"/>
    </row>
    <row r="123" spans="1:4" ht="15.75" hidden="1" outlineLevel="1" x14ac:dyDescent="0.2">
      <c r="A123" s="33" t="s">
        <v>1326</v>
      </c>
      <c r="B123" s="34" t="s">
        <v>100</v>
      </c>
      <c r="C123" s="33">
        <v>5.6</v>
      </c>
      <c r="D123" s="102"/>
    </row>
    <row r="124" spans="1:4" ht="15.75" hidden="1" outlineLevel="1" x14ac:dyDescent="0.2">
      <c r="A124" s="33" t="s">
        <v>1326</v>
      </c>
      <c r="B124" s="34" t="s">
        <v>1324</v>
      </c>
      <c r="C124" s="35">
        <v>5.0999999999999996</v>
      </c>
      <c r="D124" s="102"/>
    </row>
    <row r="125" spans="1:4" ht="15.75" hidden="1" outlineLevel="1" x14ac:dyDescent="0.2">
      <c r="A125" s="33" t="s">
        <v>1326</v>
      </c>
      <c r="B125" s="34" t="s">
        <v>260</v>
      </c>
      <c r="C125" s="33">
        <v>5.14</v>
      </c>
      <c r="D125" s="102"/>
    </row>
    <row r="126" spans="1:4" ht="15.75" hidden="1" outlineLevel="1" x14ac:dyDescent="0.2">
      <c r="A126" s="33" t="s">
        <v>1326</v>
      </c>
      <c r="B126" s="34" t="s">
        <v>82</v>
      </c>
      <c r="C126" s="33">
        <v>5.19</v>
      </c>
      <c r="D126" s="102"/>
    </row>
    <row r="127" spans="1:4" ht="15.75" hidden="1" outlineLevel="1" x14ac:dyDescent="0.2">
      <c r="A127" s="33" t="s">
        <v>1326</v>
      </c>
      <c r="B127" s="34" t="s">
        <v>102</v>
      </c>
      <c r="C127" s="33">
        <v>5.24</v>
      </c>
      <c r="D127" s="102"/>
    </row>
    <row r="128" spans="1:4" ht="15.75" hidden="1" outlineLevel="1" x14ac:dyDescent="0.2">
      <c r="A128" s="33" t="s">
        <v>1326</v>
      </c>
      <c r="B128" s="34" t="s">
        <v>59</v>
      </c>
      <c r="C128" s="33">
        <v>5.26</v>
      </c>
      <c r="D128" s="102"/>
    </row>
    <row r="129" spans="1:4" ht="15.75" hidden="1" outlineLevel="1" x14ac:dyDescent="0.2">
      <c r="A129" s="33" t="s">
        <v>1326</v>
      </c>
      <c r="B129" s="34" t="s">
        <v>60</v>
      </c>
      <c r="C129" s="33">
        <v>5.27</v>
      </c>
      <c r="D129" s="102"/>
    </row>
    <row r="130" spans="1:4" ht="15.75" hidden="1" outlineLevel="1" x14ac:dyDescent="0.2">
      <c r="A130" s="33" t="s">
        <v>1326</v>
      </c>
      <c r="B130" s="34" t="s">
        <v>83</v>
      </c>
      <c r="C130" s="33">
        <v>5.28</v>
      </c>
      <c r="D130" s="102"/>
    </row>
    <row r="131" spans="1:4" ht="15.75" hidden="1" outlineLevel="1" x14ac:dyDescent="0.2">
      <c r="A131" s="33" t="s">
        <v>1326</v>
      </c>
      <c r="B131" s="34" t="s">
        <v>109</v>
      </c>
      <c r="C131" s="33">
        <v>5.29</v>
      </c>
      <c r="D131" s="102"/>
    </row>
    <row r="132" spans="1:4" ht="15.75" hidden="1" outlineLevel="1" x14ac:dyDescent="0.2">
      <c r="A132" s="33" t="s">
        <v>1326</v>
      </c>
      <c r="B132" s="34" t="s">
        <v>84</v>
      </c>
      <c r="C132" s="35">
        <v>5.3</v>
      </c>
      <c r="D132" s="102"/>
    </row>
    <row r="133" spans="1:4" ht="15.75" hidden="1" outlineLevel="1" x14ac:dyDescent="0.2">
      <c r="A133" s="33" t="s">
        <v>1326</v>
      </c>
      <c r="B133" s="34" t="s">
        <v>103</v>
      </c>
      <c r="C133" s="33">
        <v>5.31</v>
      </c>
      <c r="D133" s="102"/>
    </row>
    <row r="134" spans="1:4" ht="15.75" hidden="1" outlineLevel="1" x14ac:dyDescent="0.2">
      <c r="A134" s="33" t="s">
        <v>1326</v>
      </c>
      <c r="B134" s="34" t="s">
        <v>61</v>
      </c>
      <c r="C134" s="33">
        <v>5.36</v>
      </c>
      <c r="D134" s="102"/>
    </row>
    <row r="135" spans="1:4" ht="15.75" hidden="1" outlineLevel="1" x14ac:dyDescent="0.2">
      <c r="A135" s="33" t="s">
        <v>1326</v>
      </c>
      <c r="B135" s="34" t="s">
        <v>64</v>
      </c>
      <c r="C135" s="33">
        <v>5.53</v>
      </c>
      <c r="D135" s="102"/>
    </row>
    <row r="136" spans="1:4" ht="15.75" hidden="1" outlineLevel="1" x14ac:dyDescent="0.2">
      <c r="A136" s="33" t="s">
        <v>1326</v>
      </c>
      <c r="B136" s="34" t="s">
        <v>90</v>
      </c>
      <c r="C136" s="33">
        <v>5.58</v>
      </c>
      <c r="D136" s="102"/>
    </row>
    <row r="137" spans="1:4" ht="15.75" hidden="1" outlineLevel="1" x14ac:dyDescent="0.2">
      <c r="A137" s="33" t="s">
        <v>1326</v>
      </c>
      <c r="B137" s="34" t="s">
        <v>89</v>
      </c>
      <c r="C137" s="33">
        <v>5.62</v>
      </c>
      <c r="D137" s="102"/>
    </row>
    <row r="138" spans="1:4" ht="15.75" hidden="1" outlineLevel="1" x14ac:dyDescent="0.2">
      <c r="A138" s="33" t="s">
        <v>1326</v>
      </c>
      <c r="B138" s="34" t="s">
        <v>66</v>
      </c>
      <c r="C138" s="33">
        <v>5.54</v>
      </c>
      <c r="D138" s="102"/>
    </row>
    <row r="139" spans="1:4" ht="15.75" hidden="1" outlineLevel="1" x14ac:dyDescent="0.2">
      <c r="A139" s="33" t="s">
        <v>1326</v>
      </c>
      <c r="B139" s="34" t="s">
        <v>91</v>
      </c>
      <c r="C139" s="33">
        <v>5.55</v>
      </c>
      <c r="D139" s="102"/>
    </row>
    <row r="140" spans="1:4" ht="15.75" hidden="1" outlineLevel="1" x14ac:dyDescent="0.2">
      <c r="A140" s="33" t="s">
        <v>1326</v>
      </c>
      <c r="B140" s="34" t="s">
        <v>68</v>
      </c>
      <c r="C140" s="33">
        <v>5.63</v>
      </c>
      <c r="D140" s="102"/>
    </row>
    <row r="141" spans="1:4" ht="15.75" hidden="1" outlineLevel="1" x14ac:dyDescent="0.2">
      <c r="A141" s="33" t="s">
        <v>1326</v>
      </c>
      <c r="B141" s="34" t="s">
        <v>93</v>
      </c>
      <c r="C141" s="33">
        <v>5.45</v>
      </c>
      <c r="D141" s="102"/>
    </row>
    <row r="142" spans="1:4" ht="15.75" hidden="1" outlineLevel="1" x14ac:dyDescent="0.2">
      <c r="A142" s="33" t="s">
        <v>1326</v>
      </c>
      <c r="B142" s="34" t="s">
        <v>69</v>
      </c>
      <c r="C142" s="33">
        <v>5.47</v>
      </c>
      <c r="D142" s="102"/>
    </row>
    <row r="143" spans="1:4" ht="15.75" hidden="1" outlineLevel="1" x14ac:dyDescent="0.2">
      <c r="A143" s="33" t="s">
        <v>1326</v>
      </c>
      <c r="B143" s="34" t="s">
        <v>70</v>
      </c>
      <c r="C143" s="33">
        <v>5.48</v>
      </c>
      <c r="D143" s="102"/>
    </row>
    <row r="144" spans="1:4" ht="15.75" x14ac:dyDescent="0.2">
      <c r="A144" s="38" t="s">
        <v>1326</v>
      </c>
      <c r="B144" s="34"/>
      <c r="C144" s="33"/>
      <c r="D144" s="102"/>
    </row>
    <row r="145" spans="1:4" ht="15.75" hidden="1" outlineLevel="1" x14ac:dyDescent="0.2">
      <c r="A145" s="33" t="s">
        <v>29</v>
      </c>
      <c r="B145" s="34" t="s">
        <v>54</v>
      </c>
      <c r="C145" s="33">
        <v>5.0999999999999996</v>
      </c>
      <c r="D145" s="102"/>
    </row>
    <row r="146" spans="1:4" ht="15.75" hidden="1" outlineLevel="1" x14ac:dyDescent="0.2">
      <c r="A146" s="33" t="s">
        <v>29</v>
      </c>
      <c r="B146" s="34" t="s">
        <v>55</v>
      </c>
      <c r="C146" s="33">
        <v>5.2</v>
      </c>
      <c r="D146" s="102"/>
    </row>
    <row r="147" spans="1:4" ht="15.75" hidden="1" outlineLevel="1" x14ac:dyDescent="0.2">
      <c r="A147" s="33" t="s">
        <v>29</v>
      </c>
      <c r="B147" s="34" t="s">
        <v>80</v>
      </c>
      <c r="C147" s="33">
        <v>5.3</v>
      </c>
      <c r="D147" s="102"/>
    </row>
    <row r="148" spans="1:4" ht="15.75" hidden="1" outlineLevel="1" x14ac:dyDescent="0.2">
      <c r="A148" s="33" t="s">
        <v>29</v>
      </c>
      <c r="B148" s="34" t="s">
        <v>100</v>
      </c>
      <c r="C148" s="33">
        <v>5.6</v>
      </c>
      <c r="D148" s="102"/>
    </row>
    <row r="149" spans="1:4" ht="15.75" hidden="1" outlineLevel="1" x14ac:dyDescent="0.2">
      <c r="A149" s="33" t="s">
        <v>29</v>
      </c>
      <c r="B149" s="34" t="s">
        <v>1324</v>
      </c>
      <c r="C149" s="35">
        <v>5.0999999999999996</v>
      </c>
      <c r="D149" s="102"/>
    </row>
    <row r="150" spans="1:4" ht="15.75" hidden="1" outlineLevel="1" x14ac:dyDescent="0.2">
      <c r="A150" s="33" t="s">
        <v>29</v>
      </c>
      <c r="B150" s="34" t="s">
        <v>260</v>
      </c>
      <c r="C150" s="33">
        <v>5.14</v>
      </c>
      <c r="D150" s="102"/>
    </row>
    <row r="151" spans="1:4" ht="15.75" hidden="1" outlineLevel="1" x14ac:dyDescent="0.2">
      <c r="A151" s="33" t="s">
        <v>29</v>
      </c>
      <c r="B151" s="34" t="s">
        <v>82</v>
      </c>
      <c r="C151" s="33">
        <v>5.19</v>
      </c>
      <c r="D151" s="102"/>
    </row>
    <row r="152" spans="1:4" ht="15.75" hidden="1" outlineLevel="1" x14ac:dyDescent="0.2">
      <c r="A152" s="33" t="s">
        <v>29</v>
      </c>
      <c r="B152" s="34" t="s">
        <v>102</v>
      </c>
      <c r="C152" s="33">
        <v>5.24</v>
      </c>
      <c r="D152" s="102"/>
    </row>
    <row r="153" spans="1:4" ht="15.75" hidden="1" outlineLevel="1" x14ac:dyDescent="0.2">
      <c r="A153" s="33" t="s">
        <v>29</v>
      </c>
      <c r="B153" s="34" t="s">
        <v>59</v>
      </c>
      <c r="C153" s="33">
        <v>5.26</v>
      </c>
      <c r="D153" s="102"/>
    </row>
    <row r="154" spans="1:4" ht="15.75" hidden="1" outlineLevel="1" x14ac:dyDescent="0.2">
      <c r="A154" s="33" t="s">
        <v>29</v>
      </c>
      <c r="B154" s="34" t="s">
        <v>60</v>
      </c>
      <c r="C154" s="33">
        <v>5.27</v>
      </c>
      <c r="D154" s="102"/>
    </row>
    <row r="155" spans="1:4" ht="15.75" hidden="1" outlineLevel="1" x14ac:dyDescent="0.2">
      <c r="A155" s="33" t="s">
        <v>29</v>
      </c>
      <c r="B155" s="34" t="s">
        <v>83</v>
      </c>
      <c r="C155" s="33">
        <v>5.28</v>
      </c>
      <c r="D155" s="102"/>
    </row>
    <row r="156" spans="1:4" ht="15.75" hidden="1" outlineLevel="1" x14ac:dyDescent="0.2">
      <c r="A156" s="33" t="s">
        <v>29</v>
      </c>
      <c r="B156" s="34" t="s">
        <v>84</v>
      </c>
      <c r="C156" s="35">
        <v>5.3</v>
      </c>
      <c r="D156" s="102"/>
    </row>
    <row r="157" spans="1:4" ht="15.75" hidden="1" outlineLevel="1" x14ac:dyDescent="0.2">
      <c r="A157" s="33" t="s">
        <v>29</v>
      </c>
      <c r="B157" s="34" t="s">
        <v>259</v>
      </c>
      <c r="C157" s="33">
        <v>5.32</v>
      </c>
      <c r="D157" s="102"/>
    </row>
    <row r="158" spans="1:4" ht="15.75" hidden="1" outlineLevel="1" x14ac:dyDescent="0.2">
      <c r="A158" s="33" t="s">
        <v>29</v>
      </c>
      <c r="B158" s="34" t="s">
        <v>61</v>
      </c>
      <c r="C158" s="33">
        <v>5.36</v>
      </c>
      <c r="D158" s="102"/>
    </row>
    <row r="159" spans="1:4" ht="15.75" hidden="1" outlineLevel="1" x14ac:dyDescent="0.2">
      <c r="A159" s="33" t="s">
        <v>29</v>
      </c>
      <c r="B159" s="34" t="s">
        <v>64</v>
      </c>
      <c r="C159" s="33">
        <v>5.53</v>
      </c>
      <c r="D159" s="102"/>
    </row>
    <row r="160" spans="1:4" ht="15.75" hidden="1" outlineLevel="1" x14ac:dyDescent="0.2">
      <c r="A160" s="33" t="s">
        <v>29</v>
      </c>
      <c r="B160" s="34" t="s">
        <v>90</v>
      </c>
      <c r="C160" s="33">
        <v>5.58</v>
      </c>
      <c r="D160" s="102"/>
    </row>
    <row r="161" spans="1:4" ht="15.75" hidden="1" outlineLevel="1" x14ac:dyDescent="0.2">
      <c r="A161" s="33" t="s">
        <v>29</v>
      </c>
      <c r="B161" s="34" t="s">
        <v>66</v>
      </c>
      <c r="C161" s="33">
        <v>5.54</v>
      </c>
      <c r="D161" s="102"/>
    </row>
    <row r="162" spans="1:4" ht="15.75" hidden="1" outlineLevel="1" x14ac:dyDescent="0.2">
      <c r="A162" s="33" t="s">
        <v>29</v>
      </c>
      <c r="B162" s="34" t="s">
        <v>91</v>
      </c>
      <c r="C162" s="33">
        <v>5.55</v>
      </c>
      <c r="D162" s="102"/>
    </row>
    <row r="163" spans="1:4" ht="15.75" hidden="1" outlineLevel="1" x14ac:dyDescent="0.2">
      <c r="A163" s="33" t="s">
        <v>29</v>
      </c>
      <c r="B163" s="34" t="s">
        <v>89</v>
      </c>
      <c r="C163" s="33">
        <v>5.62</v>
      </c>
      <c r="D163" s="102"/>
    </row>
    <row r="164" spans="1:4" ht="15.75" hidden="1" outlineLevel="1" x14ac:dyDescent="0.2">
      <c r="A164" s="33" t="s">
        <v>29</v>
      </c>
      <c r="B164" s="34" t="s">
        <v>68</v>
      </c>
      <c r="C164" s="33">
        <v>5.63</v>
      </c>
      <c r="D164" s="102"/>
    </row>
    <row r="165" spans="1:4" ht="15.75" hidden="1" outlineLevel="1" x14ac:dyDescent="0.2">
      <c r="A165" s="33" t="s">
        <v>29</v>
      </c>
      <c r="B165" s="34" t="s">
        <v>93</v>
      </c>
      <c r="C165" s="33">
        <v>5.45</v>
      </c>
      <c r="D165" s="102"/>
    </row>
    <row r="166" spans="1:4" ht="15.75" hidden="1" outlineLevel="1" x14ac:dyDescent="0.2">
      <c r="A166" s="33" t="s">
        <v>29</v>
      </c>
      <c r="B166" s="34" t="s">
        <v>69</v>
      </c>
      <c r="C166" s="33">
        <v>5.47</v>
      </c>
      <c r="D166" s="102"/>
    </row>
    <row r="167" spans="1:4" ht="15.75" hidden="1" outlineLevel="1" x14ac:dyDescent="0.2">
      <c r="A167" s="33" t="s">
        <v>29</v>
      </c>
      <c r="B167" s="34" t="s">
        <v>70</v>
      </c>
      <c r="C167" s="33">
        <v>5.48</v>
      </c>
      <c r="D167" s="102"/>
    </row>
    <row r="168" spans="1:4" ht="15.75" x14ac:dyDescent="0.2">
      <c r="A168" s="38" t="s">
        <v>29</v>
      </c>
      <c r="B168" s="34"/>
      <c r="C168" s="33"/>
      <c r="D168" s="102"/>
    </row>
    <row r="169" spans="1:4" ht="15.75" hidden="1" outlineLevel="1" x14ac:dyDescent="0.2">
      <c r="A169" s="33" t="s">
        <v>30</v>
      </c>
      <c r="B169" s="34" t="s">
        <v>54</v>
      </c>
      <c r="C169" s="33">
        <v>5.0999999999999996</v>
      </c>
      <c r="D169" s="102"/>
    </row>
    <row r="170" spans="1:4" ht="15.75" hidden="1" outlineLevel="1" x14ac:dyDescent="0.2">
      <c r="A170" s="33" t="s">
        <v>30</v>
      </c>
      <c r="B170" s="34" t="s">
        <v>55</v>
      </c>
      <c r="C170" s="33">
        <v>5.2</v>
      </c>
      <c r="D170" s="102"/>
    </row>
    <row r="171" spans="1:4" ht="15.75" hidden="1" outlineLevel="1" x14ac:dyDescent="0.2">
      <c r="A171" s="33" t="s">
        <v>30</v>
      </c>
      <c r="B171" s="34" t="s">
        <v>80</v>
      </c>
      <c r="C171" s="33">
        <v>5.3</v>
      </c>
      <c r="D171" s="102"/>
    </row>
    <row r="172" spans="1:4" ht="15.75" hidden="1" outlineLevel="1" x14ac:dyDescent="0.2">
      <c r="A172" s="33" t="s">
        <v>30</v>
      </c>
      <c r="B172" s="34" t="s">
        <v>100</v>
      </c>
      <c r="C172" s="33">
        <v>5.6</v>
      </c>
      <c r="D172" s="102"/>
    </row>
    <row r="173" spans="1:4" ht="15.75" hidden="1" outlineLevel="1" x14ac:dyDescent="0.2">
      <c r="A173" s="33" t="s">
        <v>30</v>
      </c>
      <c r="B173" s="34" t="s">
        <v>1324</v>
      </c>
      <c r="C173" s="35">
        <v>5.0999999999999996</v>
      </c>
      <c r="D173" s="102"/>
    </row>
    <row r="174" spans="1:4" ht="15.75" hidden="1" outlineLevel="1" x14ac:dyDescent="0.2">
      <c r="A174" s="33" t="s">
        <v>30</v>
      </c>
      <c r="B174" s="34" t="s">
        <v>260</v>
      </c>
      <c r="C174" s="33">
        <v>5.14</v>
      </c>
      <c r="D174" s="102"/>
    </row>
    <row r="175" spans="1:4" ht="15.75" hidden="1" outlineLevel="1" x14ac:dyDescent="0.2">
      <c r="A175" s="33" t="s">
        <v>30</v>
      </c>
      <c r="B175" s="34" t="s">
        <v>82</v>
      </c>
      <c r="C175" s="33">
        <v>5.19</v>
      </c>
      <c r="D175" s="102"/>
    </row>
    <row r="176" spans="1:4" ht="15.75" hidden="1" outlineLevel="1" x14ac:dyDescent="0.2">
      <c r="A176" s="33" t="s">
        <v>30</v>
      </c>
      <c r="B176" s="34" t="s">
        <v>102</v>
      </c>
      <c r="C176" s="33">
        <v>5.24</v>
      </c>
      <c r="D176" s="102"/>
    </row>
    <row r="177" spans="1:4" ht="15.75" hidden="1" outlineLevel="1" x14ac:dyDescent="0.2">
      <c r="A177" s="33" t="s">
        <v>30</v>
      </c>
      <c r="B177" s="34" t="s">
        <v>59</v>
      </c>
      <c r="C177" s="33">
        <v>5.26</v>
      </c>
      <c r="D177" s="102"/>
    </row>
    <row r="178" spans="1:4" ht="15.75" hidden="1" outlineLevel="1" x14ac:dyDescent="0.2">
      <c r="A178" s="33" t="s">
        <v>30</v>
      </c>
      <c r="B178" s="34" t="s">
        <v>60</v>
      </c>
      <c r="C178" s="33">
        <v>5.27</v>
      </c>
      <c r="D178" s="102"/>
    </row>
    <row r="179" spans="1:4" ht="15.75" hidden="1" outlineLevel="1" x14ac:dyDescent="0.2">
      <c r="A179" s="33" t="s">
        <v>30</v>
      </c>
      <c r="B179" s="34" t="s">
        <v>83</v>
      </c>
      <c r="C179" s="33">
        <v>5.28</v>
      </c>
      <c r="D179" s="102"/>
    </row>
    <row r="180" spans="1:4" ht="15.75" hidden="1" outlineLevel="1" x14ac:dyDescent="0.2">
      <c r="A180" s="33" t="s">
        <v>30</v>
      </c>
      <c r="B180" s="34" t="s">
        <v>109</v>
      </c>
      <c r="C180" s="33">
        <v>5.29</v>
      </c>
      <c r="D180" s="102"/>
    </row>
    <row r="181" spans="1:4" ht="15.75" hidden="1" outlineLevel="1" x14ac:dyDescent="0.2">
      <c r="A181" s="33" t="s">
        <v>30</v>
      </c>
      <c r="B181" s="34" t="s">
        <v>84</v>
      </c>
      <c r="C181" s="35">
        <v>5.3</v>
      </c>
      <c r="D181" s="102"/>
    </row>
    <row r="182" spans="1:4" ht="15.75" hidden="1" outlineLevel="1" x14ac:dyDescent="0.2">
      <c r="A182" s="33" t="s">
        <v>30</v>
      </c>
      <c r="B182" s="34" t="s">
        <v>259</v>
      </c>
      <c r="C182" s="33">
        <v>5.32</v>
      </c>
      <c r="D182" s="102"/>
    </row>
    <row r="183" spans="1:4" ht="15.75" hidden="1" outlineLevel="1" x14ac:dyDescent="0.2">
      <c r="A183" s="33" t="s">
        <v>30</v>
      </c>
      <c r="B183" s="34" t="s">
        <v>61</v>
      </c>
      <c r="C183" s="33">
        <v>5.36</v>
      </c>
      <c r="D183" s="102"/>
    </row>
    <row r="184" spans="1:4" ht="15.75" hidden="1" outlineLevel="1" x14ac:dyDescent="0.2">
      <c r="A184" s="33" t="s">
        <v>30</v>
      </c>
      <c r="B184" s="34" t="s">
        <v>64</v>
      </c>
      <c r="C184" s="33">
        <v>5.53</v>
      </c>
      <c r="D184" s="102"/>
    </row>
    <row r="185" spans="1:4" ht="15.75" hidden="1" outlineLevel="1" x14ac:dyDescent="0.2">
      <c r="A185" s="33" t="s">
        <v>30</v>
      </c>
      <c r="B185" s="34" t="s">
        <v>90</v>
      </c>
      <c r="C185" s="33">
        <v>5.58</v>
      </c>
      <c r="D185" s="102"/>
    </row>
    <row r="186" spans="1:4" ht="15.75" hidden="1" outlineLevel="1" x14ac:dyDescent="0.2">
      <c r="A186" s="33" t="s">
        <v>30</v>
      </c>
      <c r="B186" s="34" t="s">
        <v>66</v>
      </c>
      <c r="C186" s="33">
        <v>5.54</v>
      </c>
      <c r="D186" s="102"/>
    </row>
    <row r="187" spans="1:4" ht="15.75" hidden="1" outlineLevel="1" x14ac:dyDescent="0.2">
      <c r="A187" s="33" t="s">
        <v>30</v>
      </c>
      <c r="B187" s="34" t="s">
        <v>91</v>
      </c>
      <c r="C187" s="33">
        <v>5.55</v>
      </c>
      <c r="D187" s="102"/>
    </row>
    <row r="188" spans="1:4" ht="15.75" hidden="1" outlineLevel="1" x14ac:dyDescent="0.2">
      <c r="A188" s="33" t="s">
        <v>30</v>
      </c>
      <c r="B188" s="34" t="s">
        <v>68</v>
      </c>
      <c r="C188" s="33">
        <v>5.63</v>
      </c>
      <c r="D188" s="102"/>
    </row>
    <row r="189" spans="1:4" ht="15.75" hidden="1" outlineLevel="1" x14ac:dyDescent="0.2">
      <c r="A189" s="33" t="s">
        <v>30</v>
      </c>
      <c r="B189" s="34" t="s">
        <v>93</v>
      </c>
      <c r="C189" s="33">
        <v>5.45</v>
      </c>
      <c r="D189" s="102"/>
    </row>
    <row r="190" spans="1:4" ht="15.75" hidden="1" outlineLevel="1" x14ac:dyDescent="0.2">
      <c r="A190" s="33" t="s">
        <v>30</v>
      </c>
      <c r="B190" s="34" t="s">
        <v>69</v>
      </c>
      <c r="C190" s="33">
        <v>5.47</v>
      </c>
      <c r="D190" s="102"/>
    </row>
    <row r="191" spans="1:4" ht="15.75" hidden="1" outlineLevel="1" x14ac:dyDescent="0.2">
      <c r="A191" s="33" t="s">
        <v>30</v>
      </c>
      <c r="B191" s="34" t="s">
        <v>70</v>
      </c>
      <c r="C191" s="33">
        <v>5.48</v>
      </c>
      <c r="D191" s="102"/>
    </row>
    <row r="192" spans="1:4" ht="15.75" x14ac:dyDescent="0.2">
      <c r="A192" s="38" t="s">
        <v>30</v>
      </c>
      <c r="B192" s="34"/>
      <c r="C192" s="33"/>
      <c r="D192" s="102"/>
    </row>
    <row r="193" spans="1:4" ht="15.75" hidden="1" outlineLevel="1" x14ac:dyDescent="0.2">
      <c r="A193" s="33" t="s">
        <v>31</v>
      </c>
      <c r="B193" s="34" t="s">
        <v>54</v>
      </c>
      <c r="C193" s="33">
        <v>5.0999999999999996</v>
      </c>
      <c r="D193" s="102"/>
    </row>
    <row r="194" spans="1:4" ht="15.75" hidden="1" outlineLevel="1" x14ac:dyDescent="0.2">
      <c r="A194" s="33" t="s">
        <v>31</v>
      </c>
      <c r="B194" s="34" t="s">
        <v>55</v>
      </c>
      <c r="C194" s="33">
        <v>5.2</v>
      </c>
      <c r="D194" s="102"/>
    </row>
    <row r="195" spans="1:4" ht="15.75" hidden="1" outlineLevel="1" x14ac:dyDescent="0.2">
      <c r="A195" s="33" t="s">
        <v>31</v>
      </c>
      <c r="B195" s="34" t="s">
        <v>80</v>
      </c>
      <c r="C195" s="33">
        <v>5.3</v>
      </c>
      <c r="D195" s="102"/>
    </row>
    <row r="196" spans="1:4" ht="15.75" hidden="1" outlineLevel="1" x14ac:dyDescent="0.2">
      <c r="A196" s="33" t="s">
        <v>31</v>
      </c>
      <c r="B196" s="34" t="s">
        <v>100</v>
      </c>
      <c r="C196" s="33">
        <v>5.6</v>
      </c>
      <c r="D196" s="102"/>
    </row>
    <row r="197" spans="1:4" ht="15.75" hidden="1" outlineLevel="1" x14ac:dyDescent="0.2">
      <c r="A197" s="33" t="s">
        <v>31</v>
      </c>
      <c r="B197" s="34" t="s">
        <v>1324</v>
      </c>
      <c r="C197" s="35">
        <v>5.0999999999999996</v>
      </c>
      <c r="D197" s="102"/>
    </row>
    <row r="198" spans="1:4" ht="15.75" hidden="1" outlineLevel="1" x14ac:dyDescent="0.2">
      <c r="A198" s="33" t="s">
        <v>31</v>
      </c>
      <c r="B198" s="34" t="s">
        <v>260</v>
      </c>
      <c r="C198" s="33">
        <v>5.14</v>
      </c>
      <c r="D198" s="102"/>
    </row>
    <row r="199" spans="1:4" ht="15.75" hidden="1" outlineLevel="1" x14ac:dyDescent="0.2">
      <c r="A199" s="33" t="s">
        <v>31</v>
      </c>
      <c r="B199" s="34" t="s">
        <v>82</v>
      </c>
      <c r="C199" s="33">
        <v>5.19</v>
      </c>
      <c r="D199" s="102"/>
    </row>
    <row r="200" spans="1:4" ht="15.75" hidden="1" outlineLevel="1" x14ac:dyDescent="0.2">
      <c r="A200" s="33" t="s">
        <v>31</v>
      </c>
      <c r="B200" s="34" t="s">
        <v>102</v>
      </c>
      <c r="C200" s="33">
        <v>5.24</v>
      </c>
      <c r="D200" s="102"/>
    </row>
    <row r="201" spans="1:4" ht="15.75" hidden="1" outlineLevel="1" x14ac:dyDescent="0.2">
      <c r="A201" s="33" t="s">
        <v>31</v>
      </c>
      <c r="B201" s="34" t="s">
        <v>60</v>
      </c>
      <c r="C201" s="33">
        <v>5.27</v>
      </c>
      <c r="D201" s="102"/>
    </row>
    <row r="202" spans="1:4" ht="15.75" hidden="1" outlineLevel="1" x14ac:dyDescent="0.2">
      <c r="A202" s="33" t="s">
        <v>31</v>
      </c>
      <c r="B202" s="34" t="s">
        <v>83</v>
      </c>
      <c r="C202" s="33">
        <v>5.28</v>
      </c>
      <c r="D202" s="102"/>
    </row>
    <row r="203" spans="1:4" ht="15.75" hidden="1" outlineLevel="1" x14ac:dyDescent="0.2">
      <c r="A203" s="33" t="s">
        <v>31</v>
      </c>
      <c r="B203" s="34" t="s">
        <v>109</v>
      </c>
      <c r="C203" s="33">
        <v>5.29</v>
      </c>
      <c r="D203" s="102"/>
    </row>
    <row r="204" spans="1:4" ht="15.75" hidden="1" outlineLevel="1" x14ac:dyDescent="0.2">
      <c r="A204" s="33" t="s">
        <v>31</v>
      </c>
      <c r="B204" s="34" t="s">
        <v>84</v>
      </c>
      <c r="C204" s="35">
        <v>5.3</v>
      </c>
      <c r="D204" s="102"/>
    </row>
    <row r="205" spans="1:4" ht="15.75" hidden="1" outlineLevel="1" x14ac:dyDescent="0.2">
      <c r="A205" s="33" t="s">
        <v>31</v>
      </c>
      <c r="B205" s="34" t="s">
        <v>261</v>
      </c>
      <c r="C205" s="33">
        <v>5.34</v>
      </c>
      <c r="D205" s="102"/>
    </row>
    <row r="206" spans="1:4" ht="15.75" hidden="1" outlineLevel="1" x14ac:dyDescent="0.2">
      <c r="A206" s="33" t="s">
        <v>31</v>
      </c>
      <c r="B206" s="34" t="s">
        <v>103</v>
      </c>
      <c r="C206" s="33">
        <v>5.31</v>
      </c>
      <c r="D206" s="102"/>
    </row>
    <row r="207" spans="1:4" ht="15.75" hidden="1" outlineLevel="1" x14ac:dyDescent="0.2">
      <c r="A207" s="33" t="s">
        <v>31</v>
      </c>
      <c r="B207" s="34" t="s">
        <v>262</v>
      </c>
      <c r="C207" s="33">
        <v>5.101</v>
      </c>
      <c r="D207" s="102"/>
    </row>
    <row r="208" spans="1:4" ht="15.75" hidden="1" outlineLevel="1" x14ac:dyDescent="0.2">
      <c r="A208" s="33" t="s">
        <v>31</v>
      </c>
      <c r="B208" s="34" t="s">
        <v>61</v>
      </c>
      <c r="C208" s="33">
        <v>5.36</v>
      </c>
      <c r="D208" s="102"/>
    </row>
    <row r="209" spans="1:4" ht="15.75" hidden="1" outlineLevel="1" x14ac:dyDescent="0.2">
      <c r="A209" s="33" t="s">
        <v>31</v>
      </c>
      <c r="B209" s="34" t="s">
        <v>64</v>
      </c>
      <c r="C209" s="33">
        <v>5.53</v>
      </c>
      <c r="D209" s="102"/>
    </row>
    <row r="210" spans="1:4" ht="15.75" hidden="1" outlineLevel="1" x14ac:dyDescent="0.2">
      <c r="A210" s="33" t="s">
        <v>31</v>
      </c>
      <c r="B210" s="34" t="s">
        <v>263</v>
      </c>
      <c r="C210" s="33">
        <v>5.1020000000000003</v>
      </c>
      <c r="D210" s="102"/>
    </row>
    <row r="211" spans="1:4" ht="15.75" hidden="1" outlineLevel="1" x14ac:dyDescent="0.2">
      <c r="A211" s="33" t="s">
        <v>31</v>
      </c>
      <c r="B211" s="34" t="s">
        <v>264</v>
      </c>
      <c r="C211" s="36">
        <v>5.0999999999999996</v>
      </c>
      <c r="D211" s="102"/>
    </row>
    <row r="212" spans="1:4" ht="15.75" hidden="1" outlineLevel="1" x14ac:dyDescent="0.2">
      <c r="A212" s="33" t="s">
        <v>31</v>
      </c>
      <c r="B212" s="34" t="s">
        <v>90</v>
      </c>
      <c r="C212" s="33">
        <v>5.58</v>
      </c>
      <c r="D212" s="102"/>
    </row>
    <row r="213" spans="1:4" ht="15.75" hidden="1" outlineLevel="1" x14ac:dyDescent="0.2">
      <c r="A213" s="33" t="s">
        <v>31</v>
      </c>
      <c r="B213" s="34" t="s">
        <v>66</v>
      </c>
      <c r="C213" s="33">
        <v>5.54</v>
      </c>
      <c r="D213" s="102"/>
    </row>
    <row r="214" spans="1:4" ht="15.75" hidden="1" outlineLevel="1" x14ac:dyDescent="0.2">
      <c r="A214" s="33" t="s">
        <v>31</v>
      </c>
      <c r="B214" s="34" t="s">
        <v>91</v>
      </c>
      <c r="C214" s="33">
        <v>5.55</v>
      </c>
      <c r="D214" s="102"/>
    </row>
    <row r="215" spans="1:4" ht="15.75" hidden="1" outlineLevel="1" x14ac:dyDescent="0.2">
      <c r="A215" s="33" t="s">
        <v>31</v>
      </c>
      <c r="B215" s="34" t="s">
        <v>68</v>
      </c>
      <c r="C215" s="33">
        <v>5.63</v>
      </c>
      <c r="D215" s="102"/>
    </row>
    <row r="216" spans="1:4" ht="15.75" hidden="1" outlineLevel="1" x14ac:dyDescent="0.2">
      <c r="A216" s="33" t="s">
        <v>31</v>
      </c>
      <c r="B216" s="34" t="s">
        <v>69</v>
      </c>
      <c r="C216" s="33">
        <v>5.47</v>
      </c>
      <c r="D216" s="102"/>
    </row>
    <row r="217" spans="1:4" ht="15.75" hidden="1" outlineLevel="1" x14ac:dyDescent="0.2">
      <c r="A217" s="33" t="s">
        <v>31</v>
      </c>
      <c r="B217" s="34" t="s">
        <v>70</v>
      </c>
      <c r="C217" s="33">
        <v>5.48</v>
      </c>
      <c r="D217" s="102"/>
    </row>
    <row r="218" spans="1:4" ht="15.75" x14ac:dyDescent="0.2">
      <c r="A218" s="38" t="s">
        <v>31</v>
      </c>
      <c r="B218" s="34"/>
      <c r="C218" s="33"/>
      <c r="D218" s="102"/>
    </row>
    <row r="219" spans="1:4" ht="15.75" hidden="1" outlineLevel="1" x14ac:dyDescent="0.2">
      <c r="A219" s="33" t="s">
        <v>32</v>
      </c>
      <c r="B219" s="34" t="s">
        <v>54</v>
      </c>
      <c r="C219" s="33">
        <v>5.0999999999999996</v>
      </c>
      <c r="D219" s="102"/>
    </row>
    <row r="220" spans="1:4" ht="15.75" hidden="1" outlineLevel="1" x14ac:dyDescent="0.2">
      <c r="A220" s="33" t="s">
        <v>32</v>
      </c>
      <c r="B220" s="34" t="s">
        <v>55</v>
      </c>
      <c r="C220" s="33">
        <v>5.2</v>
      </c>
      <c r="D220" s="102"/>
    </row>
    <row r="221" spans="1:4" ht="15.75" hidden="1" outlineLevel="1" x14ac:dyDescent="0.2">
      <c r="A221" s="33" t="s">
        <v>32</v>
      </c>
      <c r="B221" s="34" t="s">
        <v>80</v>
      </c>
      <c r="C221" s="33">
        <v>5.3</v>
      </c>
      <c r="D221" s="102"/>
    </row>
    <row r="222" spans="1:4" ht="15.75" hidden="1" outlineLevel="1" x14ac:dyDescent="0.2">
      <c r="A222" s="33" t="s">
        <v>32</v>
      </c>
      <c r="B222" s="34" t="s">
        <v>100</v>
      </c>
      <c r="C222" s="33">
        <v>5.6</v>
      </c>
      <c r="D222" s="102"/>
    </row>
    <row r="223" spans="1:4" ht="15.75" hidden="1" outlineLevel="1" x14ac:dyDescent="0.2">
      <c r="A223" s="33" t="s">
        <v>32</v>
      </c>
      <c r="B223" s="34" t="s">
        <v>1324</v>
      </c>
      <c r="C223" s="35">
        <v>5.0999999999999996</v>
      </c>
      <c r="D223" s="102"/>
    </row>
    <row r="224" spans="1:4" ht="15.75" hidden="1" outlineLevel="1" x14ac:dyDescent="0.2">
      <c r="A224" s="33" t="s">
        <v>32</v>
      </c>
      <c r="B224" s="34" t="s">
        <v>260</v>
      </c>
      <c r="C224" s="33">
        <v>5.14</v>
      </c>
      <c r="D224" s="102"/>
    </row>
    <row r="225" spans="1:4" ht="15.75" hidden="1" outlineLevel="1" x14ac:dyDescent="0.2">
      <c r="A225" s="33" t="s">
        <v>32</v>
      </c>
      <c r="B225" s="34" t="s">
        <v>82</v>
      </c>
      <c r="C225" s="33">
        <v>5.19</v>
      </c>
      <c r="D225" s="102"/>
    </row>
    <row r="226" spans="1:4" ht="15.75" hidden="1" outlineLevel="1" x14ac:dyDescent="0.2">
      <c r="A226" s="33" t="s">
        <v>32</v>
      </c>
      <c r="B226" s="34" t="s">
        <v>102</v>
      </c>
      <c r="C226" s="33">
        <v>5.24</v>
      </c>
      <c r="D226" s="102"/>
    </row>
    <row r="227" spans="1:4" ht="15.75" hidden="1" outlineLevel="1" x14ac:dyDescent="0.2">
      <c r="A227" s="33" t="s">
        <v>32</v>
      </c>
      <c r="B227" s="34" t="s">
        <v>59</v>
      </c>
      <c r="C227" s="33">
        <v>5.26</v>
      </c>
      <c r="D227" s="102"/>
    </row>
    <row r="228" spans="1:4" ht="15.75" hidden="1" outlineLevel="1" x14ac:dyDescent="0.2">
      <c r="A228" s="33" t="s">
        <v>32</v>
      </c>
      <c r="B228" s="34" t="s">
        <v>60</v>
      </c>
      <c r="C228" s="33">
        <v>5.27</v>
      </c>
      <c r="D228" s="102"/>
    </row>
    <row r="229" spans="1:4" ht="15.75" hidden="1" outlineLevel="1" x14ac:dyDescent="0.2">
      <c r="A229" s="33" t="s">
        <v>32</v>
      </c>
      <c r="B229" s="34" t="s">
        <v>83</v>
      </c>
      <c r="C229" s="33">
        <v>5.28</v>
      </c>
      <c r="D229" s="102"/>
    </row>
    <row r="230" spans="1:4" ht="15.75" hidden="1" outlineLevel="1" x14ac:dyDescent="0.2">
      <c r="A230" s="33" t="s">
        <v>32</v>
      </c>
      <c r="B230" s="34" t="s">
        <v>109</v>
      </c>
      <c r="C230" s="33">
        <v>5.29</v>
      </c>
      <c r="D230" s="102"/>
    </row>
    <row r="231" spans="1:4" ht="15.75" hidden="1" outlineLevel="1" x14ac:dyDescent="0.2">
      <c r="A231" s="33" t="s">
        <v>32</v>
      </c>
      <c r="B231" s="34" t="s">
        <v>84</v>
      </c>
      <c r="C231" s="35">
        <v>5.3</v>
      </c>
      <c r="D231" s="102"/>
    </row>
    <row r="232" spans="1:4" ht="15.75" hidden="1" outlineLevel="1" x14ac:dyDescent="0.2">
      <c r="A232" s="33" t="s">
        <v>32</v>
      </c>
      <c r="B232" s="34" t="s">
        <v>103</v>
      </c>
      <c r="C232" s="33">
        <v>5.31</v>
      </c>
      <c r="D232" s="102"/>
    </row>
    <row r="233" spans="1:4" ht="15.75" hidden="1" outlineLevel="1" x14ac:dyDescent="0.2">
      <c r="A233" s="33" t="s">
        <v>32</v>
      </c>
      <c r="B233" s="34" t="s">
        <v>265</v>
      </c>
      <c r="C233" s="33">
        <v>5.33</v>
      </c>
      <c r="D233" s="102"/>
    </row>
    <row r="234" spans="1:4" ht="15.75" hidden="1" outlineLevel="1" x14ac:dyDescent="0.2">
      <c r="A234" s="33" t="s">
        <v>32</v>
      </c>
      <c r="B234" s="34" t="s">
        <v>262</v>
      </c>
      <c r="C234" s="33">
        <v>5.101</v>
      </c>
      <c r="D234" s="102"/>
    </row>
    <row r="235" spans="1:4" ht="15.75" hidden="1" outlineLevel="1" x14ac:dyDescent="0.2">
      <c r="A235" s="33" t="s">
        <v>32</v>
      </c>
      <c r="B235" s="34" t="s">
        <v>61</v>
      </c>
      <c r="C235" s="33">
        <v>5.36</v>
      </c>
      <c r="D235" s="102"/>
    </row>
    <row r="236" spans="1:4" ht="15.75" hidden="1" outlineLevel="1" x14ac:dyDescent="0.2">
      <c r="A236" s="33" t="s">
        <v>32</v>
      </c>
      <c r="B236" s="34" t="s">
        <v>64</v>
      </c>
      <c r="C236" s="33">
        <v>5.53</v>
      </c>
      <c r="D236" s="102"/>
    </row>
    <row r="237" spans="1:4" ht="15.75" hidden="1" outlineLevel="1" x14ac:dyDescent="0.2">
      <c r="A237" s="33" t="s">
        <v>32</v>
      </c>
      <c r="B237" s="34" t="s">
        <v>263</v>
      </c>
      <c r="C237" s="33">
        <v>5.1020000000000003</v>
      </c>
      <c r="D237" s="102"/>
    </row>
    <row r="238" spans="1:4" ht="15.75" hidden="1" outlineLevel="1" x14ac:dyDescent="0.2">
      <c r="A238" s="33" t="s">
        <v>32</v>
      </c>
      <c r="B238" s="34" t="s">
        <v>90</v>
      </c>
      <c r="C238" s="33">
        <v>5.58</v>
      </c>
      <c r="D238" s="102"/>
    </row>
    <row r="239" spans="1:4" ht="15.75" hidden="1" outlineLevel="1" x14ac:dyDescent="0.2">
      <c r="A239" s="33" t="s">
        <v>32</v>
      </c>
      <c r="B239" s="34" t="s">
        <v>66</v>
      </c>
      <c r="C239" s="33">
        <v>5.54</v>
      </c>
      <c r="D239" s="102"/>
    </row>
    <row r="240" spans="1:4" ht="15.75" hidden="1" outlineLevel="1" x14ac:dyDescent="0.2">
      <c r="A240" s="33" t="s">
        <v>32</v>
      </c>
      <c r="B240" s="34" t="s">
        <v>91</v>
      </c>
      <c r="C240" s="33">
        <v>5.55</v>
      </c>
      <c r="D240" s="102"/>
    </row>
    <row r="241" spans="1:4" ht="15.75" hidden="1" outlineLevel="1" x14ac:dyDescent="0.2">
      <c r="A241" s="33" t="s">
        <v>32</v>
      </c>
      <c r="B241" s="34" t="s">
        <v>68</v>
      </c>
      <c r="C241" s="33">
        <v>5.63</v>
      </c>
      <c r="D241" s="102"/>
    </row>
    <row r="242" spans="1:4" ht="15.75" hidden="1" outlineLevel="1" x14ac:dyDescent="0.2">
      <c r="A242" s="33" t="s">
        <v>32</v>
      </c>
      <c r="B242" s="34" t="s">
        <v>69</v>
      </c>
      <c r="C242" s="33">
        <v>5.47</v>
      </c>
      <c r="D242" s="102"/>
    </row>
    <row r="243" spans="1:4" ht="15.75" hidden="1" outlineLevel="1" x14ac:dyDescent="0.2">
      <c r="A243" s="33" t="s">
        <v>32</v>
      </c>
      <c r="B243" s="34" t="s">
        <v>70</v>
      </c>
      <c r="C243" s="33">
        <v>5.48</v>
      </c>
      <c r="D243" s="102"/>
    </row>
    <row r="244" spans="1:4" ht="15.75" x14ac:dyDescent="0.2">
      <c r="A244" s="38" t="s">
        <v>32</v>
      </c>
      <c r="B244" s="34"/>
      <c r="C244" s="33"/>
      <c r="D244" s="102"/>
    </row>
    <row r="245" spans="1:4" ht="15.75" hidden="1" outlineLevel="1" x14ac:dyDescent="0.2">
      <c r="A245" s="33" t="s">
        <v>33</v>
      </c>
      <c r="B245" s="34" t="s">
        <v>54</v>
      </c>
      <c r="C245" s="33">
        <v>5.0999999999999996</v>
      </c>
      <c r="D245" s="102"/>
    </row>
    <row r="246" spans="1:4" ht="15.75" hidden="1" outlineLevel="1" x14ac:dyDescent="0.2">
      <c r="A246" s="33" t="s">
        <v>33</v>
      </c>
      <c r="B246" s="34" t="s">
        <v>55</v>
      </c>
      <c r="C246" s="33">
        <v>5.2</v>
      </c>
      <c r="D246" s="102"/>
    </row>
    <row r="247" spans="1:4" ht="15.75" hidden="1" outlineLevel="1" x14ac:dyDescent="0.2">
      <c r="A247" s="33" t="s">
        <v>33</v>
      </c>
      <c r="B247" s="34" t="s">
        <v>80</v>
      </c>
      <c r="C247" s="33">
        <v>5.3</v>
      </c>
      <c r="D247" s="102"/>
    </row>
    <row r="248" spans="1:4" ht="15.75" hidden="1" outlineLevel="1" x14ac:dyDescent="0.2">
      <c r="A248" s="33" t="s">
        <v>33</v>
      </c>
      <c r="B248" s="34" t="s">
        <v>100</v>
      </c>
      <c r="C248" s="33">
        <v>5.6</v>
      </c>
      <c r="D248" s="102"/>
    </row>
    <row r="249" spans="1:4" ht="15.75" hidden="1" outlineLevel="1" x14ac:dyDescent="0.2">
      <c r="A249" s="33" t="s">
        <v>33</v>
      </c>
      <c r="B249" s="34" t="s">
        <v>1324</v>
      </c>
      <c r="C249" s="35">
        <v>5.0999999999999996</v>
      </c>
      <c r="D249" s="102"/>
    </row>
    <row r="250" spans="1:4" ht="15.75" hidden="1" outlineLevel="1" x14ac:dyDescent="0.2">
      <c r="A250" s="33" t="s">
        <v>33</v>
      </c>
      <c r="B250" s="34" t="s">
        <v>260</v>
      </c>
      <c r="C250" s="33">
        <v>5.14</v>
      </c>
      <c r="D250" s="102"/>
    </row>
    <row r="251" spans="1:4" ht="15.75" hidden="1" outlineLevel="1" x14ac:dyDescent="0.2">
      <c r="A251" s="33" t="s">
        <v>33</v>
      </c>
      <c r="B251" s="34" t="s">
        <v>82</v>
      </c>
      <c r="C251" s="33">
        <v>5.19</v>
      </c>
      <c r="D251" s="102"/>
    </row>
    <row r="252" spans="1:4" ht="15.75" hidden="1" outlineLevel="1" x14ac:dyDescent="0.2">
      <c r="A252" s="33" t="s">
        <v>33</v>
      </c>
      <c r="B252" s="34" t="s">
        <v>102</v>
      </c>
      <c r="C252" s="33">
        <v>5.24</v>
      </c>
      <c r="D252" s="102"/>
    </row>
    <row r="253" spans="1:4" ht="15.75" hidden="1" outlineLevel="1" x14ac:dyDescent="0.2">
      <c r="A253" s="33" t="s">
        <v>33</v>
      </c>
      <c r="B253" s="34" t="s">
        <v>60</v>
      </c>
      <c r="C253" s="33">
        <v>5.27</v>
      </c>
      <c r="D253" s="102"/>
    </row>
    <row r="254" spans="1:4" ht="15.75" hidden="1" outlineLevel="1" x14ac:dyDescent="0.2">
      <c r="A254" s="33" t="s">
        <v>33</v>
      </c>
      <c r="B254" s="34" t="s">
        <v>83</v>
      </c>
      <c r="C254" s="33">
        <v>5.28</v>
      </c>
      <c r="D254" s="102"/>
    </row>
    <row r="255" spans="1:4" ht="15.75" hidden="1" outlineLevel="1" x14ac:dyDescent="0.2">
      <c r="A255" s="33" t="s">
        <v>33</v>
      </c>
      <c r="B255" s="34" t="s">
        <v>84</v>
      </c>
      <c r="C255" s="35">
        <v>5.3</v>
      </c>
      <c r="D255" s="102"/>
    </row>
    <row r="256" spans="1:4" ht="15.75" hidden="1" outlineLevel="1" x14ac:dyDescent="0.2">
      <c r="A256" s="33" t="s">
        <v>33</v>
      </c>
      <c r="B256" s="34" t="s">
        <v>265</v>
      </c>
      <c r="C256" s="33">
        <v>5.33</v>
      </c>
      <c r="D256" s="102"/>
    </row>
    <row r="257" spans="1:4" ht="15.75" hidden="1" outlineLevel="1" x14ac:dyDescent="0.2">
      <c r="A257" s="33" t="s">
        <v>33</v>
      </c>
      <c r="B257" s="34" t="s">
        <v>61</v>
      </c>
      <c r="C257" s="33">
        <v>5.36</v>
      </c>
      <c r="D257" s="102"/>
    </row>
    <row r="258" spans="1:4" ht="15.75" hidden="1" outlineLevel="1" x14ac:dyDescent="0.2">
      <c r="A258" s="33" t="s">
        <v>33</v>
      </c>
      <c r="B258" s="34" t="s">
        <v>64</v>
      </c>
      <c r="C258" s="33">
        <v>5.53</v>
      </c>
      <c r="D258" s="102"/>
    </row>
    <row r="259" spans="1:4" ht="15.75" hidden="1" outlineLevel="1" x14ac:dyDescent="0.2">
      <c r="A259" s="33" t="s">
        <v>33</v>
      </c>
      <c r="B259" s="34" t="s">
        <v>90</v>
      </c>
      <c r="C259" s="33">
        <v>5.58</v>
      </c>
      <c r="D259" s="102"/>
    </row>
    <row r="260" spans="1:4" ht="15.75" hidden="1" outlineLevel="1" x14ac:dyDescent="0.2">
      <c r="A260" s="33" t="s">
        <v>33</v>
      </c>
      <c r="B260" s="34" t="s">
        <v>66</v>
      </c>
      <c r="C260" s="33">
        <v>5.54</v>
      </c>
      <c r="D260" s="102"/>
    </row>
    <row r="261" spans="1:4" ht="15.75" hidden="1" outlineLevel="1" x14ac:dyDescent="0.2">
      <c r="A261" s="33" t="s">
        <v>33</v>
      </c>
      <c r="B261" s="34" t="s">
        <v>91</v>
      </c>
      <c r="C261" s="33">
        <v>5.55</v>
      </c>
      <c r="D261" s="102"/>
    </row>
    <row r="262" spans="1:4" ht="15.75" hidden="1" outlineLevel="1" x14ac:dyDescent="0.2">
      <c r="A262" s="33" t="s">
        <v>33</v>
      </c>
      <c r="B262" s="34" t="s">
        <v>68</v>
      </c>
      <c r="C262" s="33">
        <v>5.63</v>
      </c>
      <c r="D262" s="102"/>
    </row>
    <row r="263" spans="1:4" ht="15.75" hidden="1" outlineLevel="1" x14ac:dyDescent="0.2">
      <c r="A263" s="33" t="s">
        <v>33</v>
      </c>
      <c r="B263" s="34" t="s">
        <v>69</v>
      </c>
      <c r="C263" s="33">
        <v>5.47</v>
      </c>
      <c r="D263" s="102"/>
    </row>
    <row r="264" spans="1:4" ht="15.75" hidden="1" outlineLevel="1" x14ac:dyDescent="0.2">
      <c r="A264" s="33" t="s">
        <v>33</v>
      </c>
      <c r="B264" s="34" t="s">
        <v>70</v>
      </c>
      <c r="C264" s="33">
        <v>5.48</v>
      </c>
      <c r="D264" s="102"/>
    </row>
    <row r="265" spans="1:4" ht="15.75" x14ac:dyDescent="0.2">
      <c r="A265" s="38" t="s">
        <v>33</v>
      </c>
      <c r="B265" s="34"/>
      <c r="C265" s="33"/>
      <c r="D265" s="102"/>
    </row>
    <row r="266" spans="1:4" ht="15.75" hidden="1" outlineLevel="1" x14ac:dyDescent="0.2">
      <c r="A266" s="33" t="s">
        <v>34</v>
      </c>
      <c r="B266" s="34" t="s">
        <v>54</v>
      </c>
      <c r="C266" s="33">
        <v>5.0999999999999996</v>
      </c>
      <c r="D266" s="102"/>
    </row>
    <row r="267" spans="1:4" ht="15.75" hidden="1" outlineLevel="1" x14ac:dyDescent="0.2">
      <c r="A267" s="33" t="s">
        <v>34</v>
      </c>
      <c r="B267" s="34" t="s">
        <v>55</v>
      </c>
      <c r="C267" s="33">
        <v>5.2</v>
      </c>
      <c r="D267" s="102"/>
    </row>
    <row r="268" spans="1:4" ht="15.75" hidden="1" outlineLevel="1" x14ac:dyDescent="0.2">
      <c r="A268" s="33" t="s">
        <v>34</v>
      </c>
      <c r="B268" s="34" t="s">
        <v>80</v>
      </c>
      <c r="C268" s="33">
        <v>5.3</v>
      </c>
      <c r="D268" s="102"/>
    </row>
    <row r="269" spans="1:4" ht="15.75" hidden="1" outlineLevel="1" x14ac:dyDescent="0.2">
      <c r="A269" s="33" t="s">
        <v>34</v>
      </c>
      <c r="B269" s="34" t="s">
        <v>100</v>
      </c>
      <c r="C269" s="33">
        <v>5.6</v>
      </c>
      <c r="D269" s="102"/>
    </row>
    <row r="270" spans="1:4" ht="15.75" hidden="1" outlineLevel="1" x14ac:dyDescent="0.2">
      <c r="A270" s="33" t="s">
        <v>34</v>
      </c>
      <c r="B270" s="34" t="s">
        <v>1324</v>
      </c>
      <c r="C270" s="35">
        <v>5.0999999999999996</v>
      </c>
      <c r="D270" s="102"/>
    </row>
    <row r="271" spans="1:4" ht="15.75" hidden="1" outlineLevel="1" x14ac:dyDescent="0.2">
      <c r="A271" s="33" t="s">
        <v>34</v>
      </c>
      <c r="B271" s="34" t="s">
        <v>260</v>
      </c>
      <c r="C271" s="33">
        <v>5.14</v>
      </c>
      <c r="D271" s="102"/>
    </row>
    <row r="272" spans="1:4" ht="15.75" hidden="1" outlineLevel="1" x14ac:dyDescent="0.2">
      <c r="A272" s="33" t="s">
        <v>34</v>
      </c>
      <c r="B272" s="34" t="s">
        <v>82</v>
      </c>
      <c r="C272" s="33">
        <v>5.19</v>
      </c>
      <c r="D272" s="102"/>
    </row>
    <row r="273" spans="1:4" ht="15.75" hidden="1" outlineLevel="1" x14ac:dyDescent="0.2">
      <c r="A273" s="33" t="s">
        <v>34</v>
      </c>
      <c r="B273" s="34" t="s">
        <v>102</v>
      </c>
      <c r="C273" s="33">
        <v>5.24</v>
      </c>
      <c r="D273" s="102"/>
    </row>
    <row r="274" spans="1:4" ht="15.75" hidden="1" outlineLevel="1" x14ac:dyDescent="0.2">
      <c r="A274" s="33" t="s">
        <v>34</v>
      </c>
      <c r="B274" s="34" t="s">
        <v>59</v>
      </c>
      <c r="C274" s="33">
        <v>5.26</v>
      </c>
      <c r="D274" s="102"/>
    </row>
    <row r="275" spans="1:4" ht="15.75" hidden="1" outlineLevel="1" x14ac:dyDescent="0.2">
      <c r="A275" s="33" t="s">
        <v>34</v>
      </c>
      <c r="B275" s="34" t="s">
        <v>60</v>
      </c>
      <c r="C275" s="33">
        <v>5.27</v>
      </c>
      <c r="D275" s="102"/>
    </row>
    <row r="276" spans="1:4" ht="15.75" hidden="1" outlineLevel="1" x14ac:dyDescent="0.2">
      <c r="A276" s="33" t="s">
        <v>34</v>
      </c>
      <c r="B276" s="34" t="s">
        <v>83</v>
      </c>
      <c r="C276" s="33">
        <v>5.28</v>
      </c>
      <c r="D276" s="102"/>
    </row>
    <row r="277" spans="1:4" ht="15.75" hidden="1" outlineLevel="1" x14ac:dyDescent="0.2">
      <c r="A277" s="33" t="s">
        <v>34</v>
      </c>
      <c r="B277" s="34" t="s">
        <v>109</v>
      </c>
      <c r="C277" s="33">
        <v>5.29</v>
      </c>
      <c r="D277" s="102"/>
    </row>
    <row r="278" spans="1:4" ht="15.75" hidden="1" outlineLevel="1" x14ac:dyDescent="0.2">
      <c r="A278" s="33" t="s">
        <v>34</v>
      </c>
      <c r="B278" s="34" t="s">
        <v>84</v>
      </c>
      <c r="C278" s="35">
        <v>5.3</v>
      </c>
      <c r="D278" s="102"/>
    </row>
    <row r="279" spans="1:4" ht="15.75" hidden="1" outlineLevel="1" x14ac:dyDescent="0.2">
      <c r="A279" s="33" t="s">
        <v>34</v>
      </c>
      <c r="B279" s="34" t="s">
        <v>265</v>
      </c>
      <c r="C279" s="33">
        <v>5.33</v>
      </c>
      <c r="D279" s="102"/>
    </row>
    <row r="280" spans="1:4" ht="15.75" hidden="1" outlineLevel="1" x14ac:dyDescent="0.2">
      <c r="A280" s="33" t="s">
        <v>34</v>
      </c>
      <c r="B280" s="34" t="s">
        <v>61</v>
      </c>
      <c r="C280" s="33">
        <v>5.36</v>
      </c>
      <c r="D280" s="102"/>
    </row>
    <row r="281" spans="1:4" ht="15.75" hidden="1" outlineLevel="1" x14ac:dyDescent="0.2">
      <c r="A281" s="33" t="s">
        <v>34</v>
      </c>
      <c r="B281" s="34" t="s">
        <v>86</v>
      </c>
      <c r="C281" s="33">
        <v>5.69</v>
      </c>
      <c r="D281" s="102"/>
    </row>
    <row r="282" spans="1:4" ht="15.75" hidden="1" outlineLevel="1" x14ac:dyDescent="0.2">
      <c r="A282" s="33" t="s">
        <v>34</v>
      </c>
      <c r="B282" s="34" t="s">
        <v>67</v>
      </c>
      <c r="C282" s="35">
        <v>5.7</v>
      </c>
      <c r="D282" s="102"/>
    </row>
    <row r="283" spans="1:4" ht="15.75" hidden="1" outlineLevel="1" x14ac:dyDescent="0.2">
      <c r="A283" s="33" t="s">
        <v>34</v>
      </c>
      <c r="B283" s="34" t="s">
        <v>88</v>
      </c>
      <c r="C283" s="33">
        <v>5.74</v>
      </c>
      <c r="D283" s="102"/>
    </row>
    <row r="284" spans="1:4" ht="15.75" hidden="1" outlineLevel="1" x14ac:dyDescent="0.2">
      <c r="A284" s="33" t="s">
        <v>34</v>
      </c>
      <c r="B284" s="34" t="s">
        <v>85</v>
      </c>
      <c r="C284" s="33">
        <v>5.49</v>
      </c>
      <c r="D284" s="102"/>
    </row>
    <row r="285" spans="1:4" ht="15.75" hidden="1" outlineLevel="1" x14ac:dyDescent="0.2">
      <c r="A285" s="33" t="s">
        <v>34</v>
      </c>
      <c r="B285" s="34" t="s">
        <v>63</v>
      </c>
      <c r="C285" s="33">
        <v>5.51</v>
      </c>
      <c r="D285" s="102"/>
    </row>
    <row r="286" spans="1:4" ht="15.75" hidden="1" outlineLevel="1" x14ac:dyDescent="0.2">
      <c r="A286" s="33" t="s">
        <v>34</v>
      </c>
      <c r="B286" s="34" t="s">
        <v>1325</v>
      </c>
      <c r="C286" s="33">
        <v>5.52</v>
      </c>
      <c r="D286" s="102"/>
    </row>
    <row r="287" spans="1:4" ht="15.75" hidden="1" outlineLevel="1" x14ac:dyDescent="0.2">
      <c r="A287" s="33" t="s">
        <v>34</v>
      </c>
      <c r="B287" s="34" t="s">
        <v>64</v>
      </c>
      <c r="C287" s="33">
        <v>5.53</v>
      </c>
      <c r="D287" s="102"/>
    </row>
    <row r="288" spans="1:4" ht="15.75" hidden="1" outlineLevel="1" x14ac:dyDescent="0.2">
      <c r="A288" s="33" t="s">
        <v>34</v>
      </c>
      <c r="B288" s="34" t="s">
        <v>90</v>
      </c>
      <c r="C288" s="33">
        <v>5.58</v>
      </c>
      <c r="D288" s="102"/>
    </row>
    <row r="289" spans="1:4" ht="15.75" hidden="1" outlineLevel="1" x14ac:dyDescent="0.2">
      <c r="A289" s="33" t="s">
        <v>34</v>
      </c>
      <c r="B289" s="34" t="s">
        <v>66</v>
      </c>
      <c r="C289" s="33">
        <v>5.54</v>
      </c>
      <c r="D289" s="102"/>
    </row>
    <row r="290" spans="1:4" ht="15.75" hidden="1" outlineLevel="1" x14ac:dyDescent="0.2">
      <c r="A290" s="33" t="s">
        <v>34</v>
      </c>
      <c r="B290" s="34" t="s">
        <v>91</v>
      </c>
      <c r="C290" s="33">
        <v>5.55</v>
      </c>
      <c r="D290" s="102"/>
    </row>
    <row r="291" spans="1:4" ht="15.75" hidden="1" outlineLevel="1" x14ac:dyDescent="0.2">
      <c r="A291" s="33" t="s">
        <v>34</v>
      </c>
      <c r="B291" s="34" t="s">
        <v>68</v>
      </c>
      <c r="C291" s="33">
        <v>5.63</v>
      </c>
      <c r="D291" s="102"/>
    </row>
    <row r="292" spans="1:4" ht="15.75" hidden="1" outlineLevel="1" x14ac:dyDescent="0.2">
      <c r="A292" s="33" t="s">
        <v>34</v>
      </c>
      <c r="B292" s="34" t="s">
        <v>69</v>
      </c>
      <c r="C292" s="33">
        <v>5.47</v>
      </c>
      <c r="D292" s="102"/>
    </row>
    <row r="293" spans="1:4" ht="15.75" hidden="1" outlineLevel="1" x14ac:dyDescent="0.2">
      <c r="A293" s="33" t="s">
        <v>34</v>
      </c>
      <c r="B293" s="34" t="s">
        <v>70</v>
      </c>
      <c r="C293" s="33">
        <v>5.48</v>
      </c>
      <c r="D293" s="102"/>
    </row>
    <row r="294" spans="1:4" ht="15.75" x14ac:dyDescent="0.2">
      <c r="A294" s="38" t="s">
        <v>34</v>
      </c>
      <c r="B294" s="34"/>
      <c r="C294" s="33"/>
      <c r="D294" s="102"/>
    </row>
    <row r="295" spans="1:4" ht="15.75" hidden="1" outlineLevel="1" x14ac:dyDescent="0.2">
      <c r="A295" s="33" t="s">
        <v>35</v>
      </c>
      <c r="B295" s="34" t="s">
        <v>54</v>
      </c>
      <c r="C295" s="33">
        <v>5.0999999999999996</v>
      </c>
      <c r="D295" s="102"/>
    </row>
    <row r="296" spans="1:4" ht="15.75" hidden="1" outlineLevel="1" x14ac:dyDescent="0.2">
      <c r="A296" s="33" t="s">
        <v>35</v>
      </c>
      <c r="B296" s="34" t="s">
        <v>55</v>
      </c>
      <c r="C296" s="33">
        <v>5.2</v>
      </c>
      <c r="D296" s="102"/>
    </row>
    <row r="297" spans="1:4" ht="15.75" hidden="1" outlineLevel="1" x14ac:dyDescent="0.2">
      <c r="A297" s="33" t="s">
        <v>35</v>
      </c>
      <c r="B297" s="34" t="s">
        <v>80</v>
      </c>
      <c r="C297" s="33">
        <v>5.3</v>
      </c>
      <c r="D297" s="102"/>
    </row>
    <row r="298" spans="1:4" ht="15.75" hidden="1" outlineLevel="1" x14ac:dyDescent="0.2">
      <c r="A298" s="33" t="s">
        <v>35</v>
      </c>
      <c r="B298" s="34" t="s">
        <v>260</v>
      </c>
      <c r="C298" s="33">
        <v>5.14</v>
      </c>
      <c r="D298" s="102"/>
    </row>
    <row r="299" spans="1:4" ht="15.75" hidden="1" outlineLevel="1" x14ac:dyDescent="0.2">
      <c r="A299" s="33" t="s">
        <v>35</v>
      </c>
      <c r="B299" s="34" t="s">
        <v>82</v>
      </c>
      <c r="C299" s="33">
        <v>5.19</v>
      </c>
      <c r="D299" s="102"/>
    </row>
    <row r="300" spans="1:4" ht="15.75" hidden="1" outlineLevel="1" x14ac:dyDescent="0.2">
      <c r="A300" s="33" t="s">
        <v>35</v>
      </c>
      <c r="B300" s="34" t="s">
        <v>102</v>
      </c>
      <c r="C300" s="33">
        <v>5.24</v>
      </c>
      <c r="D300" s="102"/>
    </row>
    <row r="301" spans="1:4" ht="15.75" hidden="1" outlineLevel="1" x14ac:dyDescent="0.2">
      <c r="A301" s="33" t="s">
        <v>35</v>
      </c>
      <c r="B301" s="34" t="s">
        <v>59</v>
      </c>
      <c r="C301" s="33">
        <v>5.26</v>
      </c>
      <c r="D301" s="102"/>
    </row>
    <row r="302" spans="1:4" ht="15.75" hidden="1" outlineLevel="1" x14ac:dyDescent="0.2">
      <c r="A302" s="33" t="s">
        <v>35</v>
      </c>
      <c r="B302" s="34" t="s">
        <v>60</v>
      </c>
      <c r="C302" s="33">
        <v>5.27</v>
      </c>
      <c r="D302" s="102"/>
    </row>
    <row r="303" spans="1:4" ht="15.75" hidden="1" outlineLevel="1" x14ac:dyDescent="0.2">
      <c r="A303" s="33" t="s">
        <v>35</v>
      </c>
      <c r="B303" s="34" t="s">
        <v>83</v>
      </c>
      <c r="C303" s="33">
        <v>5.28</v>
      </c>
      <c r="D303" s="102"/>
    </row>
    <row r="304" spans="1:4" ht="15.75" hidden="1" outlineLevel="1" x14ac:dyDescent="0.2">
      <c r="A304" s="33" t="s">
        <v>35</v>
      </c>
      <c r="B304" s="34" t="s">
        <v>266</v>
      </c>
      <c r="C304" s="33">
        <v>5.37</v>
      </c>
      <c r="D304" s="102"/>
    </row>
    <row r="305" spans="1:4" ht="15.75" hidden="1" outlineLevel="1" x14ac:dyDescent="0.2">
      <c r="A305" s="33" t="s">
        <v>35</v>
      </c>
      <c r="B305" s="34" t="s">
        <v>85</v>
      </c>
      <c r="C305" s="33">
        <v>5.49</v>
      </c>
      <c r="D305" s="102"/>
    </row>
    <row r="306" spans="1:4" ht="15.75" hidden="1" outlineLevel="1" x14ac:dyDescent="0.2">
      <c r="A306" s="33" t="s">
        <v>35</v>
      </c>
      <c r="B306" s="34" t="s">
        <v>63</v>
      </c>
      <c r="C306" s="33">
        <v>5.51</v>
      </c>
      <c r="D306" s="102"/>
    </row>
    <row r="307" spans="1:4" ht="15.75" hidden="1" outlineLevel="1" x14ac:dyDescent="0.2">
      <c r="A307" s="33" t="s">
        <v>35</v>
      </c>
      <c r="B307" s="34" t="s">
        <v>64</v>
      </c>
      <c r="C307" s="33">
        <v>5.53</v>
      </c>
      <c r="D307" s="102"/>
    </row>
    <row r="308" spans="1:4" ht="15.75" hidden="1" outlineLevel="1" x14ac:dyDescent="0.2">
      <c r="A308" s="33" t="s">
        <v>35</v>
      </c>
      <c r="B308" s="34" t="s">
        <v>86</v>
      </c>
      <c r="C308" s="33">
        <v>5.69</v>
      </c>
      <c r="D308" s="102"/>
    </row>
    <row r="309" spans="1:4" ht="15.75" hidden="1" outlineLevel="1" x14ac:dyDescent="0.2">
      <c r="A309" s="33" t="s">
        <v>35</v>
      </c>
      <c r="B309" s="34" t="s">
        <v>87</v>
      </c>
      <c r="C309" s="33">
        <v>5.75</v>
      </c>
      <c r="D309" s="102"/>
    </row>
    <row r="310" spans="1:4" ht="15.75" hidden="1" outlineLevel="1" x14ac:dyDescent="0.2">
      <c r="A310" s="33" t="s">
        <v>35</v>
      </c>
      <c r="B310" s="34" t="s">
        <v>67</v>
      </c>
      <c r="C310" s="35">
        <v>5.7</v>
      </c>
      <c r="D310" s="102"/>
    </row>
    <row r="311" spans="1:4" ht="15.75" hidden="1" outlineLevel="1" x14ac:dyDescent="0.2">
      <c r="A311" s="33" t="s">
        <v>35</v>
      </c>
      <c r="B311" s="34" t="s">
        <v>88</v>
      </c>
      <c r="C311" s="33">
        <v>5.74</v>
      </c>
      <c r="D311" s="102"/>
    </row>
    <row r="312" spans="1:4" ht="15.75" hidden="1" outlineLevel="1" x14ac:dyDescent="0.2">
      <c r="A312" s="33" t="s">
        <v>35</v>
      </c>
      <c r="B312" s="34" t="s">
        <v>90</v>
      </c>
      <c r="C312" s="33">
        <v>5.58</v>
      </c>
      <c r="D312" s="102"/>
    </row>
    <row r="313" spans="1:4" ht="15.75" hidden="1" outlineLevel="1" x14ac:dyDescent="0.2">
      <c r="A313" s="33" t="s">
        <v>35</v>
      </c>
      <c r="B313" s="34" t="s">
        <v>66</v>
      </c>
      <c r="C313" s="33">
        <v>5.54</v>
      </c>
      <c r="D313" s="102"/>
    </row>
    <row r="314" spans="1:4" ht="15.75" hidden="1" outlineLevel="1" x14ac:dyDescent="0.2">
      <c r="A314" s="33" t="s">
        <v>35</v>
      </c>
      <c r="B314" s="34" t="s">
        <v>91</v>
      </c>
      <c r="C314" s="33">
        <v>5.55</v>
      </c>
      <c r="D314" s="102"/>
    </row>
    <row r="315" spans="1:4" ht="15.75" hidden="1" outlineLevel="1" x14ac:dyDescent="0.2">
      <c r="A315" s="33" t="s">
        <v>35</v>
      </c>
      <c r="B315" s="34" t="s">
        <v>68</v>
      </c>
      <c r="C315" s="33">
        <v>5.63</v>
      </c>
      <c r="D315" s="102"/>
    </row>
    <row r="316" spans="1:4" ht="15.75" hidden="1" outlineLevel="1" x14ac:dyDescent="0.2">
      <c r="A316" s="33" t="s">
        <v>35</v>
      </c>
      <c r="B316" s="34" t="s">
        <v>92</v>
      </c>
      <c r="C316" s="33">
        <v>5.65</v>
      </c>
      <c r="D316" s="102"/>
    </row>
    <row r="317" spans="1:4" ht="15.75" hidden="1" outlineLevel="1" x14ac:dyDescent="0.2">
      <c r="A317" s="33" t="s">
        <v>35</v>
      </c>
      <c r="B317" s="34" t="s">
        <v>22</v>
      </c>
      <c r="C317" s="33">
        <v>5.68</v>
      </c>
      <c r="D317" s="102"/>
    </row>
    <row r="318" spans="1:4" ht="15.75" hidden="1" outlineLevel="1" x14ac:dyDescent="0.2">
      <c r="A318" s="33" t="s">
        <v>35</v>
      </c>
      <c r="B318" s="34" t="s">
        <v>69</v>
      </c>
      <c r="C318" s="33">
        <v>5.47</v>
      </c>
      <c r="D318" s="102"/>
    </row>
    <row r="319" spans="1:4" ht="15.75" hidden="1" outlineLevel="1" x14ac:dyDescent="0.2">
      <c r="A319" s="33" t="s">
        <v>35</v>
      </c>
      <c r="B319" s="34" t="s">
        <v>70</v>
      </c>
      <c r="C319" s="33">
        <v>5.48</v>
      </c>
      <c r="D319" s="102"/>
    </row>
    <row r="320" spans="1:4" ht="15.75" x14ac:dyDescent="0.2">
      <c r="A320" s="38" t="s">
        <v>35</v>
      </c>
      <c r="B320" s="34"/>
      <c r="C320" s="33"/>
      <c r="D320" s="102"/>
    </row>
    <row r="321" spans="1:4" ht="15.75" hidden="1" outlineLevel="1" x14ac:dyDescent="0.2">
      <c r="A321" s="33" t="s">
        <v>36</v>
      </c>
      <c r="B321" s="34" t="s">
        <v>54</v>
      </c>
      <c r="C321" s="33">
        <v>5.0999999999999996</v>
      </c>
      <c r="D321" s="102"/>
    </row>
    <row r="322" spans="1:4" ht="15.75" hidden="1" outlineLevel="1" x14ac:dyDescent="0.2">
      <c r="A322" s="33" t="s">
        <v>36</v>
      </c>
      <c r="B322" s="34" t="s">
        <v>55</v>
      </c>
      <c r="C322" s="33">
        <v>5.2</v>
      </c>
      <c r="D322" s="102"/>
    </row>
    <row r="323" spans="1:4" ht="15.75" hidden="1" outlineLevel="1" x14ac:dyDescent="0.2">
      <c r="A323" s="33" t="s">
        <v>36</v>
      </c>
      <c r="B323" s="34" t="s">
        <v>59</v>
      </c>
      <c r="C323" s="33">
        <v>5.26</v>
      </c>
      <c r="D323" s="102"/>
    </row>
    <row r="324" spans="1:4" ht="15.75" hidden="1" outlineLevel="1" x14ac:dyDescent="0.2">
      <c r="A324" s="33" t="s">
        <v>36</v>
      </c>
      <c r="B324" s="34" t="s">
        <v>260</v>
      </c>
      <c r="C324" s="33">
        <v>5.14</v>
      </c>
      <c r="D324" s="102"/>
    </row>
    <row r="325" spans="1:4" ht="15.75" hidden="1" outlineLevel="1" x14ac:dyDescent="0.2">
      <c r="A325" s="33" t="s">
        <v>36</v>
      </c>
      <c r="B325" s="34" t="s">
        <v>82</v>
      </c>
      <c r="C325" s="33">
        <v>5.19</v>
      </c>
      <c r="D325" s="102"/>
    </row>
    <row r="326" spans="1:4" ht="15.75" hidden="1" outlineLevel="1" x14ac:dyDescent="0.2">
      <c r="A326" s="33" t="s">
        <v>36</v>
      </c>
      <c r="B326" s="34" t="s">
        <v>266</v>
      </c>
      <c r="C326" s="33">
        <v>5.37</v>
      </c>
      <c r="D326" s="102"/>
    </row>
    <row r="327" spans="1:4" ht="15.75" hidden="1" outlineLevel="1" x14ac:dyDescent="0.2">
      <c r="A327" s="33" t="s">
        <v>36</v>
      </c>
      <c r="B327" s="34" t="s">
        <v>86</v>
      </c>
      <c r="C327" s="33">
        <v>5.69</v>
      </c>
      <c r="D327" s="102"/>
    </row>
    <row r="328" spans="1:4" ht="15.75" hidden="1" outlineLevel="1" x14ac:dyDescent="0.2">
      <c r="A328" s="33" t="s">
        <v>36</v>
      </c>
      <c r="B328" s="34" t="s">
        <v>267</v>
      </c>
      <c r="C328" s="35">
        <v>5.8</v>
      </c>
      <c r="D328" s="102"/>
    </row>
    <row r="329" spans="1:4" ht="15.75" hidden="1" outlineLevel="1" x14ac:dyDescent="0.2">
      <c r="A329" s="33" t="s">
        <v>36</v>
      </c>
      <c r="B329" s="34" t="s">
        <v>87</v>
      </c>
      <c r="C329" s="33">
        <v>5.75</v>
      </c>
      <c r="D329" s="102"/>
    </row>
    <row r="330" spans="1:4" ht="15.75" hidden="1" outlineLevel="1" x14ac:dyDescent="0.2">
      <c r="A330" s="33" t="s">
        <v>36</v>
      </c>
      <c r="B330" s="34" t="s">
        <v>67</v>
      </c>
      <c r="C330" s="35">
        <v>5.7</v>
      </c>
      <c r="D330" s="102"/>
    </row>
    <row r="331" spans="1:4" ht="15.75" hidden="1" outlineLevel="1" x14ac:dyDescent="0.2">
      <c r="A331" s="33" t="s">
        <v>36</v>
      </c>
      <c r="B331" s="34" t="s">
        <v>88</v>
      </c>
      <c r="C331" s="33">
        <v>5.74</v>
      </c>
      <c r="D331" s="102"/>
    </row>
    <row r="332" spans="1:4" ht="15.75" hidden="1" outlineLevel="1" x14ac:dyDescent="0.2">
      <c r="A332" s="33" t="s">
        <v>36</v>
      </c>
      <c r="B332" s="34" t="s">
        <v>90</v>
      </c>
      <c r="C332" s="33">
        <v>5.58</v>
      </c>
      <c r="D332" s="102"/>
    </row>
    <row r="333" spans="1:4" ht="15.75" hidden="1" outlineLevel="1" x14ac:dyDescent="0.2">
      <c r="A333" s="33" t="s">
        <v>36</v>
      </c>
      <c r="B333" s="34" t="s">
        <v>91</v>
      </c>
      <c r="C333" s="33">
        <v>5.55</v>
      </c>
      <c r="D333" s="102"/>
    </row>
    <row r="334" spans="1:4" ht="15.75" hidden="1" outlineLevel="1" x14ac:dyDescent="0.2">
      <c r="A334" s="33" t="s">
        <v>36</v>
      </c>
      <c r="B334" s="34" t="s">
        <v>68</v>
      </c>
      <c r="C334" s="33">
        <v>5.63</v>
      </c>
      <c r="D334" s="102"/>
    </row>
    <row r="335" spans="1:4" ht="15.75" hidden="1" outlineLevel="1" x14ac:dyDescent="0.2">
      <c r="A335" s="33" t="s">
        <v>36</v>
      </c>
      <c r="B335" s="34" t="s">
        <v>92</v>
      </c>
      <c r="C335" s="33">
        <v>5.65</v>
      </c>
      <c r="D335" s="102"/>
    </row>
    <row r="336" spans="1:4" ht="15.75" hidden="1" outlineLevel="1" x14ac:dyDescent="0.2">
      <c r="A336" s="33" t="s">
        <v>36</v>
      </c>
      <c r="B336" s="34" t="s">
        <v>22</v>
      </c>
      <c r="C336" s="33">
        <v>5.68</v>
      </c>
      <c r="D336" s="102"/>
    </row>
    <row r="337" spans="1:4" ht="15.75" hidden="1" outlineLevel="1" x14ac:dyDescent="0.2">
      <c r="A337" s="33" t="s">
        <v>36</v>
      </c>
      <c r="B337" s="34" t="s">
        <v>69</v>
      </c>
      <c r="C337" s="33">
        <v>5.47</v>
      </c>
      <c r="D337" s="102"/>
    </row>
    <row r="338" spans="1:4" ht="15.75" hidden="1" outlineLevel="1" x14ac:dyDescent="0.2">
      <c r="A338" s="33" t="s">
        <v>36</v>
      </c>
      <c r="B338" s="34" t="s">
        <v>70</v>
      </c>
      <c r="C338" s="33">
        <v>5.48</v>
      </c>
      <c r="D338" s="102"/>
    </row>
    <row r="339" spans="1:4" ht="15.75" x14ac:dyDescent="0.2">
      <c r="A339" s="38" t="s">
        <v>36</v>
      </c>
      <c r="B339" s="34"/>
      <c r="C339" s="33"/>
      <c r="D339" s="102"/>
    </row>
    <row r="340" spans="1:4" ht="15.75" hidden="1" outlineLevel="1" x14ac:dyDescent="0.2">
      <c r="A340" s="33" t="s">
        <v>37</v>
      </c>
      <c r="B340" s="34" t="s">
        <v>337</v>
      </c>
      <c r="C340" s="33">
        <v>5.0999999999999996</v>
      </c>
      <c r="D340" s="102"/>
    </row>
    <row r="341" spans="1:4" ht="15.75" hidden="1" outlineLevel="1" x14ac:dyDescent="0.2">
      <c r="A341" s="33" t="s">
        <v>37</v>
      </c>
      <c r="B341" s="34" t="s">
        <v>55</v>
      </c>
      <c r="C341" s="33">
        <v>5.2</v>
      </c>
      <c r="D341" s="102"/>
    </row>
    <row r="342" spans="1:4" ht="15.75" hidden="1" outlineLevel="1" x14ac:dyDescent="0.2">
      <c r="A342" s="33" t="s">
        <v>37</v>
      </c>
      <c r="B342" s="34" t="s">
        <v>59</v>
      </c>
      <c r="C342" s="33">
        <v>5.26</v>
      </c>
      <c r="D342" s="102"/>
    </row>
    <row r="343" spans="1:4" ht="15.75" hidden="1" outlineLevel="1" x14ac:dyDescent="0.2">
      <c r="A343" s="33" t="s">
        <v>37</v>
      </c>
      <c r="B343" s="34" t="s">
        <v>338</v>
      </c>
      <c r="C343" s="33">
        <v>5.38</v>
      </c>
      <c r="D343" s="102"/>
    </row>
    <row r="344" spans="1:4" ht="15.75" hidden="1" outlineLevel="1" x14ac:dyDescent="0.2">
      <c r="A344" s="33" t="s">
        <v>37</v>
      </c>
      <c r="B344" s="34" t="s">
        <v>339</v>
      </c>
      <c r="C344" s="33">
        <v>5.39</v>
      </c>
      <c r="D344" s="102"/>
    </row>
    <row r="345" spans="1:4" ht="15.75" hidden="1" outlineLevel="1" x14ac:dyDescent="0.2">
      <c r="A345" s="33" t="s">
        <v>37</v>
      </c>
      <c r="B345" s="34" t="s">
        <v>340</v>
      </c>
      <c r="C345" s="35">
        <v>5.6</v>
      </c>
      <c r="D345" s="102"/>
    </row>
    <row r="346" spans="1:4" ht="15.75" hidden="1" outlineLevel="1" x14ac:dyDescent="0.2">
      <c r="A346" s="33" t="s">
        <v>37</v>
      </c>
      <c r="B346" s="34" t="s">
        <v>70</v>
      </c>
      <c r="C346" s="33">
        <v>5.48</v>
      </c>
      <c r="D346" s="102"/>
    </row>
    <row r="347" spans="1:4" ht="15.75" x14ac:dyDescent="0.2">
      <c r="A347" s="38" t="s">
        <v>37</v>
      </c>
      <c r="B347" s="34"/>
      <c r="C347" s="33"/>
      <c r="D347" s="102"/>
    </row>
    <row r="348" spans="1:4" ht="15.75" hidden="1" outlineLevel="1" x14ac:dyDescent="0.2">
      <c r="A348" s="33" t="s">
        <v>38</v>
      </c>
      <c r="B348" s="34" t="s">
        <v>54</v>
      </c>
      <c r="C348" s="33">
        <v>5.0999999999999996</v>
      </c>
      <c r="D348" s="102"/>
    </row>
    <row r="349" spans="1:4" ht="15.75" hidden="1" outlineLevel="1" x14ac:dyDescent="0.2">
      <c r="A349" s="33" t="s">
        <v>38</v>
      </c>
      <c r="B349" s="34" t="s">
        <v>55</v>
      </c>
      <c r="C349" s="33">
        <v>5.2</v>
      </c>
      <c r="D349" s="102"/>
    </row>
    <row r="350" spans="1:4" ht="15.75" hidden="1" outlineLevel="1" x14ac:dyDescent="0.2">
      <c r="A350" s="33" t="s">
        <v>38</v>
      </c>
      <c r="B350" s="34" t="s">
        <v>80</v>
      </c>
      <c r="C350" s="33">
        <v>5.3</v>
      </c>
      <c r="D350" s="102"/>
    </row>
    <row r="351" spans="1:4" ht="15.75" hidden="1" outlineLevel="1" x14ac:dyDescent="0.2">
      <c r="A351" s="33" t="s">
        <v>38</v>
      </c>
      <c r="B351" s="34" t="s">
        <v>100</v>
      </c>
      <c r="C351" s="33">
        <v>5.6</v>
      </c>
      <c r="D351" s="102"/>
    </row>
    <row r="352" spans="1:4" ht="15.75" hidden="1" outlineLevel="1" x14ac:dyDescent="0.2">
      <c r="A352" s="33" t="s">
        <v>38</v>
      </c>
      <c r="B352" s="34" t="s">
        <v>1324</v>
      </c>
      <c r="C352" s="35">
        <v>5.0999999999999996</v>
      </c>
      <c r="D352" s="102"/>
    </row>
    <row r="353" spans="1:4" ht="15.75" hidden="1" outlineLevel="1" x14ac:dyDescent="0.2">
      <c r="A353" s="33" t="s">
        <v>38</v>
      </c>
      <c r="B353" s="34" t="s">
        <v>260</v>
      </c>
      <c r="C353" s="33">
        <v>5.14</v>
      </c>
      <c r="D353" s="102"/>
    </row>
    <row r="354" spans="1:4" ht="15.75" hidden="1" outlineLevel="1" x14ac:dyDescent="0.2">
      <c r="A354" s="33" t="s">
        <v>38</v>
      </c>
      <c r="B354" s="34" t="s">
        <v>82</v>
      </c>
      <c r="C354" s="33">
        <v>5.19</v>
      </c>
      <c r="D354" s="102"/>
    </row>
    <row r="355" spans="1:4" ht="15.75" hidden="1" outlineLevel="1" x14ac:dyDescent="0.2">
      <c r="A355" s="33" t="s">
        <v>38</v>
      </c>
      <c r="B355" s="34" t="s">
        <v>102</v>
      </c>
      <c r="C355" s="33">
        <v>5.24</v>
      </c>
      <c r="D355" s="102"/>
    </row>
    <row r="356" spans="1:4" ht="15.75" hidden="1" outlineLevel="1" x14ac:dyDescent="0.2">
      <c r="A356" s="33" t="s">
        <v>38</v>
      </c>
      <c r="B356" s="34" t="s">
        <v>59</v>
      </c>
      <c r="C356" s="33">
        <v>5.26</v>
      </c>
      <c r="D356" s="102"/>
    </row>
    <row r="357" spans="1:4" ht="15.75" hidden="1" outlineLevel="1" x14ac:dyDescent="0.2">
      <c r="A357" s="33" t="s">
        <v>38</v>
      </c>
      <c r="B357" s="34" t="s">
        <v>60</v>
      </c>
      <c r="C357" s="33">
        <v>5.27</v>
      </c>
      <c r="D357" s="102"/>
    </row>
    <row r="358" spans="1:4" ht="15.75" hidden="1" outlineLevel="1" x14ac:dyDescent="0.2">
      <c r="A358" s="33" t="s">
        <v>38</v>
      </c>
      <c r="B358" s="34" t="s">
        <v>83</v>
      </c>
      <c r="C358" s="33">
        <v>5.28</v>
      </c>
      <c r="D358" s="102"/>
    </row>
    <row r="359" spans="1:4" ht="15.75" hidden="1" outlineLevel="1" x14ac:dyDescent="0.2">
      <c r="A359" s="33" t="s">
        <v>38</v>
      </c>
      <c r="B359" s="34" t="s">
        <v>103</v>
      </c>
      <c r="C359" s="33">
        <v>5.31</v>
      </c>
      <c r="D359" s="102"/>
    </row>
    <row r="360" spans="1:4" ht="15.75" hidden="1" outlineLevel="1" x14ac:dyDescent="0.2">
      <c r="A360" s="33" t="s">
        <v>38</v>
      </c>
      <c r="B360" s="34" t="s">
        <v>61</v>
      </c>
      <c r="C360" s="33">
        <v>5.36</v>
      </c>
      <c r="D360" s="102"/>
    </row>
    <row r="361" spans="1:4" ht="15.75" hidden="1" outlineLevel="1" x14ac:dyDescent="0.2">
      <c r="A361" s="33" t="s">
        <v>38</v>
      </c>
      <c r="B361" s="34" t="s">
        <v>266</v>
      </c>
      <c r="C361" s="33">
        <v>5.37</v>
      </c>
      <c r="D361" s="102"/>
    </row>
    <row r="362" spans="1:4" ht="15.75" hidden="1" outlineLevel="1" x14ac:dyDescent="0.2">
      <c r="A362" s="33" t="s">
        <v>38</v>
      </c>
      <c r="B362" s="34" t="s">
        <v>85</v>
      </c>
      <c r="C362" s="33">
        <v>5.49</v>
      </c>
      <c r="D362" s="102"/>
    </row>
    <row r="363" spans="1:4" ht="15.75" hidden="1" outlineLevel="1" x14ac:dyDescent="0.2">
      <c r="A363" s="33" t="s">
        <v>38</v>
      </c>
      <c r="B363" s="34" t="s">
        <v>63</v>
      </c>
      <c r="C363" s="33">
        <v>5.51</v>
      </c>
      <c r="D363" s="102"/>
    </row>
    <row r="364" spans="1:4" ht="15.75" hidden="1" outlineLevel="1" x14ac:dyDescent="0.2">
      <c r="A364" s="33" t="s">
        <v>38</v>
      </c>
      <c r="B364" s="34" t="s">
        <v>1325</v>
      </c>
      <c r="C364" s="33">
        <v>5.52</v>
      </c>
      <c r="D364" s="102"/>
    </row>
    <row r="365" spans="1:4" ht="15.75" hidden="1" outlineLevel="1" x14ac:dyDescent="0.2">
      <c r="A365" s="33" t="s">
        <v>38</v>
      </c>
      <c r="B365" s="34" t="s">
        <v>64</v>
      </c>
      <c r="C365" s="33">
        <v>5.53</v>
      </c>
      <c r="D365" s="102"/>
    </row>
    <row r="366" spans="1:4" ht="15.75" hidden="1" outlineLevel="1" x14ac:dyDescent="0.2">
      <c r="A366" s="33" t="s">
        <v>38</v>
      </c>
      <c r="B366" s="34" t="s">
        <v>86</v>
      </c>
      <c r="C366" s="33">
        <v>5.69</v>
      </c>
      <c r="D366" s="102"/>
    </row>
    <row r="367" spans="1:4" ht="15.75" hidden="1" outlineLevel="1" x14ac:dyDescent="0.2">
      <c r="A367" s="33" t="s">
        <v>38</v>
      </c>
      <c r="B367" s="34" t="s">
        <v>267</v>
      </c>
      <c r="C367" s="35">
        <v>5.8</v>
      </c>
      <c r="D367" s="102"/>
    </row>
    <row r="368" spans="1:4" ht="15.75" hidden="1" outlineLevel="1" x14ac:dyDescent="0.2">
      <c r="A368" s="33" t="s">
        <v>38</v>
      </c>
      <c r="B368" s="34" t="s">
        <v>105</v>
      </c>
      <c r="C368" s="35">
        <v>5.72</v>
      </c>
      <c r="D368" s="102"/>
    </row>
    <row r="369" spans="1:4" ht="15.75" hidden="1" outlineLevel="1" x14ac:dyDescent="0.2">
      <c r="A369" s="33" t="s">
        <v>38</v>
      </c>
      <c r="B369" s="34" t="s">
        <v>87</v>
      </c>
      <c r="C369" s="33">
        <v>5.75</v>
      </c>
      <c r="D369" s="102"/>
    </row>
    <row r="370" spans="1:4" ht="15.75" hidden="1" outlineLevel="1" x14ac:dyDescent="0.2">
      <c r="A370" s="33" t="s">
        <v>38</v>
      </c>
      <c r="B370" s="34" t="s">
        <v>67</v>
      </c>
      <c r="C370" s="35">
        <v>5.7</v>
      </c>
      <c r="D370" s="102"/>
    </row>
    <row r="371" spans="1:4" ht="15.75" hidden="1" outlineLevel="1" x14ac:dyDescent="0.2">
      <c r="A371" s="33" t="s">
        <v>38</v>
      </c>
      <c r="B371" s="34" t="s">
        <v>88</v>
      </c>
      <c r="C371" s="33">
        <v>5.74</v>
      </c>
      <c r="D371" s="102"/>
    </row>
    <row r="372" spans="1:4" ht="15.75" hidden="1" outlineLevel="1" x14ac:dyDescent="0.2">
      <c r="A372" s="33" t="s">
        <v>38</v>
      </c>
      <c r="B372" s="34" t="s">
        <v>106</v>
      </c>
      <c r="C372" s="33">
        <v>5.76</v>
      </c>
      <c r="D372" s="102"/>
    </row>
    <row r="373" spans="1:4" ht="15.75" hidden="1" outlineLevel="1" x14ac:dyDescent="0.2">
      <c r="A373" s="33" t="s">
        <v>38</v>
      </c>
      <c r="B373" s="34" t="s">
        <v>107</v>
      </c>
      <c r="C373" s="33">
        <v>5.89</v>
      </c>
      <c r="D373" s="101" t="s">
        <v>1323</v>
      </c>
    </row>
    <row r="374" spans="1:4" ht="15.75" hidden="1" outlineLevel="1" x14ac:dyDescent="0.2">
      <c r="A374" s="33" t="s">
        <v>38</v>
      </c>
      <c r="B374" s="34" t="s">
        <v>341</v>
      </c>
      <c r="C374" s="33">
        <v>5.109</v>
      </c>
      <c r="D374" s="101"/>
    </row>
    <row r="375" spans="1:4" ht="15.75" hidden="1" outlineLevel="1" x14ac:dyDescent="0.2">
      <c r="A375" s="33" t="s">
        <v>38</v>
      </c>
      <c r="B375" s="34" t="s">
        <v>342</v>
      </c>
      <c r="C375" s="33">
        <v>5.1109999999999998</v>
      </c>
      <c r="D375" s="102"/>
    </row>
    <row r="376" spans="1:4" ht="15.75" hidden="1" outlineLevel="1" x14ac:dyDescent="0.2">
      <c r="A376" s="33" t="s">
        <v>38</v>
      </c>
      <c r="B376" s="34" t="s">
        <v>344</v>
      </c>
      <c r="C376" s="33">
        <v>5.1120000000000001</v>
      </c>
      <c r="D376" s="102"/>
    </row>
    <row r="377" spans="1:4" ht="15.75" hidden="1" outlineLevel="1" x14ac:dyDescent="0.2">
      <c r="A377" s="33" t="s">
        <v>38</v>
      </c>
      <c r="B377" s="34" t="s">
        <v>1327</v>
      </c>
      <c r="C377" s="33">
        <v>5.1130000000000004</v>
      </c>
      <c r="D377" s="102"/>
    </row>
    <row r="378" spans="1:4" ht="15.75" hidden="1" outlineLevel="1" x14ac:dyDescent="0.2">
      <c r="A378" s="33" t="s">
        <v>38</v>
      </c>
      <c r="B378" s="34" t="s">
        <v>90</v>
      </c>
      <c r="C378" s="33">
        <v>5.58</v>
      </c>
      <c r="D378" s="102"/>
    </row>
    <row r="379" spans="1:4" ht="15.75" hidden="1" outlineLevel="1" x14ac:dyDescent="0.2">
      <c r="A379" s="33" t="s">
        <v>38</v>
      </c>
      <c r="B379" s="34" t="s">
        <v>66</v>
      </c>
      <c r="C379" s="33">
        <v>5.54</v>
      </c>
      <c r="D379" s="102"/>
    </row>
    <row r="380" spans="1:4" ht="15.75" hidden="1" outlineLevel="1" x14ac:dyDescent="0.2">
      <c r="A380" s="33" t="s">
        <v>38</v>
      </c>
      <c r="B380" s="34" t="s">
        <v>91</v>
      </c>
      <c r="C380" s="33">
        <v>5.55</v>
      </c>
      <c r="D380" s="102"/>
    </row>
    <row r="381" spans="1:4" ht="15.75" hidden="1" outlineLevel="1" x14ac:dyDescent="0.2">
      <c r="A381" s="33" t="s">
        <v>38</v>
      </c>
      <c r="B381" s="34" t="s">
        <v>68</v>
      </c>
      <c r="C381" s="33">
        <v>5.63</v>
      </c>
      <c r="D381" s="102"/>
    </row>
    <row r="382" spans="1:4" ht="15.75" hidden="1" outlineLevel="1" x14ac:dyDescent="0.2">
      <c r="A382" s="33" t="s">
        <v>38</v>
      </c>
      <c r="B382" s="34" t="s">
        <v>92</v>
      </c>
      <c r="C382" s="33">
        <v>5.65</v>
      </c>
      <c r="D382" s="102"/>
    </row>
    <row r="383" spans="1:4" ht="15.75" hidden="1" outlineLevel="1" x14ac:dyDescent="0.2">
      <c r="A383" s="33" t="s">
        <v>38</v>
      </c>
      <c r="B383" s="34" t="s">
        <v>108</v>
      </c>
      <c r="C383" s="33">
        <v>5.66</v>
      </c>
      <c r="D383" s="102"/>
    </row>
    <row r="384" spans="1:4" ht="15.75" hidden="1" outlineLevel="1" x14ac:dyDescent="0.2">
      <c r="A384" s="33" t="s">
        <v>38</v>
      </c>
      <c r="B384" s="34" t="s">
        <v>22</v>
      </c>
      <c r="C384" s="33">
        <v>5.68</v>
      </c>
      <c r="D384" s="102"/>
    </row>
    <row r="385" spans="1:4" ht="15.75" hidden="1" outlineLevel="1" x14ac:dyDescent="0.2">
      <c r="A385" s="33" t="s">
        <v>38</v>
      </c>
      <c r="B385" s="34" t="s">
        <v>69</v>
      </c>
      <c r="C385" s="33">
        <v>5.47</v>
      </c>
      <c r="D385" s="102"/>
    </row>
    <row r="386" spans="1:4" ht="15.75" hidden="1" outlineLevel="1" x14ac:dyDescent="0.2">
      <c r="A386" s="33" t="s">
        <v>38</v>
      </c>
      <c r="B386" s="34" t="s">
        <v>70</v>
      </c>
      <c r="C386" s="33">
        <v>5.48</v>
      </c>
      <c r="D386" s="102"/>
    </row>
    <row r="387" spans="1:4" ht="15.75" x14ac:dyDescent="0.2">
      <c r="A387" s="38" t="s">
        <v>38</v>
      </c>
      <c r="B387" s="34"/>
      <c r="C387" s="33"/>
      <c r="D387" s="102"/>
    </row>
    <row r="388" spans="1:4" ht="15.75" hidden="1" outlineLevel="1" x14ac:dyDescent="0.2">
      <c r="A388" s="33" t="s">
        <v>39</v>
      </c>
      <c r="B388" s="34" t="s">
        <v>54</v>
      </c>
      <c r="C388" s="33">
        <v>5.0999999999999996</v>
      </c>
      <c r="D388" s="102"/>
    </row>
    <row r="389" spans="1:4" ht="15.75" hidden="1" outlineLevel="1" x14ac:dyDescent="0.2">
      <c r="A389" s="33" t="s">
        <v>39</v>
      </c>
      <c r="B389" s="34" t="s">
        <v>55</v>
      </c>
      <c r="C389" s="33">
        <v>5.2</v>
      </c>
      <c r="D389" s="102"/>
    </row>
    <row r="390" spans="1:4" ht="15.75" hidden="1" outlineLevel="1" x14ac:dyDescent="0.2">
      <c r="A390" s="33" t="s">
        <v>39</v>
      </c>
      <c r="B390" s="34" t="s">
        <v>80</v>
      </c>
      <c r="C390" s="33">
        <v>5.3</v>
      </c>
      <c r="D390" s="102"/>
    </row>
    <row r="391" spans="1:4" ht="15.75" hidden="1" outlineLevel="1" x14ac:dyDescent="0.2">
      <c r="A391" s="33" t="s">
        <v>39</v>
      </c>
      <c r="B391" s="34" t="s">
        <v>100</v>
      </c>
      <c r="C391" s="33">
        <v>5.6</v>
      </c>
      <c r="D391" s="102"/>
    </row>
    <row r="392" spans="1:4" ht="15.75" hidden="1" outlineLevel="1" x14ac:dyDescent="0.2">
      <c r="A392" s="33" t="s">
        <v>39</v>
      </c>
      <c r="B392" s="34" t="s">
        <v>1324</v>
      </c>
      <c r="C392" s="35">
        <v>5.0999999999999996</v>
      </c>
      <c r="D392" s="102"/>
    </row>
    <row r="393" spans="1:4" ht="15.75" hidden="1" outlineLevel="1" x14ac:dyDescent="0.2">
      <c r="A393" s="33" t="s">
        <v>39</v>
      </c>
      <c r="B393" s="34" t="s">
        <v>260</v>
      </c>
      <c r="C393" s="33">
        <v>5.14</v>
      </c>
      <c r="D393" s="102"/>
    </row>
    <row r="394" spans="1:4" ht="15.75" hidden="1" outlineLevel="1" x14ac:dyDescent="0.2">
      <c r="A394" s="33" t="s">
        <v>39</v>
      </c>
      <c r="B394" s="34" t="s">
        <v>82</v>
      </c>
      <c r="C394" s="33">
        <v>5.19</v>
      </c>
      <c r="D394" s="102"/>
    </row>
    <row r="395" spans="1:4" ht="15.75" hidden="1" outlineLevel="1" x14ac:dyDescent="0.2">
      <c r="A395" s="33" t="s">
        <v>39</v>
      </c>
      <c r="B395" s="34" t="s">
        <v>102</v>
      </c>
      <c r="C395" s="33">
        <v>5.24</v>
      </c>
      <c r="D395" s="102"/>
    </row>
    <row r="396" spans="1:4" ht="15.75" hidden="1" outlineLevel="1" x14ac:dyDescent="0.2">
      <c r="A396" s="33" t="s">
        <v>39</v>
      </c>
      <c r="B396" s="34" t="s">
        <v>59</v>
      </c>
      <c r="C396" s="33">
        <v>5.26</v>
      </c>
      <c r="D396" s="102"/>
    </row>
    <row r="397" spans="1:4" ht="15.75" hidden="1" outlineLevel="1" x14ac:dyDescent="0.2">
      <c r="A397" s="33" t="s">
        <v>39</v>
      </c>
      <c r="B397" s="34" t="s">
        <v>60</v>
      </c>
      <c r="C397" s="33">
        <v>5.27</v>
      </c>
      <c r="D397" s="102"/>
    </row>
    <row r="398" spans="1:4" ht="15.75" hidden="1" outlineLevel="1" x14ac:dyDescent="0.2">
      <c r="A398" s="33" t="s">
        <v>39</v>
      </c>
      <c r="B398" s="34" t="s">
        <v>83</v>
      </c>
      <c r="C398" s="33">
        <v>5.28</v>
      </c>
      <c r="D398" s="102"/>
    </row>
    <row r="399" spans="1:4" ht="15.75" hidden="1" outlineLevel="1" x14ac:dyDescent="0.2">
      <c r="A399" s="33" t="s">
        <v>39</v>
      </c>
      <c r="B399" s="34" t="s">
        <v>109</v>
      </c>
      <c r="C399" s="33">
        <v>5.29</v>
      </c>
      <c r="D399" s="102"/>
    </row>
    <row r="400" spans="1:4" ht="15.75" hidden="1" outlineLevel="1" x14ac:dyDescent="0.2">
      <c r="A400" s="33" t="s">
        <v>39</v>
      </c>
      <c r="B400" s="34" t="s">
        <v>103</v>
      </c>
      <c r="C400" s="33">
        <v>5.31</v>
      </c>
      <c r="D400" s="102"/>
    </row>
    <row r="401" spans="1:4" ht="15.75" hidden="1" outlineLevel="1" x14ac:dyDescent="0.2">
      <c r="A401" s="33" t="s">
        <v>39</v>
      </c>
      <c r="B401" s="34" t="s">
        <v>61</v>
      </c>
      <c r="C401" s="33">
        <v>5.36</v>
      </c>
      <c r="D401" s="102"/>
    </row>
    <row r="402" spans="1:4" ht="15.75" hidden="1" outlineLevel="1" x14ac:dyDescent="0.2">
      <c r="A402" s="33" t="s">
        <v>39</v>
      </c>
      <c r="B402" s="34" t="s">
        <v>266</v>
      </c>
      <c r="C402" s="33">
        <v>5.37</v>
      </c>
      <c r="D402" s="102"/>
    </row>
    <row r="403" spans="1:4" ht="15.75" hidden="1" outlineLevel="1" x14ac:dyDescent="0.2">
      <c r="A403" s="33" t="s">
        <v>39</v>
      </c>
      <c r="B403" s="34" t="s">
        <v>85</v>
      </c>
      <c r="C403" s="33">
        <v>5.49</v>
      </c>
      <c r="D403" s="102"/>
    </row>
    <row r="404" spans="1:4" ht="15.75" hidden="1" outlineLevel="1" x14ac:dyDescent="0.2">
      <c r="A404" s="33" t="s">
        <v>39</v>
      </c>
      <c r="B404" s="34" t="s">
        <v>63</v>
      </c>
      <c r="C404" s="33">
        <v>5.51</v>
      </c>
      <c r="D404" s="102"/>
    </row>
    <row r="405" spans="1:4" ht="15.75" hidden="1" outlineLevel="1" x14ac:dyDescent="0.2">
      <c r="A405" s="33" t="s">
        <v>39</v>
      </c>
      <c r="B405" s="34" t="s">
        <v>1325</v>
      </c>
      <c r="C405" s="33">
        <v>5.52</v>
      </c>
      <c r="D405" s="102"/>
    </row>
    <row r="406" spans="1:4" ht="15.75" hidden="1" outlineLevel="1" x14ac:dyDescent="0.2">
      <c r="A406" s="33" t="s">
        <v>39</v>
      </c>
      <c r="B406" s="34" t="s">
        <v>64</v>
      </c>
      <c r="C406" s="33">
        <v>5.53</v>
      </c>
      <c r="D406" s="102"/>
    </row>
    <row r="407" spans="1:4" ht="15.75" hidden="1" outlineLevel="1" x14ac:dyDescent="0.2">
      <c r="A407" s="33" t="s">
        <v>39</v>
      </c>
      <c r="B407" s="34" t="s">
        <v>86</v>
      </c>
      <c r="C407" s="33">
        <v>5.69</v>
      </c>
      <c r="D407" s="102"/>
    </row>
    <row r="408" spans="1:4" ht="15.75" hidden="1" outlineLevel="1" x14ac:dyDescent="0.2">
      <c r="A408" s="33" t="s">
        <v>39</v>
      </c>
      <c r="B408" s="34" t="s">
        <v>87</v>
      </c>
      <c r="C408" s="33">
        <v>5.75</v>
      </c>
      <c r="D408" s="102"/>
    </row>
    <row r="409" spans="1:4" ht="15.75" hidden="1" outlineLevel="1" x14ac:dyDescent="0.2">
      <c r="A409" s="33" t="s">
        <v>39</v>
      </c>
      <c r="B409" s="34" t="s">
        <v>88</v>
      </c>
      <c r="C409" s="33">
        <v>5.74</v>
      </c>
      <c r="D409" s="102"/>
    </row>
    <row r="410" spans="1:4" ht="15.75" hidden="1" outlineLevel="1" x14ac:dyDescent="0.2">
      <c r="A410" s="33" t="s">
        <v>39</v>
      </c>
      <c r="B410" s="34" t="s">
        <v>67</v>
      </c>
      <c r="C410" s="35">
        <v>5.7</v>
      </c>
      <c r="D410" s="102"/>
    </row>
    <row r="411" spans="1:4" ht="15.75" hidden="1" outlineLevel="1" x14ac:dyDescent="0.2">
      <c r="A411" s="33" t="s">
        <v>39</v>
      </c>
      <c r="B411" s="34" t="s">
        <v>106</v>
      </c>
      <c r="C411" s="33">
        <v>5.76</v>
      </c>
      <c r="D411" s="102"/>
    </row>
    <row r="412" spans="1:4" ht="15.75" hidden="1" outlineLevel="1" x14ac:dyDescent="0.2">
      <c r="A412" s="33" t="s">
        <v>39</v>
      </c>
      <c r="B412" s="34" t="s">
        <v>107</v>
      </c>
      <c r="C412" s="33">
        <v>5.89</v>
      </c>
      <c r="D412" s="101" t="s">
        <v>1323</v>
      </c>
    </row>
    <row r="413" spans="1:4" ht="15.75" hidden="1" outlineLevel="1" x14ac:dyDescent="0.2">
      <c r="A413" s="33" t="s">
        <v>39</v>
      </c>
      <c r="B413" s="34" t="s">
        <v>341</v>
      </c>
      <c r="C413" s="33">
        <v>5.109</v>
      </c>
      <c r="D413" s="102"/>
    </row>
    <row r="414" spans="1:4" ht="15.75" hidden="1" outlineLevel="1" x14ac:dyDescent="0.2">
      <c r="A414" s="33" t="s">
        <v>39</v>
      </c>
      <c r="B414" s="34" t="s">
        <v>342</v>
      </c>
      <c r="C414" s="33">
        <v>5.1109999999999998</v>
      </c>
      <c r="D414" s="102"/>
    </row>
    <row r="415" spans="1:4" ht="15.75" hidden="1" outlineLevel="1" x14ac:dyDescent="0.2">
      <c r="A415" s="33" t="s">
        <v>39</v>
      </c>
      <c r="B415" s="34" t="s">
        <v>344</v>
      </c>
      <c r="C415" s="33">
        <v>5.1120000000000001</v>
      </c>
      <c r="D415" s="102"/>
    </row>
    <row r="416" spans="1:4" ht="15.75" hidden="1" outlineLevel="1" x14ac:dyDescent="0.2">
      <c r="A416" s="33" t="s">
        <v>39</v>
      </c>
      <c r="B416" s="34" t="s">
        <v>1327</v>
      </c>
      <c r="C416" s="33">
        <v>5.1130000000000004</v>
      </c>
      <c r="D416" s="102"/>
    </row>
    <row r="417" spans="1:4" ht="15.75" hidden="1" outlineLevel="1" x14ac:dyDescent="0.2">
      <c r="A417" s="33" t="s">
        <v>39</v>
      </c>
      <c r="B417" s="34" t="s">
        <v>90</v>
      </c>
      <c r="C417" s="33">
        <v>5.58</v>
      </c>
      <c r="D417" s="102"/>
    </row>
    <row r="418" spans="1:4" ht="15.75" hidden="1" outlineLevel="1" x14ac:dyDescent="0.2">
      <c r="A418" s="33" t="s">
        <v>39</v>
      </c>
      <c r="B418" s="34" t="s">
        <v>66</v>
      </c>
      <c r="C418" s="33">
        <v>5.54</v>
      </c>
      <c r="D418" s="102"/>
    </row>
    <row r="419" spans="1:4" ht="15.75" hidden="1" outlineLevel="1" x14ac:dyDescent="0.2">
      <c r="A419" s="33" t="s">
        <v>39</v>
      </c>
      <c r="B419" s="34" t="s">
        <v>91</v>
      </c>
      <c r="C419" s="33">
        <v>5.55</v>
      </c>
      <c r="D419" s="102"/>
    </row>
    <row r="420" spans="1:4" ht="15.75" hidden="1" outlineLevel="1" x14ac:dyDescent="0.2">
      <c r="A420" s="33" t="s">
        <v>39</v>
      </c>
      <c r="B420" s="34" t="s">
        <v>68</v>
      </c>
      <c r="C420" s="33">
        <v>5.63</v>
      </c>
      <c r="D420" s="102"/>
    </row>
    <row r="421" spans="1:4" ht="15.75" hidden="1" outlineLevel="1" x14ac:dyDescent="0.2">
      <c r="A421" s="33" t="s">
        <v>39</v>
      </c>
      <c r="B421" s="34" t="s">
        <v>92</v>
      </c>
      <c r="C421" s="33">
        <v>5.65</v>
      </c>
      <c r="D421" s="102"/>
    </row>
    <row r="422" spans="1:4" ht="15.75" hidden="1" outlineLevel="1" x14ac:dyDescent="0.2">
      <c r="A422" s="33" t="s">
        <v>39</v>
      </c>
      <c r="B422" s="34" t="s">
        <v>108</v>
      </c>
      <c r="C422" s="33">
        <v>5.66</v>
      </c>
      <c r="D422" s="102"/>
    </row>
    <row r="423" spans="1:4" ht="15.75" hidden="1" outlineLevel="1" x14ac:dyDescent="0.2">
      <c r="A423" s="33" t="s">
        <v>39</v>
      </c>
      <c r="B423" s="34" t="s">
        <v>22</v>
      </c>
      <c r="C423" s="33">
        <v>5.68</v>
      </c>
      <c r="D423" s="102"/>
    </row>
    <row r="424" spans="1:4" ht="15.75" hidden="1" outlineLevel="1" x14ac:dyDescent="0.2">
      <c r="A424" s="33" t="s">
        <v>39</v>
      </c>
      <c r="B424" s="34" t="s">
        <v>69</v>
      </c>
      <c r="C424" s="33">
        <v>5.47</v>
      </c>
      <c r="D424" s="102"/>
    </row>
    <row r="425" spans="1:4" ht="15.75" hidden="1" outlineLevel="1" x14ac:dyDescent="0.2">
      <c r="A425" s="33" t="s">
        <v>39</v>
      </c>
      <c r="B425" s="34" t="s">
        <v>70</v>
      </c>
      <c r="C425" s="33">
        <v>5.48</v>
      </c>
      <c r="D425" s="102"/>
    </row>
    <row r="426" spans="1:4" ht="15.75" x14ac:dyDescent="0.2">
      <c r="A426" s="38" t="s">
        <v>39</v>
      </c>
      <c r="B426" s="34"/>
      <c r="C426" s="33"/>
      <c r="D426" s="102"/>
    </row>
    <row r="427" spans="1:4" ht="15.75" outlineLevel="1" x14ac:dyDescent="0.2">
      <c r="A427" s="33" t="s">
        <v>1328</v>
      </c>
      <c r="B427" s="34" t="s">
        <v>54</v>
      </c>
      <c r="C427" s="33">
        <v>5.0999999999999996</v>
      </c>
      <c r="D427" s="102"/>
    </row>
    <row r="428" spans="1:4" ht="15.75" outlineLevel="1" x14ac:dyDescent="0.2">
      <c r="A428" s="33" t="s">
        <v>1328</v>
      </c>
      <c r="B428" s="34" t="s">
        <v>55</v>
      </c>
      <c r="C428" s="33">
        <v>5.2</v>
      </c>
      <c r="D428" s="102"/>
    </row>
    <row r="429" spans="1:4" ht="15.75" outlineLevel="1" x14ac:dyDescent="0.2">
      <c r="A429" s="33" t="s">
        <v>1328</v>
      </c>
      <c r="B429" s="34" t="s">
        <v>80</v>
      </c>
      <c r="C429" s="33">
        <v>5.3</v>
      </c>
      <c r="D429" s="102"/>
    </row>
    <row r="430" spans="1:4" ht="15.75" outlineLevel="1" x14ac:dyDescent="0.2">
      <c r="A430" s="33" t="s">
        <v>1328</v>
      </c>
      <c r="B430" s="34" t="s">
        <v>100</v>
      </c>
      <c r="C430" s="33">
        <v>5.6</v>
      </c>
      <c r="D430" s="102"/>
    </row>
    <row r="431" spans="1:4" ht="15.75" outlineLevel="1" x14ac:dyDescent="0.2">
      <c r="A431" s="33" t="s">
        <v>1328</v>
      </c>
      <c r="B431" s="34" t="s">
        <v>1324</v>
      </c>
      <c r="C431" s="35">
        <v>5.0999999999999996</v>
      </c>
      <c r="D431" s="102"/>
    </row>
    <row r="432" spans="1:4" ht="15.75" outlineLevel="1" x14ac:dyDescent="0.2">
      <c r="A432" s="33" t="s">
        <v>1328</v>
      </c>
      <c r="B432" s="34" t="s">
        <v>260</v>
      </c>
      <c r="C432" s="33">
        <v>5.14</v>
      </c>
      <c r="D432" s="102"/>
    </row>
    <row r="433" spans="1:4" ht="15.75" outlineLevel="1" x14ac:dyDescent="0.2">
      <c r="A433" s="33" t="s">
        <v>1328</v>
      </c>
      <c r="B433" s="34" t="s">
        <v>82</v>
      </c>
      <c r="C433" s="33">
        <v>5.19</v>
      </c>
      <c r="D433" s="102"/>
    </row>
    <row r="434" spans="1:4" ht="15.75" outlineLevel="1" x14ac:dyDescent="0.2">
      <c r="A434" s="33" t="s">
        <v>1328</v>
      </c>
      <c r="B434" s="34" t="s">
        <v>102</v>
      </c>
      <c r="C434" s="33">
        <v>5.24</v>
      </c>
      <c r="D434" s="102"/>
    </row>
    <row r="435" spans="1:4" ht="15.75" outlineLevel="1" x14ac:dyDescent="0.2">
      <c r="A435" s="33" t="s">
        <v>1328</v>
      </c>
      <c r="B435" s="34" t="s">
        <v>59</v>
      </c>
      <c r="C435" s="33">
        <v>5.26</v>
      </c>
      <c r="D435" s="102"/>
    </row>
    <row r="436" spans="1:4" ht="15.75" outlineLevel="1" x14ac:dyDescent="0.2">
      <c r="A436" s="33" t="s">
        <v>1328</v>
      </c>
      <c r="B436" s="34" t="s">
        <v>60</v>
      </c>
      <c r="C436" s="33">
        <v>5.27</v>
      </c>
      <c r="D436" s="102"/>
    </row>
    <row r="437" spans="1:4" ht="15.75" outlineLevel="1" x14ac:dyDescent="0.2">
      <c r="A437" s="33" t="s">
        <v>1328</v>
      </c>
      <c r="B437" s="34" t="s">
        <v>83</v>
      </c>
      <c r="C437" s="33">
        <v>5.28</v>
      </c>
      <c r="D437" s="102"/>
    </row>
    <row r="438" spans="1:4" ht="15.75" outlineLevel="1" x14ac:dyDescent="0.2">
      <c r="A438" s="33" t="s">
        <v>1328</v>
      </c>
      <c r="B438" s="34" t="s">
        <v>109</v>
      </c>
      <c r="C438" s="33">
        <v>5.29</v>
      </c>
      <c r="D438" s="102"/>
    </row>
    <row r="439" spans="1:4" ht="15.75" outlineLevel="1" x14ac:dyDescent="0.2">
      <c r="A439" s="33" t="s">
        <v>1328</v>
      </c>
      <c r="B439" s="34" t="s">
        <v>103</v>
      </c>
      <c r="C439" s="33">
        <v>5.31</v>
      </c>
      <c r="D439" s="102"/>
    </row>
    <row r="440" spans="1:4" ht="15.75" outlineLevel="1" x14ac:dyDescent="0.2">
      <c r="A440" s="33" t="s">
        <v>1328</v>
      </c>
      <c r="B440" s="34" t="s">
        <v>61</v>
      </c>
      <c r="C440" s="33">
        <v>5.36</v>
      </c>
      <c r="D440" s="102"/>
    </row>
    <row r="441" spans="1:4" ht="15.75" outlineLevel="1" x14ac:dyDescent="0.2">
      <c r="A441" s="33" t="s">
        <v>1328</v>
      </c>
      <c r="B441" s="34" t="s">
        <v>266</v>
      </c>
      <c r="C441" s="33">
        <v>5.37</v>
      </c>
      <c r="D441" s="102"/>
    </row>
    <row r="442" spans="1:4" ht="15.75" outlineLevel="1" x14ac:dyDescent="0.2">
      <c r="A442" s="33" t="s">
        <v>1328</v>
      </c>
      <c r="B442" s="34" t="s">
        <v>64</v>
      </c>
      <c r="C442" s="33">
        <v>5.53</v>
      </c>
      <c r="D442" s="102"/>
    </row>
    <row r="443" spans="1:4" ht="15.75" outlineLevel="1" x14ac:dyDescent="0.2">
      <c r="A443" s="33" t="s">
        <v>1328</v>
      </c>
      <c r="B443" s="34" t="s">
        <v>341</v>
      </c>
      <c r="C443" s="33">
        <v>5.109</v>
      </c>
      <c r="D443" s="102"/>
    </row>
    <row r="444" spans="1:4" ht="15.75" outlineLevel="1" x14ac:dyDescent="0.2">
      <c r="A444" s="33" t="s">
        <v>1328</v>
      </c>
      <c r="B444" s="34" t="s">
        <v>342</v>
      </c>
      <c r="C444" s="33">
        <v>5.1109999999999998</v>
      </c>
      <c r="D444" s="102"/>
    </row>
    <row r="445" spans="1:4" ht="15.75" outlineLevel="1" x14ac:dyDescent="0.2">
      <c r="A445" s="33" t="s">
        <v>1328</v>
      </c>
      <c r="B445" s="34" t="s">
        <v>344</v>
      </c>
      <c r="C445" s="33">
        <v>5.1120000000000001</v>
      </c>
      <c r="D445" s="102"/>
    </row>
    <row r="446" spans="1:4" ht="15.75" outlineLevel="1" x14ac:dyDescent="0.2">
      <c r="A446" s="33" t="s">
        <v>1328</v>
      </c>
      <c r="B446" s="34" t="s">
        <v>1327</v>
      </c>
      <c r="C446" s="33">
        <v>5.1130000000000004</v>
      </c>
      <c r="D446" s="102"/>
    </row>
    <row r="447" spans="1:4" ht="15.75" outlineLevel="1" x14ac:dyDescent="0.2">
      <c r="A447" s="33" t="s">
        <v>1328</v>
      </c>
      <c r="B447" s="34" t="s">
        <v>90</v>
      </c>
      <c r="C447" s="33">
        <v>5.58</v>
      </c>
      <c r="D447" s="102"/>
    </row>
    <row r="448" spans="1:4" ht="15.75" outlineLevel="1" x14ac:dyDescent="0.2">
      <c r="A448" s="33" t="s">
        <v>1328</v>
      </c>
      <c r="B448" s="34" t="s">
        <v>66</v>
      </c>
      <c r="C448" s="33">
        <v>5.54</v>
      </c>
      <c r="D448" s="102"/>
    </row>
    <row r="449" spans="1:4" ht="15.75" outlineLevel="1" x14ac:dyDescent="0.2">
      <c r="A449" s="33" t="s">
        <v>1328</v>
      </c>
      <c r="B449" s="34" t="s">
        <v>91</v>
      </c>
      <c r="C449" s="33">
        <v>5.55</v>
      </c>
      <c r="D449" s="102"/>
    </row>
    <row r="450" spans="1:4" ht="15.75" outlineLevel="1" x14ac:dyDescent="0.2">
      <c r="A450" s="33" t="s">
        <v>1328</v>
      </c>
      <c r="B450" s="34" t="s">
        <v>68</v>
      </c>
      <c r="C450" s="33">
        <v>5.63</v>
      </c>
      <c r="D450" s="102"/>
    </row>
    <row r="451" spans="1:4" ht="15.75" outlineLevel="1" x14ac:dyDescent="0.2">
      <c r="A451" s="33" t="s">
        <v>1328</v>
      </c>
      <c r="B451" s="34" t="s">
        <v>69</v>
      </c>
      <c r="C451" s="33">
        <v>5.47</v>
      </c>
      <c r="D451" s="102"/>
    </row>
    <row r="452" spans="1:4" ht="15.75" outlineLevel="1" x14ac:dyDescent="0.2">
      <c r="A452" s="33" t="s">
        <v>1328</v>
      </c>
      <c r="B452" s="34" t="s">
        <v>70</v>
      </c>
      <c r="C452" s="33">
        <v>5.48</v>
      </c>
      <c r="D452" s="102"/>
    </row>
    <row r="453" spans="1:4" ht="15.75" x14ac:dyDescent="0.2">
      <c r="A453" s="38" t="s">
        <v>1328</v>
      </c>
      <c r="B453" s="34"/>
      <c r="C453" s="33"/>
      <c r="D453" s="102"/>
    </row>
    <row r="454" spans="1:4" ht="15.75" outlineLevel="1" x14ac:dyDescent="0.2">
      <c r="A454" s="33" t="s">
        <v>41</v>
      </c>
      <c r="B454" s="34" t="s">
        <v>54</v>
      </c>
      <c r="C454" s="33">
        <v>5.0999999999999996</v>
      </c>
      <c r="D454" s="102"/>
    </row>
    <row r="455" spans="1:4" ht="15.75" outlineLevel="1" x14ac:dyDescent="0.2">
      <c r="A455" s="33" t="s">
        <v>41</v>
      </c>
      <c r="B455" s="34" t="s">
        <v>55</v>
      </c>
      <c r="C455" s="33">
        <v>5.2</v>
      </c>
      <c r="D455" s="102"/>
    </row>
    <row r="456" spans="1:4" ht="15.75" outlineLevel="1" x14ac:dyDescent="0.2">
      <c r="A456" s="33" t="s">
        <v>41</v>
      </c>
      <c r="B456" s="34" t="s">
        <v>368</v>
      </c>
      <c r="C456" s="33">
        <v>5.5</v>
      </c>
      <c r="D456" s="102"/>
    </row>
    <row r="457" spans="1:4" ht="15.75" outlineLevel="1" x14ac:dyDescent="0.2">
      <c r="A457" s="33" t="s">
        <v>41</v>
      </c>
      <c r="B457" s="34" t="s">
        <v>369</v>
      </c>
      <c r="C457" s="33">
        <v>5.8</v>
      </c>
      <c r="D457" s="101" t="s">
        <v>1323</v>
      </c>
    </row>
    <row r="458" spans="1:4" ht="15.75" outlineLevel="1" x14ac:dyDescent="0.2">
      <c r="A458" s="33" t="s">
        <v>41</v>
      </c>
      <c r="B458" s="34" t="s">
        <v>370</v>
      </c>
      <c r="C458" s="33">
        <v>5.12</v>
      </c>
      <c r="D458" s="101" t="s">
        <v>1323</v>
      </c>
    </row>
    <row r="459" spans="1:4" ht="15.75" outlineLevel="1" x14ac:dyDescent="0.2">
      <c r="A459" s="33" t="s">
        <v>41</v>
      </c>
      <c r="B459" s="34" t="s">
        <v>371</v>
      </c>
      <c r="C459" s="33">
        <v>5.15</v>
      </c>
      <c r="D459" s="102"/>
    </row>
    <row r="460" spans="1:4" ht="15.75" outlineLevel="1" x14ac:dyDescent="0.2">
      <c r="A460" s="33" t="s">
        <v>41</v>
      </c>
      <c r="B460" s="34" t="s">
        <v>372</v>
      </c>
      <c r="C460" s="35">
        <v>5.2</v>
      </c>
      <c r="D460" s="101"/>
    </row>
    <row r="461" spans="1:4" ht="15.75" outlineLevel="1" x14ac:dyDescent="0.2">
      <c r="A461" s="33" t="s">
        <v>41</v>
      </c>
      <c r="B461" s="34" t="s">
        <v>373</v>
      </c>
      <c r="C461" s="33">
        <v>5.25</v>
      </c>
      <c r="D461" s="102"/>
    </row>
    <row r="462" spans="1:4" ht="15.75" outlineLevel="1" x14ac:dyDescent="0.2">
      <c r="A462" s="33" t="s">
        <v>41</v>
      </c>
      <c r="B462" s="34" t="s">
        <v>59</v>
      </c>
      <c r="C462" s="33">
        <v>5.26</v>
      </c>
      <c r="D462" s="102"/>
    </row>
    <row r="463" spans="1:4" ht="15.75" outlineLevel="1" x14ac:dyDescent="0.2">
      <c r="A463" s="33" t="s">
        <v>41</v>
      </c>
      <c r="B463" s="34" t="s">
        <v>374</v>
      </c>
      <c r="C463" s="33">
        <v>5.1139999999999999</v>
      </c>
      <c r="D463" s="101" t="s">
        <v>1323</v>
      </c>
    </row>
    <row r="464" spans="1:4" ht="15.75" outlineLevel="1" x14ac:dyDescent="0.2">
      <c r="A464" s="33" t="s">
        <v>41</v>
      </c>
      <c r="B464" s="34" t="s">
        <v>60</v>
      </c>
      <c r="C464" s="33">
        <v>5.27</v>
      </c>
      <c r="D464" s="102"/>
    </row>
    <row r="465" spans="1:4" ht="15.75" outlineLevel="1" x14ac:dyDescent="0.2">
      <c r="A465" s="33" t="s">
        <v>41</v>
      </c>
      <c r="B465" s="34" t="s">
        <v>375</v>
      </c>
      <c r="C465" s="33">
        <v>5.1150000000000002</v>
      </c>
      <c r="D465" s="101" t="s">
        <v>1323</v>
      </c>
    </row>
    <row r="466" spans="1:4" ht="15.75" outlineLevel="1" x14ac:dyDescent="0.2">
      <c r="A466" s="33" t="s">
        <v>41</v>
      </c>
      <c r="B466" s="34" t="s">
        <v>376</v>
      </c>
      <c r="C466" s="33">
        <v>5.1159999999999997</v>
      </c>
      <c r="D466" s="101" t="s">
        <v>1323</v>
      </c>
    </row>
    <row r="467" spans="1:4" ht="15.75" outlineLevel="1" x14ac:dyDescent="0.2">
      <c r="A467" s="33" t="s">
        <v>41</v>
      </c>
      <c r="B467" s="34" t="s">
        <v>83</v>
      </c>
      <c r="C467" s="33">
        <v>5.28</v>
      </c>
      <c r="D467" s="102"/>
    </row>
    <row r="468" spans="1:4" ht="15.75" outlineLevel="1" x14ac:dyDescent="0.2">
      <c r="A468" s="33" t="s">
        <v>41</v>
      </c>
      <c r="B468" s="34" t="s">
        <v>61</v>
      </c>
      <c r="C468" s="33">
        <v>5.36</v>
      </c>
      <c r="D468" s="102"/>
    </row>
    <row r="469" spans="1:4" ht="15.75" outlineLevel="1" x14ac:dyDescent="0.2">
      <c r="A469" s="33" t="s">
        <v>41</v>
      </c>
      <c r="B469" s="34" t="s">
        <v>266</v>
      </c>
      <c r="C469" s="33">
        <v>5.37</v>
      </c>
      <c r="D469" s="102"/>
    </row>
    <row r="470" spans="1:4" ht="15.75" outlineLevel="1" x14ac:dyDescent="0.2">
      <c r="A470" s="33" t="s">
        <v>41</v>
      </c>
      <c r="B470" s="34" t="s">
        <v>64</v>
      </c>
      <c r="C470" s="33">
        <v>5.53</v>
      </c>
      <c r="D470" s="102"/>
    </row>
    <row r="471" spans="1:4" ht="15.75" outlineLevel="1" x14ac:dyDescent="0.2">
      <c r="A471" s="33" t="s">
        <v>41</v>
      </c>
      <c r="B471" s="34" t="s">
        <v>341</v>
      </c>
      <c r="C471" s="33">
        <v>5.109</v>
      </c>
      <c r="D471" s="102"/>
    </row>
    <row r="472" spans="1:4" ht="15.75" outlineLevel="1" x14ac:dyDescent="0.2">
      <c r="A472" s="33" t="s">
        <v>41</v>
      </c>
      <c r="B472" s="34" t="s">
        <v>342</v>
      </c>
      <c r="C472" s="33">
        <v>5.1109999999999998</v>
      </c>
      <c r="D472" s="102"/>
    </row>
    <row r="473" spans="1:4" ht="15.75" outlineLevel="1" x14ac:dyDescent="0.2">
      <c r="A473" s="33" t="s">
        <v>41</v>
      </c>
      <c r="B473" s="34" t="s">
        <v>344</v>
      </c>
      <c r="C473" s="33">
        <v>5.1120000000000001</v>
      </c>
      <c r="D473" s="102"/>
    </row>
    <row r="474" spans="1:4" ht="15.75" outlineLevel="1" x14ac:dyDescent="0.2">
      <c r="A474" s="33" t="s">
        <v>41</v>
      </c>
      <c r="B474" s="34" t="s">
        <v>66</v>
      </c>
      <c r="C474" s="33">
        <v>5.54</v>
      </c>
      <c r="D474" s="102"/>
    </row>
    <row r="475" spans="1:4" ht="15.75" outlineLevel="1" x14ac:dyDescent="0.2">
      <c r="A475" s="33" t="s">
        <v>41</v>
      </c>
      <c r="B475" s="34" t="s">
        <v>377</v>
      </c>
      <c r="C475" s="33">
        <v>5.61</v>
      </c>
      <c r="D475" s="102"/>
    </row>
    <row r="476" spans="1:4" ht="15.75" outlineLevel="1" x14ac:dyDescent="0.2">
      <c r="A476" s="33" t="s">
        <v>41</v>
      </c>
      <c r="B476" s="34" t="s">
        <v>68</v>
      </c>
      <c r="C476" s="33">
        <v>5.63</v>
      </c>
      <c r="D476" s="102"/>
    </row>
    <row r="477" spans="1:4" ht="15.75" outlineLevel="1" x14ac:dyDescent="0.2">
      <c r="A477" s="33" t="s">
        <v>41</v>
      </c>
      <c r="B477" s="34" t="s">
        <v>378</v>
      </c>
      <c r="C477" s="33">
        <v>5.46</v>
      </c>
      <c r="D477" s="102"/>
    </row>
    <row r="478" spans="1:4" ht="15.75" outlineLevel="1" x14ac:dyDescent="0.2">
      <c r="A478" s="33" t="s">
        <v>41</v>
      </c>
      <c r="B478" s="34" t="s">
        <v>69</v>
      </c>
      <c r="C478" s="33">
        <v>5.47</v>
      </c>
      <c r="D478" s="102"/>
    </row>
    <row r="479" spans="1:4" ht="15.75" outlineLevel="1" x14ac:dyDescent="0.2">
      <c r="A479" s="33" t="s">
        <v>41</v>
      </c>
      <c r="B479" s="34" t="s">
        <v>70</v>
      </c>
      <c r="C479" s="33">
        <v>5.48</v>
      </c>
      <c r="D479" s="102"/>
    </row>
    <row r="480" spans="1:4" ht="15.75" x14ac:dyDescent="0.2">
      <c r="A480" s="38" t="s">
        <v>41</v>
      </c>
      <c r="B480" s="34"/>
      <c r="C480" s="33"/>
      <c r="D480" s="102"/>
    </row>
    <row r="481" spans="1:4" ht="15.75" hidden="1" outlineLevel="1" x14ac:dyDescent="0.2">
      <c r="A481" s="33" t="s">
        <v>42</v>
      </c>
      <c r="B481" s="34" t="s">
        <v>54</v>
      </c>
      <c r="C481" s="33">
        <v>5.0999999999999996</v>
      </c>
      <c r="D481" s="102"/>
    </row>
    <row r="482" spans="1:4" ht="15.75" hidden="1" outlineLevel="1" x14ac:dyDescent="0.2">
      <c r="A482" s="33" t="s">
        <v>42</v>
      </c>
      <c r="B482" s="34" t="s">
        <v>55</v>
      </c>
      <c r="C482" s="33">
        <v>5.2</v>
      </c>
      <c r="D482" s="102"/>
    </row>
    <row r="483" spans="1:4" ht="15.75" hidden="1" outlineLevel="1" x14ac:dyDescent="0.2">
      <c r="A483" s="33" t="s">
        <v>42</v>
      </c>
      <c r="B483" s="34" t="s">
        <v>80</v>
      </c>
      <c r="C483" s="33">
        <v>5.3</v>
      </c>
      <c r="D483" s="102"/>
    </row>
    <row r="484" spans="1:4" ht="15.75" hidden="1" outlineLevel="1" x14ac:dyDescent="0.2">
      <c r="A484" s="33" t="s">
        <v>42</v>
      </c>
      <c r="B484" s="34" t="s">
        <v>100</v>
      </c>
      <c r="C484" s="33">
        <v>5.6</v>
      </c>
      <c r="D484" s="102"/>
    </row>
    <row r="485" spans="1:4" ht="15.75" hidden="1" outlineLevel="1" x14ac:dyDescent="0.2">
      <c r="A485" s="33" t="s">
        <v>42</v>
      </c>
      <c r="B485" s="34" t="s">
        <v>1324</v>
      </c>
      <c r="C485" s="35">
        <v>5.0999999999999996</v>
      </c>
      <c r="D485" s="102"/>
    </row>
    <row r="486" spans="1:4" ht="15.75" hidden="1" outlineLevel="1" x14ac:dyDescent="0.2">
      <c r="A486" s="33" t="s">
        <v>42</v>
      </c>
      <c r="B486" s="34" t="s">
        <v>260</v>
      </c>
      <c r="C486" s="33">
        <v>5.14</v>
      </c>
      <c r="D486" s="102"/>
    </row>
    <row r="487" spans="1:4" ht="15.75" hidden="1" outlineLevel="1" x14ac:dyDescent="0.2">
      <c r="A487" s="33" t="s">
        <v>42</v>
      </c>
      <c r="B487" s="34" t="s">
        <v>82</v>
      </c>
      <c r="C487" s="33">
        <v>5.19</v>
      </c>
      <c r="D487" s="102"/>
    </row>
    <row r="488" spans="1:4" ht="15.75" hidden="1" outlineLevel="1" x14ac:dyDescent="0.2">
      <c r="A488" s="33" t="s">
        <v>42</v>
      </c>
      <c r="B488" s="34" t="s">
        <v>102</v>
      </c>
      <c r="C488" s="33">
        <v>5.24</v>
      </c>
      <c r="D488" s="102"/>
    </row>
    <row r="489" spans="1:4" ht="15.75" hidden="1" outlineLevel="1" x14ac:dyDescent="0.2">
      <c r="A489" s="33" t="s">
        <v>42</v>
      </c>
      <c r="B489" s="34" t="s">
        <v>60</v>
      </c>
      <c r="C489" s="33">
        <v>5.27</v>
      </c>
      <c r="D489" s="102"/>
    </row>
    <row r="490" spans="1:4" ht="15.75" hidden="1" outlineLevel="1" x14ac:dyDescent="0.2">
      <c r="A490" s="33" t="s">
        <v>42</v>
      </c>
      <c r="B490" s="34" t="s">
        <v>83</v>
      </c>
      <c r="C490" s="33">
        <v>5.28</v>
      </c>
      <c r="D490" s="102"/>
    </row>
    <row r="491" spans="1:4" ht="15.75" hidden="1" outlineLevel="1" x14ac:dyDescent="0.2">
      <c r="A491" s="33" t="s">
        <v>42</v>
      </c>
      <c r="B491" s="34" t="s">
        <v>109</v>
      </c>
      <c r="C491" s="33">
        <v>5.29</v>
      </c>
      <c r="D491" s="102"/>
    </row>
    <row r="492" spans="1:4" ht="15.75" hidden="1" outlineLevel="1" x14ac:dyDescent="0.2">
      <c r="A492" s="33" t="s">
        <v>42</v>
      </c>
      <c r="B492" s="34" t="s">
        <v>261</v>
      </c>
      <c r="C492" s="33">
        <v>5.34</v>
      </c>
      <c r="D492" s="102"/>
    </row>
    <row r="493" spans="1:4" ht="15.75" hidden="1" outlineLevel="1" x14ac:dyDescent="0.2">
      <c r="A493" s="33" t="s">
        <v>42</v>
      </c>
      <c r="B493" s="34" t="s">
        <v>103</v>
      </c>
      <c r="C493" s="33">
        <v>5.31</v>
      </c>
      <c r="D493" s="102"/>
    </row>
    <row r="494" spans="1:4" ht="15.75" hidden="1" outlineLevel="1" x14ac:dyDescent="0.2">
      <c r="A494" s="33" t="s">
        <v>42</v>
      </c>
      <c r="B494" s="34" t="s">
        <v>262</v>
      </c>
      <c r="C494" s="33">
        <v>5.101</v>
      </c>
      <c r="D494" s="102"/>
    </row>
    <row r="495" spans="1:4" ht="15.75" hidden="1" outlineLevel="1" x14ac:dyDescent="0.2">
      <c r="A495" s="33" t="s">
        <v>42</v>
      </c>
      <c r="B495" s="34" t="s">
        <v>61</v>
      </c>
      <c r="C495" s="33">
        <v>5.36</v>
      </c>
      <c r="D495" s="102"/>
    </row>
    <row r="496" spans="1:4" ht="15.75" hidden="1" outlineLevel="1" x14ac:dyDescent="0.2">
      <c r="A496" s="33" t="s">
        <v>42</v>
      </c>
      <c r="B496" s="34" t="s">
        <v>266</v>
      </c>
      <c r="C496" s="33">
        <v>5.37</v>
      </c>
      <c r="D496" s="102"/>
    </row>
    <row r="497" spans="1:4" ht="15.75" hidden="1" outlineLevel="1" x14ac:dyDescent="0.2">
      <c r="A497" s="33" t="s">
        <v>42</v>
      </c>
      <c r="B497" s="34" t="s">
        <v>64</v>
      </c>
      <c r="C497" s="33">
        <v>5.53</v>
      </c>
      <c r="D497" s="102"/>
    </row>
    <row r="498" spans="1:4" ht="15.75" hidden="1" outlineLevel="1" x14ac:dyDescent="0.2">
      <c r="A498" s="33" t="s">
        <v>42</v>
      </c>
      <c r="B498" s="34" t="s">
        <v>341</v>
      </c>
      <c r="C498" s="33">
        <v>5.109</v>
      </c>
      <c r="D498" s="102"/>
    </row>
    <row r="499" spans="1:4" ht="15.75" hidden="1" outlineLevel="1" x14ac:dyDescent="0.2">
      <c r="A499" s="33" t="s">
        <v>42</v>
      </c>
      <c r="B499" s="34" t="s">
        <v>342</v>
      </c>
      <c r="C499" s="33">
        <v>5.1109999999999998</v>
      </c>
      <c r="D499" s="102"/>
    </row>
    <row r="500" spans="1:4" ht="15.75" hidden="1" outlineLevel="1" x14ac:dyDescent="0.2">
      <c r="A500" s="33" t="s">
        <v>42</v>
      </c>
      <c r="B500" s="34" t="s">
        <v>344</v>
      </c>
      <c r="C500" s="33">
        <v>5.1120000000000001</v>
      </c>
      <c r="D500" s="102"/>
    </row>
    <row r="501" spans="1:4" ht="15.75" hidden="1" outlineLevel="1" x14ac:dyDescent="0.2">
      <c r="A501" s="33" t="s">
        <v>42</v>
      </c>
      <c r="B501" s="34" t="s">
        <v>263</v>
      </c>
      <c r="C501" s="33">
        <v>5.1020000000000003</v>
      </c>
      <c r="D501" s="102"/>
    </row>
    <row r="502" spans="1:4" ht="15.75" hidden="1" outlineLevel="1" x14ac:dyDescent="0.2">
      <c r="A502" s="33" t="s">
        <v>42</v>
      </c>
      <c r="B502" s="34" t="s">
        <v>264</v>
      </c>
      <c r="C502" s="36">
        <v>5.0999999999999996</v>
      </c>
      <c r="D502" s="102"/>
    </row>
    <row r="503" spans="1:4" ht="15.75" hidden="1" outlineLevel="1" x14ac:dyDescent="0.2">
      <c r="A503" s="33" t="s">
        <v>42</v>
      </c>
      <c r="B503" s="34" t="s">
        <v>90</v>
      </c>
      <c r="C503" s="33">
        <v>5.58</v>
      </c>
      <c r="D503" s="102"/>
    </row>
    <row r="504" spans="1:4" ht="15.75" hidden="1" outlineLevel="1" x14ac:dyDescent="0.2">
      <c r="A504" s="33" t="s">
        <v>42</v>
      </c>
      <c r="B504" s="34" t="s">
        <v>91</v>
      </c>
      <c r="C504" s="33">
        <v>5.55</v>
      </c>
      <c r="D504" s="102"/>
    </row>
    <row r="505" spans="1:4" ht="15.75" hidden="1" outlineLevel="1" x14ac:dyDescent="0.2">
      <c r="A505" s="33" t="s">
        <v>42</v>
      </c>
      <c r="B505" s="34" t="s">
        <v>66</v>
      </c>
      <c r="C505" s="33">
        <v>5.54</v>
      </c>
      <c r="D505" s="102"/>
    </row>
    <row r="506" spans="1:4" ht="15.75" hidden="1" outlineLevel="1" x14ac:dyDescent="0.2">
      <c r="A506" s="33" t="s">
        <v>42</v>
      </c>
      <c r="B506" s="34" t="s">
        <v>68</v>
      </c>
      <c r="C506" s="33">
        <v>5.63</v>
      </c>
      <c r="D506" s="102"/>
    </row>
    <row r="507" spans="1:4" ht="15.75" hidden="1" outlineLevel="1" x14ac:dyDescent="0.2">
      <c r="A507" s="33" t="s">
        <v>42</v>
      </c>
      <c r="B507" s="34" t="s">
        <v>69</v>
      </c>
      <c r="C507" s="33">
        <v>5.47</v>
      </c>
      <c r="D507" s="102"/>
    </row>
    <row r="508" spans="1:4" ht="15.75" hidden="1" outlineLevel="1" x14ac:dyDescent="0.2">
      <c r="A508" s="33" t="s">
        <v>42</v>
      </c>
      <c r="B508" s="34" t="s">
        <v>70</v>
      </c>
      <c r="C508" s="33">
        <v>5.48</v>
      </c>
      <c r="D508" s="102"/>
    </row>
    <row r="509" spans="1:4" ht="15.75" x14ac:dyDescent="0.2">
      <c r="A509" s="38" t="s">
        <v>42</v>
      </c>
      <c r="B509" s="34"/>
      <c r="C509" s="33"/>
      <c r="D509" s="102"/>
    </row>
    <row r="510" spans="1:4" ht="15.75" hidden="1" outlineLevel="1" x14ac:dyDescent="0.2">
      <c r="A510" s="33" t="s">
        <v>43</v>
      </c>
      <c r="B510" s="34" t="s">
        <v>54</v>
      </c>
      <c r="C510" s="33">
        <v>5.0999999999999996</v>
      </c>
      <c r="D510" s="102"/>
    </row>
    <row r="511" spans="1:4" ht="15.75" hidden="1" outlineLevel="1" x14ac:dyDescent="0.2">
      <c r="A511" s="33" t="s">
        <v>43</v>
      </c>
      <c r="B511" s="34" t="s">
        <v>55</v>
      </c>
      <c r="C511" s="33">
        <v>5.2</v>
      </c>
      <c r="D511" s="102"/>
    </row>
    <row r="512" spans="1:4" ht="15.75" hidden="1" outlineLevel="1" x14ac:dyDescent="0.2">
      <c r="A512" s="33" t="s">
        <v>43</v>
      </c>
      <c r="B512" s="34" t="s">
        <v>80</v>
      </c>
      <c r="C512" s="33">
        <v>5.3</v>
      </c>
      <c r="D512" s="102"/>
    </row>
    <row r="513" spans="1:4" ht="15.75" hidden="1" outlineLevel="1" x14ac:dyDescent="0.2">
      <c r="A513" s="33" t="s">
        <v>43</v>
      </c>
      <c r="B513" s="34" t="s">
        <v>100</v>
      </c>
      <c r="C513" s="33">
        <v>5.6</v>
      </c>
      <c r="D513" s="102"/>
    </row>
    <row r="514" spans="1:4" ht="15.75" hidden="1" outlineLevel="1" x14ac:dyDescent="0.2">
      <c r="A514" s="33" t="s">
        <v>43</v>
      </c>
      <c r="B514" s="34" t="s">
        <v>1324</v>
      </c>
      <c r="C514" s="35">
        <v>5.0999999999999996</v>
      </c>
      <c r="D514" s="102"/>
    </row>
    <row r="515" spans="1:4" ht="15.75" hidden="1" outlineLevel="1" x14ac:dyDescent="0.2">
      <c r="A515" s="33" t="s">
        <v>43</v>
      </c>
      <c r="B515" s="34" t="s">
        <v>260</v>
      </c>
      <c r="C515" s="33">
        <v>5.14</v>
      </c>
      <c r="D515" s="102"/>
    </row>
    <row r="516" spans="1:4" ht="15.75" hidden="1" outlineLevel="1" x14ac:dyDescent="0.2">
      <c r="A516" s="33" t="s">
        <v>43</v>
      </c>
      <c r="B516" s="34" t="s">
        <v>82</v>
      </c>
      <c r="C516" s="33">
        <v>5.19</v>
      </c>
      <c r="D516" s="102"/>
    </row>
    <row r="517" spans="1:4" ht="15.75" hidden="1" outlineLevel="1" x14ac:dyDescent="0.2">
      <c r="A517" s="33" t="s">
        <v>43</v>
      </c>
      <c r="B517" s="34" t="s">
        <v>102</v>
      </c>
      <c r="C517" s="33">
        <v>5.24</v>
      </c>
      <c r="D517" s="102"/>
    </row>
    <row r="518" spans="1:4" ht="15.75" hidden="1" outlineLevel="1" x14ac:dyDescent="0.2">
      <c r="A518" s="33" t="s">
        <v>43</v>
      </c>
      <c r="B518" s="34" t="s">
        <v>59</v>
      </c>
      <c r="C518" s="33">
        <v>5.26</v>
      </c>
      <c r="D518" s="102"/>
    </row>
    <row r="519" spans="1:4" ht="15.75" hidden="1" outlineLevel="1" x14ac:dyDescent="0.2">
      <c r="A519" s="33" t="s">
        <v>43</v>
      </c>
      <c r="B519" s="34" t="s">
        <v>60</v>
      </c>
      <c r="C519" s="33">
        <v>5.27</v>
      </c>
      <c r="D519" s="102"/>
    </row>
    <row r="520" spans="1:4" ht="15.75" hidden="1" outlineLevel="1" x14ac:dyDescent="0.2">
      <c r="A520" s="33" t="s">
        <v>43</v>
      </c>
      <c r="B520" s="34" t="s">
        <v>83</v>
      </c>
      <c r="C520" s="33">
        <v>5.28</v>
      </c>
      <c r="D520" s="102"/>
    </row>
    <row r="521" spans="1:4" ht="15.75" hidden="1" outlineLevel="1" x14ac:dyDescent="0.2">
      <c r="A521" s="33" t="s">
        <v>43</v>
      </c>
      <c r="B521" s="34" t="s">
        <v>103</v>
      </c>
      <c r="C521" s="33">
        <v>5.31</v>
      </c>
      <c r="D521" s="102"/>
    </row>
    <row r="522" spans="1:4" ht="15.75" hidden="1" outlineLevel="1" x14ac:dyDescent="0.2">
      <c r="A522" s="33" t="s">
        <v>43</v>
      </c>
      <c r="B522" s="34" t="s">
        <v>265</v>
      </c>
      <c r="C522" s="33">
        <v>5.33</v>
      </c>
      <c r="D522" s="102"/>
    </row>
    <row r="523" spans="1:4" ht="15.75" hidden="1" outlineLevel="1" x14ac:dyDescent="0.2">
      <c r="A523" s="33" t="s">
        <v>43</v>
      </c>
      <c r="B523" s="34" t="s">
        <v>262</v>
      </c>
      <c r="C523" s="33">
        <v>5.101</v>
      </c>
      <c r="D523" s="102"/>
    </row>
    <row r="524" spans="1:4" ht="15.75" hidden="1" outlineLevel="1" x14ac:dyDescent="0.2">
      <c r="A524" s="33" t="s">
        <v>43</v>
      </c>
      <c r="B524" s="34" t="s">
        <v>61</v>
      </c>
      <c r="C524" s="33">
        <v>5.36</v>
      </c>
      <c r="D524" s="102"/>
    </row>
    <row r="525" spans="1:4" ht="15.75" hidden="1" outlineLevel="1" x14ac:dyDescent="0.2">
      <c r="A525" s="33" t="s">
        <v>43</v>
      </c>
      <c r="B525" s="34" t="s">
        <v>266</v>
      </c>
      <c r="C525" s="33">
        <v>5.37</v>
      </c>
      <c r="D525" s="102"/>
    </row>
    <row r="526" spans="1:4" ht="15.75" hidden="1" outlineLevel="1" x14ac:dyDescent="0.2">
      <c r="A526" s="33" t="s">
        <v>43</v>
      </c>
      <c r="B526" s="34" t="s">
        <v>64</v>
      </c>
      <c r="C526" s="33">
        <v>5.53</v>
      </c>
      <c r="D526" s="102"/>
    </row>
    <row r="527" spans="1:4" ht="15.75" hidden="1" outlineLevel="1" x14ac:dyDescent="0.2">
      <c r="A527" s="33" t="s">
        <v>43</v>
      </c>
      <c r="B527" s="34" t="s">
        <v>341</v>
      </c>
      <c r="C527" s="33">
        <v>5.109</v>
      </c>
      <c r="D527" s="102"/>
    </row>
    <row r="528" spans="1:4" ht="15.75" hidden="1" outlineLevel="1" x14ac:dyDescent="0.2">
      <c r="A528" s="33" t="s">
        <v>43</v>
      </c>
      <c r="B528" s="34" t="s">
        <v>342</v>
      </c>
      <c r="C528" s="33">
        <v>5.1109999999999998</v>
      </c>
      <c r="D528" s="102"/>
    </row>
    <row r="529" spans="1:4" ht="15.75" hidden="1" outlineLevel="1" x14ac:dyDescent="0.2">
      <c r="A529" s="33" t="s">
        <v>43</v>
      </c>
      <c r="B529" s="34" t="s">
        <v>344</v>
      </c>
      <c r="C529" s="33">
        <v>5.1120000000000001</v>
      </c>
      <c r="D529" s="102"/>
    </row>
    <row r="530" spans="1:4" ht="15.75" hidden="1" outlineLevel="1" x14ac:dyDescent="0.2">
      <c r="A530" s="33" t="s">
        <v>43</v>
      </c>
      <c r="B530" s="34" t="s">
        <v>263</v>
      </c>
      <c r="C530" s="33">
        <v>5.1020000000000003</v>
      </c>
      <c r="D530" s="102"/>
    </row>
    <row r="531" spans="1:4" ht="15.75" hidden="1" outlineLevel="1" x14ac:dyDescent="0.2">
      <c r="A531" s="33" t="s">
        <v>43</v>
      </c>
      <c r="B531" s="34" t="s">
        <v>264</v>
      </c>
      <c r="C531" s="36">
        <v>5.0999999999999996</v>
      </c>
      <c r="D531" s="102"/>
    </row>
    <row r="532" spans="1:4" ht="15.75" hidden="1" outlineLevel="1" x14ac:dyDescent="0.2">
      <c r="A532" s="33" t="s">
        <v>43</v>
      </c>
      <c r="B532" s="34" t="s">
        <v>90</v>
      </c>
      <c r="C532" s="33">
        <v>5.58</v>
      </c>
      <c r="D532" s="102"/>
    </row>
    <row r="533" spans="1:4" ht="15.75" hidden="1" outlineLevel="1" x14ac:dyDescent="0.2">
      <c r="A533" s="33" t="s">
        <v>43</v>
      </c>
      <c r="B533" s="34" t="s">
        <v>91</v>
      </c>
      <c r="C533" s="33">
        <v>5.55</v>
      </c>
      <c r="D533" s="102"/>
    </row>
    <row r="534" spans="1:4" ht="15.75" hidden="1" outlineLevel="1" x14ac:dyDescent="0.2">
      <c r="A534" s="33" t="s">
        <v>43</v>
      </c>
      <c r="B534" s="34" t="s">
        <v>66</v>
      </c>
      <c r="C534" s="33">
        <v>5.54</v>
      </c>
      <c r="D534" s="102"/>
    </row>
    <row r="535" spans="1:4" ht="15.75" hidden="1" outlineLevel="1" x14ac:dyDescent="0.2">
      <c r="A535" s="33" t="s">
        <v>43</v>
      </c>
      <c r="B535" s="34" t="s">
        <v>68</v>
      </c>
      <c r="C535" s="33">
        <v>5.63</v>
      </c>
      <c r="D535" s="102"/>
    </row>
    <row r="536" spans="1:4" ht="15.75" hidden="1" outlineLevel="1" x14ac:dyDescent="0.2">
      <c r="A536" s="33" t="s">
        <v>43</v>
      </c>
      <c r="B536" s="34" t="s">
        <v>69</v>
      </c>
      <c r="C536" s="33">
        <v>5.47</v>
      </c>
      <c r="D536" s="102"/>
    </row>
    <row r="537" spans="1:4" ht="15.75" hidden="1" outlineLevel="1" x14ac:dyDescent="0.2">
      <c r="A537" s="33" t="s">
        <v>43</v>
      </c>
      <c r="B537" s="34" t="s">
        <v>70</v>
      </c>
      <c r="C537" s="33">
        <v>5.48</v>
      </c>
      <c r="D537" s="102"/>
    </row>
    <row r="538" spans="1:4" ht="15.75" x14ac:dyDescent="0.2">
      <c r="A538" s="38" t="s">
        <v>43</v>
      </c>
      <c r="B538" s="34"/>
      <c r="C538" s="33"/>
      <c r="D538" s="102"/>
    </row>
    <row r="539" spans="1:4" ht="15.75" hidden="1" outlineLevel="1" x14ac:dyDescent="0.2">
      <c r="A539" s="33" t="s">
        <v>44</v>
      </c>
      <c r="B539" s="34" t="s">
        <v>54</v>
      </c>
      <c r="C539" s="33">
        <v>5.0999999999999996</v>
      </c>
      <c r="D539" s="102"/>
    </row>
    <row r="540" spans="1:4" ht="15.75" hidden="1" outlineLevel="1" x14ac:dyDescent="0.2">
      <c r="A540" s="33" t="s">
        <v>44</v>
      </c>
      <c r="B540" s="34" t="s">
        <v>55</v>
      </c>
      <c r="C540" s="33">
        <v>5.2</v>
      </c>
      <c r="D540" s="102"/>
    </row>
    <row r="541" spans="1:4" ht="15.75" hidden="1" outlineLevel="1" x14ac:dyDescent="0.2">
      <c r="A541" s="33" t="s">
        <v>44</v>
      </c>
      <c r="B541" s="34" t="s">
        <v>59</v>
      </c>
      <c r="C541" s="33">
        <v>5.26</v>
      </c>
      <c r="D541" s="102"/>
    </row>
    <row r="542" spans="1:4" ht="15.75" hidden="1" outlineLevel="1" x14ac:dyDescent="0.2">
      <c r="A542" s="33" t="s">
        <v>44</v>
      </c>
      <c r="B542" s="34" t="s">
        <v>380</v>
      </c>
      <c r="C542" s="33">
        <v>5.21</v>
      </c>
      <c r="D542" s="102"/>
    </row>
    <row r="543" spans="1:4" ht="15.75" hidden="1" outlineLevel="1" x14ac:dyDescent="0.2">
      <c r="A543" s="33" t="s">
        <v>44</v>
      </c>
      <c r="B543" s="34" t="s">
        <v>381</v>
      </c>
      <c r="C543" s="33">
        <v>5.53</v>
      </c>
      <c r="D543" s="102"/>
    </row>
    <row r="544" spans="1:4" ht="15.75" hidden="1" outlineLevel="1" x14ac:dyDescent="0.2">
      <c r="A544" s="33" t="s">
        <v>44</v>
      </c>
      <c r="B544" s="34" t="s">
        <v>66</v>
      </c>
      <c r="C544" s="33">
        <v>5.54</v>
      </c>
      <c r="D544" s="102"/>
    </row>
    <row r="545" spans="1:4" ht="15.75" hidden="1" outlineLevel="1" x14ac:dyDescent="0.2">
      <c r="A545" s="33" t="s">
        <v>44</v>
      </c>
      <c r="B545" s="34" t="s">
        <v>382</v>
      </c>
      <c r="C545" s="33">
        <v>5.58</v>
      </c>
      <c r="D545" s="102"/>
    </row>
    <row r="546" spans="1:4" ht="15.75" hidden="1" outlineLevel="1" x14ac:dyDescent="0.2">
      <c r="A546" s="33" t="s">
        <v>44</v>
      </c>
      <c r="B546" s="34" t="s">
        <v>383</v>
      </c>
      <c r="C546" s="33">
        <v>5.1180000000000003</v>
      </c>
      <c r="D546" s="102"/>
    </row>
    <row r="547" spans="1:4" ht="15.75" hidden="1" outlineLevel="1" x14ac:dyDescent="0.2">
      <c r="A547" s="33" t="s">
        <v>44</v>
      </c>
      <c r="B547" s="34" t="s">
        <v>384</v>
      </c>
      <c r="C547" s="33">
        <v>5.47</v>
      </c>
      <c r="D547" s="102"/>
    </row>
    <row r="548" spans="1:4" ht="15.75" hidden="1" outlineLevel="1" x14ac:dyDescent="0.2">
      <c r="A548" s="33" t="s">
        <v>44</v>
      </c>
      <c r="B548" s="34" t="s">
        <v>385</v>
      </c>
      <c r="C548" s="33">
        <v>5.48</v>
      </c>
      <c r="D548" s="102"/>
    </row>
    <row r="549" spans="1:4" ht="15.75" hidden="1" outlineLevel="1" x14ac:dyDescent="0.2">
      <c r="A549" s="33" t="s">
        <v>44</v>
      </c>
      <c r="B549" s="34" t="s">
        <v>386</v>
      </c>
      <c r="C549" s="33">
        <v>5.21</v>
      </c>
      <c r="D549" s="102"/>
    </row>
    <row r="550" spans="1:4" ht="15.75" hidden="1" outlineLevel="1" x14ac:dyDescent="0.2">
      <c r="A550" s="33" t="s">
        <v>44</v>
      </c>
      <c r="B550" s="34" t="s">
        <v>387</v>
      </c>
      <c r="C550" s="33">
        <v>5.53</v>
      </c>
      <c r="D550" s="102"/>
    </row>
    <row r="551" spans="1:4" ht="15.75" hidden="1" outlineLevel="1" x14ac:dyDescent="0.2">
      <c r="A551" s="33" t="s">
        <v>44</v>
      </c>
      <c r="B551" s="34" t="s">
        <v>66</v>
      </c>
      <c r="C551" s="33">
        <v>5.54</v>
      </c>
      <c r="D551" s="102"/>
    </row>
    <row r="552" spans="1:4" ht="15.75" hidden="1" outlineLevel="1" x14ac:dyDescent="0.2">
      <c r="A552" s="33" t="s">
        <v>44</v>
      </c>
      <c r="B552" s="34" t="s">
        <v>388</v>
      </c>
      <c r="C552" s="33">
        <v>5.58</v>
      </c>
      <c r="D552" s="102"/>
    </row>
    <row r="553" spans="1:4" ht="15.75" hidden="1" outlineLevel="1" x14ac:dyDescent="0.2">
      <c r="A553" s="33" t="s">
        <v>44</v>
      </c>
      <c r="B553" s="34" t="s">
        <v>389</v>
      </c>
      <c r="C553" s="33">
        <v>5.1180000000000003</v>
      </c>
      <c r="D553" s="102"/>
    </row>
    <row r="554" spans="1:4" ht="15.75" hidden="1" outlineLevel="1" x14ac:dyDescent="0.2">
      <c r="A554" s="33" t="s">
        <v>44</v>
      </c>
      <c r="B554" s="34" t="s">
        <v>1329</v>
      </c>
      <c r="C554" s="33">
        <v>5.47</v>
      </c>
      <c r="D554" s="102"/>
    </row>
    <row r="555" spans="1:4" ht="15.75" hidden="1" outlineLevel="1" x14ac:dyDescent="0.2">
      <c r="A555" s="33" t="s">
        <v>44</v>
      </c>
      <c r="B555" s="34" t="s">
        <v>1330</v>
      </c>
      <c r="C555" s="33">
        <v>5.48</v>
      </c>
      <c r="D555" s="102"/>
    </row>
    <row r="556" spans="1:4" ht="15.75" hidden="1" outlineLevel="1" x14ac:dyDescent="0.2">
      <c r="A556" s="33" t="s">
        <v>44</v>
      </c>
      <c r="B556" s="34" t="s">
        <v>1331</v>
      </c>
      <c r="C556" s="33">
        <v>5.63</v>
      </c>
      <c r="D556" s="102"/>
    </row>
    <row r="557" spans="1:4" ht="15.75" hidden="1" outlineLevel="1" x14ac:dyDescent="0.2">
      <c r="A557" s="33" t="s">
        <v>44</v>
      </c>
      <c r="B557" s="34" t="s">
        <v>60</v>
      </c>
      <c r="C557" s="33">
        <v>5.27</v>
      </c>
      <c r="D557" s="102"/>
    </row>
    <row r="558" spans="1:4" ht="15.75" hidden="1" outlineLevel="1" x14ac:dyDescent="0.2">
      <c r="A558" s="33" t="s">
        <v>44</v>
      </c>
      <c r="B558" s="34" t="s">
        <v>83</v>
      </c>
      <c r="C558" s="33">
        <v>5.28</v>
      </c>
      <c r="D558" s="102"/>
    </row>
    <row r="559" spans="1:4" ht="15.75" hidden="1" outlineLevel="1" x14ac:dyDescent="0.2">
      <c r="A559" s="33" t="s">
        <v>44</v>
      </c>
      <c r="B559" s="34" t="s">
        <v>393</v>
      </c>
      <c r="C559" s="33">
        <v>5.35</v>
      </c>
      <c r="D559" s="102"/>
    </row>
    <row r="560" spans="1:4" ht="15.75" hidden="1" outlineLevel="1" x14ac:dyDescent="0.2">
      <c r="A560" s="33" t="s">
        <v>44</v>
      </c>
      <c r="B560" s="34" t="s">
        <v>394</v>
      </c>
      <c r="C560" s="33">
        <v>5.1189999999999998</v>
      </c>
      <c r="D560" s="102"/>
    </row>
    <row r="561" spans="1:4" ht="15.75" hidden="1" outlineLevel="1" x14ac:dyDescent="0.2">
      <c r="A561" s="33" t="s">
        <v>44</v>
      </c>
      <c r="B561" s="34" t="s">
        <v>395</v>
      </c>
      <c r="C561" s="36">
        <v>5.12</v>
      </c>
      <c r="D561" s="102"/>
    </row>
    <row r="562" spans="1:4" ht="15.75" hidden="1" outlineLevel="1" x14ac:dyDescent="0.2">
      <c r="A562" s="33" t="s">
        <v>44</v>
      </c>
      <c r="B562" s="34" t="s">
        <v>396</v>
      </c>
      <c r="C562" s="33">
        <v>5.1210000000000004</v>
      </c>
      <c r="D562" s="102"/>
    </row>
    <row r="563" spans="1:4" ht="15.75" hidden="1" outlineLevel="1" x14ac:dyDescent="0.2">
      <c r="A563" s="33" t="s">
        <v>44</v>
      </c>
      <c r="B563" s="34" t="s">
        <v>61</v>
      </c>
      <c r="C563" s="33">
        <v>5.36</v>
      </c>
      <c r="D563" s="102"/>
    </row>
    <row r="564" spans="1:4" ht="15.75" hidden="1" outlineLevel="1" x14ac:dyDescent="0.2">
      <c r="A564" s="33" t="s">
        <v>44</v>
      </c>
      <c r="B564" s="34" t="s">
        <v>397</v>
      </c>
      <c r="C564" s="33">
        <v>5.1219999999999999</v>
      </c>
      <c r="D564" s="102"/>
    </row>
    <row r="565" spans="1:4" ht="15.75" hidden="1" outlineLevel="1" x14ac:dyDescent="0.2">
      <c r="A565" s="33" t="s">
        <v>44</v>
      </c>
      <c r="B565" s="34" t="s">
        <v>398</v>
      </c>
      <c r="C565" s="33">
        <v>5.1230000000000002</v>
      </c>
      <c r="D565" s="102"/>
    </row>
    <row r="566" spans="1:4" ht="15.75" hidden="1" outlineLevel="1" x14ac:dyDescent="0.2">
      <c r="A566" s="33" t="s">
        <v>44</v>
      </c>
      <c r="B566" s="34" t="s">
        <v>399</v>
      </c>
      <c r="C566" s="33">
        <v>5.1239999999999997</v>
      </c>
      <c r="D566" s="102"/>
    </row>
    <row r="567" spans="1:4" ht="15.75" hidden="1" outlineLevel="1" x14ac:dyDescent="0.2">
      <c r="A567" s="33" t="s">
        <v>44</v>
      </c>
      <c r="B567" s="34" t="s">
        <v>400</v>
      </c>
      <c r="C567" s="33">
        <v>5.125</v>
      </c>
      <c r="D567" s="102"/>
    </row>
    <row r="568" spans="1:4" ht="15.75" hidden="1" outlineLevel="1" x14ac:dyDescent="0.2">
      <c r="A568" s="33" t="s">
        <v>44</v>
      </c>
      <c r="B568" s="34" t="s">
        <v>401</v>
      </c>
      <c r="C568" s="33">
        <v>5.1260000000000003</v>
      </c>
      <c r="D568" s="102"/>
    </row>
    <row r="569" spans="1:4" ht="15.75" hidden="1" outlineLevel="1" x14ac:dyDescent="0.2">
      <c r="A569" s="33" t="s">
        <v>44</v>
      </c>
      <c r="B569" s="34" t="s">
        <v>402</v>
      </c>
      <c r="C569" s="33">
        <v>5.1269999999999998</v>
      </c>
      <c r="D569" s="102"/>
    </row>
    <row r="570" spans="1:4" ht="15.75" hidden="1" outlineLevel="1" x14ac:dyDescent="0.2">
      <c r="A570" s="33" t="s">
        <v>44</v>
      </c>
      <c r="B570" s="34" t="s">
        <v>105</v>
      </c>
      <c r="C570" s="35">
        <v>5.72</v>
      </c>
      <c r="D570" s="102"/>
    </row>
    <row r="571" spans="1:4" ht="15.75" hidden="1" outlineLevel="1" x14ac:dyDescent="0.2">
      <c r="A571" s="33" t="s">
        <v>44</v>
      </c>
      <c r="B571" s="34" t="s">
        <v>403</v>
      </c>
      <c r="C571" s="33">
        <v>5.1280000000000001</v>
      </c>
      <c r="D571" s="102"/>
    </row>
    <row r="572" spans="1:4" ht="15.75" hidden="1" outlineLevel="1" x14ac:dyDescent="0.2">
      <c r="A572" s="33" t="s">
        <v>44</v>
      </c>
      <c r="B572" s="34" t="s">
        <v>404</v>
      </c>
      <c r="C572" s="33">
        <v>5.1289999999999996</v>
      </c>
      <c r="D572" s="101" t="s">
        <v>1323</v>
      </c>
    </row>
    <row r="573" spans="1:4" ht="15.75" hidden="1" outlineLevel="1" x14ac:dyDescent="0.2">
      <c r="A573" s="33" t="s">
        <v>44</v>
      </c>
      <c r="B573" s="34" t="s">
        <v>405</v>
      </c>
      <c r="C573" s="33">
        <v>5.1310000000000002</v>
      </c>
      <c r="D573" s="102"/>
    </row>
    <row r="574" spans="1:4" ht="15.75" hidden="1" outlineLevel="1" x14ac:dyDescent="0.2">
      <c r="A574" s="33" t="s">
        <v>44</v>
      </c>
      <c r="B574" s="34" t="s">
        <v>406</v>
      </c>
      <c r="C574" s="33">
        <v>5.1319999999999997</v>
      </c>
      <c r="D574" s="101" t="s">
        <v>1323</v>
      </c>
    </row>
    <row r="575" spans="1:4" ht="15.75" hidden="1" outlineLevel="1" x14ac:dyDescent="0.2">
      <c r="A575" s="33" t="s">
        <v>44</v>
      </c>
      <c r="B575" s="34" t="s">
        <v>407</v>
      </c>
      <c r="C575" s="33">
        <v>5.133</v>
      </c>
      <c r="D575" s="101" t="s">
        <v>1323</v>
      </c>
    </row>
    <row r="576" spans="1:4" ht="15.75" hidden="1" outlineLevel="1" x14ac:dyDescent="0.2">
      <c r="A576" s="33" t="s">
        <v>44</v>
      </c>
      <c r="B576" s="34" t="s">
        <v>408</v>
      </c>
      <c r="C576" s="33">
        <v>5.1340000000000003</v>
      </c>
      <c r="D576" s="101" t="s">
        <v>1323</v>
      </c>
    </row>
    <row r="577" spans="1:4" ht="15.75" hidden="1" outlineLevel="1" x14ac:dyDescent="0.2">
      <c r="A577" s="33" t="s">
        <v>44</v>
      </c>
      <c r="B577" s="34" t="s">
        <v>409</v>
      </c>
      <c r="C577" s="36">
        <v>5.13</v>
      </c>
      <c r="D577" s="102"/>
    </row>
    <row r="578" spans="1:4" ht="15.75" hidden="1" outlineLevel="1" x14ac:dyDescent="0.2">
      <c r="A578" s="33" t="s">
        <v>44</v>
      </c>
      <c r="B578" s="34" t="s">
        <v>69</v>
      </c>
      <c r="C578" s="33">
        <v>5.47</v>
      </c>
      <c r="D578" s="102"/>
    </row>
    <row r="579" spans="1:4" ht="15.75" hidden="1" outlineLevel="1" x14ac:dyDescent="0.2">
      <c r="A579" s="33" t="s">
        <v>44</v>
      </c>
      <c r="B579" s="34" t="s">
        <v>70</v>
      </c>
      <c r="C579" s="33">
        <v>5.48</v>
      </c>
      <c r="D579" s="102"/>
    </row>
    <row r="580" spans="1:4" ht="15.75" x14ac:dyDescent="0.2">
      <c r="A580" s="38" t="s">
        <v>44</v>
      </c>
      <c r="B580" s="34"/>
      <c r="C580" s="33"/>
      <c r="D580" s="102"/>
    </row>
    <row r="581" spans="1:4" ht="15.75" hidden="1" outlineLevel="1" x14ac:dyDescent="0.2">
      <c r="A581" s="33" t="s">
        <v>45</v>
      </c>
      <c r="B581" s="34" t="s">
        <v>54</v>
      </c>
      <c r="C581" s="33">
        <v>5.0999999999999996</v>
      </c>
      <c r="D581" s="102"/>
    </row>
    <row r="582" spans="1:4" ht="15.75" hidden="1" outlineLevel="1" x14ac:dyDescent="0.2">
      <c r="A582" s="33" t="s">
        <v>45</v>
      </c>
      <c r="B582" s="34" t="s">
        <v>55</v>
      </c>
      <c r="C582" s="33">
        <v>5.2</v>
      </c>
      <c r="D582" s="102"/>
    </row>
    <row r="583" spans="1:4" ht="15.75" hidden="1" outlineLevel="1" x14ac:dyDescent="0.2">
      <c r="A583" s="33" t="s">
        <v>45</v>
      </c>
      <c r="B583" s="34" t="s">
        <v>410</v>
      </c>
      <c r="C583" s="33">
        <v>5.9</v>
      </c>
      <c r="D583" s="101" t="s">
        <v>1323</v>
      </c>
    </row>
    <row r="584" spans="1:4" ht="15.75" hidden="1" outlineLevel="1" x14ac:dyDescent="0.2">
      <c r="A584" s="33" t="s">
        <v>45</v>
      </c>
      <c r="B584" s="34" t="s">
        <v>411</v>
      </c>
      <c r="C584" s="33">
        <v>5.13</v>
      </c>
      <c r="D584" s="101" t="s">
        <v>1323</v>
      </c>
    </row>
    <row r="585" spans="1:4" ht="15.75" hidden="1" outlineLevel="1" x14ac:dyDescent="0.2">
      <c r="A585" s="33" t="s">
        <v>45</v>
      </c>
      <c r="B585" s="34" t="s">
        <v>412</v>
      </c>
      <c r="C585" s="33">
        <v>5.16</v>
      </c>
      <c r="D585" s="101" t="s">
        <v>1323</v>
      </c>
    </row>
    <row r="586" spans="1:4" ht="15.75" hidden="1" outlineLevel="1" x14ac:dyDescent="0.2">
      <c r="A586" s="33" t="s">
        <v>45</v>
      </c>
      <c r="B586" s="34" t="s">
        <v>413</v>
      </c>
      <c r="C586" s="33">
        <v>5.22</v>
      </c>
      <c r="D586" s="101"/>
    </row>
    <row r="587" spans="1:4" ht="15.75" hidden="1" outlineLevel="1" x14ac:dyDescent="0.2">
      <c r="A587" s="33" t="s">
        <v>45</v>
      </c>
      <c r="B587" s="34" t="s">
        <v>59</v>
      </c>
      <c r="C587" s="33">
        <v>5.26</v>
      </c>
      <c r="D587" s="102"/>
    </row>
    <row r="588" spans="1:4" ht="15.75" hidden="1" outlineLevel="1" x14ac:dyDescent="0.2">
      <c r="A588" s="33" t="s">
        <v>45</v>
      </c>
      <c r="B588" s="34" t="s">
        <v>414</v>
      </c>
      <c r="C588" s="33">
        <v>5.77</v>
      </c>
      <c r="D588" s="102"/>
    </row>
    <row r="589" spans="1:4" ht="15.75" hidden="1" outlineLevel="1" x14ac:dyDescent="0.2">
      <c r="A589" s="33" t="s">
        <v>45</v>
      </c>
      <c r="B589" s="34" t="s">
        <v>60</v>
      </c>
      <c r="C589" s="33">
        <v>5.27</v>
      </c>
      <c r="D589" s="102"/>
    </row>
    <row r="590" spans="1:4" ht="15.75" hidden="1" outlineLevel="1" x14ac:dyDescent="0.2">
      <c r="A590" s="33" t="s">
        <v>45</v>
      </c>
      <c r="B590" s="34" t="s">
        <v>83</v>
      </c>
      <c r="C590" s="33">
        <v>5.28</v>
      </c>
      <c r="D590" s="101" t="s">
        <v>1323</v>
      </c>
    </row>
    <row r="591" spans="1:4" ht="15.75" hidden="1" outlineLevel="1" x14ac:dyDescent="0.2">
      <c r="A591" s="33" t="s">
        <v>45</v>
      </c>
      <c r="B591" s="34" t="s">
        <v>103</v>
      </c>
      <c r="C591" s="33">
        <v>5.31</v>
      </c>
      <c r="D591" s="102"/>
    </row>
    <row r="592" spans="1:4" ht="15.75" hidden="1" outlineLevel="1" x14ac:dyDescent="0.2">
      <c r="A592" s="33" t="s">
        <v>45</v>
      </c>
      <c r="B592" s="34" t="s">
        <v>61</v>
      </c>
      <c r="C592" s="33">
        <v>5.36</v>
      </c>
      <c r="D592" s="102"/>
    </row>
    <row r="593" spans="1:4" ht="15.75" hidden="1" outlineLevel="1" x14ac:dyDescent="0.2">
      <c r="A593" s="33" t="s">
        <v>45</v>
      </c>
      <c r="B593" s="34" t="s">
        <v>415</v>
      </c>
      <c r="C593" s="33">
        <v>5.78</v>
      </c>
      <c r="D593" s="102"/>
    </row>
    <row r="594" spans="1:4" ht="15.75" hidden="1" outlineLevel="1" x14ac:dyDescent="0.2">
      <c r="A594" s="33" t="s">
        <v>45</v>
      </c>
      <c r="B594" s="34" t="s">
        <v>416</v>
      </c>
      <c r="C594" s="33">
        <v>5.79</v>
      </c>
      <c r="D594" s="101" t="s">
        <v>1323</v>
      </c>
    </row>
    <row r="595" spans="1:4" ht="15.75" hidden="1" outlineLevel="1" x14ac:dyDescent="0.2">
      <c r="A595" s="33" t="s">
        <v>45</v>
      </c>
      <c r="B595" s="34" t="s">
        <v>417</v>
      </c>
      <c r="C595" s="33">
        <v>5.41</v>
      </c>
      <c r="D595" s="102"/>
    </row>
    <row r="596" spans="1:4" ht="15.75" hidden="1" outlineLevel="1" x14ac:dyDescent="0.2">
      <c r="A596" s="33" t="s">
        <v>45</v>
      </c>
      <c r="B596" s="34" t="s">
        <v>85</v>
      </c>
      <c r="C596" s="33">
        <v>5.49</v>
      </c>
      <c r="D596" s="102"/>
    </row>
    <row r="597" spans="1:4" ht="15.75" hidden="1" outlineLevel="1" x14ac:dyDescent="0.2">
      <c r="A597" s="33" t="s">
        <v>45</v>
      </c>
      <c r="B597" s="34" t="s">
        <v>63</v>
      </c>
      <c r="C597" s="33">
        <v>5.51</v>
      </c>
      <c r="D597" s="102"/>
    </row>
    <row r="598" spans="1:4" ht="15.75" hidden="1" outlineLevel="1" x14ac:dyDescent="0.2">
      <c r="A598" s="33" t="s">
        <v>45</v>
      </c>
      <c r="B598" s="34" t="s">
        <v>1332</v>
      </c>
      <c r="C598" s="33">
        <v>5.52</v>
      </c>
      <c r="D598" s="102"/>
    </row>
    <row r="599" spans="1:4" ht="15.75" hidden="1" outlineLevel="1" x14ac:dyDescent="0.2">
      <c r="A599" s="33" t="s">
        <v>45</v>
      </c>
      <c r="B599" s="34" t="s">
        <v>64</v>
      </c>
      <c r="C599" s="33">
        <v>5.53</v>
      </c>
      <c r="D599" s="102"/>
    </row>
    <row r="600" spans="1:4" ht="15.75" hidden="1" outlineLevel="1" x14ac:dyDescent="0.2">
      <c r="A600" s="33" t="s">
        <v>45</v>
      </c>
      <c r="B600" s="34" t="s">
        <v>86</v>
      </c>
      <c r="C600" s="33">
        <v>5.69</v>
      </c>
      <c r="D600" s="102"/>
    </row>
    <row r="601" spans="1:4" ht="15.75" hidden="1" outlineLevel="1" x14ac:dyDescent="0.2">
      <c r="A601" s="33" t="s">
        <v>45</v>
      </c>
      <c r="B601" s="34" t="s">
        <v>419</v>
      </c>
      <c r="C601" s="33">
        <v>5.71</v>
      </c>
      <c r="D601" s="102"/>
    </row>
    <row r="602" spans="1:4" ht="15.75" hidden="1" outlineLevel="1" x14ac:dyDescent="0.2">
      <c r="A602" s="33" t="s">
        <v>45</v>
      </c>
      <c r="B602" s="34" t="s">
        <v>67</v>
      </c>
      <c r="C602" s="35">
        <v>5.7</v>
      </c>
      <c r="D602" s="102"/>
    </row>
    <row r="603" spans="1:4" ht="15.75" hidden="1" outlineLevel="1" x14ac:dyDescent="0.2">
      <c r="A603" s="33" t="s">
        <v>45</v>
      </c>
      <c r="B603" s="34" t="s">
        <v>267</v>
      </c>
      <c r="C603" s="35">
        <v>5.8</v>
      </c>
      <c r="D603" s="101" t="s">
        <v>1323</v>
      </c>
    </row>
    <row r="604" spans="1:4" ht="15.75" hidden="1" outlineLevel="1" x14ac:dyDescent="0.2">
      <c r="A604" s="33" t="s">
        <v>45</v>
      </c>
      <c r="B604" s="34" t="s">
        <v>105</v>
      </c>
      <c r="C604" s="35">
        <v>5.72</v>
      </c>
      <c r="D604" s="101" t="s">
        <v>1323</v>
      </c>
    </row>
    <row r="605" spans="1:4" ht="15.75" hidden="1" outlineLevel="1" x14ac:dyDescent="0.2">
      <c r="A605" s="33" t="s">
        <v>45</v>
      </c>
      <c r="B605" s="34" t="s">
        <v>420</v>
      </c>
      <c r="C605" s="33">
        <v>5.73</v>
      </c>
      <c r="D605" s="101" t="s">
        <v>1323</v>
      </c>
    </row>
    <row r="606" spans="1:4" ht="15.75" hidden="1" outlineLevel="1" x14ac:dyDescent="0.2">
      <c r="A606" s="33" t="s">
        <v>45</v>
      </c>
      <c r="B606" s="34" t="s">
        <v>88</v>
      </c>
      <c r="C606" s="33">
        <v>5.74</v>
      </c>
      <c r="D606" s="102"/>
    </row>
    <row r="607" spans="1:4" ht="15.75" hidden="1" outlineLevel="1" x14ac:dyDescent="0.2">
      <c r="A607" s="33" t="s">
        <v>45</v>
      </c>
      <c r="B607" s="34" t="s">
        <v>87</v>
      </c>
      <c r="C607" s="33">
        <v>5.75</v>
      </c>
      <c r="D607" s="102"/>
    </row>
    <row r="608" spans="1:4" ht="15.75" hidden="1" outlineLevel="1" x14ac:dyDescent="0.2">
      <c r="A608" s="33" t="s">
        <v>45</v>
      </c>
      <c r="B608" s="34" t="s">
        <v>106</v>
      </c>
      <c r="C608" s="33">
        <v>5.76</v>
      </c>
      <c r="D608" s="102"/>
    </row>
    <row r="609" spans="1:4" ht="15.75" hidden="1" outlineLevel="1" x14ac:dyDescent="0.2">
      <c r="A609" s="33" t="s">
        <v>45</v>
      </c>
      <c r="B609" s="34" t="s">
        <v>421</v>
      </c>
      <c r="C609" s="33">
        <v>5.81</v>
      </c>
      <c r="D609" s="101" t="s">
        <v>1323</v>
      </c>
    </row>
    <row r="610" spans="1:4" ht="15.75" hidden="1" outlineLevel="1" x14ac:dyDescent="0.2">
      <c r="A610" s="33" t="s">
        <v>45</v>
      </c>
      <c r="B610" s="34" t="s">
        <v>422</v>
      </c>
      <c r="C610" s="33">
        <v>5.82</v>
      </c>
      <c r="D610" s="101" t="s">
        <v>1323</v>
      </c>
    </row>
    <row r="611" spans="1:4" ht="15.75" hidden="1" outlineLevel="1" x14ac:dyDescent="0.2">
      <c r="A611" s="33" t="s">
        <v>45</v>
      </c>
      <c r="B611" s="34" t="s">
        <v>423</v>
      </c>
      <c r="C611" s="33">
        <v>5.83</v>
      </c>
      <c r="D611" s="101" t="s">
        <v>1323</v>
      </c>
    </row>
    <row r="612" spans="1:4" ht="15.75" hidden="1" outlineLevel="1" x14ac:dyDescent="0.2">
      <c r="A612" s="33" t="s">
        <v>45</v>
      </c>
      <c r="B612" s="34" t="s">
        <v>424</v>
      </c>
      <c r="C612" s="33">
        <v>5.84</v>
      </c>
      <c r="D612" s="102"/>
    </row>
    <row r="613" spans="1:4" ht="15.75" hidden="1" outlineLevel="1" x14ac:dyDescent="0.2">
      <c r="A613" s="33" t="s">
        <v>45</v>
      </c>
      <c r="B613" s="34" t="s">
        <v>425</v>
      </c>
      <c r="C613" s="33">
        <v>5.85</v>
      </c>
      <c r="D613" s="101" t="s">
        <v>1323</v>
      </c>
    </row>
    <row r="614" spans="1:4" ht="15.75" hidden="1" outlineLevel="1" x14ac:dyDescent="0.2">
      <c r="A614" s="33" t="s">
        <v>45</v>
      </c>
      <c r="B614" s="34" t="s">
        <v>426</v>
      </c>
      <c r="C614" s="33">
        <v>5.86</v>
      </c>
      <c r="D614" s="101" t="s">
        <v>1323</v>
      </c>
    </row>
    <row r="615" spans="1:4" ht="15.75" hidden="1" outlineLevel="1" x14ac:dyDescent="0.2">
      <c r="A615" s="33" t="s">
        <v>45</v>
      </c>
      <c r="B615" s="34" t="s">
        <v>427</v>
      </c>
      <c r="C615" s="33">
        <v>5.88</v>
      </c>
      <c r="D615" s="101" t="s">
        <v>1323</v>
      </c>
    </row>
    <row r="616" spans="1:4" ht="15.75" hidden="1" outlineLevel="1" x14ac:dyDescent="0.2">
      <c r="A616" s="33" t="s">
        <v>45</v>
      </c>
      <c r="B616" s="34" t="s">
        <v>428</v>
      </c>
      <c r="C616" s="33">
        <v>5.87</v>
      </c>
      <c r="D616" s="102"/>
    </row>
    <row r="617" spans="1:4" ht="15.75" hidden="1" outlineLevel="1" x14ac:dyDescent="0.2">
      <c r="A617" s="33" t="s">
        <v>45</v>
      </c>
      <c r="B617" s="34" t="s">
        <v>341</v>
      </c>
      <c r="C617" s="33">
        <v>5.109</v>
      </c>
      <c r="D617" s="102"/>
    </row>
    <row r="618" spans="1:4" ht="15.75" hidden="1" outlineLevel="1" x14ac:dyDescent="0.2">
      <c r="A618" s="33" t="s">
        <v>45</v>
      </c>
      <c r="B618" s="34" t="s">
        <v>343</v>
      </c>
      <c r="C618" s="36">
        <v>5.1100000000000003</v>
      </c>
      <c r="D618" s="101" t="s">
        <v>1323</v>
      </c>
    </row>
    <row r="619" spans="1:4" ht="15.75" hidden="1" outlineLevel="1" x14ac:dyDescent="0.2">
      <c r="A619" s="33" t="s">
        <v>45</v>
      </c>
      <c r="B619" s="34" t="s">
        <v>342</v>
      </c>
      <c r="C619" s="33">
        <v>5.1109999999999998</v>
      </c>
      <c r="D619" s="102"/>
    </row>
    <row r="620" spans="1:4" ht="15.75" hidden="1" outlineLevel="1" x14ac:dyDescent="0.2">
      <c r="A620" s="33" t="s">
        <v>45</v>
      </c>
      <c r="B620" s="34" t="s">
        <v>344</v>
      </c>
      <c r="C620" s="33">
        <v>5.1120000000000001</v>
      </c>
      <c r="D620" s="102"/>
    </row>
    <row r="621" spans="1:4" ht="15.75" hidden="1" outlineLevel="1" x14ac:dyDescent="0.2">
      <c r="A621" s="33" t="s">
        <v>45</v>
      </c>
      <c r="B621" s="34" t="s">
        <v>1327</v>
      </c>
      <c r="C621" s="33">
        <v>5.1130000000000004</v>
      </c>
      <c r="D621" s="102"/>
    </row>
    <row r="622" spans="1:4" ht="15.75" hidden="1" outlineLevel="1" x14ac:dyDescent="0.2">
      <c r="A622" s="33" t="s">
        <v>45</v>
      </c>
      <c r="B622" s="34" t="s">
        <v>429</v>
      </c>
      <c r="C622" s="33">
        <v>5.99</v>
      </c>
      <c r="D622" s="101" t="s">
        <v>1323</v>
      </c>
    </row>
    <row r="623" spans="1:4" ht="15.75" hidden="1" outlineLevel="1" x14ac:dyDescent="0.2">
      <c r="A623" s="33" t="s">
        <v>45</v>
      </c>
      <c r="B623" s="34" t="s">
        <v>430</v>
      </c>
      <c r="C623" s="33">
        <v>5.58</v>
      </c>
      <c r="D623" s="101"/>
    </row>
    <row r="624" spans="1:4" ht="15.75" hidden="1" outlineLevel="1" x14ac:dyDescent="0.2">
      <c r="A624" s="33" t="s">
        <v>45</v>
      </c>
      <c r="B624" s="34" t="s">
        <v>66</v>
      </c>
      <c r="C624" s="33">
        <v>5.54</v>
      </c>
      <c r="D624" s="102"/>
    </row>
    <row r="625" spans="1:4" ht="15.75" hidden="1" outlineLevel="1" x14ac:dyDescent="0.2">
      <c r="A625" s="33" t="s">
        <v>45</v>
      </c>
      <c r="B625" s="34" t="s">
        <v>431</v>
      </c>
      <c r="C625" s="33">
        <v>5.56</v>
      </c>
      <c r="D625" s="102"/>
    </row>
    <row r="626" spans="1:4" ht="15.75" hidden="1" outlineLevel="1" x14ac:dyDescent="0.2">
      <c r="A626" s="33" t="s">
        <v>45</v>
      </c>
      <c r="B626" s="34" t="s">
        <v>68</v>
      </c>
      <c r="C626" s="33">
        <v>5.63</v>
      </c>
      <c r="D626" s="102"/>
    </row>
    <row r="627" spans="1:4" ht="15.75" hidden="1" outlineLevel="1" x14ac:dyDescent="0.2">
      <c r="A627" s="33" t="s">
        <v>45</v>
      </c>
      <c r="B627" s="34" t="s">
        <v>432</v>
      </c>
      <c r="C627" s="33">
        <v>5.64</v>
      </c>
      <c r="D627" s="102"/>
    </row>
    <row r="628" spans="1:4" ht="15.75" hidden="1" outlineLevel="1" x14ac:dyDescent="0.2">
      <c r="A628" s="33" t="s">
        <v>45</v>
      </c>
      <c r="B628" s="34" t="s">
        <v>92</v>
      </c>
      <c r="C628" s="33">
        <v>5.65</v>
      </c>
      <c r="D628" s="102"/>
    </row>
    <row r="629" spans="1:4" ht="15.75" hidden="1" outlineLevel="1" x14ac:dyDescent="0.2">
      <c r="A629" s="33" t="s">
        <v>45</v>
      </c>
      <c r="B629" s="34" t="s">
        <v>108</v>
      </c>
      <c r="C629" s="33">
        <v>5.66</v>
      </c>
      <c r="D629" s="102"/>
    </row>
    <row r="630" spans="1:4" ht="15.75" hidden="1" outlineLevel="1" x14ac:dyDescent="0.2">
      <c r="A630" s="33" t="s">
        <v>45</v>
      </c>
      <c r="B630" s="34" t="s">
        <v>107</v>
      </c>
      <c r="C630" s="33">
        <v>5.89</v>
      </c>
      <c r="D630" s="101" t="s">
        <v>1323</v>
      </c>
    </row>
    <row r="631" spans="1:4" ht="15.75" hidden="1" outlineLevel="1" x14ac:dyDescent="0.2">
      <c r="A631" s="33" t="s">
        <v>45</v>
      </c>
      <c r="B631" s="34" t="s">
        <v>22</v>
      </c>
      <c r="C631" s="33">
        <v>5.68</v>
      </c>
      <c r="D631" s="102"/>
    </row>
    <row r="632" spans="1:4" ht="15.75" hidden="1" outlineLevel="1" x14ac:dyDescent="0.2">
      <c r="A632" s="33" t="s">
        <v>45</v>
      </c>
      <c r="B632" s="34" t="s">
        <v>69</v>
      </c>
      <c r="C632" s="33">
        <v>5.47</v>
      </c>
      <c r="D632" s="102"/>
    </row>
    <row r="633" spans="1:4" ht="15.75" hidden="1" outlineLevel="1" x14ac:dyDescent="0.2">
      <c r="A633" s="33" t="s">
        <v>45</v>
      </c>
      <c r="B633" s="34" t="s">
        <v>70</v>
      </c>
      <c r="C633" s="33">
        <v>5.48</v>
      </c>
      <c r="D633" s="102"/>
    </row>
    <row r="634" spans="1:4" ht="15.75" x14ac:dyDescent="0.2">
      <c r="A634" s="38" t="s">
        <v>45</v>
      </c>
      <c r="B634" s="34"/>
      <c r="C634" s="33"/>
      <c r="D634" s="102"/>
    </row>
    <row r="635" spans="1:4" ht="15.75" hidden="1" outlineLevel="1" x14ac:dyDescent="0.2">
      <c r="A635" s="33" t="s">
        <v>46</v>
      </c>
      <c r="B635" s="34" t="s">
        <v>54</v>
      </c>
      <c r="C635" s="33">
        <v>5.0999999999999996</v>
      </c>
      <c r="D635" s="102"/>
    </row>
    <row r="636" spans="1:4" ht="15.75" hidden="1" outlineLevel="1" x14ac:dyDescent="0.2">
      <c r="A636" s="33" t="s">
        <v>46</v>
      </c>
      <c r="B636" s="34" t="s">
        <v>55</v>
      </c>
      <c r="C636" s="33">
        <v>5.2</v>
      </c>
      <c r="D636" s="102"/>
    </row>
    <row r="637" spans="1:4" ht="15.75" hidden="1" outlineLevel="1" x14ac:dyDescent="0.2">
      <c r="A637" s="33" t="s">
        <v>46</v>
      </c>
      <c r="B637" s="34" t="s">
        <v>80</v>
      </c>
      <c r="C637" s="33">
        <v>5.3</v>
      </c>
      <c r="D637" s="102"/>
    </row>
    <row r="638" spans="1:4" ht="15.75" hidden="1" outlineLevel="1" x14ac:dyDescent="0.2">
      <c r="A638" s="33" t="s">
        <v>46</v>
      </c>
      <c r="B638" s="34" t="s">
        <v>100</v>
      </c>
      <c r="C638" s="33">
        <v>5.6</v>
      </c>
      <c r="D638" s="102"/>
    </row>
    <row r="639" spans="1:4" ht="15.75" hidden="1" outlineLevel="1" x14ac:dyDescent="0.2">
      <c r="A639" s="33" t="s">
        <v>46</v>
      </c>
      <c r="B639" s="34" t="s">
        <v>1324</v>
      </c>
      <c r="C639" s="35">
        <v>5.0999999999999996</v>
      </c>
      <c r="D639" s="102"/>
    </row>
    <row r="640" spans="1:4" ht="15.75" hidden="1" outlineLevel="1" x14ac:dyDescent="0.2">
      <c r="A640" s="33" t="s">
        <v>46</v>
      </c>
      <c r="B640" s="34" t="s">
        <v>260</v>
      </c>
      <c r="C640" s="33">
        <v>5.14</v>
      </c>
      <c r="D640" s="102"/>
    </row>
    <row r="641" spans="1:4" ht="15.75" hidden="1" outlineLevel="1" x14ac:dyDescent="0.2">
      <c r="A641" s="33" t="s">
        <v>46</v>
      </c>
      <c r="B641" s="34" t="s">
        <v>82</v>
      </c>
      <c r="C641" s="33">
        <v>5.19</v>
      </c>
      <c r="D641" s="102"/>
    </row>
    <row r="642" spans="1:4" ht="15.75" hidden="1" outlineLevel="1" x14ac:dyDescent="0.2">
      <c r="A642" s="33" t="s">
        <v>46</v>
      </c>
      <c r="B642" s="34" t="s">
        <v>102</v>
      </c>
      <c r="C642" s="33">
        <v>5.24</v>
      </c>
      <c r="D642" s="102"/>
    </row>
    <row r="643" spans="1:4" ht="15.75" hidden="1" outlineLevel="1" x14ac:dyDescent="0.2">
      <c r="A643" s="33" t="s">
        <v>46</v>
      </c>
      <c r="B643" s="34" t="s">
        <v>59</v>
      </c>
      <c r="C643" s="33">
        <v>5.26</v>
      </c>
      <c r="D643" s="102"/>
    </row>
    <row r="644" spans="1:4" ht="15.75" hidden="1" outlineLevel="1" x14ac:dyDescent="0.2">
      <c r="A644" s="33" t="s">
        <v>46</v>
      </c>
      <c r="B644" s="34" t="s">
        <v>60</v>
      </c>
      <c r="C644" s="33">
        <v>5.27</v>
      </c>
      <c r="D644" s="102"/>
    </row>
    <row r="645" spans="1:4" ht="15.75" hidden="1" outlineLevel="1" x14ac:dyDescent="0.2">
      <c r="A645" s="33" t="s">
        <v>46</v>
      </c>
      <c r="B645" s="34" t="s">
        <v>83</v>
      </c>
      <c r="C645" s="33">
        <v>5.28</v>
      </c>
      <c r="D645" s="102"/>
    </row>
    <row r="646" spans="1:4" ht="15.75" hidden="1" outlineLevel="1" x14ac:dyDescent="0.2">
      <c r="A646" s="33" t="s">
        <v>46</v>
      </c>
      <c r="B646" s="34" t="s">
        <v>61</v>
      </c>
      <c r="C646" s="33">
        <v>5.36</v>
      </c>
      <c r="D646" s="102"/>
    </row>
    <row r="647" spans="1:4" ht="15.75" hidden="1" outlineLevel="1" x14ac:dyDescent="0.2">
      <c r="A647" s="33" t="s">
        <v>46</v>
      </c>
      <c r="B647" s="34" t="s">
        <v>265</v>
      </c>
      <c r="C647" s="33">
        <v>5.33</v>
      </c>
      <c r="D647" s="102"/>
    </row>
    <row r="648" spans="1:4" ht="15.75" hidden="1" outlineLevel="1" x14ac:dyDescent="0.2">
      <c r="A648" s="33" t="s">
        <v>46</v>
      </c>
      <c r="B648" s="34" t="s">
        <v>266</v>
      </c>
      <c r="C648" s="33">
        <v>5.37</v>
      </c>
      <c r="D648" s="102"/>
    </row>
    <row r="649" spans="1:4" ht="15.75" hidden="1" outlineLevel="1" x14ac:dyDescent="0.2">
      <c r="A649" s="33" t="s">
        <v>46</v>
      </c>
      <c r="B649" s="34" t="s">
        <v>85</v>
      </c>
      <c r="C649" s="33">
        <v>5.49</v>
      </c>
      <c r="D649" s="102"/>
    </row>
    <row r="650" spans="1:4" ht="15.75" hidden="1" outlineLevel="1" x14ac:dyDescent="0.2">
      <c r="A650" s="33" t="s">
        <v>46</v>
      </c>
      <c r="B650" s="34" t="s">
        <v>63</v>
      </c>
      <c r="C650" s="33">
        <v>5.51</v>
      </c>
      <c r="D650" s="102"/>
    </row>
    <row r="651" spans="1:4" ht="15.75" hidden="1" outlineLevel="1" x14ac:dyDescent="0.2">
      <c r="A651" s="33" t="s">
        <v>46</v>
      </c>
      <c r="B651" s="34" t="s">
        <v>1325</v>
      </c>
      <c r="C651" s="33">
        <v>5.52</v>
      </c>
      <c r="D651" s="102"/>
    </row>
    <row r="652" spans="1:4" ht="15.75" hidden="1" outlineLevel="1" x14ac:dyDescent="0.2">
      <c r="A652" s="33" t="s">
        <v>46</v>
      </c>
      <c r="B652" s="34" t="s">
        <v>64</v>
      </c>
      <c r="C652" s="33">
        <v>5.53</v>
      </c>
      <c r="D652" s="102"/>
    </row>
    <row r="653" spans="1:4" ht="15.75" hidden="1" outlineLevel="1" x14ac:dyDescent="0.2">
      <c r="A653" s="33" t="s">
        <v>46</v>
      </c>
      <c r="B653" s="34" t="s">
        <v>86</v>
      </c>
      <c r="C653" s="33">
        <v>5.69</v>
      </c>
      <c r="D653" s="102"/>
    </row>
    <row r="654" spans="1:4" ht="15.75" hidden="1" outlineLevel="1" x14ac:dyDescent="0.2">
      <c r="A654" s="33" t="s">
        <v>46</v>
      </c>
      <c r="B654" s="34" t="s">
        <v>67</v>
      </c>
      <c r="C654" s="35">
        <v>5.7</v>
      </c>
      <c r="D654" s="102"/>
    </row>
    <row r="655" spans="1:4" ht="15.75" hidden="1" outlineLevel="1" x14ac:dyDescent="0.2">
      <c r="A655" s="33" t="s">
        <v>46</v>
      </c>
      <c r="B655" s="34" t="s">
        <v>88</v>
      </c>
      <c r="C655" s="33">
        <v>5.74</v>
      </c>
      <c r="D655" s="102"/>
    </row>
    <row r="656" spans="1:4" ht="15.75" hidden="1" outlineLevel="1" x14ac:dyDescent="0.2">
      <c r="A656" s="33" t="s">
        <v>46</v>
      </c>
      <c r="B656" s="34" t="s">
        <v>341</v>
      </c>
      <c r="C656" s="33">
        <v>5.109</v>
      </c>
      <c r="D656" s="102"/>
    </row>
    <row r="657" spans="1:4" ht="15.75" hidden="1" outlineLevel="1" x14ac:dyDescent="0.2">
      <c r="A657" s="33" t="s">
        <v>46</v>
      </c>
      <c r="B657" s="34" t="s">
        <v>342</v>
      </c>
      <c r="C657" s="33">
        <v>5.1109999999999998</v>
      </c>
      <c r="D657" s="102"/>
    </row>
    <row r="658" spans="1:4" ht="15.75" hidden="1" outlineLevel="1" x14ac:dyDescent="0.2">
      <c r="A658" s="33" t="s">
        <v>46</v>
      </c>
      <c r="B658" s="34" t="s">
        <v>344</v>
      </c>
      <c r="C658" s="33">
        <v>5.1120000000000001</v>
      </c>
      <c r="D658" s="102"/>
    </row>
    <row r="659" spans="1:4" ht="15.75" hidden="1" outlineLevel="1" x14ac:dyDescent="0.2">
      <c r="A659" s="33" t="s">
        <v>46</v>
      </c>
      <c r="B659" s="34" t="s">
        <v>90</v>
      </c>
      <c r="C659" s="33">
        <v>5.58</v>
      </c>
      <c r="D659" s="102"/>
    </row>
    <row r="660" spans="1:4" ht="15.75" hidden="1" outlineLevel="1" x14ac:dyDescent="0.2">
      <c r="A660" s="33" t="s">
        <v>46</v>
      </c>
      <c r="B660" s="34" t="s">
        <v>66</v>
      </c>
      <c r="C660" s="33">
        <v>5.54</v>
      </c>
      <c r="D660" s="102"/>
    </row>
    <row r="661" spans="1:4" ht="15.75" hidden="1" outlineLevel="1" x14ac:dyDescent="0.2">
      <c r="A661" s="33" t="s">
        <v>46</v>
      </c>
      <c r="B661" s="34" t="s">
        <v>91</v>
      </c>
      <c r="C661" s="33">
        <v>5.55</v>
      </c>
      <c r="D661" s="102"/>
    </row>
    <row r="662" spans="1:4" ht="15.75" hidden="1" outlineLevel="1" x14ac:dyDescent="0.2">
      <c r="A662" s="33" t="s">
        <v>46</v>
      </c>
      <c r="B662" s="34" t="s">
        <v>68</v>
      </c>
      <c r="C662" s="33">
        <v>5.63</v>
      </c>
      <c r="D662" s="102"/>
    </row>
    <row r="663" spans="1:4" ht="15.75" hidden="1" outlineLevel="1" x14ac:dyDescent="0.2">
      <c r="A663" s="33" t="s">
        <v>46</v>
      </c>
      <c r="B663" s="34" t="s">
        <v>69</v>
      </c>
      <c r="C663" s="33">
        <v>5.47</v>
      </c>
      <c r="D663" s="102"/>
    </row>
    <row r="664" spans="1:4" ht="15.75" hidden="1" outlineLevel="1" x14ac:dyDescent="0.2">
      <c r="A664" s="33" t="s">
        <v>46</v>
      </c>
      <c r="B664" s="34" t="s">
        <v>70</v>
      </c>
      <c r="C664" s="33">
        <v>5.48</v>
      </c>
      <c r="D664" s="102"/>
    </row>
    <row r="665" spans="1:4" ht="15.75" x14ac:dyDescent="0.2">
      <c r="A665" s="38" t="s">
        <v>46</v>
      </c>
      <c r="B665" s="34"/>
      <c r="C665" s="33"/>
      <c r="D665" s="102"/>
    </row>
    <row r="666" spans="1:4" ht="15.75" hidden="1" outlineLevel="1" x14ac:dyDescent="0.2">
      <c r="A666" s="33" t="s">
        <v>47</v>
      </c>
      <c r="B666" s="34" t="s">
        <v>54</v>
      </c>
      <c r="C666" s="33">
        <v>5.0999999999999996</v>
      </c>
      <c r="D666" s="102"/>
    </row>
    <row r="667" spans="1:4" ht="15.75" hidden="1" outlineLevel="1" x14ac:dyDescent="0.2">
      <c r="A667" s="33" t="s">
        <v>47</v>
      </c>
      <c r="B667" s="34" t="s">
        <v>55</v>
      </c>
      <c r="C667" s="33">
        <v>5.2</v>
      </c>
      <c r="D667" s="102"/>
    </row>
    <row r="668" spans="1:4" ht="15.75" hidden="1" outlineLevel="1" x14ac:dyDescent="0.2">
      <c r="A668" s="33" t="s">
        <v>47</v>
      </c>
      <c r="B668" s="34" t="s">
        <v>56</v>
      </c>
      <c r="C668" s="33">
        <v>5.4</v>
      </c>
      <c r="D668" s="102"/>
    </row>
    <row r="669" spans="1:4" ht="15.75" hidden="1" outlineLevel="1" x14ac:dyDescent="0.2">
      <c r="A669" s="33" t="s">
        <v>47</v>
      </c>
      <c r="B669" s="34" t="s">
        <v>57</v>
      </c>
      <c r="C669" s="33">
        <v>5.7</v>
      </c>
      <c r="D669" s="102"/>
    </row>
    <row r="670" spans="1:4" ht="15.75" hidden="1" outlineLevel="1" x14ac:dyDescent="0.2">
      <c r="A670" s="33" t="s">
        <v>47</v>
      </c>
      <c r="B670" s="34" t="s">
        <v>58</v>
      </c>
      <c r="C670" s="33">
        <v>5.1100000000000003</v>
      </c>
      <c r="D670" s="102"/>
    </row>
    <row r="671" spans="1:4" ht="15.75" hidden="1" outlineLevel="1" x14ac:dyDescent="0.2">
      <c r="A671" s="33" t="s">
        <v>47</v>
      </c>
      <c r="B671" s="34" t="s">
        <v>59</v>
      </c>
      <c r="C671" s="33">
        <v>5.26</v>
      </c>
      <c r="D671" s="102"/>
    </row>
    <row r="672" spans="1:4" ht="15.75" hidden="1" outlineLevel="1" x14ac:dyDescent="0.2">
      <c r="A672" s="33" t="s">
        <v>47</v>
      </c>
      <c r="B672" s="34" t="s">
        <v>459</v>
      </c>
      <c r="C672" s="33">
        <v>5.43</v>
      </c>
      <c r="D672" s="102"/>
    </row>
    <row r="673" spans="1:4" ht="15.75" hidden="1" outlineLevel="1" x14ac:dyDescent="0.2">
      <c r="A673" s="33" t="s">
        <v>47</v>
      </c>
      <c r="B673" s="34" t="s">
        <v>60</v>
      </c>
      <c r="C673" s="33">
        <v>5.27</v>
      </c>
      <c r="D673" s="102"/>
    </row>
    <row r="674" spans="1:4" ht="15.75" hidden="1" outlineLevel="1" x14ac:dyDescent="0.2">
      <c r="A674" s="33" t="s">
        <v>47</v>
      </c>
      <c r="B674" s="34" t="s">
        <v>83</v>
      </c>
      <c r="C674" s="33">
        <v>5.28</v>
      </c>
      <c r="D674" s="102"/>
    </row>
    <row r="675" spans="1:4" ht="15.75" hidden="1" outlineLevel="1" x14ac:dyDescent="0.2">
      <c r="A675" s="33" t="s">
        <v>47</v>
      </c>
      <c r="B675" s="34" t="s">
        <v>61</v>
      </c>
      <c r="C675" s="33">
        <v>5.36</v>
      </c>
      <c r="D675" s="102"/>
    </row>
    <row r="676" spans="1:4" ht="15.75" hidden="1" outlineLevel="1" x14ac:dyDescent="0.2">
      <c r="A676" s="33" t="s">
        <v>47</v>
      </c>
      <c r="B676" s="34" t="s">
        <v>62</v>
      </c>
      <c r="C676" s="35">
        <v>5.5</v>
      </c>
      <c r="D676" s="102"/>
    </row>
    <row r="677" spans="1:4" ht="15.75" hidden="1" outlineLevel="1" x14ac:dyDescent="0.2">
      <c r="A677" s="33" t="s">
        <v>47</v>
      </c>
      <c r="B677" s="34" t="s">
        <v>63</v>
      </c>
      <c r="C677" s="33">
        <v>5.51</v>
      </c>
      <c r="D677" s="102"/>
    </row>
    <row r="678" spans="1:4" ht="15.75" hidden="1" outlineLevel="1" x14ac:dyDescent="0.2">
      <c r="A678" s="33" t="s">
        <v>47</v>
      </c>
      <c r="B678" s="34" t="s">
        <v>64</v>
      </c>
      <c r="C678" s="33">
        <v>5.53</v>
      </c>
      <c r="D678" s="102"/>
    </row>
    <row r="679" spans="1:4" ht="15.75" hidden="1" outlineLevel="1" x14ac:dyDescent="0.2">
      <c r="A679" s="33" t="s">
        <v>47</v>
      </c>
      <c r="B679" s="34" t="s">
        <v>86</v>
      </c>
      <c r="C679" s="33">
        <v>5.69</v>
      </c>
      <c r="D679" s="102"/>
    </row>
    <row r="680" spans="1:4" ht="15.75" hidden="1" outlineLevel="1" x14ac:dyDescent="0.2">
      <c r="A680" s="33" t="s">
        <v>47</v>
      </c>
      <c r="B680" s="34" t="s">
        <v>67</v>
      </c>
      <c r="C680" s="35">
        <v>5.7</v>
      </c>
      <c r="D680" s="101" t="s">
        <v>1323</v>
      </c>
    </row>
    <row r="681" spans="1:4" ht="15.75" hidden="1" outlineLevel="1" x14ac:dyDescent="0.2">
      <c r="A681" s="33" t="s">
        <v>47</v>
      </c>
      <c r="B681" s="34" t="s">
        <v>88</v>
      </c>
      <c r="C681" s="33">
        <v>5.74</v>
      </c>
      <c r="D681" s="102"/>
    </row>
    <row r="682" spans="1:4" ht="15.75" hidden="1" outlineLevel="1" x14ac:dyDescent="0.2">
      <c r="A682" s="33" t="s">
        <v>47</v>
      </c>
      <c r="B682" s="34" t="s">
        <v>65</v>
      </c>
      <c r="C682" s="33">
        <v>5.59</v>
      </c>
      <c r="D682" s="102"/>
    </row>
    <row r="683" spans="1:4" ht="15.75" hidden="1" outlineLevel="1" x14ac:dyDescent="0.2">
      <c r="A683" s="33" t="s">
        <v>47</v>
      </c>
      <c r="B683" s="34" t="s">
        <v>66</v>
      </c>
      <c r="C683" s="33">
        <v>5.54</v>
      </c>
      <c r="D683" s="102"/>
    </row>
    <row r="684" spans="1:4" ht="15.75" hidden="1" outlineLevel="1" x14ac:dyDescent="0.2">
      <c r="A684" s="33" t="s">
        <v>47</v>
      </c>
      <c r="B684" s="34" t="s">
        <v>460</v>
      </c>
      <c r="C684" s="33">
        <v>5.57</v>
      </c>
      <c r="D684" s="102"/>
    </row>
    <row r="685" spans="1:4" ht="15.75" hidden="1" outlineLevel="1" x14ac:dyDescent="0.2">
      <c r="A685" s="33" t="s">
        <v>47</v>
      </c>
      <c r="B685" s="34" t="s">
        <v>68</v>
      </c>
      <c r="C685" s="33">
        <v>5.63</v>
      </c>
      <c r="D685" s="102"/>
    </row>
    <row r="686" spans="1:4" ht="15.75" hidden="1" outlineLevel="1" x14ac:dyDescent="0.2">
      <c r="A686" s="33" t="s">
        <v>47</v>
      </c>
      <c r="B686" s="34" t="s">
        <v>69</v>
      </c>
      <c r="C686" s="33">
        <v>5.47</v>
      </c>
      <c r="D686" s="102"/>
    </row>
    <row r="687" spans="1:4" ht="15.75" hidden="1" outlineLevel="1" x14ac:dyDescent="0.2">
      <c r="A687" s="33" t="s">
        <v>47</v>
      </c>
      <c r="B687" s="34" t="s">
        <v>70</v>
      </c>
      <c r="C687" s="33">
        <v>5.48</v>
      </c>
      <c r="D687" s="102"/>
    </row>
    <row r="688" spans="1:4" ht="15.75" x14ac:dyDescent="0.2">
      <c r="A688" s="38" t="s">
        <v>47</v>
      </c>
      <c r="B688" s="34"/>
      <c r="C688" s="33"/>
      <c r="D688" s="102"/>
    </row>
    <row r="689" spans="1:4" ht="15.75" hidden="1" outlineLevel="1" x14ac:dyDescent="0.2">
      <c r="A689" s="33" t="s">
        <v>48</v>
      </c>
      <c r="B689" s="34" t="s">
        <v>54</v>
      </c>
      <c r="C689" s="33">
        <v>5.0999999999999996</v>
      </c>
      <c r="D689" s="102"/>
    </row>
    <row r="690" spans="1:4" ht="15.75" hidden="1" outlineLevel="1" x14ac:dyDescent="0.2">
      <c r="A690" s="33" t="s">
        <v>48</v>
      </c>
      <c r="B690" s="34" t="s">
        <v>55</v>
      </c>
      <c r="C690" s="33">
        <v>5.2</v>
      </c>
      <c r="D690" s="102"/>
    </row>
    <row r="691" spans="1:4" ht="15.75" hidden="1" outlineLevel="1" x14ac:dyDescent="0.2">
      <c r="A691" s="33" t="s">
        <v>48</v>
      </c>
      <c r="B691" s="34" t="s">
        <v>461</v>
      </c>
      <c r="C691" s="33">
        <v>5.17</v>
      </c>
      <c r="D691" s="102"/>
    </row>
    <row r="692" spans="1:4" ht="15.75" hidden="1" outlineLevel="1" x14ac:dyDescent="0.2">
      <c r="A692" s="33" t="s">
        <v>48</v>
      </c>
      <c r="B692" s="34" t="s">
        <v>59</v>
      </c>
      <c r="C692" s="33">
        <v>5.26</v>
      </c>
      <c r="D692" s="102"/>
    </row>
    <row r="693" spans="1:4" ht="15.75" hidden="1" outlineLevel="1" x14ac:dyDescent="0.2">
      <c r="A693" s="33" t="s">
        <v>48</v>
      </c>
      <c r="B693" s="34" t="s">
        <v>462</v>
      </c>
      <c r="C693" s="33">
        <v>5.1029999999999998</v>
      </c>
      <c r="D693" s="102"/>
    </row>
    <row r="694" spans="1:4" ht="15.75" hidden="1" outlineLevel="1" x14ac:dyDescent="0.2">
      <c r="A694" s="33" t="s">
        <v>48</v>
      </c>
      <c r="B694" s="34" t="s">
        <v>61</v>
      </c>
      <c r="C694" s="33">
        <v>5.36</v>
      </c>
      <c r="D694" s="102"/>
    </row>
    <row r="695" spans="1:4" ht="15.75" hidden="1" outlineLevel="1" x14ac:dyDescent="0.2">
      <c r="A695" s="33" t="s">
        <v>48</v>
      </c>
      <c r="B695" s="34" t="s">
        <v>266</v>
      </c>
      <c r="C695" s="33">
        <v>5.37</v>
      </c>
      <c r="D695" s="102"/>
    </row>
    <row r="696" spans="1:4" ht="15.75" hidden="1" outlineLevel="1" x14ac:dyDescent="0.2">
      <c r="A696" s="33" t="s">
        <v>48</v>
      </c>
      <c r="B696" s="34" t="s">
        <v>463</v>
      </c>
      <c r="C696" s="33">
        <v>5.1040000000000001</v>
      </c>
      <c r="D696" s="102"/>
    </row>
    <row r="697" spans="1:4" ht="15.75" hidden="1" outlineLevel="1" x14ac:dyDescent="0.2">
      <c r="A697" s="33" t="s">
        <v>48</v>
      </c>
      <c r="B697" s="34" t="s">
        <v>464</v>
      </c>
      <c r="C697" s="33">
        <v>5.1050000000000004</v>
      </c>
      <c r="D697" s="102"/>
    </row>
    <row r="698" spans="1:4" ht="15.75" hidden="1" outlineLevel="1" x14ac:dyDescent="0.2">
      <c r="A698" s="33" t="s">
        <v>48</v>
      </c>
      <c r="B698" s="34" t="s">
        <v>465</v>
      </c>
      <c r="C698" s="33">
        <v>5.1059999999999999</v>
      </c>
      <c r="D698" s="102"/>
    </row>
    <row r="699" spans="1:4" ht="15.75" hidden="1" outlineLevel="1" x14ac:dyDescent="0.2">
      <c r="A699" s="33" t="s">
        <v>48</v>
      </c>
      <c r="B699" s="34" t="s">
        <v>466</v>
      </c>
      <c r="C699" s="33">
        <v>5.1070000000000002</v>
      </c>
      <c r="D699" s="102"/>
    </row>
    <row r="700" spans="1:4" ht="15.75" hidden="1" outlineLevel="1" x14ac:dyDescent="0.2">
      <c r="A700" s="33" t="s">
        <v>48</v>
      </c>
      <c r="B700" s="34" t="s">
        <v>1127</v>
      </c>
      <c r="C700" s="33">
        <v>5.1079999999999997</v>
      </c>
      <c r="D700" s="101" t="s">
        <v>1323</v>
      </c>
    </row>
    <row r="701" spans="1:4" ht="15.75" hidden="1" outlineLevel="1" x14ac:dyDescent="0.2">
      <c r="A701" s="33" t="s">
        <v>48</v>
      </c>
      <c r="B701" s="34" t="s">
        <v>341</v>
      </c>
      <c r="C701" s="33">
        <v>5.109</v>
      </c>
      <c r="D701" s="102"/>
    </row>
    <row r="702" spans="1:4" ht="15.75" hidden="1" outlineLevel="1" x14ac:dyDescent="0.2">
      <c r="A702" s="33" t="s">
        <v>48</v>
      </c>
      <c r="B702" s="34" t="s">
        <v>343</v>
      </c>
      <c r="C702" s="36">
        <v>5.1100000000000003</v>
      </c>
      <c r="D702" s="101" t="s">
        <v>1323</v>
      </c>
    </row>
    <row r="703" spans="1:4" ht="15.75" hidden="1" outlineLevel="1" x14ac:dyDescent="0.2">
      <c r="A703" s="33" t="s">
        <v>48</v>
      </c>
      <c r="B703" s="34" t="s">
        <v>342</v>
      </c>
      <c r="C703" s="33">
        <v>5.1109999999999998</v>
      </c>
      <c r="D703" s="102"/>
    </row>
    <row r="704" spans="1:4" ht="15.75" hidden="1" outlineLevel="1" x14ac:dyDescent="0.2">
      <c r="A704" s="33" t="s">
        <v>48</v>
      </c>
      <c r="B704" s="34" t="s">
        <v>344</v>
      </c>
      <c r="C704" s="33">
        <v>5.1120000000000001</v>
      </c>
      <c r="D704" s="102"/>
    </row>
    <row r="705" spans="1:4" ht="15.75" hidden="1" outlineLevel="1" x14ac:dyDescent="0.2">
      <c r="A705" s="33" t="s">
        <v>48</v>
      </c>
      <c r="B705" s="34" t="s">
        <v>64</v>
      </c>
      <c r="C705" s="33">
        <v>5.53</v>
      </c>
      <c r="D705" s="102"/>
    </row>
    <row r="706" spans="1:4" ht="15.75" hidden="1" outlineLevel="1" x14ac:dyDescent="0.2">
      <c r="A706" s="33" t="s">
        <v>48</v>
      </c>
      <c r="B706" s="34" t="s">
        <v>432</v>
      </c>
      <c r="C706" s="33">
        <v>5.64</v>
      </c>
      <c r="D706" s="102"/>
    </row>
    <row r="707" spans="1:4" ht="15.75" hidden="1" outlineLevel="1" x14ac:dyDescent="0.2">
      <c r="A707" s="33" t="s">
        <v>48</v>
      </c>
      <c r="B707" s="34" t="s">
        <v>68</v>
      </c>
      <c r="C707" s="33">
        <v>5.63</v>
      </c>
      <c r="D707" s="102"/>
    </row>
    <row r="708" spans="1:4" ht="15.75" hidden="1" outlineLevel="1" x14ac:dyDescent="0.2">
      <c r="A708" s="33" t="s">
        <v>48</v>
      </c>
      <c r="B708" s="34" t="s">
        <v>92</v>
      </c>
      <c r="C708" s="33">
        <v>5.65</v>
      </c>
      <c r="D708" s="102"/>
    </row>
    <row r="709" spans="1:4" ht="15.75" hidden="1" outlineLevel="1" x14ac:dyDescent="0.2">
      <c r="A709" s="33" t="s">
        <v>48</v>
      </c>
      <c r="B709" s="34" t="s">
        <v>108</v>
      </c>
      <c r="C709" s="33">
        <v>5.66</v>
      </c>
      <c r="D709" s="102"/>
    </row>
    <row r="710" spans="1:4" ht="15.75" hidden="1" outlineLevel="1" x14ac:dyDescent="0.2">
      <c r="A710" s="33" t="s">
        <v>48</v>
      </c>
      <c r="B710" s="34" t="s">
        <v>22</v>
      </c>
      <c r="C710" s="33">
        <v>5.68</v>
      </c>
      <c r="D710" s="102"/>
    </row>
    <row r="711" spans="1:4" ht="15.75" hidden="1" outlineLevel="1" x14ac:dyDescent="0.2">
      <c r="A711" s="33" t="s">
        <v>48</v>
      </c>
      <c r="B711" s="34" t="s">
        <v>69</v>
      </c>
      <c r="C711" s="33">
        <v>5.47</v>
      </c>
      <c r="D711" s="102"/>
    </row>
    <row r="712" spans="1:4" ht="15.75" hidden="1" outlineLevel="1" x14ac:dyDescent="0.2">
      <c r="A712" s="33" t="s">
        <v>48</v>
      </c>
      <c r="B712" s="34" t="s">
        <v>70</v>
      </c>
      <c r="C712" s="33">
        <v>5.48</v>
      </c>
      <c r="D712" s="102"/>
    </row>
    <row r="713" spans="1:4" ht="15.75" x14ac:dyDescent="0.2">
      <c r="A713" s="38" t="s">
        <v>48</v>
      </c>
      <c r="B713" s="34"/>
      <c r="C713" s="33"/>
      <c r="D713" s="102"/>
    </row>
    <row r="714" spans="1:4" ht="15.75" hidden="1" outlineLevel="1" x14ac:dyDescent="0.2">
      <c r="A714" s="33" t="s">
        <v>1333</v>
      </c>
      <c r="B714" s="34" t="s">
        <v>54</v>
      </c>
      <c r="C714" s="33">
        <v>5.0999999999999996</v>
      </c>
      <c r="D714" s="102"/>
    </row>
    <row r="715" spans="1:4" ht="15.75" hidden="1" outlineLevel="1" x14ac:dyDescent="0.2">
      <c r="A715" s="33" t="s">
        <v>1333</v>
      </c>
      <c r="B715" s="34" t="s">
        <v>55</v>
      </c>
      <c r="C715" s="33">
        <v>5.2</v>
      </c>
      <c r="D715" s="102"/>
    </row>
    <row r="716" spans="1:4" ht="15.75" hidden="1" outlineLevel="1" x14ac:dyDescent="0.2">
      <c r="A716" s="33" t="s">
        <v>1333</v>
      </c>
      <c r="B716" s="34" t="s">
        <v>80</v>
      </c>
      <c r="C716" s="33">
        <v>5.3</v>
      </c>
      <c r="D716" s="102"/>
    </row>
    <row r="717" spans="1:4" ht="15.75" hidden="1" outlineLevel="1" x14ac:dyDescent="0.2">
      <c r="A717" s="33" t="s">
        <v>1333</v>
      </c>
      <c r="B717" s="34" t="s">
        <v>100</v>
      </c>
      <c r="C717" s="33">
        <v>5.6</v>
      </c>
      <c r="D717" s="102"/>
    </row>
    <row r="718" spans="1:4" ht="15.75" hidden="1" outlineLevel="1" x14ac:dyDescent="0.2">
      <c r="A718" s="33" t="s">
        <v>1333</v>
      </c>
      <c r="B718" s="34" t="s">
        <v>1324</v>
      </c>
      <c r="C718" s="35">
        <v>5.0999999999999996</v>
      </c>
      <c r="D718" s="102"/>
    </row>
    <row r="719" spans="1:4" ht="15.75" hidden="1" outlineLevel="1" x14ac:dyDescent="0.2">
      <c r="A719" s="33" t="s">
        <v>1333</v>
      </c>
      <c r="B719" s="34" t="s">
        <v>260</v>
      </c>
      <c r="C719" s="33">
        <v>5.14</v>
      </c>
      <c r="D719" s="102"/>
    </row>
    <row r="720" spans="1:4" ht="15.75" hidden="1" outlineLevel="1" x14ac:dyDescent="0.2">
      <c r="A720" s="33" t="s">
        <v>1333</v>
      </c>
      <c r="B720" s="34" t="s">
        <v>82</v>
      </c>
      <c r="C720" s="33">
        <v>5.19</v>
      </c>
      <c r="D720" s="102"/>
    </row>
    <row r="721" spans="1:4" ht="15.75" hidden="1" outlineLevel="1" x14ac:dyDescent="0.2">
      <c r="A721" s="33" t="s">
        <v>1333</v>
      </c>
      <c r="B721" s="34" t="s">
        <v>102</v>
      </c>
      <c r="C721" s="33">
        <v>5.24</v>
      </c>
      <c r="D721" s="102"/>
    </row>
    <row r="722" spans="1:4" ht="15.75" hidden="1" outlineLevel="1" x14ac:dyDescent="0.2">
      <c r="A722" s="33" t="s">
        <v>1333</v>
      </c>
      <c r="B722" s="34" t="s">
        <v>59</v>
      </c>
      <c r="C722" s="33">
        <v>5.26</v>
      </c>
      <c r="D722" s="102"/>
    </row>
    <row r="723" spans="1:4" ht="15.75" hidden="1" outlineLevel="1" x14ac:dyDescent="0.2">
      <c r="A723" s="33" t="s">
        <v>1333</v>
      </c>
      <c r="B723" s="34" t="s">
        <v>60</v>
      </c>
      <c r="C723" s="33">
        <v>5.27</v>
      </c>
      <c r="D723" s="102"/>
    </row>
    <row r="724" spans="1:4" ht="15.75" hidden="1" outlineLevel="1" x14ac:dyDescent="0.2">
      <c r="A724" s="33" t="s">
        <v>1333</v>
      </c>
      <c r="B724" s="34" t="s">
        <v>83</v>
      </c>
      <c r="C724" s="33">
        <v>5.28</v>
      </c>
      <c r="D724" s="102"/>
    </row>
    <row r="725" spans="1:4" ht="15.75" hidden="1" outlineLevel="1" x14ac:dyDescent="0.2">
      <c r="A725" s="33" t="s">
        <v>1333</v>
      </c>
      <c r="B725" s="34" t="s">
        <v>103</v>
      </c>
      <c r="C725" s="33">
        <v>5.31</v>
      </c>
      <c r="D725" s="102"/>
    </row>
    <row r="726" spans="1:4" ht="15.75" hidden="1" outlineLevel="1" x14ac:dyDescent="0.2">
      <c r="A726" s="33" t="s">
        <v>1333</v>
      </c>
      <c r="B726" s="34" t="s">
        <v>61</v>
      </c>
      <c r="C726" s="33">
        <v>5.36</v>
      </c>
      <c r="D726" s="102"/>
    </row>
    <row r="727" spans="1:4" ht="15.75" hidden="1" outlineLevel="1" x14ac:dyDescent="0.2">
      <c r="A727" s="33" t="s">
        <v>1333</v>
      </c>
      <c r="B727" s="34" t="s">
        <v>64</v>
      </c>
      <c r="C727" s="33">
        <v>5.53</v>
      </c>
      <c r="D727" s="102"/>
    </row>
    <row r="728" spans="1:4" ht="15.75" hidden="1" outlineLevel="1" x14ac:dyDescent="0.2">
      <c r="A728" s="33" t="s">
        <v>1333</v>
      </c>
      <c r="B728" s="34" t="s">
        <v>341</v>
      </c>
      <c r="C728" s="33">
        <v>5.109</v>
      </c>
      <c r="D728" s="102"/>
    </row>
    <row r="729" spans="1:4" ht="15.75" hidden="1" outlineLevel="1" x14ac:dyDescent="0.2">
      <c r="A729" s="33" t="s">
        <v>1333</v>
      </c>
      <c r="B729" s="34" t="s">
        <v>342</v>
      </c>
      <c r="C729" s="33">
        <v>5.1109999999999998</v>
      </c>
      <c r="D729" s="102"/>
    </row>
    <row r="730" spans="1:4" ht="15.75" hidden="1" outlineLevel="1" x14ac:dyDescent="0.2">
      <c r="A730" s="33" t="s">
        <v>1333</v>
      </c>
      <c r="B730" s="34" t="s">
        <v>344</v>
      </c>
      <c r="C730" s="33">
        <v>5.1120000000000001</v>
      </c>
      <c r="D730" s="102"/>
    </row>
    <row r="731" spans="1:4" ht="15.75" hidden="1" outlineLevel="1" x14ac:dyDescent="0.2">
      <c r="A731" s="33" t="s">
        <v>1333</v>
      </c>
      <c r="B731" s="34" t="s">
        <v>1327</v>
      </c>
      <c r="C731" s="33">
        <v>5.1130000000000004</v>
      </c>
      <c r="D731" s="102"/>
    </row>
    <row r="732" spans="1:4" ht="15.75" hidden="1" outlineLevel="1" x14ac:dyDescent="0.2">
      <c r="A732" s="33" t="s">
        <v>1333</v>
      </c>
      <c r="B732" s="34" t="s">
        <v>468</v>
      </c>
      <c r="C732" s="33">
        <v>5.117</v>
      </c>
      <c r="D732" s="102"/>
    </row>
    <row r="733" spans="1:4" ht="15.75" hidden="1" outlineLevel="1" x14ac:dyDescent="0.2">
      <c r="A733" s="33" t="s">
        <v>1333</v>
      </c>
      <c r="B733" s="34" t="s">
        <v>469</v>
      </c>
      <c r="C733" s="33">
        <v>5.67</v>
      </c>
      <c r="D733" s="102"/>
    </row>
    <row r="734" spans="1:4" ht="15.75" hidden="1" outlineLevel="1" x14ac:dyDescent="0.2">
      <c r="A734" s="33" t="s">
        <v>1333</v>
      </c>
      <c r="B734" s="34" t="s">
        <v>68</v>
      </c>
      <c r="C734" s="33">
        <v>5.63</v>
      </c>
      <c r="D734" s="102"/>
    </row>
    <row r="735" spans="1:4" ht="15.75" hidden="1" outlineLevel="1" x14ac:dyDescent="0.2">
      <c r="A735" s="33" t="s">
        <v>1333</v>
      </c>
      <c r="B735" s="34" t="s">
        <v>69</v>
      </c>
      <c r="C735" s="33">
        <v>5.47</v>
      </c>
      <c r="D735" s="102"/>
    </row>
    <row r="736" spans="1:4" ht="15.75" hidden="1" outlineLevel="1" x14ac:dyDescent="0.2">
      <c r="A736" s="33" t="s">
        <v>1333</v>
      </c>
      <c r="B736" s="34" t="s">
        <v>70</v>
      </c>
      <c r="C736" s="33">
        <v>5.48</v>
      </c>
      <c r="D736" s="102"/>
    </row>
    <row r="737" spans="1:4" ht="15.75" x14ac:dyDescent="0.2">
      <c r="A737" s="38" t="s">
        <v>1334</v>
      </c>
      <c r="B737" s="34"/>
      <c r="C737" s="33"/>
      <c r="D737" s="102"/>
    </row>
    <row r="738" spans="1:4" ht="15.75" hidden="1" outlineLevel="1" x14ac:dyDescent="0.2">
      <c r="A738" s="33" t="s">
        <v>50</v>
      </c>
      <c r="B738" s="34" t="s">
        <v>54</v>
      </c>
      <c r="C738" s="33">
        <v>5.0999999999999996</v>
      </c>
      <c r="D738" s="102"/>
    </row>
    <row r="739" spans="1:4" ht="15.75" hidden="1" outlineLevel="1" x14ac:dyDescent="0.2">
      <c r="A739" s="33" t="s">
        <v>50</v>
      </c>
      <c r="B739" s="34" t="s">
        <v>55</v>
      </c>
      <c r="C739" s="33">
        <v>5.2</v>
      </c>
      <c r="D739" s="102"/>
    </row>
    <row r="740" spans="1:4" ht="15.75" hidden="1" outlineLevel="1" x14ac:dyDescent="0.2">
      <c r="A740" s="33" t="s">
        <v>50</v>
      </c>
      <c r="B740" s="34" t="s">
        <v>470</v>
      </c>
      <c r="C740" s="33">
        <v>5.18</v>
      </c>
      <c r="D740" s="102"/>
    </row>
    <row r="741" spans="1:4" ht="15.75" hidden="1" outlineLevel="1" x14ac:dyDescent="0.2">
      <c r="A741" s="33" t="s">
        <v>50</v>
      </c>
      <c r="B741" s="34" t="s">
        <v>471</v>
      </c>
      <c r="C741" s="33">
        <v>5.23</v>
      </c>
      <c r="D741" s="102"/>
    </row>
    <row r="742" spans="1:4" ht="15.75" hidden="1" outlineLevel="1" x14ac:dyDescent="0.2">
      <c r="A742" s="33" t="s">
        <v>50</v>
      </c>
      <c r="B742" s="34" t="s">
        <v>59</v>
      </c>
      <c r="C742" s="33">
        <v>5.26</v>
      </c>
      <c r="D742" s="102"/>
    </row>
    <row r="743" spans="1:4" ht="15.75" hidden="1" outlineLevel="1" x14ac:dyDescent="0.2">
      <c r="A743" s="33" t="s">
        <v>50</v>
      </c>
      <c r="B743" s="34" t="s">
        <v>60</v>
      </c>
      <c r="C743" s="33">
        <v>5.27</v>
      </c>
      <c r="D743" s="102"/>
    </row>
    <row r="744" spans="1:4" ht="15.75" hidden="1" outlineLevel="1" x14ac:dyDescent="0.2">
      <c r="A744" s="33" t="s">
        <v>50</v>
      </c>
      <c r="B744" s="34" t="s">
        <v>83</v>
      </c>
      <c r="C744" s="33">
        <v>5.28</v>
      </c>
      <c r="D744" s="102"/>
    </row>
    <row r="745" spans="1:4" ht="15.75" hidden="1" outlineLevel="1" x14ac:dyDescent="0.2">
      <c r="A745" s="33" t="s">
        <v>50</v>
      </c>
      <c r="B745" s="34" t="s">
        <v>61</v>
      </c>
      <c r="C745" s="33">
        <v>5.36</v>
      </c>
      <c r="D745" s="102"/>
    </row>
    <row r="746" spans="1:4" ht="15.75" hidden="1" outlineLevel="1" x14ac:dyDescent="0.2">
      <c r="A746" s="33" t="s">
        <v>50</v>
      </c>
      <c r="B746" s="34" t="s">
        <v>472</v>
      </c>
      <c r="C746" s="33">
        <v>5.44</v>
      </c>
      <c r="D746" s="102"/>
    </row>
    <row r="747" spans="1:4" ht="15.75" hidden="1" outlineLevel="1" x14ac:dyDescent="0.2">
      <c r="A747" s="33" t="s">
        <v>50</v>
      </c>
      <c r="B747" s="34" t="s">
        <v>64</v>
      </c>
      <c r="C747" s="33">
        <v>5.53</v>
      </c>
      <c r="D747" s="102"/>
    </row>
    <row r="748" spans="1:4" ht="15.75" hidden="1" outlineLevel="1" x14ac:dyDescent="0.2">
      <c r="A748" s="33" t="s">
        <v>50</v>
      </c>
      <c r="B748" s="34" t="s">
        <v>344</v>
      </c>
      <c r="C748" s="33">
        <v>5.1120000000000001</v>
      </c>
      <c r="D748" s="102"/>
    </row>
    <row r="749" spans="1:4" ht="15.75" hidden="1" outlineLevel="1" x14ac:dyDescent="0.2">
      <c r="A749" s="33" t="s">
        <v>50</v>
      </c>
      <c r="B749" s="34" t="s">
        <v>65</v>
      </c>
      <c r="C749" s="33">
        <v>5.59</v>
      </c>
      <c r="D749" s="102"/>
    </row>
    <row r="750" spans="1:4" ht="15.75" hidden="1" outlineLevel="1" x14ac:dyDescent="0.2">
      <c r="A750" s="33" t="s">
        <v>50</v>
      </c>
      <c r="B750" s="34" t="s">
        <v>66</v>
      </c>
      <c r="C750" s="33">
        <v>5.54</v>
      </c>
      <c r="D750" s="102"/>
    </row>
    <row r="751" spans="1:4" ht="15.75" hidden="1" outlineLevel="1" x14ac:dyDescent="0.2">
      <c r="A751" s="33" t="s">
        <v>50</v>
      </c>
      <c r="B751" s="34" t="s">
        <v>68</v>
      </c>
      <c r="C751" s="33">
        <v>5.63</v>
      </c>
      <c r="D751" s="102"/>
    </row>
    <row r="752" spans="1:4" ht="15.75" hidden="1" outlineLevel="1" x14ac:dyDescent="0.2">
      <c r="A752" s="33" t="s">
        <v>50</v>
      </c>
      <c r="B752" s="34" t="s">
        <v>92</v>
      </c>
      <c r="C752" s="33">
        <v>5.65</v>
      </c>
      <c r="D752" s="102"/>
    </row>
    <row r="753" spans="1:4" ht="15.75" hidden="1" outlineLevel="1" x14ac:dyDescent="0.2">
      <c r="A753" s="33" t="s">
        <v>50</v>
      </c>
      <c r="B753" s="34" t="s">
        <v>22</v>
      </c>
      <c r="C753" s="33">
        <v>5.68</v>
      </c>
      <c r="D753" s="102"/>
    </row>
    <row r="754" spans="1:4" ht="15.75" hidden="1" outlineLevel="1" x14ac:dyDescent="0.2">
      <c r="A754" s="33" t="s">
        <v>50</v>
      </c>
      <c r="B754" s="34" t="s">
        <v>69</v>
      </c>
      <c r="C754" s="33">
        <v>5.47</v>
      </c>
      <c r="D754" s="102"/>
    </row>
    <row r="755" spans="1:4" ht="15.75" hidden="1" outlineLevel="1" x14ac:dyDescent="0.2">
      <c r="A755" s="33" t="s">
        <v>50</v>
      </c>
      <c r="B755" s="34" t="s">
        <v>70</v>
      </c>
      <c r="C755" s="33">
        <v>5.48</v>
      </c>
      <c r="D755" s="102"/>
    </row>
    <row r="756" spans="1:4" ht="15.75" x14ac:dyDescent="0.2">
      <c r="A756" s="38" t="s">
        <v>50</v>
      </c>
      <c r="B756" s="34"/>
      <c r="C756" s="33"/>
      <c r="D756" s="102"/>
    </row>
    <row r="757" spans="1:4" ht="15.75" hidden="1" outlineLevel="1" x14ac:dyDescent="0.2">
      <c r="A757" s="33" t="s">
        <v>52</v>
      </c>
      <c r="B757" s="34" t="s">
        <v>54</v>
      </c>
      <c r="C757" s="33">
        <v>5.0999999999999996</v>
      </c>
      <c r="D757" s="102"/>
    </row>
    <row r="758" spans="1:4" ht="15.75" hidden="1" outlineLevel="1" x14ac:dyDescent="0.2">
      <c r="A758" s="33" t="s">
        <v>52</v>
      </c>
      <c r="B758" s="34" t="s">
        <v>55</v>
      </c>
      <c r="C758" s="33">
        <v>5.2</v>
      </c>
      <c r="D758" s="102"/>
    </row>
    <row r="759" spans="1:4" ht="15.75" hidden="1" outlineLevel="1" x14ac:dyDescent="0.2">
      <c r="A759" s="33" t="s">
        <v>52</v>
      </c>
      <c r="B759" s="34" t="s">
        <v>410</v>
      </c>
      <c r="C759" s="33">
        <v>5.9</v>
      </c>
      <c r="D759" s="101" t="s">
        <v>1323</v>
      </c>
    </row>
    <row r="760" spans="1:4" ht="15.75" hidden="1" outlineLevel="1" x14ac:dyDescent="0.2">
      <c r="A760" s="33" t="s">
        <v>52</v>
      </c>
      <c r="B760" s="34" t="s">
        <v>411</v>
      </c>
      <c r="C760" s="33">
        <v>5.13</v>
      </c>
      <c r="D760" s="102"/>
    </row>
    <row r="761" spans="1:4" ht="15.75" hidden="1" outlineLevel="1" x14ac:dyDescent="0.2">
      <c r="A761" s="33" t="s">
        <v>52</v>
      </c>
      <c r="B761" s="34" t="s">
        <v>412</v>
      </c>
      <c r="C761" s="33">
        <v>5.16</v>
      </c>
      <c r="D761" s="101" t="s">
        <v>1323</v>
      </c>
    </row>
    <row r="762" spans="1:4" ht="15.75" hidden="1" outlineLevel="1" x14ac:dyDescent="0.2">
      <c r="A762" s="33" t="s">
        <v>52</v>
      </c>
      <c r="B762" s="34" t="s">
        <v>413</v>
      </c>
      <c r="C762" s="33">
        <v>5.22</v>
      </c>
      <c r="D762" s="101"/>
    </row>
    <row r="763" spans="1:4" ht="15.75" hidden="1" outlineLevel="1" x14ac:dyDescent="0.2">
      <c r="A763" s="33" t="s">
        <v>52</v>
      </c>
      <c r="B763" s="34" t="s">
        <v>473</v>
      </c>
      <c r="C763" s="33">
        <v>5.42</v>
      </c>
      <c r="D763" s="102"/>
    </row>
    <row r="764" spans="1:4" ht="15.75" hidden="1" outlineLevel="1" x14ac:dyDescent="0.2">
      <c r="A764" s="33" t="s">
        <v>52</v>
      </c>
      <c r="B764" s="34" t="s">
        <v>60</v>
      </c>
      <c r="C764" s="33">
        <v>5.27</v>
      </c>
      <c r="D764" s="102"/>
    </row>
    <row r="765" spans="1:4" ht="15.75" hidden="1" outlineLevel="1" x14ac:dyDescent="0.2">
      <c r="A765" s="33" t="s">
        <v>52</v>
      </c>
      <c r="B765" s="34" t="s">
        <v>83</v>
      </c>
      <c r="C765" s="33">
        <v>5.28</v>
      </c>
      <c r="D765" s="101" t="s">
        <v>1323</v>
      </c>
    </row>
    <row r="766" spans="1:4" ht="15.75" hidden="1" outlineLevel="1" x14ac:dyDescent="0.2">
      <c r="A766" s="33" t="s">
        <v>52</v>
      </c>
      <c r="B766" s="34" t="s">
        <v>61</v>
      </c>
      <c r="C766" s="33">
        <v>5.36</v>
      </c>
      <c r="D766" s="102"/>
    </row>
    <row r="767" spans="1:4" ht="15.75" hidden="1" outlineLevel="1" x14ac:dyDescent="0.2">
      <c r="A767" s="33" t="s">
        <v>52</v>
      </c>
      <c r="B767" s="34" t="s">
        <v>85</v>
      </c>
      <c r="C767" s="33">
        <v>5.49</v>
      </c>
      <c r="D767" s="102"/>
    </row>
    <row r="768" spans="1:4" ht="15.75" hidden="1" outlineLevel="1" x14ac:dyDescent="0.2">
      <c r="A768" s="33" t="s">
        <v>52</v>
      </c>
      <c r="B768" s="34" t="s">
        <v>63</v>
      </c>
      <c r="C768" s="33">
        <v>5.51</v>
      </c>
      <c r="D768" s="102"/>
    </row>
    <row r="769" spans="1:4" ht="15.75" hidden="1" outlineLevel="1" x14ac:dyDescent="0.2">
      <c r="A769" s="33" t="s">
        <v>52</v>
      </c>
      <c r="B769" s="34" t="s">
        <v>1332</v>
      </c>
      <c r="C769" s="33">
        <v>5.52</v>
      </c>
      <c r="D769" s="102"/>
    </row>
    <row r="770" spans="1:4" ht="15.75" hidden="1" outlineLevel="1" x14ac:dyDescent="0.2">
      <c r="A770" s="33" t="s">
        <v>52</v>
      </c>
      <c r="B770" s="34" t="s">
        <v>64</v>
      </c>
      <c r="C770" s="33">
        <v>5.53</v>
      </c>
      <c r="D770" s="102"/>
    </row>
    <row r="771" spans="1:4" ht="15.75" hidden="1" outlineLevel="1" x14ac:dyDescent="0.2">
      <c r="A771" s="33" t="s">
        <v>52</v>
      </c>
      <c r="B771" s="34" t="s">
        <v>66</v>
      </c>
      <c r="C771" s="33">
        <v>5.54</v>
      </c>
      <c r="D771" s="102"/>
    </row>
    <row r="772" spans="1:4" ht="15.75" hidden="1" outlineLevel="1" x14ac:dyDescent="0.2">
      <c r="A772" s="33" t="s">
        <v>52</v>
      </c>
      <c r="B772" s="34" t="s">
        <v>67</v>
      </c>
      <c r="C772" s="35">
        <v>5.7</v>
      </c>
      <c r="D772" s="102"/>
    </row>
    <row r="773" spans="1:4" ht="15.75" hidden="1" outlineLevel="1" x14ac:dyDescent="0.2">
      <c r="A773" s="33" t="s">
        <v>52</v>
      </c>
      <c r="B773" s="34" t="s">
        <v>419</v>
      </c>
      <c r="C773" s="33">
        <v>5.71</v>
      </c>
      <c r="D773" s="102"/>
    </row>
    <row r="774" spans="1:4" ht="15.75" hidden="1" outlineLevel="1" x14ac:dyDescent="0.2">
      <c r="A774" s="33" t="s">
        <v>52</v>
      </c>
      <c r="B774" s="34" t="s">
        <v>474</v>
      </c>
      <c r="C774" s="35">
        <v>5.9</v>
      </c>
      <c r="D774" s="102"/>
    </row>
    <row r="775" spans="1:4" ht="15.75" hidden="1" outlineLevel="1" x14ac:dyDescent="0.2">
      <c r="A775" s="33" t="s">
        <v>52</v>
      </c>
      <c r="B775" s="34" t="s">
        <v>475</v>
      </c>
      <c r="C775" s="33">
        <v>5.91</v>
      </c>
      <c r="D775" s="102"/>
    </row>
    <row r="776" spans="1:4" ht="15.75" hidden="1" outlineLevel="1" x14ac:dyDescent="0.2">
      <c r="A776" s="33" t="s">
        <v>52</v>
      </c>
      <c r="B776" s="34" t="s">
        <v>476</v>
      </c>
      <c r="C776" s="33">
        <v>5.97</v>
      </c>
      <c r="D776" s="102"/>
    </row>
    <row r="777" spans="1:4" ht="15.75" x14ac:dyDescent="0.2">
      <c r="A777" s="38" t="s">
        <v>52</v>
      </c>
      <c r="B777" s="34"/>
      <c r="C777" s="33"/>
      <c r="D777" s="102"/>
    </row>
    <row r="778" spans="1:4" ht="15.75" hidden="1" outlineLevel="1" x14ac:dyDescent="0.2">
      <c r="A778" s="33" t="s">
        <v>1310</v>
      </c>
      <c r="B778" s="34" t="s">
        <v>54</v>
      </c>
      <c r="C778" s="33">
        <v>5.0999999999999996</v>
      </c>
      <c r="D778" s="102"/>
    </row>
    <row r="779" spans="1:4" ht="15.75" hidden="1" outlineLevel="1" x14ac:dyDescent="0.2">
      <c r="A779" s="33" t="s">
        <v>1310</v>
      </c>
      <c r="B779" s="34" t="s">
        <v>55</v>
      </c>
      <c r="C779" s="33">
        <v>5.2</v>
      </c>
      <c r="D779" s="102"/>
    </row>
    <row r="780" spans="1:4" ht="15.75" hidden="1" outlineLevel="1" x14ac:dyDescent="0.2">
      <c r="A780" s="33" t="s">
        <v>1310</v>
      </c>
      <c r="B780" s="34" t="s">
        <v>59</v>
      </c>
      <c r="C780" s="33">
        <v>5.26</v>
      </c>
      <c r="D780" s="102"/>
    </row>
    <row r="781" spans="1:4" ht="15.75" hidden="1" outlineLevel="1" x14ac:dyDescent="0.2">
      <c r="A781" s="33" t="s">
        <v>1310</v>
      </c>
      <c r="B781" s="34" t="s">
        <v>368</v>
      </c>
      <c r="C781" s="33">
        <v>5.5</v>
      </c>
      <c r="D781" s="102"/>
    </row>
    <row r="782" spans="1:4" ht="15.75" hidden="1" outlineLevel="1" x14ac:dyDescent="0.2">
      <c r="A782" s="33" t="s">
        <v>1310</v>
      </c>
      <c r="B782" s="34" t="s">
        <v>369</v>
      </c>
      <c r="C782" s="33">
        <v>5.8</v>
      </c>
      <c r="D782" s="101" t="s">
        <v>1323</v>
      </c>
    </row>
    <row r="783" spans="1:4" ht="15.75" hidden="1" outlineLevel="1" x14ac:dyDescent="0.2">
      <c r="A783" s="33" t="s">
        <v>1310</v>
      </c>
      <c r="B783" s="34" t="s">
        <v>370</v>
      </c>
      <c r="C783" s="33">
        <v>5.12</v>
      </c>
      <c r="D783" s="33"/>
    </row>
    <row r="784" spans="1:4" ht="15.75" hidden="1" outlineLevel="1" x14ac:dyDescent="0.2">
      <c r="A784" s="33" t="s">
        <v>1310</v>
      </c>
      <c r="B784" s="34" t="s">
        <v>371</v>
      </c>
      <c r="C784" s="33">
        <v>5.15</v>
      </c>
      <c r="D784" s="33"/>
    </row>
    <row r="785" spans="1:4" ht="15.75" hidden="1" outlineLevel="1" x14ac:dyDescent="0.2">
      <c r="A785" s="33" t="s">
        <v>1310</v>
      </c>
      <c r="B785" s="34" t="s">
        <v>372</v>
      </c>
      <c r="C785" s="35">
        <v>5.2</v>
      </c>
      <c r="D785" s="101"/>
    </row>
    <row r="786" spans="1:4" ht="15.75" hidden="1" outlineLevel="1" x14ac:dyDescent="0.2">
      <c r="A786" s="33" t="s">
        <v>1310</v>
      </c>
      <c r="B786" s="34" t="s">
        <v>373</v>
      </c>
      <c r="C786" s="33">
        <v>5.25</v>
      </c>
      <c r="D786" s="33"/>
    </row>
    <row r="787" spans="1:4" ht="15.75" hidden="1" outlineLevel="1" x14ac:dyDescent="0.2">
      <c r="A787" s="33" t="s">
        <v>1310</v>
      </c>
      <c r="B787" s="34" t="s">
        <v>64</v>
      </c>
      <c r="C787" s="33">
        <v>5.53</v>
      </c>
      <c r="D787" s="33"/>
    </row>
    <row r="788" spans="1:4" ht="15.75" hidden="1" outlineLevel="1" x14ac:dyDescent="0.2">
      <c r="A788" s="33" t="s">
        <v>1310</v>
      </c>
      <c r="B788" s="34" t="s">
        <v>477</v>
      </c>
      <c r="C788" s="35">
        <v>5.4</v>
      </c>
      <c r="D788" s="33"/>
    </row>
    <row r="789" spans="1:4" ht="15.75" hidden="1" outlineLevel="1" x14ac:dyDescent="0.2">
      <c r="A789" s="33" t="s">
        <v>1310</v>
      </c>
      <c r="B789" s="34" t="s">
        <v>478</v>
      </c>
      <c r="C789" s="33">
        <v>5.92</v>
      </c>
      <c r="D789" s="33"/>
    </row>
    <row r="790" spans="1:4" ht="15.75" hidden="1" outlineLevel="1" x14ac:dyDescent="0.2">
      <c r="A790" s="33" t="s">
        <v>1310</v>
      </c>
      <c r="B790" s="34" t="s">
        <v>479</v>
      </c>
      <c r="C790" s="33">
        <v>5.93</v>
      </c>
      <c r="D790" s="33"/>
    </row>
    <row r="791" spans="1:4" ht="31.5" hidden="1" outlineLevel="1" x14ac:dyDescent="0.2">
      <c r="A791" s="33" t="s">
        <v>1310</v>
      </c>
      <c r="B791" s="34" t="s">
        <v>480</v>
      </c>
      <c r="C791" s="33">
        <v>5.94</v>
      </c>
      <c r="D791" s="33"/>
    </row>
    <row r="792" spans="1:4" ht="15.75" hidden="1" outlineLevel="1" x14ac:dyDescent="0.2">
      <c r="A792" s="33" t="s">
        <v>1310</v>
      </c>
      <c r="B792" s="34" t="s">
        <v>481</v>
      </c>
      <c r="C792" s="33">
        <v>5.95</v>
      </c>
      <c r="D792" s="33"/>
    </row>
    <row r="793" spans="1:4" ht="15.75" hidden="1" outlineLevel="1" x14ac:dyDescent="0.2">
      <c r="A793" s="33" t="s">
        <v>1310</v>
      </c>
      <c r="B793" s="34" t="s">
        <v>482</v>
      </c>
      <c r="C793" s="33">
        <v>5.98</v>
      </c>
      <c r="D793" s="33"/>
    </row>
    <row r="794" spans="1:4" ht="15.75" hidden="1" outlineLevel="1" x14ac:dyDescent="0.2">
      <c r="A794" s="33" t="s">
        <v>1310</v>
      </c>
      <c r="B794" s="34" t="s">
        <v>483</v>
      </c>
      <c r="C794" s="33">
        <v>5.96</v>
      </c>
      <c r="D794" s="33"/>
    </row>
    <row r="795" spans="1:4" ht="15.75" x14ac:dyDescent="0.2">
      <c r="A795" s="38" t="s">
        <v>1310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1335</v>
      </c>
    </row>
    <row r="3" spans="1:2" x14ac:dyDescent="0.2">
      <c r="A3" t="s">
        <v>1336</v>
      </c>
      <c r="B3" t="s">
        <v>1337</v>
      </c>
    </row>
    <row r="4" spans="1:2" x14ac:dyDescent="0.2">
      <c r="A4" t="s">
        <v>1338</v>
      </c>
      <c r="B4" t="s">
        <v>1339</v>
      </c>
    </row>
    <row r="5" spans="1:2" x14ac:dyDescent="0.2">
      <c r="A5" t="s">
        <v>1340</v>
      </c>
      <c r="B5" t="s">
        <v>1341</v>
      </c>
    </row>
    <row r="6" spans="1:2" x14ac:dyDescent="0.2">
      <c r="A6" t="s">
        <v>1342</v>
      </c>
      <c r="B6" t="s">
        <v>1343</v>
      </c>
    </row>
    <row r="7" spans="1:2" x14ac:dyDescent="0.2">
      <c r="A7" t="s">
        <v>1344</v>
      </c>
      <c r="B7" t="s">
        <v>1345</v>
      </c>
    </row>
    <row r="8" spans="1:2" x14ac:dyDescent="0.2">
      <c r="A8" t="s">
        <v>1346</v>
      </c>
      <c r="B8" t="s">
        <v>1347</v>
      </c>
    </row>
    <row r="10" spans="1:2" ht="15" x14ac:dyDescent="0.25">
      <c r="A10" s="22" t="s">
        <v>1348</v>
      </c>
    </row>
    <row r="11" spans="1:2" x14ac:dyDescent="0.2">
      <c r="A11" t="s">
        <v>4</v>
      </c>
    </row>
    <row r="12" spans="1:2" x14ac:dyDescent="0.2">
      <c r="A12" t="s">
        <v>1349</v>
      </c>
      <c r="B12" t="s">
        <v>1350</v>
      </c>
    </row>
    <row r="14" spans="1:2" x14ac:dyDescent="0.2">
      <c r="A14" s="32"/>
    </row>
    <row r="15" spans="1:2" ht="15" x14ac:dyDescent="0.25">
      <c r="A15" s="22" t="s">
        <v>1351</v>
      </c>
    </row>
    <row r="16" spans="1:2" x14ac:dyDescent="0.2">
      <c r="A16" s="30" t="s">
        <v>1352</v>
      </c>
    </row>
    <row r="17" spans="1:2" x14ac:dyDescent="0.2">
      <c r="A17" s="30" t="s">
        <v>1353</v>
      </c>
    </row>
    <row r="18" spans="1:2" x14ac:dyDescent="0.2">
      <c r="A18" s="30" t="s">
        <v>1354</v>
      </c>
    </row>
    <row r="19" spans="1:2" x14ac:dyDescent="0.2">
      <c r="A19" s="30" t="s">
        <v>1355</v>
      </c>
    </row>
    <row r="21" spans="1:2" ht="15" x14ac:dyDescent="0.25">
      <c r="A21" s="31" t="s">
        <v>1356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8</v>
      </c>
      <c r="B34" s="22" t="s">
        <v>593</v>
      </c>
    </row>
    <row r="35" spans="1:2" x14ac:dyDescent="0.2">
      <c r="A35" s="14" t="s">
        <v>1357</v>
      </c>
      <c r="B35" s="122">
        <v>520023185</v>
      </c>
    </row>
    <row r="36" spans="1:2" x14ac:dyDescent="0.2">
      <c r="A36" t="s">
        <v>1358</v>
      </c>
      <c r="B36" s="122">
        <v>520024647</v>
      </c>
    </row>
    <row r="37" spans="1:2" x14ac:dyDescent="0.2">
      <c r="A37" t="s">
        <v>1359</v>
      </c>
      <c r="B37" s="122">
        <v>520004896</v>
      </c>
    </row>
    <row r="38" spans="1:2" x14ac:dyDescent="0.2">
      <c r="A38" t="s">
        <v>1360</v>
      </c>
      <c r="B38" s="122">
        <v>520042540</v>
      </c>
    </row>
    <row r="39" spans="1:2" x14ac:dyDescent="0.2">
      <c r="A39" t="s">
        <v>1361</v>
      </c>
      <c r="B39" s="122">
        <v>520021916</v>
      </c>
    </row>
    <row r="40" spans="1:2" x14ac:dyDescent="0.2">
      <c r="A40" t="s">
        <v>1362</v>
      </c>
      <c r="B40" s="14">
        <v>510015951</v>
      </c>
    </row>
    <row r="41" spans="1:2" x14ac:dyDescent="0.2">
      <c r="A41" t="s">
        <v>1363</v>
      </c>
      <c r="B41" s="14">
        <v>510888985</v>
      </c>
    </row>
    <row r="42" spans="1:2" x14ac:dyDescent="0.2">
      <c r="A42" t="s">
        <v>1364</v>
      </c>
      <c r="B42" s="14">
        <v>520042177</v>
      </c>
    </row>
    <row r="43" spans="1:2" x14ac:dyDescent="0.2">
      <c r="A43" t="s">
        <v>1365</v>
      </c>
      <c r="B43">
        <v>520031030</v>
      </c>
    </row>
    <row r="44" spans="1:2" x14ac:dyDescent="0.2">
      <c r="A44" t="s">
        <v>1366</v>
      </c>
      <c r="B44">
        <v>520030677</v>
      </c>
    </row>
    <row r="45" spans="1:2" x14ac:dyDescent="0.2">
      <c r="A45" t="s">
        <v>1367</v>
      </c>
      <c r="B45">
        <v>513879189</v>
      </c>
    </row>
    <row r="46" spans="1:2" x14ac:dyDescent="0.2">
      <c r="A46" t="s">
        <v>1368</v>
      </c>
      <c r="B46" s="14">
        <v>520027848</v>
      </c>
    </row>
    <row r="47" spans="1:2" x14ac:dyDescent="0.2">
      <c r="A47" t="s">
        <v>1369</v>
      </c>
      <c r="B47" s="14">
        <v>570003152</v>
      </c>
    </row>
    <row r="48" spans="1:2" x14ac:dyDescent="0.2">
      <c r="A48" t="s">
        <v>1370</v>
      </c>
      <c r="B48">
        <v>513910703</v>
      </c>
    </row>
    <row r="49" spans="1:2" x14ac:dyDescent="0.2">
      <c r="A49" t="s">
        <v>1371</v>
      </c>
      <c r="B49" s="14">
        <v>512304882</v>
      </c>
    </row>
    <row r="50" spans="1:2" x14ac:dyDescent="0.2">
      <c r="A50" t="s">
        <v>1372</v>
      </c>
      <c r="B50" s="14">
        <v>512310509</v>
      </c>
    </row>
    <row r="51" spans="1:2" x14ac:dyDescent="0.2">
      <c r="A51" t="s">
        <v>1373</v>
      </c>
      <c r="B51" s="14">
        <v>512904608</v>
      </c>
    </row>
    <row r="52" spans="1:2" x14ac:dyDescent="0.2">
      <c r="A52" t="s">
        <v>1374</v>
      </c>
      <c r="B52" s="14">
        <v>500500376</v>
      </c>
    </row>
    <row r="53" spans="1:2" x14ac:dyDescent="0.2">
      <c r="A53" t="s">
        <v>1375</v>
      </c>
      <c r="B53" s="14">
        <v>520044025</v>
      </c>
    </row>
    <row r="54" spans="1:2" x14ac:dyDescent="0.2">
      <c r="A54" t="s">
        <v>1376</v>
      </c>
      <c r="B54" s="14">
        <v>513136895</v>
      </c>
    </row>
    <row r="55" spans="1:2" x14ac:dyDescent="0.2">
      <c r="A55" t="s">
        <v>1377</v>
      </c>
      <c r="B55" s="14">
        <v>520004078</v>
      </c>
    </row>
    <row r="56" spans="1:2" x14ac:dyDescent="0.2">
      <c r="A56" t="s">
        <v>1378</v>
      </c>
      <c r="B56" s="14">
        <v>515761625</v>
      </c>
    </row>
    <row r="57" spans="1:2" x14ac:dyDescent="0.2">
      <c r="A57" t="s">
        <v>1379</v>
      </c>
      <c r="B57" s="14">
        <v>515764868</v>
      </c>
    </row>
    <row r="58" spans="1:2" x14ac:dyDescent="0.2">
      <c r="A58" t="s">
        <v>1380</v>
      </c>
      <c r="B58">
        <v>515859379</v>
      </c>
    </row>
    <row r="59" spans="1:2" x14ac:dyDescent="0.2">
      <c r="A59" t="s">
        <v>1381</v>
      </c>
      <c r="B59" s="14">
        <v>516687407</v>
      </c>
    </row>
    <row r="60" spans="1:2" x14ac:dyDescent="0.2">
      <c r="A60" t="s">
        <v>1382</v>
      </c>
      <c r="B60" s="14">
        <v>516885639</v>
      </c>
    </row>
    <row r="61" spans="1:2" x14ac:dyDescent="0.2">
      <c r="A61" t="s">
        <v>1383</v>
      </c>
      <c r="B61">
        <v>570009449</v>
      </c>
    </row>
    <row r="62" spans="1:2" x14ac:dyDescent="0.2">
      <c r="A62" t="s">
        <v>1384</v>
      </c>
      <c r="B62" s="14">
        <v>520027954</v>
      </c>
    </row>
    <row r="63" spans="1:2" x14ac:dyDescent="0.2">
      <c r="A63" t="s">
        <v>1385</v>
      </c>
      <c r="B63" s="14">
        <v>512362914</v>
      </c>
    </row>
    <row r="64" spans="1:2" x14ac:dyDescent="0.2">
      <c r="A64" t="s">
        <v>1386</v>
      </c>
      <c r="B64" s="14">
        <v>511880460</v>
      </c>
    </row>
    <row r="65" spans="1:2" x14ac:dyDescent="0.2">
      <c r="A65" t="s">
        <v>1387</v>
      </c>
      <c r="B65">
        <v>511033060</v>
      </c>
    </row>
    <row r="66" spans="1:2" x14ac:dyDescent="0.2">
      <c r="A66" t="s">
        <v>1388</v>
      </c>
      <c r="B66">
        <v>570005850</v>
      </c>
    </row>
    <row r="67" spans="1:2" x14ac:dyDescent="0.2">
      <c r="A67" t="s">
        <v>1389</v>
      </c>
      <c r="B67" s="14">
        <v>510694821</v>
      </c>
    </row>
    <row r="68" spans="1:2" x14ac:dyDescent="0.2">
      <c r="A68" t="s">
        <v>1390</v>
      </c>
      <c r="B68">
        <v>520027624</v>
      </c>
    </row>
    <row r="69" spans="1:2" x14ac:dyDescent="0.2">
      <c r="A69" t="s">
        <v>1391</v>
      </c>
      <c r="B69" s="14">
        <v>520027715</v>
      </c>
    </row>
    <row r="70" spans="1:2" x14ac:dyDescent="0.2">
      <c r="A70" t="s">
        <v>1392</v>
      </c>
      <c r="B70" s="14">
        <v>520028861</v>
      </c>
    </row>
    <row r="71" spans="1:2" x14ac:dyDescent="0.2">
      <c r="A71" t="s">
        <v>1393</v>
      </c>
      <c r="B71" s="14">
        <v>520029620</v>
      </c>
    </row>
    <row r="72" spans="1:2" x14ac:dyDescent="0.2">
      <c r="A72" t="s">
        <v>1394</v>
      </c>
      <c r="B72" s="14">
        <v>520030743</v>
      </c>
    </row>
    <row r="73" spans="1:2" x14ac:dyDescent="0.2">
      <c r="A73" t="s">
        <v>1395</v>
      </c>
      <c r="B73" s="14">
        <v>520030198</v>
      </c>
    </row>
    <row r="74" spans="1:2" x14ac:dyDescent="0.2">
      <c r="A74" t="s">
        <v>1396</v>
      </c>
      <c r="B74" s="14">
        <v>520042631</v>
      </c>
    </row>
    <row r="75" spans="1:2" x14ac:dyDescent="0.2">
      <c r="A75" t="s">
        <v>1397</v>
      </c>
      <c r="B75" s="14">
        <v>520030941</v>
      </c>
    </row>
    <row r="76" spans="1:2" x14ac:dyDescent="0.2">
      <c r="A76" t="s">
        <v>1398</v>
      </c>
      <c r="B76" s="14">
        <v>520032269</v>
      </c>
    </row>
    <row r="77" spans="1:2" x14ac:dyDescent="0.2">
      <c r="A77" t="s">
        <v>1399</v>
      </c>
      <c r="B77">
        <v>510806870</v>
      </c>
    </row>
    <row r="78" spans="1:2" x14ac:dyDescent="0.2">
      <c r="A78" t="s">
        <v>1400</v>
      </c>
      <c r="B78">
        <v>520031824</v>
      </c>
    </row>
    <row r="79" spans="1:2" x14ac:dyDescent="0.2">
      <c r="A79" t="s">
        <v>1401</v>
      </c>
      <c r="B79" s="14">
        <v>510927536</v>
      </c>
    </row>
    <row r="80" spans="1:2" x14ac:dyDescent="0.2">
      <c r="A80" t="s">
        <v>1402</v>
      </c>
      <c r="B80" s="14">
        <v>510930654</v>
      </c>
    </row>
    <row r="81" spans="1:2" x14ac:dyDescent="0.2">
      <c r="A81" t="s">
        <v>1403</v>
      </c>
      <c r="B81">
        <v>510930670</v>
      </c>
    </row>
    <row r="82" spans="1:2" x14ac:dyDescent="0.2">
      <c r="A82" t="s">
        <v>1404</v>
      </c>
      <c r="B82" s="14">
        <v>520034968</v>
      </c>
    </row>
    <row r="83" spans="1:2" x14ac:dyDescent="0.2">
      <c r="A83" t="s">
        <v>1405</v>
      </c>
      <c r="B83" s="14">
        <v>520024985</v>
      </c>
    </row>
    <row r="84" spans="1:2" x14ac:dyDescent="0.2">
      <c r="A84" t="s">
        <v>1406</v>
      </c>
      <c r="B84">
        <v>520030990</v>
      </c>
    </row>
    <row r="85" spans="1:2" x14ac:dyDescent="0.2">
      <c r="A85" t="s">
        <v>1407</v>
      </c>
      <c r="B85" s="14">
        <v>520042615</v>
      </c>
    </row>
    <row r="86" spans="1:2" x14ac:dyDescent="0.2">
      <c r="A86" t="s">
        <v>1408</v>
      </c>
      <c r="B86" s="14">
        <v>520042607</v>
      </c>
    </row>
    <row r="87" spans="1:2" x14ac:dyDescent="0.2">
      <c r="A87" t="s">
        <v>1409</v>
      </c>
      <c r="B87" s="14">
        <v>520019688</v>
      </c>
    </row>
    <row r="88" spans="1:2" x14ac:dyDescent="0.2">
      <c r="A88" t="s">
        <v>1410</v>
      </c>
      <c r="B88" s="14">
        <v>570014928</v>
      </c>
    </row>
    <row r="89" spans="1:2" x14ac:dyDescent="0.2">
      <c r="A89" t="s">
        <v>1411</v>
      </c>
      <c r="B89" s="14">
        <v>510960586</v>
      </c>
    </row>
    <row r="90" spans="1:2" x14ac:dyDescent="0.2">
      <c r="A90" t="s">
        <v>1412</v>
      </c>
      <c r="B90">
        <v>520042581</v>
      </c>
    </row>
    <row r="91" spans="1:2" x14ac:dyDescent="0.2">
      <c r="A91" t="s">
        <v>1413</v>
      </c>
      <c r="B91" s="14">
        <v>570005959</v>
      </c>
    </row>
    <row r="92" spans="1:2" x14ac:dyDescent="0.2">
      <c r="A92" t="s">
        <v>1414</v>
      </c>
      <c r="B92" s="14">
        <v>570002618</v>
      </c>
    </row>
    <row r="93" spans="1:2" x14ac:dyDescent="0.2">
      <c r="A93" t="s">
        <v>1415</v>
      </c>
      <c r="B93" s="14">
        <v>511789190</v>
      </c>
    </row>
    <row r="94" spans="1:2" x14ac:dyDescent="0.2">
      <c r="A94" t="s">
        <v>1416</v>
      </c>
      <c r="B94" s="14">
        <v>520022518</v>
      </c>
    </row>
    <row r="95" spans="1:2" x14ac:dyDescent="0.2">
      <c r="A95" t="s">
        <v>1417</v>
      </c>
      <c r="B95" s="14">
        <v>520031659</v>
      </c>
    </row>
    <row r="96" spans="1:2" x14ac:dyDescent="0.2">
      <c r="A96" t="s">
        <v>1418</v>
      </c>
      <c r="B96" s="14">
        <v>570007476</v>
      </c>
    </row>
    <row r="97" spans="1:2" x14ac:dyDescent="0.2">
      <c r="A97" t="s">
        <v>1419</v>
      </c>
      <c r="B97" s="14">
        <v>570009852</v>
      </c>
    </row>
    <row r="98" spans="1:2" x14ac:dyDescent="0.2">
      <c r="A98" t="s">
        <v>1420</v>
      </c>
      <c r="B98" s="14">
        <v>510800402</v>
      </c>
    </row>
    <row r="99" spans="1:2" x14ac:dyDescent="0.2">
      <c r="A99" t="s">
        <v>1421</v>
      </c>
      <c r="B99" s="14">
        <v>510773922</v>
      </c>
    </row>
    <row r="100" spans="1:2" x14ac:dyDescent="0.2">
      <c r="A100" t="s">
        <v>1422</v>
      </c>
      <c r="B100" s="14">
        <v>512008335</v>
      </c>
    </row>
    <row r="101" spans="1:2" x14ac:dyDescent="0.2">
      <c r="A101" t="s">
        <v>1423</v>
      </c>
      <c r="B101" s="14">
        <v>510142789</v>
      </c>
    </row>
    <row r="102" spans="1:2" x14ac:dyDescent="0.2">
      <c r="A102" t="s">
        <v>1424</v>
      </c>
      <c r="B102" s="14">
        <v>520028556</v>
      </c>
    </row>
    <row r="103" spans="1:2" x14ac:dyDescent="0.2">
      <c r="A103" t="s">
        <v>1425</v>
      </c>
      <c r="B103" s="14">
        <v>520030693</v>
      </c>
    </row>
    <row r="104" spans="1:2" x14ac:dyDescent="0.2">
      <c r="A104" t="s">
        <v>1426</v>
      </c>
      <c r="B104" s="14">
        <v>520042573</v>
      </c>
    </row>
    <row r="105" spans="1:2" x14ac:dyDescent="0.2">
      <c r="A105" t="s">
        <v>1427</v>
      </c>
      <c r="B105" s="14">
        <v>511423048</v>
      </c>
    </row>
    <row r="106" spans="1:2" x14ac:dyDescent="0.2">
      <c r="A106" t="s">
        <v>1428</v>
      </c>
      <c r="B106" s="14">
        <v>570011767</v>
      </c>
    </row>
    <row r="107" spans="1:2" x14ac:dyDescent="0.2">
      <c r="A107" t="s">
        <v>1429</v>
      </c>
      <c r="B107" s="14">
        <v>512065202</v>
      </c>
    </row>
    <row r="108" spans="1:2" x14ac:dyDescent="0.2">
      <c r="A108" t="s">
        <v>1430</v>
      </c>
      <c r="B108" s="14">
        <v>512711409</v>
      </c>
    </row>
    <row r="109" spans="1:2" x14ac:dyDescent="0.2">
      <c r="A109" t="s">
        <v>1431</v>
      </c>
      <c r="B109" s="14">
        <v>520005497</v>
      </c>
    </row>
    <row r="110" spans="1:2" x14ac:dyDescent="0.2">
      <c r="A110" t="s">
        <v>1432</v>
      </c>
      <c r="B110" s="14">
        <v>570024109</v>
      </c>
    </row>
    <row r="111" spans="1:2" x14ac:dyDescent="0.2">
      <c r="A111" t="s">
        <v>1433</v>
      </c>
      <c r="B111" s="14">
        <v>520020447</v>
      </c>
    </row>
    <row r="112" spans="1:2" x14ac:dyDescent="0.2">
      <c r="A112" t="s">
        <v>1434</v>
      </c>
      <c r="B112" s="14">
        <v>520023094</v>
      </c>
    </row>
    <row r="113" spans="1:2" x14ac:dyDescent="0.2">
      <c r="A113" t="s">
        <v>1435</v>
      </c>
      <c r="B113" s="14">
        <v>520028812</v>
      </c>
    </row>
    <row r="114" spans="1:2" x14ac:dyDescent="0.2">
      <c r="A114" t="s">
        <v>1436</v>
      </c>
      <c r="B114" s="14">
        <v>520022963</v>
      </c>
    </row>
    <row r="115" spans="1:2" x14ac:dyDescent="0.2">
      <c r="A115" t="s">
        <v>1437</v>
      </c>
      <c r="B115" s="14">
        <v>520027251</v>
      </c>
    </row>
    <row r="116" spans="1:2" x14ac:dyDescent="0.2">
      <c r="A116" t="s">
        <v>1438</v>
      </c>
      <c r="B116" s="14">
        <v>520028390</v>
      </c>
    </row>
    <row r="117" spans="1:2" x14ac:dyDescent="0.2">
      <c r="A117" t="s">
        <v>1439</v>
      </c>
      <c r="B117" s="14">
        <v>513026484</v>
      </c>
    </row>
    <row r="118" spans="1:2" x14ac:dyDescent="0.2">
      <c r="A118" t="s">
        <v>1440</v>
      </c>
      <c r="B118" s="14">
        <v>513173393</v>
      </c>
    </row>
    <row r="119" spans="1:2" x14ac:dyDescent="0.2">
      <c r="A119" t="s">
        <v>1441</v>
      </c>
      <c r="B119" s="14">
        <v>513452003</v>
      </c>
    </row>
    <row r="120" spans="1:2" x14ac:dyDescent="0.2">
      <c r="A120" t="s">
        <v>1442</v>
      </c>
      <c r="B120" s="14">
        <v>513611509</v>
      </c>
    </row>
    <row r="121" spans="1:2" x14ac:dyDescent="0.2">
      <c r="A121" t="s">
        <v>1443</v>
      </c>
      <c r="B121" s="14">
        <v>513621110</v>
      </c>
    </row>
    <row r="122" spans="1:2" x14ac:dyDescent="0.2">
      <c r="A122" t="s">
        <v>1444</v>
      </c>
      <c r="B122">
        <v>512244146</v>
      </c>
    </row>
    <row r="123" spans="1:2" x14ac:dyDescent="0.2">
      <c r="A123" t="s">
        <v>1445</v>
      </c>
      <c r="B123" s="14">
        <v>512237744</v>
      </c>
    </row>
    <row r="124" spans="1:2" x14ac:dyDescent="0.2">
      <c r="A124" t="s">
        <v>1446</v>
      </c>
      <c r="B124" s="14">
        <v>512267592</v>
      </c>
    </row>
    <row r="125" spans="1:2" x14ac:dyDescent="0.2">
      <c r="A125" t="s">
        <v>1447</v>
      </c>
      <c r="B125" s="14">
        <v>514767490</v>
      </c>
    </row>
    <row r="126" spans="1:2" x14ac:dyDescent="0.2">
      <c r="A126" t="s">
        <v>1448</v>
      </c>
      <c r="B126" s="14">
        <v>514956465</v>
      </c>
    </row>
    <row r="127" spans="1:2" x14ac:dyDescent="0.2">
      <c r="A127" t="s">
        <v>1449</v>
      </c>
      <c r="B127" s="14">
        <v>512245812</v>
      </c>
    </row>
    <row r="128" spans="1:2" x14ac:dyDescent="0.2">
      <c r="A128" t="s">
        <v>1450</v>
      </c>
      <c r="B128" s="14">
        <v>515447035</v>
      </c>
    </row>
    <row r="129" spans="1:2" x14ac:dyDescent="0.2">
      <c r="A129" t="s">
        <v>1451</v>
      </c>
      <c r="B129" s="14">
        <v>516463635</v>
      </c>
    </row>
    <row r="130" spans="1:2" x14ac:dyDescent="0.2">
      <c r="A130" t="s">
        <v>1452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תהילה דרזנר</cp:lastModifiedBy>
  <cp:lastPrinted>2022-08-08T09:16:18Z</cp:lastPrinted>
  <dcterms:created xsi:type="dcterms:W3CDTF">2021-05-03T04:41:48Z</dcterms:created>
  <dcterms:modified xsi:type="dcterms:W3CDTF">2026-01-15T13:16:38Z</dcterms:modified>
</cp:coreProperties>
</file>