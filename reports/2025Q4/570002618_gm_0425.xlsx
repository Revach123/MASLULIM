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122025\TA_TI_Aguda_iria\"/>
    </mc:Choice>
  </mc:AlternateContent>
  <xr:revisionPtr revIDLastSave="0" documentId="13_ncr:1_{F8E8FC85-B9F1-4B93-BFD6-0282B76C5E1B}" xr6:coauthVersionLast="47" xr6:coauthVersionMax="47" xr10:uidLastSave="{00000000-0000-0000-0000-000000000000}"/>
  <bookViews>
    <workbookView xWindow="-120" yWindow="-120" windowWidth="29040" windowHeight="15990" tabRatio="840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חוב'!$A$1:$AJ$1</definedName>
    <definedName name="_xlnm._FilterDatabase" localSheetId="31" hidden="1">'אפשרויות בחירה'!$A$1:$D$1040</definedName>
    <definedName name="_xlnm._FilterDatabase" localSheetId="30" hidden="1">'יתרות התחייבות להשקעה'!$A$1:$Q$47</definedName>
    <definedName name="_xlnm._FilterDatabase" localSheetId="17" hidden="1">'לא סחיר איגרות חוב'!$A$1:$AM$39</definedName>
    <definedName name="_xlnm._FilterDatabase" localSheetId="18" hidden="1">'לא סחיר מניות מבכ ויהש'!$A$1:$Z$19</definedName>
    <definedName name="_xlnm._FilterDatabase" localSheetId="2" hidden="1">'מזומנים ושווי מזומנים'!$A$1:$S$47</definedName>
    <definedName name="_xlnm._FilterDatabase" localSheetId="32" hidden="1">'מיפוי סעיפים'!$A$1:$D$795</definedName>
    <definedName name="_xlnm._FilterDatabase" localSheetId="6" hidden="1">'מניות מבכ ויהש'!$A$1:$Z$369</definedName>
    <definedName name="_xlnm._FilterDatabase" localSheetId="7" hidden="1">'קרנות סל'!$A$1:$X$126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8"/>
  <c r="B32" i="2" l="1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l="1"/>
  <c r="E4" i="2" l="1"/>
  <c r="E8" i="2"/>
  <c r="E12" i="2"/>
  <c r="E16" i="2"/>
  <c r="E20" i="2"/>
  <c r="E24" i="2"/>
  <c r="E28" i="2"/>
  <c r="E5" i="2"/>
  <c r="E9" i="2"/>
  <c r="E13" i="2"/>
  <c r="E17" i="2"/>
  <c r="E21" i="2"/>
  <c r="E25" i="2"/>
  <c r="E29" i="2"/>
  <c r="E10" i="2"/>
  <c r="E14" i="2"/>
  <c r="E18" i="2"/>
  <c r="E22" i="2"/>
  <c r="E26" i="2"/>
  <c r="E3" i="2"/>
  <c r="E7" i="2"/>
  <c r="E11" i="2"/>
  <c r="E15" i="2"/>
  <c r="E19" i="2"/>
  <c r="E23" i="2"/>
  <c r="E27" i="2"/>
  <c r="E6" i="2"/>
  <c r="E30" i="2" l="1"/>
</calcChain>
</file>

<file path=xl/sharedStrings.xml><?xml version="1.0" encoding="utf-8"?>
<sst xmlns="http://schemas.openxmlformats.org/spreadsheetml/2006/main" count="28098" uniqueCount="3023">
  <si>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</si>
  <si>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</si>
  <si>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</si>
  <si>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</si>
  <si>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</si>
  <si>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</si>
  <si>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</si>
  <si>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</si>
  <si>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</si>
  <si>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</si>
  <si>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</si>
  <si>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</si>
  <si>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</si>
  <si>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</si>
  <si>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</si>
  <si>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</si>
  <si>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</si>
  <si>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</si>
  <si>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</si>
  <si>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</si>
  <si>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</si>
  <si>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</si>
  <si>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</si>
  <si>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</si>
  <si>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</si>
  <si>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</si>
  <si>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</si>
  <si>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ממשל צמודה 0527</t>
  </si>
  <si>
    <t>IL0011408478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</si>
  <si>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</si>
  <si>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</si>
  <si>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</si>
  <si>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</si>
  <si>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</si>
  <si>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</si>
  <si>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31/05/2027</t>
  </si>
  <si>
    <t>שווי הוגן</t>
  </si>
  <si>
    <t>ממשל צמודה 1131</t>
  </si>
  <si>
    <t>IL0011722209</t>
  </si>
  <si>
    <t>30/11/2031</t>
  </si>
  <si>
    <t>ממשל שיקלית 0928</t>
  </si>
  <si>
    <t>IL0011508798</t>
  </si>
  <si>
    <t>לא צמוד למדד המחירים לצרכן ריבית קבועה</t>
  </si>
  <si>
    <t>28/09/2028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</si>
  <si>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</si>
  <si>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</si>
  <si>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</si>
  <si>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</si>
  <si>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</si>
  <si>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</si>
  <si>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4.60% 8/29</t>
  </si>
  <si>
    <t>IL0012128935</t>
  </si>
  <si>
    <t>31/08/2029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</si>
  <si>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</si>
  <si>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</si>
  <si>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</si>
  <si>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</si>
  <si>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</si>
  <si>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</si>
  <si>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</si>
  <si>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</si>
  <si>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</si>
  <si>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</si>
  <si>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</si>
  <si>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</si>
  <si>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</si>
  <si>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</si>
  <si>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</si>
  <si>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</si>
  <si>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</si>
  <si>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</si>
  <si>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מקמ       726</t>
  </si>
  <si>
    <t>IL0082607214</t>
  </si>
  <si>
    <t>מק"מ קצר משנים עשר חודשים</t>
  </si>
  <si>
    <t>08/07/2026</t>
  </si>
  <si>
    <t>US Govt</t>
  </si>
  <si>
    <t>T 3.875% 08/34</t>
  </si>
  <si>
    <t>US91282CLF67</t>
  </si>
  <si>
    <t>נקוב במט"ח</t>
  </si>
  <si>
    <t>חו"ל</t>
  </si>
  <si>
    <t>ארה"ב</t>
  </si>
  <si>
    <t>FOREIGN_GOV_SEC</t>
  </si>
  <si>
    <t>Aa1</t>
  </si>
  <si>
    <t>Moodys</t>
  </si>
  <si>
    <t>USD</t>
  </si>
  <si>
    <t>15/08/2034</t>
  </si>
  <si>
    <t>T-3 3/8 15/05/33</t>
  </si>
  <si>
    <t>US91282CHC82</t>
  </si>
  <si>
    <t>15/05/2033</t>
  </si>
  <si>
    <t>ממשל שקלית  0927</t>
  </si>
  <si>
    <t>IL0012035791</t>
  </si>
  <si>
    <t>30/09/2027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</si>
  <si>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</si>
  <si>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</si>
  <si>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</si>
  <si>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</si>
  <si>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שקלית 1.3% 04/32</t>
  </si>
  <si>
    <t>IL0011806606</t>
  </si>
  <si>
    <t>30/04/2032</t>
  </si>
  <si>
    <t>ממשל שקלית 0347</t>
  </si>
  <si>
    <t>IL0011401937</t>
  </si>
  <si>
    <t>31/03/2047</t>
  </si>
  <si>
    <t>ממשל שקלית 0229</t>
  </si>
  <si>
    <t>IL0011948028</t>
  </si>
  <si>
    <t>28/02/2029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</si>
  <si>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</si>
  <si>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</si>
  <si>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</si>
  <si>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</si>
  <si>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</si>
  <si>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</si>
  <si>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</si>
  <si>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</si>
  <si>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</si>
  <si>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</si>
  <si>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</si>
  <si>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בע"מ</t>
  </si>
  <si>
    <t>520038274</t>
  </si>
  <si>
    <t>ח.פ.</t>
  </si>
  <si>
    <t>אאורה אגח טז</t>
  </si>
  <si>
    <t>IL0037305799</t>
  </si>
  <si>
    <t>ISIN</t>
  </si>
  <si>
    <t>לא צמוד למדד המחירים לצרכן</t>
  </si>
  <si>
    <t>סחיר</t>
  </si>
  <si>
    <t>בנייה</t>
  </si>
  <si>
    <t>לא</t>
  </si>
  <si>
    <t>A2</t>
  </si>
  <si>
    <t>מידרוג Moodys</t>
  </si>
  <si>
    <t>נייר ערך</t>
  </si>
  <si>
    <t>החוב לא נחות</t>
  </si>
  <si>
    <t>אאורה אגח יז %3.85 31/01/2029</t>
  </si>
  <si>
    <t>IL0011935801</t>
  </si>
  <si>
    <t>צמוד למדד המחירים לצרכן</t>
  </si>
  <si>
    <t>31/01/2029</t>
  </si>
  <si>
    <t>אדגר השקעות ופיתוח בע"מ</t>
  </si>
  <si>
    <t>520035171</t>
  </si>
  <si>
    <t>אדגר אגח סד יא</t>
  </si>
  <si>
    <t>IL0018202817</t>
  </si>
  <si>
    <t>גלובלי</t>
  </si>
  <si>
    <t>נדל"ן מניב בחו"ל</t>
  </si>
  <si>
    <t>אדמה פתרונות לחקלאות בע"מ</t>
  </si>
  <si>
    <t>520043605</t>
  </si>
  <si>
    <t>אדמה אגח ב</t>
  </si>
  <si>
    <t>IL0011109159</t>
  </si>
  <si>
    <t>כימיה, גומי ופלסטיק</t>
  </si>
  <si>
    <t>AA-</t>
  </si>
  <si>
    <t>S&amp;P מעלות</t>
  </si>
  <si>
    <t>30/11/2036</t>
  </si>
  <si>
    <t>או.פי.סי. אנרגיה בע"מ</t>
  </si>
  <si>
    <t>514401702</t>
  </si>
  <si>
    <t>או פי סי אגח ב'</t>
  </si>
  <si>
    <t>IL0011660573</t>
  </si>
  <si>
    <t>אנרגיה</t>
  </si>
  <si>
    <t>A+</t>
  </si>
  <si>
    <t>01/10/2028</t>
  </si>
  <si>
    <t>איי.די.איי. הנפקות (2010) בע"מ</t>
  </si>
  <si>
    <t>514486042</t>
  </si>
  <si>
    <t>איידיאיי הנ הת ז</t>
  </si>
  <si>
    <t>IL0012293507</t>
  </si>
  <si>
    <t>ביטוח</t>
  </si>
  <si>
    <t>22/09/2035</t>
  </si>
  <si>
    <t>איי.סי.אל גרופ בע"מ (דואלי)</t>
  </si>
  <si>
    <t>520027830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</si>
  <si>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</si>
  <si>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</si>
  <si>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</si>
  <si>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</si>
  <si>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</si>
  <si>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</si>
  <si>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</si>
  <si>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</si>
  <si>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נדל"ן מניב בישראל</t>
  </si>
  <si>
    <t>איסתא בע"מ</t>
  </si>
  <si>
    <t>520042763</t>
  </si>
  <si>
    <t>איסתא אגח א להמרה</t>
  </si>
  <si>
    <t>IL0011971285</t>
  </si>
  <si>
    <t>אג"ח להמרה לא צמוד למדד המחירים לצרכן</t>
  </si>
  <si>
    <t>מלונאות ותיירות</t>
  </si>
  <si>
    <t>NR</t>
  </si>
  <si>
    <t>30/06/2028</t>
  </si>
  <si>
    <t>אלבר שירותי מימונית בע"מ</t>
  </si>
  <si>
    <t>512025891</t>
  </si>
  <si>
    <t>אלבר אגח יט</t>
  </si>
  <si>
    <t>IL0011918245</t>
  </si>
  <si>
    <t>שירותים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</si>
  <si>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</si>
  <si>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</si>
  <si>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</si>
  <si>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</si>
  <si>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</si>
  <si>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</si>
  <si>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</si>
  <si>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</si>
  <si>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</si>
  <si>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</si>
  <si>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</si>
  <si>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</si>
  <si>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</si>
  <si>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</si>
  <si>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</si>
  <si>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אלוני-חץ נכסים והשקעות בע"מ</t>
  </si>
  <si>
    <t>520038506</t>
  </si>
  <si>
    <t>אלוני חץ אגח יב</t>
  </si>
  <si>
    <t>IL0039004952</t>
  </si>
  <si>
    <t>28/02/2031</t>
  </si>
  <si>
    <t>אלקו בע"מ</t>
  </si>
  <si>
    <t>520025370</t>
  </si>
  <si>
    <t>אלקו סדרה אגח יג 2022/2029</t>
  </si>
  <si>
    <t>IL0069402332</t>
  </si>
  <si>
    <t>השקעה ואחזקות</t>
  </si>
  <si>
    <t>16/09/2029</t>
  </si>
  <si>
    <t>אלקטרה בע"מ</t>
  </si>
  <si>
    <t>520028911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</si>
  <si>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</si>
  <si>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</si>
  <si>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</si>
  <si>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</si>
  <si>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</si>
  <si>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</si>
  <si>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אמות השקעות בע"מ</t>
  </si>
  <si>
    <t>520026683</t>
  </si>
  <si>
    <t>אמות אגח ו</t>
  </si>
  <si>
    <t>IL0011586091</t>
  </si>
  <si>
    <t>03/10/2029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</si>
  <si>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</si>
  <si>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</si>
  <si>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</si>
  <si>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</si>
  <si>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</si>
  <si>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01/09/2026</t>
  </si>
  <si>
    <t>אנרג'יקס אנרגיות מתחדשות בע"מ</t>
  </si>
  <si>
    <t>513901371</t>
  </si>
  <si>
    <t>אנרג'יקס אגח א</t>
  </si>
  <si>
    <t>IL0011617516</t>
  </si>
  <si>
    <t>01/08/2030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</si>
  <si>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</si>
  <si>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</si>
  <si>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</si>
  <si>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</si>
  <si>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</si>
  <si>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ב</t>
  </si>
  <si>
    <t>IL0042203724</t>
  </si>
  <si>
    <t>אשראי חוץ בנקאי</t>
  </si>
  <si>
    <t>A3</t>
  </si>
  <si>
    <t>30/06/2027</t>
  </si>
  <si>
    <t>אפי נכסים בע"מ</t>
  </si>
  <si>
    <t>510560188</t>
  </si>
  <si>
    <t>אפי נכסים אגח יג</t>
  </si>
  <si>
    <t>IL0011782922</t>
  </si>
  <si>
    <t>אפי נכסים אגחטז</t>
  </si>
  <si>
    <t>IL0012109471</t>
  </si>
  <si>
    <t>30/09/2034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</si>
  <si>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</si>
  <si>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</si>
  <si>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</si>
  <si>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</si>
  <si>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</si>
  <si>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</si>
  <si>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</si>
  <si>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</si>
  <si>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A-</t>
  </si>
  <si>
    <t>01/04/2029</t>
  </si>
  <si>
    <t>אקויטל בע"מ</t>
  </si>
  <si>
    <t>520030859</t>
  </si>
  <si>
    <t>אקויטל אגח 4</t>
  </si>
  <si>
    <t>IL0011976078</t>
  </si>
  <si>
    <t>25/07/2036</t>
  </si>
  <si>
    <t>אקסטל לימיטד</t>
  </si>
  <si>
    <t>1811308</t>
  </si>
  <si>
    <t>מספר תאגיד או שותפות בחו"ל</t>
  </si>
  <si>
    <t>אקסטל אג"ח ג</t>
  </si>
  <si>
    <t>IL0011750416</t>
  </si>
  <si>
    <t>31/03/2026</t>
  </si>
  <si>
    <t>ארי נדל"ן(ארנה) השקעות בע"מ</t>
  </si>
  <si>
    <t>520038332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</si>
  <si>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</si>
  <si>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</si>
  <si>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</si>
  <si>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</si>
  <si>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</si>
  <si>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</si>
  <si>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</si>
  <si>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</si>
  <si>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</si>
  <si>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</si>
  <si>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</si>
  <si>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</si>
  <si>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</si>
  <si>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</si>
  <si>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9</t>
  </si>
  <si>
    <t>IL0025101705</t>
  </si>
  <si>
    <t>02/10/2029</t>
  </si>
  <si>
    <t>קבוצת אשטרום</t>
  </si>
  <si>
    <t>510381601</t>
  </si>
  <si>
    <t>אשטרום קבוצה אגח ה</t>
  </si>
  <si>
    <t>IL0011995797</t>
  </si>
  <si>
    <t>31/12/2032</t>
  </si>
  <si>
    <t>בזק החברה הישראלית לתקשורת בע"מ</t>
  </si>
  <si>
    <t>520031931</t>
  </si>
  <si>
    <t>בזק אגח 13</t>
  </si>
  <si>
    <t>IL0023003093</t>
  </si>
  <si>
    <t>תקשורת ומדיה</t>
  </si>
  <si>
    <t>02/12/2035</t>
  </si>
  <si>
    <t>ביג מרכזי קניות (2004) בע"מ</t>
  </si>
  <si>
    <t>513623314</t>
  </si>
  <si>
    <t>ביג אגח כ</t>
  </si>
  <si>
    <t>IL0011861882</t>
  </si>
  <si>
    <t>01/05/2033</t>
  </si>
  <si>
    <t>ביג אגח כד</t>
  </si>
  <si>
    <t>IL0012270323</t>
  </si>
  <si>
    <t>Aa3</t>
  </si>
  <si>
    <t>10/08/2034</t>
  </si>
  <si>
    <t>הבינלאומי הראשון הנפקות בע"מ</t>
  </si>
  <si>
    <t>513141879</t>
  </si>
  <si>
    <t>בינלאומי הנפק התח כו</t>
  </si>
  <si>
    <t>IL0011855371</t>
  </si>
  <si>
    <t>בנקים</t>
  </si>
  <si>
    <t>31/03/2028</t>
  </si>
  <si>
    <t>בינלאומי הנפק התח כז</t>
  </si>
  <si>
    <t>IL0011894974</t>
  </si>
  <si>
    <t>13/03/2029</t>
  </si>
  <si>
    <t>פז בית זיקוק לנפט-אשדוד בע"מ</t>
  </si>
  <si>
    <t>513775163</t>
  </si>
  <si>
    <t>בית זיקוק אשדוד אגח 2</t>
  </si>
  <si>
    <t>IL0011994881</t>
  </si>
  <si>
    <t>Baa1</t>
  </si>
  <si>
    <t>30/04/2029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</si>
  <si>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</si>
  <si>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</si>
  <si>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</si>
  <si>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</si>
  <si>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</si>
  <si>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</si>
  <si>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</si>
  <si>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</si>
  <si>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</si>
  <si>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</si>
  <si>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</si>
  <si>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</si>
  <si>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</si>
  <si>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יא</t>
  </si>
  <si>
    <t>IL0012083395</t>
  </si>
  <si>
    <t>גבאי מניבים ופיתוח בע"מ</t>
  </si>
  <si>
    <t>520032178</t>
  </si>
  <si>
    <t>גבאי מניבים אגח י</t>
  </si>
  <si>
    <t>IL0077102395</t>
  </si>
  <si>
    <t>30/06/2026</t>
  </si>
  <si>
    <t>גבאי מניבים אגח יג</t>
  </si>
  <si>
    <t>IL0077102965</t>
  </si>
  <si>
    <t>גפן מגורים והתחדשות בע"מ</t>
  </si>
  <si>
    <t>512781386</t>
  </si>
  <si>
    <t>גפן מגורים אג א</t>
  </si>
  <si>
    <t>IL0011996860</t>
  </si>
  <si>
    <t>דיסקונט מנפיקים בע"מ</t>
  </si>
  <si>
    <t>520029935</t>
  </si>
  <si>
    <t>דיסק מנ אגח טו</t>
  </si>
  <si>
    <t>IL0074803045</t>
  </si>
  <si>
    <t>AAA</t>
  </si>
  <si>
    <t>15/08/2032</t>
  </si>
  <si>
    <t>דיסק מנ אגח יז</t>
  </si>
  <si>
    <t>IL0012159534</t>
  </si>
  <si>
    <t>20/03/2035</t>
  </si>
  <si>
    <t>דיסקונט אגח יד</t>
  </si>
  <si>
    <t>IL0074801635</t>
  </si>
  <si>
    <t>05/12/2030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</si>
  <si>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</si>
  <si>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</si>
  <si>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</si>
  <si>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</si>
  <si>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</si>
  <si>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ג</t>
  </si>
  <si>
    <t>IL0012333113</t>
  </si>
  <si>
    <t>30/09/2037</t>
  </si>
  <si>
    <t>קבוצת דלק בע"מ</t>
  </si>
  <si>
    <t>520044322</t>
  </si>
  <si>
    <t>דלק קבוצה    אגח מ</t>
  </si>
  <si>
    <t>IL0012173899</t>
  </si>
  <si>
    <t>חיפושי נפט וגז</t>
  </si>
  <si>
    <t>דלק קבוצה אג"ח מא</t>
  </si>
  <si>
    <t>IL0012286188</t>
  </si>
  <si>
    <t>31/03/2035</t>
  </si>
  <si>
    <t>חברת הכשרת הישוב בישראל בע"מ</t>
  </si>
  <si>
    <t>520020116</t>
  </si>
  <si>
    <t>הכשרת ישוב אגח 21</t>
  </si>
  <si>
    <t>IL0061202243</t>
  </si>
  <si>
    <t>31/12/2027</t>
  </si>
  <si>
    <t>הראל ביטוח מימון והנפקות בע"מ</t>
  </si>
  <si>
    <t>513834200</t>
  </si>
  <si>
    <t>הראל הנפק אגח כ 31/12/2036</t>
  </si>
  <si>
    <t>IL0012079849</t>
  </si>
  <si>
    <t>הראל הנפק נד כא</t>
  </si>
  <si>
    <t>IL0012206079</t>
  </si>
  <si>
    <t>30/06/2074</t>
  </si>
  <si>
    <t>ויתניה בע"מ</t>
  </si>
  <si>
    <t>512096793</t>
  </si>
  <si>
    <t>ויתניה אגח ז</t>
  </si>
  <si>
    <t>IL0012162413</t>
  </si>
  <si>
    <t>30/06/2032</t>
  </si>
  <si>
    <t>חברת החשמל לישראל בע"מ</t>
  </si>
  <si>
    <t>520000472</t>
  </si>
  <si>
    <t>חשמל אגח 35</t>
  </si>
  <si>
    <t>IL0011967994</t>
  </si>
  <si>
    <t>12/06/2037</t>
  </si>
  <si>
    <t>חשמל אגח 36</t>
  </si>
  <si>
    <t>IL0012215898</t>
  </si>
  <si>
    <t>11/05/2034</t>
  </si>
  <si>
    <t>יו.אמ.איץ' פרופרטיס אינק.</t>
  </si>
  <si>
    <t>221890929</t>
  </si>
  <si>
    <t>יו.אמ.איץ' אגח א</t>
  </si>
  <si>
    <t>IL0011841678</t>
  </si>
  <si>
    <t>צמוד למט"ח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</si>
  <si>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</si>
  <si>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</si>
  <si>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</si>
  <si>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</si>
  <si>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</si>
  <si>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</si>
  <si>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יוחננוף</t>
  </si>
  <si>
    <t>511344186</t>
  </si>
  <si>
    <t>יוחננוף אגח א</t>
  </si>
  <si>
    <t>IL0011874182</t>
  </si>
  <si>
    <t>רשתות שיווק</t>
  </si>
  <si>
    <t>A1</t>
  </si>
  <si>
    <t>01/07/2032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</si>
  <si>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</si>
  <si>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</si>
  <si>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</si>
  <si>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</si>
  <si>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</si>
  <si>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</si>
  <si>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</si>
  <si>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</si>
  <si>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</si>
  <si>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</si>
  <si>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</si>
  <si>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 ז</t>
  </si>
  <si>
    <t>IL0043402127</t>
  </si>
  <si>
    <t>ישראמקו נגב 2 שותפות מוגבלת</t>
  </si>
  <si>
    <t>550010003</t>
  </si>
  <si>
    <t>מספר שותפות</t>
  </si>
  <si>
    <t>ישראמקו אגח ג</t>
  </si>
  <si>
    <t>IL0023202323</t>
  </si>
  <si>
    <t>10/10/2030</t>
  </si>
  <si>
    <t>ישרס חברה להשקעות בע"מ</t>
  </si>
  <si>
    <t>520017807</t>
  </si>
  <si>
    <t>ישרס אגח טו</t>
  </si>
  <si>
    <t>IL0061302076</t>
  </si>
  <si>
    <t>16/05/2027</t>
  </si>
  <si>
    <t>ישרס אגח טז</t>
  </si>
  <si>
    <t>IL0061302233</t>
  </si>
  <si>
    <t>30/07/2031</t>
  </si>
  <si>
    <t>ישרס אגח יח</t>
  </si>
  <si>
    <t>IL0061302803</t>
  </si>
  <si>
    <t>10/04/2030</t>
  </si>
  <si>
    <t>כללביט מימון בע"מ</t>
  </si>
  <si>
    <t>513754069</t>
  </si>
  <si>
    <t>כלל הון  אגח יד</t>
  </si>
  <si>
    <t>IL0012205246</t>
  </si>
  <si>
    <t>30/09/2039</t>
  </si>
  <si>
    <t>בנק לאומי לישראל בע"מ</t>
  </si>
  <si>
    <t>520018078</t>
  </si>
  <si>
    <t>לאומי אגח  185</t>
  </si>
  <si>
    <t>IL0012018219</t>
  </si>
  <si>
    <t>לאומי אגח 182</t>
  </si>
  <si>
    <t>IL0060405391</t>
  </si>
  <si>
    <t>25/11/2027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</si>
  <si>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</si>
  <si>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</si>
  <si>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</si>
  <si>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</si>
  <si>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</si>
  <si>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</si>
  <si>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לוזון רונסון</t>
  </si>
  <si>
    <t>560040545</t>
  </si>
  <si>
    <t>לוזון רונסון אגח א 8.15% 25/09/2030</t>
  </si>
  <si>
    <t>IL0012023409</t>
  </si>
  <si>
    <t>25/09/2030</t>
  </si>
  <si>
    <t>לייטסטון אנטרפרייזס לימיטד</t>
  </si>
  <si>
    <t>512600966</t>
  </si>
  <si>
    <t>לייטסטון אגח ה</t>
  </si>
  <si>
    <t>IL0012125881</t>
  </si>
  <si>
    <t>30/04/2031</t>
  </si>
  <si>
    <t>מבנה נדל"ן (כ.ד)  בע"מ</t>
  </si>
  <si>
    <t>520024126</t>
  </si>
  <si>
    <t>מבנה אגח כה</t>
  </si>
  <si>
    <t>IL0022606367</t>
  </si>
  <si>
    <t>30/09/2033</t>
  </si>
  <si>
    <t>מבני תעשיה  אגח כ</t>
  </si>
  <si>
    <t>IL0022604958</t>
  </si>
  <si>
    <t>31/12/2029</t>
  </si>
  <si>
    <t>מגדל ביטוח גיוס הון בע"מ</t>
  </si>
  <si>
    <t>513230029</t>
  </si>
  <si>
    <t>מגדל הון אגח טו</t>
  </si>
  <si>
    <t>IL0012284100</t>
  </si>
  <si>
    <t>31/12/2034</t>
  </si>
  <si>
    <t>מגדל הון אגח טז</t>
  </si>
  <si>
    <t>IL0012284282</t>
  </si>
  <si>
    <t>31/12/2035</t>
  </si>
  <si>
    <t>מגדלי הים התיכון</t>
  </si>
  <si>
    <t>512719485</t>
  </si>
  <si>
    <t>מגדלי ים תיכון אגח ה</t>
  </si>
  <si>
    <t>IL0011685174</t>
  </si>
  <si>
    <t>מגה אור החזקות בע"מ</t>
  </si>
  <si>
    <t>513257873</t>
  </si>
  <si>
    <t>מגה אור אגח ז</t>
  </si>
  <si>
    <t>IL0011416968</t>
  </si>
  <si>
    <t>30/08/2027</t>
  </si>
  <si>
    <t>מגה אור אגח ט</t>
  </si>
  <si>
    <t>IL0011651416</t>
  </si>
  <si>
    <t>28/02/2030</t>
  </si>
  <si>
    <t>מגה אור אגח יא</t>
  </si>
  <si>
    <t>IL0011783755</t>
  </si>
  <si>
    <t>31/03/2032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</si>
  <si>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</si>
  <si>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</si>
  <si>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</si>
  <si>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</si>
  <si>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</si>
  <si>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</si>
  <si>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</si>
  <si>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</si>
  <si>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</si>
  <si>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</si>
  <si>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</si>
  <si>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מזרחי טפחות הנפק אגח 64</t>
  </si>
  <si>
    <t>IL0023105559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</si>
  <si>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</si>
  <si>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</si>
  <si>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</si>
  <si>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</si>
  <si>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</si>
  <si>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</si>
  <si>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</si>
  <si>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מימון ישיר ד</t>
  </si>
  <si>
    <t>IL0011756603</t>
  </si>
  <si>
    <t>01/02/2026</t>
  </si>
  <si>
    <t>מליסרון בע"מ</t>
  </si>
  <si>
    <t>520037789</t>
  </si>
  <si>
    <t>מליסרון  אגח יט</t>
  </si>
  <si>
    <t>IL0032303989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</si>
  <si>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</si>
  <si>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</si>
  <si>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</si>
  <si>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</si>
  <si>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</si>
  <si>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</si>
  <si>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</si>
  <si>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</si>
  <si>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</si>
  <si>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מליסרון אגח כב</t>
  </si>
  <si>
    <t>IL0012332388</t>
  </si>
  <si>
    <t>10/07/2040</t>
  </si>
  <si>
    <t>מנורה מבטחים גיוס הון בע"מ</t>
  </si>
  <si>
    <t>513937714</t>
  </si>
  <si>
    <t>מנורה הון התח סד' ט</t>
  </si>
  <si>
    <t>IL0012193699</t>
  </si>
  <si>
    <t>30/09/2035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</si>
  <si>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</si>
  <si>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</si>
  <si>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</si>
  <si>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</si>
  <si>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</si>
  <si>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</si>
  <si>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</si>
  <si>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</si>
  <si>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</si>
  <si>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</si>
  <si>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</si>
  <si>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</si>
  <si>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15/04/2032</t>
  </si>
  <si>
    <t>נאוויטס פטרוליום, שותפות מוגבלת</t>
  </si>
  <si>
    <t>550263107</t>
  </si>
  <si>
    <t>נאוויטס אגח ח</t>
  </si>
  <si>
    <t>IL0012318288</t>
  </si>
  <si>
    <t>BBB+</t>
  </si>
  <si>
    <t>31/12/2031</t>
  </si>
  <si>
    <t>נאוויטס פטרו אגח ג</t>
  </si>
  <si>
    <t>IL0011815938</t>
  </si>
  <si>
    <t>15/10/2028</t>
  </si>
  <si>
    <t>נאוויטס פטרו אגח ה</t>
  </si>
  <si>
    <t>IL0011979122</t>
  </si>
  <si>
    <t>31/12/2028</t>
  </si>
  <si>
    <t>נאוויטס פטרו אגח ו</t>
  </si>
  <si>
    <t>IL0012048257</t>
  </si>
  <si>
    <t>ע.י נופר אנרגי' בע"מ</t>
  </si>
  <si>
    <t>514599943</t>
  </si>
  <si>
    <t>נופר אנרג אגח א</t>
  </si>
  <si>
    <t>IL0011793408</t>
  </si>
  <si>
    <t>חברה לנכסים ולבנין בע"מ</t>
  </si>
  <si>
    <t>520025438</t>
  </si>
  <si>
    <t>נכסים ובניין  אגח ט</t>
  </si>
  <si>
    <t>IL0069902125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</si>
  <si>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</si>
  <si>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</si>
  <si>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</si>
  <si>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</si>
  <si>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</si>
  <si>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</si>
  <si>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</si>
  <si>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</si>
  <si>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</si>
  <si>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נמקו אגח ד 15/04/2029 6.25%</t>
  </si>
  <si>
    <t>IL0012064734</t>
  </si>
  <si>
    <t>15/04/2029</t>
  </si>
  <si>
    <t>סולאיר אנרגיות מתחדשות בע"מ</t>
  </si>
  <si>
    <t>516046307</t>
  </si>
  <si>
    <t>סולאיר אגח א</t>
  </si>
  <si>
    <t>IL0011837304</t>
  </si>
  <si>
    <t>סטרוברי פילדס ריט לימיטד</t>
  </si>
  <si>
    <t>1863501</t>
  </si>
  <si>
    <t>סטרוברי אגח ג</t>
  </si>
  <si>
    <t>IL0011790198</t>
  </si>
  <si>
    <t>סיאון אינווסטמנט קורפוריישן</t>
  </si>
  <si>
    <t>d14242259</t>
  </si>
  <si>
    <t>סיאון אגח א</t>
  </si>
  <si>
    <t>IL0011940181</t>
  </si>
  <si>
    <t>31/08/2026</t>
  </si>
  <si>
    <t>SILVERSTEIN PROPERTIES LTD</t>
  </si>
  <si>
    <t>1970336</t>
  </si>
  <si>
    <t>סילברסטין אגח ג</t>
  </si>
  <si>
    <t>IL0012116484</t>
  </si>
  <si>
    <t>31/12/2030</t>
  </si>
  <si>
    <t>ספנסר אקוויטי גרופ לימיטד</t>
  </si>
  <si>
    <t>1838863</t>
  </si>
  <si>
    <t>ספנסר אגח ב</t>
  </si>
  <si>
    <t>IL0011398984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</si>
  <si>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</si>
  <si>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</si>
  <si>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</si>
  <si>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</si>
  <si>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</si>
  <si>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</si>
  <si>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</si>
  <si>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</si>
  <si>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</si>
  <si>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</si>
  <si>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</si>
  <si>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</si>
  <si>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</si>
  <si>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</si>
  <si>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עמרם אברהם חברה לבנין בע"מ</t>
  </si>
  <si>
    <t>513201582</t>
  </si>
  <si>
    <t>עמרם אברהם אגח א</t>
  </si>
  <si>
    <t>IL0011880445</t>
  </si>
  <si>
    <t>בנק הפועלים בע"מ</t>
  </si>
  <si>
    <t>520000118</t>
  </si>
  <si>
    <t>פועלים אגח 200</t>
  </si>
  <si>
    <t>IL0066204962</t>
  </si>
  <si>
    <t>09/12/2031</t>
  </si>
  <si>
    <t>פועלים אגח 203</t>
  </si>
  <si>
    <t>IL0011998684</t>
  </si>
  <si>
    <t>02/12/2030</t>
  </si>
  <si>
    <t>פועלים הת נד טו</t>
  </si>
  <si>
    <t>IL0012274465</t>
  </si>
  <si>
    <t>21/08/2037</t>
  </si>
  <si>
    <t>פועלים התח נד יב</t>
  </si>
  <si>
    <t>IL0012141219</t>
  </si>
  <si>
    <t>28/11/2032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</si>
  <si>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</si>
  <si>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</si>
  <si>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</si>
  <si>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</si>
  <si>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</si>
  <si>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</si>
  <si>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הפניקס גיוסי הון (2009) בע"מ</t>
  </si>
  <si>
    <t>514290345</t>
  </si>
  <si>
    <t>פניקס הון אגח טז</t>
  </si>
  <si>
    <t>IL0012203340</t>
  </si>
  <si>
    <t>01/11/2034</t>
  </si>
  <si>
    <t>פניקס הון אגח יב</t>
  </si>
  <si>
    <t>IL0011955858</t>
  </si>
  <si>
    <t>05/02/2032</t>
  </si>
  <si>
    <t>פתאל נכסים(אירופה)בע"מ</t>
  </si>
  <si>
    <t>515328250</t>
  </si>
  <si>
    <t>פתאל אירו אגח ו</t>
  </si>
  <si>
    <t>IL0012192865</t>
  </si>
  <si>
    <t>01/10/2034</t>
  </si>
  <si>
    <t>פתאל אירופה אגח ג</t>
  </si>
  <si>
    <t>IL0011418527</t>
  </si>
  <si>
    <t>פתאל החזקות 1998 בע"מ</t>
  </si>
  <si>
    <t>512607888</t>
  </si>
  <si>
    <t>פתאל החז אגח ה</t>
  </si>
  <si>
    <t>IL0012039421</t>
  </si>
  <si>
    <t>31/08/2032</t>
  </si>
  <si>
    <t>פתאל החזקות אגח ד</t>
  </si>
  <si>
    <t>IL0011881922</t>
  </si>
  <si>
    <t>צור שמיר אחזקות בע"מ</t>
  </si>
  <si>
    <t>520025586</t>
  </si>
  <si>
    <t>צור אגח יג</t>
  </si>
  <si>
    <t>IL0012246661</t>
  </si>
  <si>
    <t>30/06/2037</t>
  </si>
  <si>
    <t>קרסו מוטורס בע"מ</t>
  </si>
  <si>
    <t>514065283</t>
  </si>
  <si>
    <t>קרסו מוט' אגח ו'</t>
  </si>
  <si>
    <t>IL0012262247</t>
  </si>
  <si>
    <t>מסחר</t>
  </si>
  <si>
    <t>28/01/2033</t>
  </si>
  <si>
    <t>קרסו נדלן</t>
  </si>
  <si>
    <t>510488190</t>
  </si>
  <si>
    <t>קרסו נדלן אגח א</t>
  </si>
  <si>
    <t>IL0011900086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</si>
  <si>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</si>
  <si>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</si>
  <si>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</si>
  <si>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</si>
  <si>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</si>
  <si>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</si>
  <si>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</si>
  <si>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</si>
  <si>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</si>
  <si>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שופר-סל בע"מ</t>
  </si>
  <si>
    <t>520022732</t>
  </si>
  <si>
    <t>שופרסל אגח ז</t>
  </si>
  <si>
    <t>IL0077702582</t>
  </si>
  <si>
    <t>20/08/2030</t>
  </si>
  <si>
    <t>ש.י.ר שלמה נדל"ן בע"מ</t>
  </si>
  <si>
    <t>513957472</t>
  </si>
  <si>
    <t>שלמה נדלן אגח ד</t>
  </si>
  <si>
    <t>IL0011576688</t>
  </si>
  <si>
    <t>31/10/2030</t>
  </si>
  <si>
    <t>שפיר הנדסה ותעשיה בע"מ</t>
  </si>
  <si>
    <t>514892801</t>
  </si>
  <si>
    <t>שפיר הנדסה אגח ב</t>
  </si>
  <si>
    <t>IL0011419517</t>
  </si>
  <si>
    <t>מתכת ומוצרי בניה</t>
  </si>
  <si>
    <t>Energean plc</t>
  </si>
  <si>
    <t>98450044QACBL3F8EB03</t>
  </si>
  <si>
    <t>LEI</t>
  </si>
  <si>
    <t>ENOIGA 5 3/8 30/03/28</t>
  </si>
  <si>
    <t>IL0011736738</t>
  </si>
  <si>
    <t>אחר</t>
  </si>
  <si>
    <t>BB-</t>
  </si>
  <si>
    <t>S&amp;P</t>
  </si>
  <si>
    <t>30/03/2028</t>
  </si>
  <si>
    <t>ENOIGA 5 7/8 30/03/31</t>
  </si>
  <si>
    <t>IL0011736811</t>
  </si>
  <si>
    <t>30/03/2031</t>
  </si>
  <si>
    <t>LUMIIT 3.275 01/29/31</t>
  </si>
  <si>
    <t>IL0060404899</t>
  </si>
  <si>
    <t>BBB-</t>
  </si>
  <si>
    <t>29/01/2031</t>
  </si>
  <si>
    <t>לוויתן בונד בע"מ</t>
  </si>
  <si>
    <t>516223864</t>
  </si>
  <si>
    <t>LVIATH 6.5 30/06/27</t>
  </si>
  <si>
    <t>IL0011677825</t>
  </si>
  <si>
    <t>בנק מזרחי טפחות בע"מ</t>
  </si>
  <si>
    <t>520000522</t>
  </si>
  <si>
    <t>MZRHIT 3.077 04/07/31</t>
  </si>
  <si>
    <t>IL0069508369</t>
  </si>
  <si>
    <t>07/04/2031</t>
  </si>
  <si>
    <t>טבע תעשיות פרמצבטיות בע"מ</t>
  </si>
  <si>
    <t>520013954</t>
  </si>
  <si>
    <t>TEVA 4.375% 09/05/30</t>
  </si>
  <si>
    <t>XS2406607171</t>
  </si>
  <si>
    <t>פארמה</t>
  </si>
  <si>
    <t>EUR</t>
  </si>
  <si>
    <t>09/05/2030</t>
  </si>
  <si>
    <t>TEVA 5.125% 09/05/29</t>
  </si>
  <si>
    <t>US88167AAQ40</t>
  </si>
  <si>
    <t>09/05/2029</t>
  </si>
  <si>
    <t>אלומיי קפיטל בע"מ</t>
  </si>
  <si>
    <t>520039868</t>
  </si>
  <si>
    <t>אלומיי אגח ו</t>
  </si>
  <si>
    <t>IL0012030743</t>
  </si>
  <si>
    <t>אלוני חץ אגח יג</t>
  </si>
  <si>
    <t>IL0011894065</t>
  </si>
  <si>
    <t>01/03/2037</t>
  </si>
  <si>
    <t>אמות אגח ז</t>
  </si>
  <si>
    <t>IL0011628661</t>
  </si>
  <si>
    <t>05/01/2032</t>
  </si>
  <si>
    <t>אנלייט אנרגיה אגח ד</t>
  </si>
  <si>
    <t>IL0072002566</t>
  </si>
  <si>
    <t>02/09/2029</t>
  </si>
  <si>
    <t>גבאי מניבים יב</t>
  </si>
  <si>
    <t>IL0077102627</t>
  </si>
  <si>
    <t>ג'י.אף.איי ריאל אסטייט לימיטד</t>
  </si>
  <si>
    <t>1852623</t>
  </si>
  <si>
    <t>ג'י אף איי אגח ה</t>
  </si>
  <si>
    <t>IL0012026477</t>
  </si>
  <si>
    <t>דיסקונט מנ נד ח</t>
  </si>
  <si>
    <t>IL0074803128</t>
  </si>
  <si>
    <t>01/11/2027</t>
  </si>
  <si>
    <t>דלק קבוצה אגח לט</t>
  </si>
  <si>
    <t>IL0012057720</t>
  </si>
  <si>
    <t>הפניקס אחזקות בע"מ</t>
  </si>
  <si>
    <t>520017450</t>
  </si>
  <si>
    <t>הפניקס אגח 5</t>
  </si>
  <si>
    <t>IL0076702849</t>
  </si>
  <si>
    <t>01/05/2030</t>
  </si>
  <si>
    <t>הראל הנפקות יג ש</t>
  </si>
  <si>
    <t>IL0011381717</t>
  </si>
  <si>
    <t xml:space="preserve">קבוצת חג'ג' ייזום נדל"ן בע"מ </t>
  </si>
  <si>
    <t>520033309</t>
  </si>
  <si>
    <t>חג'ג' אגח יב</t>
  </si>
  <si>
    <t>IL0082303772</t>
  </si>
  <si>
    <t>31/12/2026</t>
  </si>
  <si>
    <t>חג'ג' אגח יד 01/01/2028</t>
  </si>
  <si>
    <t>IL0012066069</t>
  </si>
  <si>
    <t>01/01/2028</t>
  </si>
  <si>
    <t>חג'ג' אירופה דיוולופמנט צ.ש. בע"מ</t>
  </si>
  <si>
    <t>515682292</t>
  </si>
  <si>
    <t>חג'ג' אירופה אגח ד</t>
  </si>
  <si>
    <t>IL0011901316</t>
  </si>
  <si>
    <t>רומניה</t>
  </si>
  <si>
    <t>01/07/2026</t>
  </si>
  <si>
    <t>חשמל     אגח 29</t>
  </si>
  <si>
    <t>IL0060002362</t>
  </si>
  <si>
    <t>01/03/2026</t>
  </si>
  <si>
    <t>חשמל אגח 31</t>
  </si>
  <si>
    <t>IL0060002859</t>
  </si>
  <si>
    <t>21/09/2031</t>
  </si>
  <si>
    <t>כלל החזקות עסקי ביטוח בע"מ</t>
  </si>
  <si>
    <t>520036120</t>
  </si>
  <si>
    <t>כלל ביטוח אגח א</t>
  </si>
  <si>
    <t>IL0011934812</t>
  </si>
  <si>
    <t>28/02/2028</t>
  </si>
  <si>
    <t>כלל ביטוח אגח ג</t>
  </si>
  <si>
    <t>IL0012013913</t>
  </si>
  <si>
    <t>02/11/2031</t>
  </si>
  <si>
    <t>כלל מימון אגח יב</t>
  </si>
  <si>
    <t>IL0011799280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</si>
  <si>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</si>
  <si>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</si>
  <si>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</si>
  <si>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</si>
  <si>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</si>
  <si>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</si>
  <si>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</si>
  <si>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</si>
  <si>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</si>
  <si>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</si>
  <si>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</si>
  <si>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</si>
  <si>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</si>
  <si>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</si>
  <si>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</si>
  <si>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</si>
  <si>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מבני תעשיה אגח יז</t>
  </si>
  <si>
    <t>IL0022604461</t>
  </si>
  <si>
    <t>מז טפ הנפק 52</t>
  </si>
  <si>
    <t>IL0023103810</t>
  </si>
  <si>
    <t>מקורות חברת מים בע"מ</t>
  </si>
  <si>
    <t>520010869</t>
  </si>
  <si>
    <t>מקורות אגח 11</t>
  </si>
  <si>
    <t>IL0011584765</t>
  </si>
  <si>
    <t>31/12/2053</t>
  </si>
  <si>
    <t>סטרוברי אגח ד</t>
  </si>
  <si>
    <t>IL0011970295</t>
  </si>
  <si>
    <t>עזריאלי אגח ט</t>
  </si>
  <si>
    <t>IL0012092537</t>
  </si>
  <si>
    <t>02/01/2046</t>
  </si>
  <si>
    <t>פאוורג'ן סולאר איי בע"מ</t>
  </si>
  <si>
    <t>512882747</t>
  </si>
  <si>
    <t>פאוורג'ן אגח ב</t>
  </si>
  <si>
    <t>IL0011862468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</si>
  <si>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</si>
  <si>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</si>
  <si>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</si>
  <si>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</si>
  <si>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</si>
  <si>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</si>
  <si>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התחייבות נדחים ו</t>
  </si>
  <si>
    <t>IL0066205530</t>
  </si>
  <si>
    <t>13/03/2028</t>
  </si>
  <si>
    <t>פניקס הון אגח יא</t>
  </si>
  <si>
    <t>IL0011593592</t>
  </si>
  <si>
    <t>פסיפיק אוק אסאואר(בי וי איי) הולדינגס</t>
  </si>
  <si>
    <t>1900288</t>
  </si>
  <si>
    <t>פסיפיק  אגח ב</t>
  </si>
  <si>
    <t>IL0011630626</t>
  </si>
  <si>
    <t>B</t>
  </si>
  <si>
    <t>רני צים מרכזי קניות בע"מ</t>
  </si>
  <si>
    <t>514353671</t>
  </si>
  <si>
    <t>רני צים אגח ב</t>
  </si>
  <si>
    <t>IL0011718348</t>
  </si>
  <si>
    <t>01/03/2028</t>
  </si>
  <si>
    <t>תמר פטרוליום בעמ</t>
  </si>
  <si>
    <t>515334662</t>
  </si>
  <si>
    <t>תמר פטרוליום אגח א</t>
  </si>
  <si>
    <t>IL0011413320</t>
  </si>
  <si>
    <t>30/08/2028</t>
  </si>
  <si>
    <t>אדגר אגח י</t>
  </si>
  <si>
    <t>IL0018202080</t>
  </si>
  <si>
    <t>01/09/2027</t>
  </si>
  <si>
    <t>אלקו אגח יד 30/05/2032 5.98%</t>
  </si>
  <si>
    <t>IL0012077520</t>
  </si>
  <si>
    <t>30/05/2032</t>
  </si>
  <si>
    <t>אמות אגח ח</t>
  </si>
  <si>
    <t>IL0011727828</t>
  </si>
  <si>
    <t>גב ים אגח י</t>
  </si>
  <si>
    <t>IL0075902846</t>
  </si>
  <si>
    <t>01/07/2035</t>
  </si>
  <si>
    <t>דה לסר גרופ לימיטד</t>
  </si>
  <si>
    <t>1427976</t>
  </si>
  <si>
    <t>דה לסר אגח ח</t>
  </si>
  <si>
    <t>IL0011931925</t>
  </si>
  <si>
    <t>יוניברסל מוטורס  ישראל בע"מ</t>
  </si>
  <si>
    <t>511809071</t>
  </si>
  <si>
    <t>יוניברסל אגח ו</t>
  </si>
  <si>
    <t>IL0011926164</t>
  </si>
  <si>
    <t>10/02/2031</t>
  </si>
  <si>
    <t>מגה אור אגח 8</t>
  </si>
  <si>
    <t>IL0011476020</t>
  </si>
  <si>
    <t>מזרחי טפ הנפק התח 69</t>
  </si>
  <si>
    <t>IL0012021593</t>
  </si>
  <si>
    <t>25/06/2029</t>
  </si>
  <si>
    <t xml:space="preserve">קבוצת האחים נאוי בע"מ </t>
  </si>
  <si>
    <t>520036070</t>
  </si>
  <si>
    <t>נאווי אגח 6</t>
  </si>
  <si>
    <t>IL0020802737</t>
  </si>
  <si>
    <t>קרסו מוטורס אגח ד</t>
  </si>
  <si>
    <t>IL0011735664</t>
  </si>
  <si>
    <t>רני צים ג</t>
  </si>
  <si>
    <t>IL0011831935</t>
  </si>
  <si>
    <t>8.1%ISRAEL.E15.12.96</t>
  </si>
  <si>
    <t>USM60170AC79</t>
  </si>
  <si>
    <t>BBB</t>
  </si>
  <si>
    <t>15/12/2096</t>
  </si>
  <si>
    <t>או פי סי אנרגיה</t>
  </si>
  <si>
    <t>IL0011415713</t>
  </si>
  <si>
    <t>מניות</t>
  </si>
  <si>
    <t xml:space="preserve">אורמת טכנולגיות אינק </t>
  </si>
  <si>
    <t>5493000TSHHWY24VHM09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</si>
  <si>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</si>
  <si>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</si>
  <si>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</si>
  <si>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</si>
  <si>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</si>
  <si>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</si>
  <si>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</si>
  <si>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</si>
  <si>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</si>
  <si>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</si>
  <si>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</si>
  <si>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</si>
  <si>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</si>
  <si>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</si>
  <si>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</si>
  <si>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</si>
  <si>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</si>
  <si>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</si>
  <si>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</si>
  <si>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</si>
  <si>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</si>
  <si>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</si>
  <si>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ביטחוניות</t>
  </si>
  <si>
    <t>אלקטרה נדל"ן בע"מ</t>
  </si>
  <si>
    <t>510607328</t>
  </si>
  <si>
    <t>אלקטרה נדלן</t>
  </si>
  <si>
    <t>IL0010940448</t>
  </si>
  <si>
    <t>אמות</t>
  </si>
  <si>
    <t>IL0010972789</t>
  </si>
  <si>
    <t>אנלייט אנרגיה</t>
  </si>
  <si>
    <t>IL0007200111</t>
  </si>
  <si>
    <t>אנרג'יאן</t>
  </si>
  <si>
    <t>GB00BG12Y042</t>
  </si>
  <si>
    <t>בריטניה</t>
  </si>
  <si>
    <t>אפריקה ישראל מגורים בע"מ</t>
  </si>
  <si>
    <t>520034760</t>
  </si>
  <si>
    <t>אפריקה מגורים</t>
  </si>
  <si>
    <t>IL0010979487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</si>
  <si>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</si>
  <si>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</si>
  <si>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</si>
  <si>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</si>
  <si>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</si>
  <si>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</si>
  <si>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</si>
  <si>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גרמניה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</si>
  <si>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</si>
  <si>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</si>
  <si>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</si>
  <si>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</si>
  <si>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</si>
  <si>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</si>
  <si>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</si>
  <si>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</si>
  <si>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</si>
  <si>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</si>
  <si>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</si>
  <si>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</si>
  <si>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</si>
  <si>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</si>
  <si>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</si>
  <si>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</si>
  <si>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</si>
  <si>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</si>
  <si>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</si>
  <si>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</si>
  <si>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</si>
  <si>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</si>
  <si>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</si>
  <si>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</si>
  <si>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</si>
  <si>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</si>
  <si>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</si>
  <si>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</si>
  <si>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</si>
  <si>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</si>
  <si>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דלתא ישראל מותגים בע"מ</t>
  </si>
  <si>
    <t>516250107</t>
  </si>
  <si>
    <t>דלתא מותגים</t>
  </si>
  <si>
    <t>IL0011736993</t>
  </si>
  <si>
    <t>הבורסה לניירות ערך בתל-אביב בע"מ</t>
  </si>
  <si>
    <t>520020033</t>
  </si>
  <si>
    <t>הבורסה לניע בתא</t>
  </si>
  <si>
    <t>IL0011590291</t>
  </si>
  <si>
    <t>שירותים פיננסיים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</si>
  <si>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</si>
  <si>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</si>
  <si>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</si>
  <si>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</si>
  <si>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</si>
  <si>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</si>
  <si>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</si>
  <si>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</si>
  <si>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</si>
  <si>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</si>
  <si>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</si>
  <si>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</si>
  <si>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</si>
  <si>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</si>
  <si>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</si>
  <si>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</si>
  <si>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</si>
  <si>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</si>
  <si>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</si>
  <si>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</si>
  <si>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</si>
  <si>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</si>
  <si>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</si>
  <si>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</si>
  <si>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</si>
  <si>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</si>
  <si>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</si>
  <si>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</si>
  <si>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</si>
  <si>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</si>
  <si>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</si>
  <si>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</si>
  <si>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מוליכים למחצה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</si>
  <si>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</si>
  <si>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</si>
  <si>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</si>
  <si>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</si>
  <si>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</si>
  <si>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</si>
  <si>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ישראכרט בע"מ</t>
  </si>
  <si>
    <t>510706153</t>
  </si>
  <si>
    <t>ישראכרט</t>
  </si>
  <si>
    <t>IL0011574030</t>
  </si>
  <si>
    <t>ישראמקו יהש</t>
  </si>
  <si>
    <t>IL0002320179</t>
  </si>
  <si>
    <t>ישרוטל בע"מ</t>
  </si>
  <si>
    <t>520042482</t>
  </si>
  <si>
    <t>ישרוטל</t>
  </si>
  <si>
    <t>IL0010809858</t>
  </si>
  <si>
    <t>כלל ביטוח</t>
  </si>
  <si>
    <t>IL0002240146</t>
  </si>
  <si>
    <t>לאומי</t>
  </si>
  <si>
    <t>IL0006046119</t>
  </si>
  <si>
    <t>מ. יוחננוף</t>
  </si>
  <si>
    <t>IL0011612640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</si>
  <si>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</si>
  <si>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</si>
  <si>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</si>
  <si>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</si>
  <si>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</si>
  <si>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</si>
  <si>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</si>
  <si>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</si>
  <si>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</si>
  <si>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</si>
  <si>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</si>
  <si>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</si>
  <si>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</si>
  <si>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</si>
  <si>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</si>
  <si>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</si>
  <si>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</si>
  <si>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</si>
  <si>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מניף</t>
  </si>
  <si>
    <t>IL0011708935</t>
  </si>
  <si>
    <t>נאוויטס פט יהש</t>
  </si>
  <si>
    <t>IL0011419699</t>
  </si>
  <si>
    <t>נובה  בע"מ</t>
  </si>
  <si>
    <t>511812463</t>
  </si>
  <si>
    <t>נובה</t>
  </si>
  <si>
    <t>IL0010845571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</si>
  <si>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</si>
  <si>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</si>
  <si>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</si>
  <si>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</si>
  <si>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</si>
  <si>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</si>
  <si>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</si>
  <si>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</si>
  <si>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</si>
  <si>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</si>
  <si>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</si>
  <si>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נכסים ובנין</t>
  </si>
  <si>
    <t>IL0006990175</t>
  </si>
  <si>
    <t>נקסט ויז'ן</t>
  </si>
  <si>
    <t>514259019</t>
  </si>
  <si>
    <t>IL0011765935</t>
  </si>
  <si>
    <t>אלקטרוניקה ואופטיקה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</si>
  <si>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</si>
  <si>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</si>
  <si>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</si>
  <si>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</si>
  <si>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</si>
  <si>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</si>
  <si>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</si>
  <si>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</si>
  <si>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</si>
  <si>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</si>
  <si>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</si>
  <si>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</si>
  <si>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</si>
  <si>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</si>
  <si>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</si>
  <si>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</si>
  <si>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</si>
  <si>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</si>
  <si>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</si>
  <si>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</si>
  <si>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בית זיקוק אשדוד</t>
  </si>
  <si>
    <t>IL0011989105</t>
  </si>
  <si>
    <t>פי.סי.בי. טכנולוגיות בע"מ</t>
  </si>
  <si>
    <t>511888356</t>
  </si>
  <si>
    <t>פיסיבי טכנולוגיות</t>
  </si>
  <si>
    <t>IL0010916851</t>
  </si>
  <si>
    <t>פרשקובסקי השקעות ובניין בע"מ</t>
  </si>
  <si>
    <t>513817817</t>
  </si>
  <si>
    <t>פרשקובסקי</t>
  </si>
  <si>
    <t>IL0011021289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</si>
  <si>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</si>
  <si>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</si>
  <si>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</si>
  <si>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</si>
  <si>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</si>
  <si>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</si>
  <si>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</t>
  </si>
  <si>
    <t>IL0011238503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</si>
  <si>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</si>
  <si>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</si>
  <si>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</si>
  <si>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</si>
  <si>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</si>
  <si>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</si>
  <si>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</si>
  <si>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</si>
  <si>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</si>
  <si>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</si>
  <si>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</si>
  <si>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</si>
  <si>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</si>
  <si>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</si>
  <si>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שופרסל</t>
  </si>
  <si>
    <t>IL0007770378</t>
  </si>
  <si>
    <t>תאת טכנולוגיות בע"מ</t>
  </si>
  <si>
    <t>520035791</t>
  </si>
  <si>
    <t>תאת טכנולוגיות</t>
  </si>
  <si>
    <t>IL0010827264</t>
  </si>
  <si>
    <t>חשמל</t>
  </si>
  <si>
    <t>תדיראן גרופ בע"מ</t>
  </si>
  <si>
    <t>520036732</t>
  </si>
  <si>
    <t>תדיראן גרופ</t>
  </si>
  <si>
    <t>IL0002580129</t>
  </si>
  <si>
    <t>Advanced Micro Devices inc</t>
  </si>
  <si>
    <t>R2I72C950HOYXII45366</t>
  </si>
  <si>
    <t>ADVANCED MICRO DEVICES INC</t>
  </si>
  <si>
    <t>US0079031078</t>
  </si>
  <si>
    <t>NASDAQ</t>
  </si>
  <si>
    <t>Semiconductors &amp; Semiconductor Equipment</t>
  </si>
  <si>
    <t>ALIBABA COM LTD</t>
  </si>
  <si>
    <t>5493001NTNQJDH60PM02</t>
  </si>
  <si>
    <t>BABA US Alibaba Group Holding Ltd</t>
  </si>
  <si>
    <t>US01609W1027</t>
  </si>
  <si>
    <t>סין</t>
  </si>
  <si>
    <t>NYSE</t>
  </si>
  <si>
    <t>Textiles, Apparel &amp; Luxury Goods</t>
  </si>
  <si>
    <t>Broadcom Inc</t>
  </si>
  <si>
    <t>549300WV6GIDOZJTV909</t>
  </si>
  <si>
    <t>BROADCOM LTD</t>
  </si>
  <si>
    <t>US11135F1012</t>
  </si>
  <si>
    <t>ELI LILLY  &amp; CO</t>
  </si>
  <si>
    <t>FRDRIPF3EKNDJ2CQJL29</t>
  </si>
  <si>
    <t>Eli Lilly</t>
  </si>
  <si>
    <t>US5324571083</t>
  </si>
  <si>
    <t>Pharmaceuticals</t>
  </si>
  <si>
    <t>GOLDMAN SACHS GROUP INC</t>
  </si>
  <si>
    <t>784F5XWPLTWKTBV3E584</t>
  </si>
  <si>
    <t>Goldman Sachs Group Inc</t>
  </si>
  <si>
    <t>US38141G1040</t>
  </si>
  <si>
    <t>Consumer Finance</t>
  </si>
  <si>
    <t>ALPHABET INC</t>
  </si>
  <si>
    <t>5493006MHB84DD0ZWV18</t>
  </si>
  <si>
    <t>Google Us Class c</t>
  </si>
  <si>
    <t>US02079K1079</t>
  </si>
  <si>
    <t>Diversified Telecommunication Services</t>
  </si>
  <si>
    <t>INTEL CORP</t>
  </si>
  <si>
    <t>KNX4USFCNGPY45LOCE31</t>
  </si>
  <si>
    <t>Intel corp</t>
  </si>
  <si>
    <t>US4581401001</t>
  </si>
  <si>
    <t>JP MORGAN ASSET MANAGEMENT</t>
  </si>
  <si>
    <t>8I5DZWZKVSZI1NUHU748</t>
  </si>
  <si>
    <t>JPMORGAN CHASE &amp; CO</t>
  </si>
  <si>
    <t>US46625H1005</t>
  </si>
  <si>
    <t>Banks</t>
  </si>
  <si>
    <t>KKR &amp; CO LP</t>
  </si>
  <si>
    <t>US48251W1045</t>
  </si>
  <si>
    <t>Other</t>
  </si>
  <si>
    <t>Meta Platforms Inc</t>
  </si>
  <si>
    <t>BQ4BKCS1HXDV9HN80Z93</t>
  </si>
  <si>
    <t>US30303M1027</t>
  </si>
  <si>
    <t>Financial Services</t>
  </si>
  <si>
    <t>MICROSOFT CORP</t>
  </si>
  <si>
    <t>INR2EJN1ERAN0W5ZP974</t>
  </si>
  <si>
    <t>Microsoft crop</t>
  </si>
  <si>
    <t>US5949181045</t>
  </si>
  <si>
    <t>Software</t>
  </si>
  <si>
    <t>MODINE MANFUFATURING CO</t>
  </si>
  <si>
    <t>Z35SZFYJR8GZZRSIUU09</t>
  </si>
  <si>
    <t>MODINE MANUFACTURING</t>
  </si>
  <si>
    <t>US6078281002</t>
  </si>
  <si>
    <t>Industrial Conglomerates</t>
  </si>
  <si>
    <t>MONDELEZ INTERNATIONAL</t>
  </si>
  <si>
    <t>549300DV9GIB88LZ5P30</t>
  </si>
  <si>
    <t>MONDELEZ INTERNATIONAL INC</t>
  </si>
  <si>
    <t>US6092071058</t>
  </si>
  <si>
    <t>Food Products</t>
  </si>
  <si>
    <t>NICE SYS ADR</t>
  </si>
  <si>
    <t>US6536561086</t>
  </si>
  <si>
    <t>NIKE INC</t>
  </si>
  <si>
    <t>787RXPR0UX0O0XUXPZ81</t>
  </si>
  <si>
    <t>US6541061031</t>
  </si>
  <si>
    <t>NVIDIA CORP</t>
  </si>
  <si>
    <t>549300S4KLFTLO7GSQ80</t>
  </si>
  <si>
    <t>Nvidia corp</t>
  </si>
  <si>
    <t>US67066G1040</t>
  </si>
  <si>
    <t>Ormat Technologies</t>
  </si>
  <si>
    <t>Water Utilities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</si>
  <si>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</si>
  <si>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</si>
  <si>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</si>
  <si>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</si>
  <si>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</si>
  <si>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</si>
  <si>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</si>
  <si>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</si>
  <si>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LSE</t>
  </si>
  <si>
    <t>Diversified Consumer Services</t>
  </si>
  <si>
    <t>GBP</t>
  </si>
  <si>
    <t>Quanta Services Icn</t>
  </si>
  <si>
    <t>SHVRXXEACT60MMH07S24</t>
  </si>
  <si>
    <t>Quanta Services Inc</t>
  </si>
  <si>
    <t>US74762E1029</t>
  </si>
  <si>
    <t>Commercial Services &amp; Supplies</t>
  </si>
  <si>
    <t>TAIWAN Semiconductor</t>
  </si>
  <si>
    <t>549300KB6NK5SBD14S87</t>
  </si>
  <si>
    <t>TAIWAN SEMICON ADR</t>
  </si>
  <si>
    <t>US8740391003</t>
  </si>
  <si>
    <t>TOWER SEMICONDUCTOR LTD</t>
  </si>
  <si>
    <t>UBER TECHNOLOGIE</t>
  </si>
  <si>
    <t>549300B2FTG34FILDR98</t>
  </si>
  <si>
    <t>UBER TECHNOLOGIES INC</t>
  </si>
  <si>
    <t>US90353T1007</t>
  </si>
  <si>
    <t>Transportation Infrastructure</t>
  </si>
  <si>
    <t>החברה לישראל בע"מ</t>
  </si>
  <si>
    <t>520028010</t>
  </si>
  <si>
    <t>חברה לישראל</t>
  </si>
  <si>
    <t>IL0005760173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</si>
  <si>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</si>
  <si>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</si>
  <si>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</si>
  <si>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</si>
  <si>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</si>
  <si>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</si>
  <si>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</si>
  <si>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</si>
  <si>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חפציבה ג'רוזלם גולד בע"מ</t>
  </si>
  <si>
    <t>510404460</t>
  </si>
  <si>
    <t>חפציבה גרוזלם</t>
  </si>
  <si>
    <t>IL0010999360</t>
  </si>
  <si>
    <t>מניבים קרן הריט החדשה בע"מ</t>
  </si>
  <si>
    <t>515327120</t>
  </si>
  <si>
    <t>מניבים ריט</t>
  </si>
  <si>
    <t>IL0011405730</t>
  </si>
  <si>
    <t>שפיר הנדסה</t>
  </si>
  <si>
    <t>IL0011338758</t>
  </si>
  <si>
    <t>Selina Hospitality Plc</t>
  </si>
  <si>
    <t>549300BAEIWO0QPTC061</t>
  </si>
  <si>
    <t>SELINA HOSPITALITY</t>
  </si>
  <si>
    <t>GB00BQ1MW662</t>
  </si>
  <si>
    <t>SHL TELEMEDICINE LTD</t>
  </si>
  <si>
    <t>512527383</t>
  </si>
  <si>
    <t>IL0010855885</t>
  </si>
  <si>
    <t>SIX</t>
  </si>
  <si>
    <t>Health Care Equipment &amp; Supplies</t>
  </si>
  <si>
    <t>CHF</t>
  </si>
  <si>
    <t>SHL TELEMEDICINE LTD זכויות</t>
  </si>
  <si>
    <t>סיווג הקרן</t>
  </si>
  <si>
    <t>קסם קרנות נאמנות בע"מ</t>
  </si>
  <si>
    <t>510938608</t>
  </si>
  <si>
    <t>קסם תל בונד שקלי</t>
  </si>
  <si>
    <t>IL0011464141</t>
  </si>
  <si>
    <t>עוקב אחר מדדים אחרים בישראל</t>
  </si>
  <si>
    <t>אג"ח בארץ - חברות והמרה-תל בונד שקלי-תל בונד- שקלי</t>
  </si>
  <si>
    <t xml:space="preserve">BlackRock  Asset Managment </t>
  </si>
  <si>
    <t>549300LRIF3NWCU26A80</t>
  </si>
  <si>
    <t>Ishares iboxx h/y corp</t>
  </si>
  <si>
    <t>US4642885135</t>
  </si>
  <si>
    <t>עוקב אחר מדדים אחרים בחו"ל</t>
  </si>
  <si>
    <t>אג"ח בחו"ל - אג"ח חשופת מט"ח</t>
  </si>
  <si>
    <t>State Street Corp</t>
  </si>
  <si>
    <t>07F5H7W3ET8ZLWNMFP29</t>
  </si>
  <si>
    <t>SPDR BLOOMBERG SASB U.S. HIGH</t>
  </si>
  <si>
    <t>IE0004TYCC17</t>
  </si>
  <si>
    <t>מגדל קרנות נאמנות בע"מ</t>
  </si>
  <si>
    <t>511303661</t>
  </si>
  <si>
    <t>MTF סל תא 90</t>
  </si>
  <si>
    <t>IL0011502593</t>
  </si>
  <si>
    <t>עוקב אחר מדדי מניות בישראל</t>
  </si>
  <si>
    <t>90 מניות בארץ - מניות כללי-ת"א</t>
  </si>
  <si>
    <t>MTF500SP ממ</t>
  </si>
  <si>
    <t>IL0011505729</t>
  </si>
  <si>
    <t>עוקב אחר מדדי מניות בחו"ל</t>
  </si>
  <si>
    <t>S&amp;P 500 - מניות בחו"ל - מניות גיאוגרפי - מנוטרלת מט"ח-ארה"ב</t>
  </si>
  <si>
    <t>אי.בי.אי קרנות נאמנות בע"מ</t>
  </si>
  <si>
    <t>513765339</t>
  </si>
  <si>
    <t>אי.בי.אי. סל (4D)י S&amp;P 500</t>
  </si>
  <si>
    <t>IL0011481624</t>
  </si>
  <si>
    <t>S&amp;P 500 - מניות בחו"ל - מניות גיאוגרפי - חשופת מט"ח-ארה"ב</t>
  </si>
  <si>
    <t>הראל קרנות נאמנות בע"מ</t>
  </si>
  <si>
    <t>511776783</t>
  </si>
  <si>
    <t>הראל סל (4A) MSCI AC World מנ</t>
  </si>
  <si>
    <t>IL0011502007</t>
  </si>
  <si>
    <t>מניות בחו"ל - מניות כללי בחו"ל - מנוטרלת מט"ח-מניות כללי בחו"ל</t>
  </si>
  <si>
    <t>הראל קרן סל 4AׂSTOXX EUROPE 600ממ</t>
  </si>
  <si>
    <t>IL0011498891</t>
  </si>
  <si>
    <t>אירופה</t>
  </si>
  <si>
    <t>STOXX EUROPE 600 - מניות בחו"ל - מניות גיאוגרפי - מנוטרלת מט"ח-אירופה כללי</t>
  </si>
  <si>
    <t>הראל קרן סל תא 125</t>
  </si>
  <si>
    <t>IL0011488991</t>
  </si>
  <si>
    <t>125 מניות בארץ - מניות כללי-ת"א</t>
  </si>
  <si>
    <t>הראל.DAX 30 ממ</t>
  </si>
  <si>
    <t>IL0011491607</t>
  </si>
  <si>
    <t>DAX 30 - מניות בחו"ל - מניות גיאוגרפי - מנוטרלת מט"ח-אירופה גרמניה</t>
  </si>
  <si>
    <t xml:space="preserve">מור ניהול קרנות נאמנות בע"מ </t>
  </si>
  <si>
    <t>514884485</t>
  </si>
  <si>
    <t>מור סל (A4) ת"א -125</t>
  </si>
  <si>
    <t>IL0011961534</t>
  </si>
  <si>
    <t>מור סל )4A(י NASDAQ 100 מנוטרל</t>
  </si>
  <si>
    <t>IL0011658445</t>
  </si>
  <si>
    <t>NASDAQ 100 - מניות בחו"ל - מניות גיאוגרפי - מנוטרלת מט"ח-ארה"ב</t>
  </si>
  <si>
    <t>מור סל S&amp;P 500 ממ</t>
  </si>
  <si>
    <t>IL0011658288</t>
  </si>
  <si>
    <t>ממEURO STOXX 50 (4A) ETF.קסם</t>
  </si>
  <si>
    <t>IL0011459521</t>
  </si>
  <si>
    <t>EURO STOXX 50 - מניות בחו"ל - מניות גיאוגרפי - מנוטרלת מט"ח-אירופה כללי</t>
  </si>
  <si>
    <t>קסם קרן סל תא 125</t>
  </si>
  <si>
    <t>IL0011463564</t>
  </si>
  <si>
    <t>Amundi Asset Management</t>
  </si>
  <si>
    <t>213800VZW861M5FHMD50</t>
  </si>
  <si>
    <t>AMUNDI MSCI EMERGING MARKETS I</t>
  </si>
  <si>
    <t>LU2573967036</t>
  </si>
  <si>
    <t>Emerging Markets - Asia</t>
  </si>
  <si>
    <t>MSCI EMERGING MARKETS - מניות בחו"ל - מניות גיאוגרפי - חשופת מט"ח-שווקים מתעוררים כללי</t>
  </si>
  <si>
    <t>Cef Ishares Russell iwm</t>
  </si>
  <si>
    <t>US4642876555</t>
  </si>
  <si>
    <t>RUSSELL 2000 - מניות בחו"ל - מניות גיאוגרפי - מנוטרלת מט"ח-ארה"ב</t>
  </si>
  <si>
    <t>Financial sel sector spdr</t>
  </si>
  <si>
    <t>US81369Y6059</t>
  </si>
  <si>
    <t>Financial מניות בחו"ל - מניות לפי ענפים בחו"ל - חשופת מט"ח-ארה"ב- מניות</t>
  </si>
  <si>
    <t>HSBC Holdings PLC</t>
  </si>
  <si>
    <t>MLU0ZO3ML4LN2LL2TL39</t>
  </si>
  <si>
    <t>Hsbc S&amp;P 500</t>
  </si>
  <si>
    <t>IE00B5KQNG97</t>
  </si>
  <si>
    <t>Ishares dj us aerospace &amp; df</t>
  </si>
  <si>
    <t>US4642887602</t>
  </si>
  <si>
    <t>CBOE</t>
  </si>
  <si>
    <t>מניות בחו"ל - מניות לפי ענפים בחו"ל - חשופת מט"ח-ענפים אחרים</t>
  </si>
  <si>
    <t>Ishares msci emer EEM</t>
  </si>
  <si>
    <t>US4642872349</t>
  </si>
  <si>
    <t>Emerging Markets - Euope, Middle East &amp; Africa</t>
  </si>
  <si>
    <t>IVV US iShares S&amp;P 500 Index F</t>
  </si>
  <si>
    <t>US4642872000</t>
  </si>
  <si>
    <t>KRANESHARES</t>
  </si>
  <si>
    <t>549300VLDRC0RUX0E553</t>
  </si>
  <si>
    <t>KRANESHARES Csi China Internet Etf</t>
  </si>
  <si>
    <t>US5007673065</t>
  </si>
  <si>
    <t>FTSE China 50 - מניות בחו"ל - מניות גיאוגרפי - חשופת מט"ח-אסיה סין</t>
  </si>
  <si>
    <t>LYXOR ETF</t>
  </si>
  <si>
    <t>LYXOR S&amp;P 500 UCITS ETF</t>
  </si>
  <si>
    <t>LU1135865084</t>
  </si>
  <si>
    <t>Lyxor S&amp;P 500 Ucits Etf - c-eu</t>
  </si>
  <si>
    <t>MCHI_Ishares Msci Chaina Etf</t>
  </si>
  <si>
    <t>US46429B6719</t>
  </si>
  <si>
    <t>Invesco investment management limited</t>
  </si>
  <si>
    <t>635400KZRKKKNVCJXD85</t>
  </si>
  <si>
    <t>Powershares  QQQ NAS1</t>
  </si>
  <si>
    <t>US46090E1038</t>
  </si>
  <si>
    <t>NASDAQ 100 - מניות בחו"ל - מניות גיאוגרפי - חשופת מט"ח-ארה"ב</t>
  </si>
  <si>
    <t>SOURCE S&amp;P 500 UCITS EFT</t>
  </si>
  <si>
    <t>IE00B3YCGJ38</t>
  </si>
  <si>
    <t>SPDR S&amp;P 500 ETF TRUST</t>
  </si>
  <si>
    <t>US78462F1030</t>
  </si>
  <si>
    <t>Spdr s&amp;p biotech etf</t>
  </si>
  <si>
    <t>US78464A8707</t>
  </si>
  <si>
    <t>Equity Funds</t>
  </si>
  <si>
    <t>Van Eck ETF</t>
  </si>
  <si>
    <t>549300ZLFKNTXC51ZN76</t>
  </si>
  <si>
    <t>VANECK VECTORS SEMICONDUCTOR</t>
  </si>
  <si>
    <t>US92189F6768</t>
  </si>
  <si>
    <t>מניות בחו"ל - מניות בחו"ל משולבת</t>
  </si>
  <si>
    <t>Vanguard Group</t>
  </si>
  <si>
    <t>549300Y88GQ3VLJIBX57</t>
  </si>
  <si>
    <t>VANGUARD S&amp;P 500</t>
  </si>
  <si>
    <t>us9229083632</t>
  </si>
  <si>
    <t>MTF סל (S&amp;P 500 (4D</t>
  </si>
  <si>
    <t>IL0011503336</t>
  </si>
  <si>
    <t>MTF סל תלבונד 60</t>
  </si>
  <si>
    <t>IL0011499964</t>
  </si>
  <si>
    <t>60 אג"ח בארץ - חברות והמרה-תל בונד צמוד מדד-תל בונד</t>
  </si>
  <si>
    <t>אי.בי.אי. סל ת"א 125</t>
  </si>
  <si>
    <t>IL0011488082</t>
  </si>
  <si>
    <t>הראל קרן סל תל בונד 20</t>
  </si>
  <si>
    <t>IL0011504409</t>
  </si>
  <si>
    <t>20 אג"ח בארץ - חברות והמרה-תל בונד צמוד מדד-תל בונד</t>
  </si>
  <si>
    <t>קסם ETF תל בונד תשואות שקל</t>
  </si>
  <si>
    <t>אג"ח בארץ - חברות והמרה-חברות והמרה אחר</t>
  </si>
  <si>
    <t>קסם קרן סל תל בונד 60</t>
  </si>
  <si>
    <t>IL0011462327</t>
  </si>
  <si>
    <t>קסם קרן סל תל בונד תשואות</t>
  </si>
  <si>
    <t>IL0011469504</t>
  </si>
  <si>
    <t>אג"ח בארץ - חברות והמרה-תל בונד צמוד מדד-תל בונד- תשואות</t>
  </si>
  <si>
    <t>קסם תא 90</t>
  </si>
  <si>
    <t>IL0011463317</t>
  </si>
  <si>
    <t>MTF.תלבונדשקלי</t>
  </si>
  <si>
    <t>IL0011500027</t>
  </si>
  <si>
    <t>אג"ח בארץ - חברות והמרה-תל בונד שקלי-תל בונד שקלי- אחר</t>
  </si>
  <si>
    <t>הראל סל בונד שק- בנקוביט</t>
  </si>
  <si>
    <t>IL0011507477</t>
  </si>
  <si>
    <t>מור סל )00( תל בונד 60</t>
  </si>
  <si>
    <t>IL0011953044</t>
  </si>
  <si>
    <t>קסם.תלבונד ש 50</t>
  </si>
  <si>
    <t>IL0011507626</t>
  </si>
  <si>
    <t>MTF סל )00( תל בונד - שקלי A</t>
  </si>
  <si>
    <t>IL0011728248</t>
  </si>
  <si>
    <t>MTF600STX ממ</t>
  </si>
  <si>
    <t>IL0011506149</t>
  </si>
  <si>
    <t>אי.בי.אי. סל (00) תל בונד 60 צמודות</t>
  </si>
  <si>
    <t>IL0011480063</t>
  </si>
  <si>
    <t>הראל סל תל בונד שקלי</t>
  </si>
  <si>
    <t>IL0011505232</t>
  </si>
  <si>
    <t>LYXOR CORE STOXX EUROPE 600 DR</t>
  </si>
  <si>
    <t>LU0908500753</t>
  </si>
  <si>
    <t>EURONEXT</t>
  </si>
  <si>
    <t>STOXX EUROPE 600 -מניות בחו"ל - מניות גיאוגרפי - חשופת מט"ח-אירופה כללי</t>
  </si>
  <si>
    <t>הראל סל SP500</t>
  </si>
  <si>
    <t>IL0011490203</t>
  </si>
  <si>
    <t>מור סל )4D(י S&amp;P 500</t>
  </si>
  <si>
    <t>IL0011658106</t>
  </si>
  <si>
    <t>קסם S&amp;P 500 (4D) ETF</t>
  </si>
  <si>
    <t>IL0011464711</t>
  </si>
  <si>
    <t xml:space="preserve">שם נייר ערך </t>
  </si>
  <si>
    <t>Heptagon Fund plc</t>
  </si>
  <si>
    <t>635400CFK4T1LTOQKB10</t>
  </si>
  <si>
    <t>HEPTAGON DRIEH US SMCP-S</t>
  </si>
  <si>
    <t>IE00BH3ZJB48</t>
  </si>
  <si>
    <t>RUSSELL 2000 - מניות בחו"ל - מניות גיאוגרפי - חשופת מט"ח-ארה"ב</t>
  </si>
  <si>
    <t>Kotak</t>
  </si>
  <si>
    <t>213800SJ3IH3EXMXSJ47</t>
  </si>
  <si>
    <t>KOTAK FDS-INDIA MIDCAP (S) USD A</t>
  </si>
  <si>
    <t>LU2126068639</t>
  </si>
  <si>
    <t>הודו</t>
  </si>
  <si>
    <t>CNX NIFTY - מניות בחו"ל - מניות גיאוגרפי - חשופת מט"ח-אסיה הודו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</si>
  <si>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</si>
  <si>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</si>
  <si>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</si>
  <si>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</si>
  <si>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</si>
  <si>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Trigon New Europe Fund</t>
  </si>
  <si>
    <t>529900X2YIFA3JTG4580</t>
  </si>
  <si>
    <t>Trigon New Europe fund</t>
  </si>
  <si>
    <t>LU1687402393</t>
  </si>
  <si>
    <t>מניות בחו"ל - מניות גיאוגרפי - חשופת מט"ח-אירופה - מדד אחר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</si>
  <si>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</si>
  <si>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</si>
  <si>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</si>
  <si>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</si>
  <si>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</si>
  <si>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</si>
  <si>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</si>
  <si>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אלומיי אופ 2</t>
  </si>
  <si>
    <t>IL0012030826</t>
  </si>
  <si>
    <t>IL0010826357</t>
  </si>
  <si>
    <t>05/01/2028</t>
  </si>
  <si>
    <t>נאוויטס פטרו אפ 6</t>
  </si>
  <si>
    <t>IL0012288242</t>
  </si>
  <si>
    <t>נכס בסיס</t>
  </si>
  <si>
    <t>חוזים עתידיים בחול</t>
  </si>
  <si>
    <t>10527</t>
  </si>
  <si>
    <t>SP500 MIC Emin FUT MAR 26</t>
  </si>
  <si>
    <t>HWAH6</t>
  </si>
  <si>
    <t>טיקר</t>
  </si>
  <si>
    <t>HWBH6_NASDAQ 100 MICRO  MAR26</t>
  </si>
  <si>
    <t>HWBH6</t>
  </si>
  <si>
    <t>ULTRA 10 YEAR TREASURY 03/2026</t>
  </si>
  <si>
    <t>UXYH6</t>
  </si>
  <si>
    <t>ESH6_S&amp;P EMINI FUT MAR26</t>
  </si>
  <si>
    <t>ESH6</t>
  </si>
  <si>
    <t>מניות לרבות מדדי מניות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</si>
  <si>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</si>
  <si>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</si>
  <si>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</si>
  <si>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</si>
  <si>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</si>
  <si>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</si>
  <si>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</si>
  <si>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</si>
  <si>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</si>
  <si>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</si>
  <si>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</si>
  <si>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 xml:space="preserve">י.ח.ק להשקעות שותפות מוגבלת </t>
  </si>
  <si>
    <t>550016091</t>
  </si>
  <si>
    <t>י.ח.ק.  אגח ב רמ</t>
  </si>
  <si>
    <t>IL0011817835</t>
  </si>
  <si>
    <t>לא סחיר</t>
  </si>
  <si>
    <t>19/11/2021</t>
  </si>
  <si>
    <t>חברת ציטוט</t>
  </si>
  <si>
    <t>אי-תלות</t>
  </si>
  <si>
    <t>31/12/2025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</si>
  <si>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</si>
  <si>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</si>
  <si>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</si>
  <si>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</si>
  <si>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</si>
  <si>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</si>
  <si>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</si>
  <si>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</si>
  <si>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</si>
  <si>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</si>
  <si>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</si>
  <si>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</si>
  <si>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</si>
  <si>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</si>
  <si>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</si>
  <si>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</si>
  <si>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Aa2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</si>
  <si>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</si>
  <si>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</si>
  <si>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</si>
  <si>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</si>
  <si>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</si>
  <si>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</si>
  <si>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</si>
  <si>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</si>
  <si>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</si>
  <si>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</si>
  <si>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</si>
  <si>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</si>
  <si>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</si>
  <si>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</si>
  <si>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רפאל סד' ד 2020/2034</t>
  </si>
  <si>
    <t>IL0011402844</t>
  </si>
  <si>
    <t>אלון חברת הדלק לישראל בע"מ</t>
  </si>
  <si>
    <t>520041690</t>
  </si>
  <si>
    <t>אלון חברת הדלק אגח סד' א TA</t>
  </si>
  <si>
    <t>IL0011015679</t>
  </si>
  <si>
    <t>31/08/2016</t>
  </si>
  <si>
    <t>30/06/2024</t>
  </si>
  <si>
    <t>גורם תלוי/פנימי</t>
  </si>
  <si>
    <t>גלובל פיננס ג'י.אר 8 בע"מ</t>
  </si>
  <si>
    <t>513739466</t>
  </si>
  <si>
    <t>גלובל פינס גיאר 8 סד  ה 2019</t>
  </si>
  <si>
    <t>32003</t>
  </si>
  <si>
    <t>אג"ח מובנות</t>
  </si>
  <si>
    <t>15/12/2014</t>
  </si>
  <si>
    <t>19/01/2019</t>
  </si>
  <si>
    <t>לאומי שטר הון 6.60% 01/2027</t>
  </si>
  <si>
    <t>6401764</t>
  </si>
  <si>
    <t>24/01/2027</t>
  </si>
  <si>
    <t>קאר אנד גו (סדרה א) בע"מ</t>
  </si>
  <si>
    <t>513406835</t>
  </si>
  <si>
    <t>מחוקה _קאר אנד גו %7.4 (חודשי+קרן) 07</t>
  </si>
  <si>
    <t>IL0010882020</t>
  </si>
  <si>
    <t>10/08/2007</t>
  </si>
  <si>
    <t>החוב נחות</t>
  </si>
  <si>
    <t>כן</t>
  </si>
  <si>
    <t>PROSPECT CAPITAL CORP</t>
  </si>
  <si>
    <t>549300FSD8T39P5Q0O47</t>
  </si>
  <si>
    <t>מניות בכורה Prospect 5.5% 1025</t>
  </si>
  <si>
    <t>US74348T5083</t>
  </si>
  <si>
    <t>מניות לא סחירות</t>
  </si>
  <si>
    <t>27/04/2021</t>
  </si>
  <si>
    <t>וויו (veev) גרופ</t>
  </si>
  <si>
    <t>832652993</t>
  </si>
  <si>
    <t>C  וויו גרופ</t>
  </si>
  <si>
    <t>US9224741010</t>
  </si>
  <si>
    <t>השקעות בהיי-טק</t>
  </si>
  <si>
    <t>08/03/2021</t>
  </si>
  <si>
    <t xml:space="preserve">לוסיקס בע"מ </t>
  </si>
  <si>
    <t>515374742</t>
  </si>
  <si>
    <t>Lusix</t>
  </si>
  <si>
    <t>620201931</t>
  </si>
  <si>
    <t>Multi-Utilities</t>
  </si>
  <si>
    <t>02/12/2024</t>
  </si>
  <si>
    <t>מומחה בלתי תלוי</t>
  </si>
  <si>
    <t>UVEYE LTD</t>
  </si>
  <si>
    <t>514234202</t>
  </si>
  <si>
    <t>62018263</t>
  </si>
  <si>
    <t>01/04/2025</t>
  </si>
  <si>
    <t>31/03/2025</t>
  </si>
  <si>
    <t>אדאקום טכנולוגיות בע"מ</t>
  </si>
  <si>
    <t>520036419</t>
  </si>
  <si>
    <t>אדאקום</t>
  </si>
  <si>
    <t>IL0002390123</t>
  </si>
  <si>
    <t>ביוטכנולוגיה</t>
  </si>
  <si>
    <t>מניבים ניהול הר</t>
  </si>
  <si>
    <t>36475</t>
  </si>
  <si>
    <t>03/11/2015</t>
  </si>
  <si>
    <t>Sunbit Inc</t>
  </si>
  <si>
    <t>89324</t>
  </si>
  <si>
    <t>SUNBIT</t>
  </si>
  <si>
    <t>62018403</t>
  </si>
  <si>
    <t>03/06/2021</t>
  </si>
  <si>
    <t>דיווח מנהל הקרן</t>
  </si>
  <si>
    <t>30/06/2025</t>
  </si>
  <si>
    <t>Rapyd financial network 2016 ltd</t>
  </si>
  <si>
    <t>28595</t>
  </si>
  <si>
    <t>TARGET GLOBAL -FLUORINE (RAPYD</t>
  </si>
  <si>
    <t>62018115</t>
  </si>
  <si>
    <t>Technology Hardware, Storage &amp; Peripherals</t>
  </si>
  <si>
    <t>03/07/2022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</si>
  <si>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</si>
  <si>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</si>
  <si>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</si>
  <si>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</si>
  <si>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</si>
  <si>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</si>
  <si>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</si>
  <si>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</si>
  <si>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29/06/2025</t>
  </si>
  <si>
    <t>ג'נריישן ניהול בע"מ</t>
  </si>
  <si>
    <t>515785012</t>
  </si>
  <si>
    <t>56093</t>
  </si>
  <si>
    <t>16/08/2018</t>
  </si>
  <si>
    <t>29/10/2025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</si>
  <si>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</si>
  <si>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</si>
  <si>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</si>
  <si>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</si>
  <si>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</si>
  <si>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</si>
  <si>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</si>
  <si>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</si>
  <si>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</si>
  <si>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</si>
  <si>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</si>
  <si>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Coller Credit Opportunities</t>
  </si>
  <si>
    <t>98-0233839</t>
  </si>
  <si>
    <t>קרן חוב</t>
  </si>
  <si>
    <t>ג'רנסי</t>
  </si>
  <si>
    <t>02/09/2021</t>
  </si>
  <si>
    <t>23/12/2025</t>
  </si>
  <si>
    <t>Forma european fund 2</t>
  </si>
  <si>
    <t>516190006</t>
  </si>
  <si>
    <t>Forma European Fund II LP</t>
  </si>
  <si>
    <t>פרייבט אקוויטי</t>
  </si>
  <si>
    <t>06/07/2021</t>
  </si>
  <si>
    <t>18/11/2025</t>
  </si>
  <si>
    <t>Kedma Capital</t>
  </si>
  <si>
    <t>540286333</t>
  </si>
  <si>
    <t>KEDMA CAPITAL PARTNERS III LTD</t>
  </si>
  <si>
    <t>04/04/2021</t>
  </si>
  <si>
    <t>08/12/2025</t>
  </si>
  <si>
    <t xml:space="preserve">Klirmark Opportunity Fund </t>
  </si>
  <si>
    <t>CO-101523</t>
  </si>
  <si>
    <t>KLIRMARK FUND III</t>
  </si>
  <si>
    <t>איי קיימן</t>
  </si>
  <si>
    <t>13/11/2019</t>
  </si>
  <si>
    <t>10/12/2025</t>
  </si>
  <si>
    <t>klirmark IV</t>
  </si>
  <si>
    <t>23/04/2023</t>
  </si>
  <si>
    <t>30/12/2025</t>
  </si>
  <si>
    <t>Peregrine Ventures Growth General Partner LP</t>
  </si>
  <si>
    <t>540297413</t>
  </si>
  <si>
    <t>07/07/2021</t>
  </si>
  <si>
    <t>28/09/2025</t>
  </si>
  <si>
    <t>Omri Strul</t>
  </si>
  <si>
    <t>540310885</t>
  </si>
  <si>
    <t>Qumra Opportunity fund</t>
  </si>
  <si>
    <t>Growth Venture Capital</t>
  </si>
  <si>
    <t>11/05/2021</t>
  </si>
  <si>
    <t>24/12/2025</t>
  </si>
  <si>
    <t>קרן השקעה אלפא ערך 1</t>
  </si>
  <si>
    <t>530225416</t>
  </si>
  <si>
    <t>אלפא ערך 1 ש.מ</t>
  </si>
  <si>
    <t>קרן גידור (Hedge Fund)</t>
  </si>
  <si>
    <t>26/12/2024</t>
  </si>
  <si>
    <t>04/12/2025</t>
  </si>
  <si>
    <t>יסודות א נדלן שותפות מוגבלת</t>
  </si>
  <si>
    <t>550257125</t>
  </si>
  <si>
    <t>יסודות נדל"ן ג' פיתוח ושותפות</t>
  </si>
  <si>
    <t>30/11/2025</t>
  </si>
  <si>
    <t>קוגיטו קפיטל אל.אמ.אי שותף כללי, שותפות מוגבלת</t>
  </si>
  <si>
    <t>550270912</t>
  </si>
  <si>
    <t>קוגיטו קפיטל 2</t>
  </si>
  <si>
    <t>06/02/2022</t>
  </si>
  <si>
    <t>קרן ברוש 2234</t>
  </si>
  <si>
    <t>514845957</t>
  </si>
  <si>
    <t>קרן ברוש</t>
  </si>
  <si>
    <t>29/05/2017</t>
  </si>
  <si>
    <t>07/12/2025</t>
  </si>
  <si>
    <t>תשתיות ישראל  ג'י. פי. 4 שותפות מוגבלת</t>
  </si>
  <si>
    <t>550243026</t>
  </si>
  <si>
    <t>תשתיות ישראל 4 -ע' ת"א</t>
  </si>
  <si>
    <t>13/10/2020</t>
  </si>
  <si>
    <t>25/11/2025</t>
  </si>
  <si>
    <t>ALTO FUND</t>
  </si>
  <si>
    <t>27092</t>
  </si>
  <si>
    <t>ALTO 3</t>
  </si>
  <si>
    <t>קרן נדל"ן</t>
  </si>
  <si>
    <t>22/01/2017</t>
  </si>
  <si>
    <t>01/06/2015</t>
  </si>
  <si>
    <t>26/11/2025</t>
  </si>
  <si>
    <t>איפקס סבן</t>
  </si>
  <si>
    <t>512712548</t>
  </si>
  <si>
    <t>AMI OPPORTUNITY</t>
  </si>
  <si>
    <t>ג'נרסי</t>
  </si>
  <si>
    <t>16/12/2015</t>
  </si>
  <si>
    <t>18/12/2025</t>
  </si>
  <si>
    <t>Apexus Logisitcs RE Fund L.P</t>
  </si>
  <si>
    <t>87-3052619</t>
  </si>
  <si>
    <t>Apexus</t>
  </si>
  <si>
    <t>14/04/2022</t>
  </si>
  <si>
    <t>16/12/2025</t>
  </si>
  <si>
    <t>Ares CIP Management II, L.P</t>
  </si>
  <si>
    <t>20187570751</t>
  </si>
  <si>
    <t>Ares Climate Infrastructure Partners II-A, L.P</t>
  </si>
  <si>
    <t>22/01/2025</t>
  </si>
  <si>
    <t>03/12/2025</t>
  </si>
  <si>
    <t>ARGIS Asset Management GP, LLC</t>
  </si>
  <si>
    <t>37-2131827</t>
  </si>
  <si>
    <t>ARGIS LIVING FUND II</t>
  </si>
  <si>
    <t>Value Added Real Estate</t>
  </si>
  <si>
    <t>ספרד</t>
  </si>
  <si>
    <t>30/04/2025</t>
  </si>
  <si>
    <t>Arkin Bio Ventures L.P</t>
  </si>
  <si>
    <t>550267843</t>
  </si>
  <si>
    <t>Arkin Bio Capital</t>
  </si>
  <si>
    <t>23/01/2022</t>
  </si>
  <si>
    <t>11/12/2025</t>
  </si>
  <si>
    <t>Avenue Cpital Group</t>
  </si>
  <si>
    <t>47-2384227</t>
  </si>
  <si>
    <t>Avenue B-1</t>
  </si>
  <si>
    <t>13/10/2021</t>
  </si>
  <si>
    <t>15/12/2025</t>
  </si>
  <si>
    <t>Avenue B-2</t>
  </si>
  <si>
    <t>bain capital senior loan fund</t>
  </si>
  <si>
    <t>1772977</t>
  </si>
  <si>
    <t>BAIN CAPITAL DSS</t>
  </si>
  <si>
    <t>07/03/2021</t>
  </si>
  <si>
    <t>Crossroads European Real Estate Fund II</t>
  </si>
  <si>
    <t>B234123</t>
  </si>
  <si>
    <t>לוכסמבורג</t>
  </si>
  <si>
    <t>25/11/2021</t>
  </si>
  <si>
    <t>DOVER STREET LP</t>
  </si>
  <si>
    <t>801-53287</t>
  </si>
  <si>
    <t>DOVER STREET XI L.P</t>
  </si>
  <si>
    <t>21/06/2023</t>
  </si>
  <si>
    <t>Electra America</t>
  </si>
  <si>
    <t>87-4404526</t>
  </si>
  <si>
    <t>ELECTRA 2</t>
  </si>
  <si>
    <t>21/11/2018</t>
  </si>
  <si>
    <t>ELECTRA AMERICA PRINCIPAL HOSPITALITY LP</t>
  </si>
  <si>
    <t>CO-113235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</si>
  <si>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</si>
  <si>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</si>
  <si>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</si>
  <si>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</si>
  <si>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</si>
  <si>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</si>
  <si>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</si>
  <si>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</si>
  <si>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18/04/2022</t>
  </si>
  <si>
    <t>29/12/2025</t>
  </si>
  <si>
    <t>Forma Fund</t>
  </si>
  <si>
    <t>530278654</t>
  </si>
  <si>
    <t>FORMA FUND</t>
  </si>
  <si>
    <t>19/11/2025</t>
  </si>
  <si>
    <t>Group 11 Fund  L.P</t>
  </si>
  <si>
    <t>WC-3750</t>
  </si>
  <si>
    <t>Group 11 Fund IV</t>
  </si>
  <si>
    <t>09/03/2021</t>
  </si>
  <si>
    <t>13/11/2025</t>
  </si>
  <si>
    <t>Group 11 Fund V</t>
  </si>
  <si>
    <t>21/04/2021</t>
  </si>
  <si>
    <t>16/11/2025</t>
  </si>
  <si>
    <t>Group 11 Fund VI</t>
  </si>
  <si>
    <t>26/05/2022</t>
  </si>
  <si>
    <t>hanaco growth venturres</t>
  </si>
  <si>
    <t>SC-98362</t>
  </si>
  <si>
    <t>Hanaco growth venturres</t>
  </si>
  <si>
    <t>03/03/2021</t>
  </si>
  <si>
    <t>HANACO II L.P</t>
  </si>
  <si>
    <t>104909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</si>
  <si>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</si>
  <si>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</si>
  <si>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</si>
  <si>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</si>
  <si>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</si>
  <si>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</si>
  <si>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HarbourVest Partners</t>
  </si>
  <si>
    <t>harbur _ESS CO INVEST V</t>
  </si>
  <si>
    <t>27/10/2019</t>
  </si>
  <si>
    <t>HGI Multifamily Credit Fund</t>
  </si>
  <si>
    <t>805-9398328391</t>
  </si>
  <si>
    <t>12/01/2023</t>
  </si>
  <si>
    <t>ISF</t>
  </si>
  <si>
    <t>113507-CO</t>
  </si>
  <si>
    <t>ISF 2</t>
  </si>
  <si>
    <t>27/01/2017</t>
  </si>
  <si>
    <t>Levine Licthtman Capital Partners</t>
  </si>
  <si>
    <t>30208674</t>
  </si>
  <si>
    <t>LLCP Lower Middle Market (LLM) III</t>
  </si>
  <si>
    <t>24/08/2021</t>
  </si>
  <si>
    <t>MACQUAARIE BANK</t>
  </si>
  <si>
    <t>ACMHD8HWFMFUIQQ8Y590</t>
  </si>
  <si>
    <t>MACQUARIE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</si>
  <si>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</si>
  <si>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</si>
  <si>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</si>
  <si>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</si>
  <si>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</si>
  <si>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24/11/2025</t>
  </si>
  <si>
    <t>Oak Street Real Estate Capital Llc</t>
  </si>
  <si>
    <t>254900MVJVN345SHF671</t>
  </si>
  <si>
    <t>Oak Street Real Estate Capital Fund VI, LP</t>
  </si>
  <si>
    <t>11/05/2023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</si>
  <si>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</si>
  <si>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</si>
  <si>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</si>
  <si>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</si>
  <si>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</si>
  <si>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515469229</t>
  </si>
  <si>
    <t>Pagaya Opportunity Offshore Feeder Fund I, LP</t>
  </si>
  <si>
    <t>29/07/2021</t>
  </si>
  <si>
    <t xml:space="preserve">Pagaya Smartresi F1 </t>
  </si>
  <si>
    <t>CO-324885</t>
  </si>
  <si>
    <t>Pagaya Smatresi F1</t>
  </si>
  <si>
    <t>04/07/2021</t>
  </si>
  <si>
    <t>Pantheon Global Infrastructure Fund IV (Luxembourg</t>
  </si>
  <si>
    <t>B 283012</t>
  </si>
  <si>
    <t>Pantheon Global Infrastructure Fund IV</t>
  </si>
  <si>
    <t>25/07/2023</t>
  </si>
  <si>
    <t>VERTEX ISRAEL FUND II LP</t>
  </si>
  <si>
    <t>540283272</t>
  </si>
  <si>
    <t>PARTNERSHIP VERTEX VENTURES</t>
  </si>
  <si>
    <t>21/07/2021</t>
  </si>
  <si>
    <t>12/11/2025</t>
  </si>
  <si>
    <t>Pantheon Private Debt</t>
  </si>
  <si>
    <t>213800U3XYENZ6K2K182</t>
  </si>
  <si>
    <t>PGCO IV_פנתיאון</t>
  </si>
  <si>
    <t>18/11/2019</t>
  </si>
  <si>
    <t>STATE OF MIND VENTURES L. P</t>
  </si>
  <si>
    <t>550256168</t>
  </si>
  <si>
    <t>SOMV FUND</t>
  </si>
  <si>
    <t>26/05/2016</t>
  </si>
  <si>
    <t>Starlight Bond FP I LP</t>
  </si>
  <si>
    <t>FC041410</t>
  </si>
  <si>
    <t>ג'רזי</t>
  </si>
  <si>
    <t>31/05/2023</t>
  </si>
  <si>
    <t>Target Global</t>
  </si>
  <si>
    <t>B241115</t>
  </si>
  <si>
    <t>Target Global Growth Fund II</t>
  </si>
  <si>
    <t>09/11/2021</t>
  </si>
  <si>
    <t>Valoo By Meitav L.P</t>
  </si>
  <si>
    <t>516952975</t>
  </si>
  <si>
    <t>Vertex Israel Opportunity II Fund</t>
  </si>
  <si>
    <t>23/08/2021</t>
  </si>
  <si>
    <t>VESTAR</t>
  </si>
  <si>
    <t>549300DYMC8BGZZC8844</t>
  </si>
  <si>
    <t>VESTAR VII A</t>
  </si>
  <si>
    <t>31/03/2021</t>
  </si>
  <si>
    <t>Viola Credit GL II, Limited Partnership</t>
  </si>
  <si>
    <t>540327830</t>
  </si>
  <si>
    <t>24/10/2022</t>
  </si>
  <si>
    <t>Viola Opportunity Managment Fund I L.P</t>
  </si>
  <si>
    <t>540311636</t>
  </si>
  <si>
    <t>Viola Opportunity I, L.P.</t>
  </si>
  <si>
    <t>28/02/2022</t>
  </si>
  <si>
    <t>Gatewood Capital Opportunity Fund</t>
  </si>
  <si>
    <t>47-4190465</t>
  </si>
  <si>
    <t>WOOD FUND - IBI</t>
  </si>
  <si>
    <t>27/02/2017</t>
  </si>
  <si>
    <t>גרופ 11 רצף מוסדיים משוערך בדולר</t>
  </si>
  <si>
    <t>26/06/2025</t>
  </si>
  <si>
    <t>פונטיפקס 5  ג'י.פי ש.מ</t>
  </si>
  <si>
    <t>232962336</t>
  </si>
  <si>
    <t>פנתאון  PGSF VI</t>
  </si>
  <si>
    <t>24/10/2019</t>
  </si>
  <si>
    <t>א. רוטשילד ת ניהול נכסים בע"מ</t>
  </si>
  <si>
    <t>513872440</t>
  </si>
  <si>
    <t>רוטשילד קרן נדלן</t>
  </si>
  <si>
    <t>18/08/2025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</si>
  <si>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</si>
  <si>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</si>
  <si>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</si>
  <si>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</si>
  <si>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</si>
  <si>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</si>
  <si>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</si>
  <si>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</si>
  <si>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</si>
  <si>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</si>
  <si>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</si>
  <si>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</si>
  <si>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</si>
  <si>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</si>
  <si>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</si>
  <si>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</si>
  <si>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</si>
  <si>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</si>
  <si>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</si>
  <si>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</si>
  <si>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</si>
  <si>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</si>
  <si>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</si>
  <si>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</si>
  <si>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</si>
  <si>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</si>
  <si>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</si>
  <si>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</si>
  <si>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</si>
  <si>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</si>
  <si>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337</t>
  </si>
  <si>
    <t>9962</t>
  </si>
  <si>
    <t>Funded Forward</t>
  </si>
  <si>
    <t>9945939</t>
  </si>
  <si>
    <t>מט"ח</t>
  </si>
  <si>
    <t>מדינה/איזור גאוגרפי</t>
  </si>
  <si>
    <t>מט"ח/שקל</t>
  </si>
  <si>
    <t>USD ILS</t>
  </si>
  <si>
    <t>05/11/2025 00:00:00</t>
  </si>
  <si>
    <t>09/02/2026 00:00:00</t>
  </si>
  <si>
    <t>ללא</t>
  </si>
  <si>
    <t>delivery</t>
  </si>
  <si>
    <t>הצד הנגדי</t>
  </si>
  <si>
    <t>חודשי</t>
  </si>
  <si>
    <t>0</t>
  </si>
  <si>
    <t>3.176</t>
  </si>
  <si>
    <t>POALILIT</t>
  </si>
  <si>
    <t>9945941</t>
  </si>
  <si>
    <t>EUR ILS</t>
  </si>
  <si>
    <t>3.736</t>
  </si>
  <si>
    <t>9946438</t>
  </si>
  <si>
    <t>25/11/2025 00:00:00</t>
  </si>
  <si>
    <t>9963</t>
  </si>
  <si>
    <t>1405</t>
  </si>
  <si>
    <t>9964</t>
  </si>
  <si>
    <t>1477</t>
  </si>
  <si>
    <t>9946410</t>
  </si>
  <si>
    <t>24/11/2025 00:00:00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</si>
  <si>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</si>
  <si>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</si>
  <si>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</si>
  <si>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</si>
  <si>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</si>
  <si>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</si>
  <si>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</si>
  <si>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</si>
  <si>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</si>
  <si>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</si>
  <si>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</si>
  <si>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</si>
  <si>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</si>
  <si>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</si>
  <si>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</si>
  <si>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</si>
  <si>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</si>
  <si>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</si>
  <si>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</si>
  <si>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</si>
  <si>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</si>
  <si>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</si>
  <si>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</si>
  <si>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570002618</t>
  </si>
  <si>
    <t>הלוואות לעמיתים</t>
  </si>
  <si>
    <t>1000090</t>
  </si>
  <si>
    <t>עמית/מבוטח</t>
  </si>
  <si>
    <t>הלוואה</t>
  </si>
  <si>
    <t>קבועה</t>
  </si>
  <si>
    <t>צמוד למדד אחר</t>
  </si>
  <si>
    <t>חסכון עמיתים/מבוטחים</t>
  </si>
  <si>
    <t>שפיצר</t>
  </si>
  <si>
    <t>מרווח הוגן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</si>
  <si>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</si>
  <si>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</si>
  <si>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</si>
  <si>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</si>
  <si>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</si>
  <si>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</si>
  <si>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</si>
  <si>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</si>
  <si>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</si>
  <si>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</si>
  <si>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</si>
  <si>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</si>
  <si>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</si>
  <si>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</si>
  <si>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זכויות בנכסי מקרקעין נדל"ן</t>
  </si>
  <si>
    <t>נדל"ן לא מניב</t>
  </si>
  <si>
    <t>22/12/2025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</si>
  <si>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</si>
  <si>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</si>
  <si>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</si>
  <si>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</si>
  <si>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</si>
  <si>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27960000</t>
  </si>
  <si>
    <t>חייבים וזכאים</t>
  </si>
  <si>
    <t>זכאים מס עמיתים</t>
  </si>
  <si>
    <t>28200000</t>
  </si>
  <si>
    <t>חייבים וזכאים מס</t>
  </si>
  <si>
    <t>28080000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</si>
  <si>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</si>
  <si>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</si>
  <si>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</si>
  <si>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</si>
  <si>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</si>
  <si>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</si>
  <si>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</si>
  <si>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</si>
  <si>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</si>
  <si>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</si>
  <si>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</si>
  <si>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</si>
  <si>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</si>
  <si>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</si>
  <si>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</si>
  <si>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</si>
  <si>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</si>
  <si>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</si>
  <si>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</si>
  <si>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</si>
  <si>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</si>
  <si>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</si>
  <si>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</si>
  <si>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</si>
  <si>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</si>
  <si>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</si>
  <si>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</si>
  <si>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</si>
  <si>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</si>
  <si>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</si>
  <si>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</si>
  <si>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</si>
  <si>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</si>
  <si>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</si>
  <si>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</si>
  <si>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</si>
  <si>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</si>
  <si>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</si>
  <si>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</si>
  <si>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</si>
  <si>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</si>
  <si>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</si>
  <si>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</si>
  <si>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</si>
  <si>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</si>
  <si>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</si>
  <si>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</si>
  <si>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</si>
  <si>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</si>
  <si>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</si>
  <si>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</si>
  <si>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</si>
  <si>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</si>
  <si>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</si>
  <si>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</si>
  <si>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</si>
  <si>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</si>
  <si>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</si>
  <si>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</si>
  <si>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</si>
  <si>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</si>
  <si>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</si>
  <si>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</si>
  <si>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</si>
  <si>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</si>
  <si>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</si>
  <si>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</si>
  <si>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</si>
  <si>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</si>
  <si>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</si>
  <si>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</si>
  <si>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</si>
  <si>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</si>
  <si>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</si>
  <si>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</si>
  <si>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</si>
  <si>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</si>
  <si>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</si>
  <si>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</si>
  <si>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</si>
  <si>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</si>
  <si>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</si>
  <si>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</si>
  <si>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</si>
  <si>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</si>
  <si>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</si>
  <si>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</si>
  <si>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</si>
  <si>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</si>
  <si>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</si>
  <si>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</si>
  <si>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</si>
  <si>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</si>
  <si>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</si>
  <si>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</si>
  <si>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</si>
  <si>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</si>
  <si>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</si>
  <si>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לפי הגדרת MSCI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</si>
  <si>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</si>
  <si>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</si>
  <si>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</si>
  <si>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</si>
  <si>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</si>
  <si>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</si>
  <si>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</si>
  <si>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</si>
  <si>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</si>
  <si>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</si>
  <si>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</si>
  <si>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</si>
  <si>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</si>
  <si>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</si>
  <si>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</si>
  <si>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</si>
  <si>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</si>
  <si>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</si>
  <si>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</si>
  <si>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</si>
  <si>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</si>
  <si>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</si>
  <si>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</si>
  <si>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</si>
  <si>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</si>
  <si>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</si>
  <si>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</si>
  <si>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</si>
  <si>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</si>
  <si>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</si>
  <si>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</si>
  <si>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</si>
  <si>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</si>
  <si>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</si>
  <si>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</si>
  <si>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</si>
  <si>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</si>
  <si>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</si>
  <si>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</si>
  <si>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</si>
  <si>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</si>
  <si>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</si>
  <si>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</si>
  <si>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</si>
  <si>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</si>
  <si>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</t>
  </si>
  <si>
    <t>CME - Chicago Mercantile Exchange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</si>
  <si>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</si>
  <si>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</si>
  <si>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</si>
  <si>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</si>
  <si>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</si>
  <si>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</si>
  <si>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</si>
  <si>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</si>
  <si>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</si>
  <si>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</si>
  <si>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</si>
  <si>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</si>
  <si>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</si>
  <si>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</si>
  <si>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</si>
  <si>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</si>
  <si>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</si>
  <si>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</si>
  <si>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</si>
  <si>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</si>
  <si>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</si>
  <si>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</si>
  <si>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</si>
  <si>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</si>
  <si>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</si>
  <si>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</si>
  <si>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</si>
  <si>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</si>
  <si>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</si>
  <si>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</si>
  <si>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</si>
  <si>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</si>
  <si>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</si>
  <si>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</si>
  <si>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</si>
  <si>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</si>
  <si>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</si>
  <si>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</si>
  <si>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</si>
  <si>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</si>
  <si>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</si>
  <si>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</si>
  <si>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</si>
  <si>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</si>
  <si>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</si>
  <si>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</si>
  <si>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</si>
  <si>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</si>
  <si>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</si>
  <si>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</si>
  <si>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</si>
  <si>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</si>
  <si>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</si>
  <si>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</si>
  <si>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</si>
  <si>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</si>
  <si>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</si>
  <si>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</si>
  <si>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</si>
  <si>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אופנה והלבשה</t>
  </si>
  <si>
    <t>אחסנה</t>
  </si>
  <si>
    <t>אנשים פרטיים</t>
  </si>
  <si>
    <t>השקעות במדעי החיים</t>
  </si>
  <si>
    <t>חברות ללא פעילות ומעטפת</t>
  </si>
  <si>
    <t>חברות מעטפת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</si>
  <si>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</si>
  <si>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</si>
  <si>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</si>
  <si>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</si>
  <si>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</si>
  <si>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</si>
  <si>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</si>
  <si>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</si>
  <si>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</si>
  <si>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</si>
  <si>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</si>
  <si>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</si>
  <si>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</si>
  <si>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</si>
  <si>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</si>
  <si>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</si>
  <si>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</si>
  <si>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</si>
  <si>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</si>
  <si>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</si>
  <si>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</si>
  <si>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</si>
  <si>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</si>
  <si>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</si>
  <si>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</si>
  <si>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</si>
  <si>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</si>
  <si>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</si>
  <si>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</si>
  <si>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</si>
  <si>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</si>
  <si>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</si>
  <si>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</si>
  <si>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</si>
  <si>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</si>
  <si>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</si>
  <si>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</si>
  <si>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</si>
  <si>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</si>
  <si>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</si>
  <si>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</si>
  <si>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</si>
  <si>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</si>
  <si>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</si>
  <si>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</si>
  <si>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</si>
  <si>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</si>
  <si>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</si>
  <si>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</si>
  <si>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</si>
  <si>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</si>
  <si>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</si>
  <si>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</si>
  <si>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</si>
  <si>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</si>
  <si>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</si>
  <si>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</si>
  <si>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</si>
  <si>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</si>
  <si>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</si>
  <si>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</si>
  <si>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</si>
  <si>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</si>
  <si>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</si>
  <si>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</si>
  <si>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</si>
  <si>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</si>
  <si>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</si>
  <si>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</si>
  <si>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</si>
  <si>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</si>
  <si>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</si>
  <si>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</si>
  <si>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</si>
  <si>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</si>
  <si>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</si>
  <si>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</si>
  <si>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</si>
  <si>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</si>
  <si>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</si>
  <si>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</si>
  <si>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</si>
  <si>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</si>
  <si>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</si>
  <si>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</si>
  <si>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35 מניות בארץ - מניות כללי-ת"א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</si>
  <si>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</si>
  <si>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</si>
  <si>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</si>
  <si>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</si>
  <si>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</si>
  <si>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</si>
  <si>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</si>
  <si>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</si>
  <si>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</si>
  <si>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</si>
  <si>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</si>
  <si>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</si>
  <si>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</si>
  <si>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</si>
  <si>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</si>
  <si>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</si>
  <si>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</si>
  <si>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</si>
  <si>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</si>
  <si>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</si>
  <si>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</si>
  <si>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</si>
  <si>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</si>
  <si>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</si>
  <si>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</si>
  <si>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</si>
  <si>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</si>
  <si>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</si>
  <si>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</si>
  <si>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</si>
  <si>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</si>
  <si>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</si>
  <si>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</si>
  <si>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</si>
  <si>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</si>
  <si>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</si>
  <si>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</si>
  <si>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</si>
  <si>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</si>
  <si>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</si>
  <si>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</si>
  <si>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</si>
  <si>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</si>
  <si>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</si>
  <si>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</si>
  <si>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</si>
  <si>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</si>
  <si>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</si>
  <si>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</si>
  <si>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</si>
  <si>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</si>
  <si>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</si>
  <si>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</si>
  <si>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</si>
  <si>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</si>
  <si>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</si>
  <si>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</si>
  <si>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</si>
  <si>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</si>
  <si>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</si>
  <si>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</si>
  <si>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</si>
  <si>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</si>
  <si>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</si>
  <si>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</si>
  <si>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</si>
  <si>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</si>
  <si>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</si>
  <si>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</si>
  <si>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</si>
  <si>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</si>
  <si>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</si>
  <si>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</si>
  <si>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</si>
  <si>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</si>
  <si>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</si>
  <si>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</si>
  <si>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</si>
  <si>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</si>
  <si>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</si>
  <si>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</si>
  <si>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</si>
  <si>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</si>
  <si>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</si>
  <si>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</si>
  <si>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</si>
  <si>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</si>
  <si>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</si>
  <si>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</si>
  <si>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</si>
  <si>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</si>
  <si>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</si>
  <si>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</si>
  <si>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</si>
  <si>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</si>
  <si>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</si>
  <si>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</si>
  <si>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</si>
  <si>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</si>
  <si>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</si>
  <si>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</si>
  <si>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</si>
  <si>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</si>
  <si>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</si>
  <si>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</si>
  <si>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</si>
  <si>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</si>
  <si>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</si>
  <si>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</si>
  <si>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</si>
  <si>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</si>
  <si>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</si>
  <si>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</si>
  <si>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</si>
  <si>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</si>
  <si>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</si>
  <si>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</si>
  <si>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</si>
  <si>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</si>
  <si>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</si>
  <si>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</si>
  <si>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</si>
  <si>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</si>
  <si>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</si>
  <si>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</si>
  <si>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</si>
  <si>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</si>
  <si>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</si>
  <si>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</si>
  <si>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</si>
  <si>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</si>
  <si>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</si>
  <si>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</si>
  <si>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</si>
  <si>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</si>
  <si>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</si>
  <si>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</si>
  <si>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</si>
  <si>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</si>
  <si>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</si>
  <si>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</si>
  <si>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</si>
  <si>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</si>
  <si>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</si>
  <si>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</si>
  <si>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</si>
  <si>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</si>
  <si>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</si>
  <si>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</si>
  <si>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</si>
  <si>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</si>
  <si>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</si>
  <si>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</si>
  <si>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</si>
  <si>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</si>
  <si>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</si>
  <si>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</si>
  <si>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</si>
  <si>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</si>
  <si>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</si>
  <si>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</si>
  <si>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</si>
  <si>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</si>
  <si>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</si>
  <si>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</si>
  <si>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</si>
  <si>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</si>
  <si>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</si>
  <si>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</si>
  <si>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</si>
  <si>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</si>
  <si>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</si>
  <si>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</si>
  <si>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</si>
  <si>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</si>
  <si>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</si>
  <si>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</si>
  <si>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</si>
  <si>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</si>
  <si>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</si>
  <si>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</si>
  <si>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</si>
  <si>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</si>
  <si>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</si>
  <si>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</si>
  <si>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</si>
  <si>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</si>
  <si>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</si>
  <si>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</si>
  <si>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</si>
  <si>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</si>
  <si>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</si>
  <si>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</si>
  <si>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</si>
  <si>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</si>
  <si>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</si>
  <si>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</si>
  <si>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</si>
  <si>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</si>
  <si>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</si>
  <si>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</si>
  <si>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</si>
  <si>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</si>
  <si>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</si>
  <si>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</si>
  <si>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</si>
  <si>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</si>
  <si>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</si>
  <si>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</si>
  <si>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</si>
  <si>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</si>
  <si>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</si>
  <si>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</si>
  <si>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</si>
  <si>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</si>
  <si>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</si>
  <si>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</si>
  <si>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</si>
  <si>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</si>
  <si>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</si>
  <si>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</si>
  <si>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</si>
  <si>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</si>
  <si>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</si>
  <si>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</si>
  <si>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</si>
  <si>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</si>
  <si>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</si>
  <si>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</si>
  <si>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</si>
  <si>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</si>
  <si>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</si>
  <si>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</si>
  <si>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</si>
  <si>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</si>
  <si>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</si>
  <si>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</si>
  <si>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</si>
  <si>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</si>
  <si>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</si>
  <si>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</si>
  <si>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</si>
  <si>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</si>
  <si>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</si>
  <si>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</si>
  <si>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</si>
  <si>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</si>
  <si>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</si>
  <si>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</si>
  <si>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</si>
  <si>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</si>
  <si>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</si>
  <si>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</si>
  <si>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</si>
  <si>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</si>
  <si>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</si>
  <si>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</si>
  <si>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</si>
  <si>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</si>
  <si>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</si>
  <si>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</si>
  <si>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</si>
  <si>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</si>
  <si>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</si>
  <si>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</si>
  <si>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</si>
  <si>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</si>
  <si>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</si>
  <si>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</si>
  <si>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</si>
  <si>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</si>
  <si>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</si>
  <si>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</si>
  <si>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קיימת תלות</t>
  </si>
  <si>
    <t>עלות מופחתת</t>
  </si>
  <si>
    <t>יומי</t>
  </si>
  <si>
    <t>שבועי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</si>
  <si>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</si>
  <si>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</si>
  <si>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</si>
  <si>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</si>
  <si>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</si>
  <si>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</si>
  <si>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</si>
  <si>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</si>
  <si>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</si>
  <si>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</si>
  <si>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</si>
  <si>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</si>
  <si>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</si>
  <si>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</si>
  <si>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</si>
  <si>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</si>
  <si>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</si>
  <si>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</si>
  <si>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</si>
  <si>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</si>
  <si>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</si>
  <si>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</si>
  <si>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</si>
  <si>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</si>
  <si>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</si>
  <si>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</si>
  <si>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</si>
  <si>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</si>
  <si>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</si>
  <si>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</si>
  <si>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</si>
  <si>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</si>
  <si>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</si>
  <si>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</si>
  <si>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</si>
  <si>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</si>
  <si>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</si>
  <si>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</si>
  <si>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</si>
  <si>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</si>
  <si>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</si>
  <si>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</si>
  <si>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</si>
  <si>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</si>
  <si>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</si>
  <si>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</si>
  <si>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</si>
  <si>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</si>
  <si>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</si>
  <si>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קבועה</t>
  </si>
  <si>
    <t>צמוד מט"ח בריבית משתנה</t>
  </si>
  <si>
    <t>ניירות ערך מסחריים</t>
  </si>
  <si>
    <t>איגרות חוב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</si>
  <si>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</si>
  <si>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</si>
  <si>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</si>
  <si>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</si>
  <si>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</si>
  <si>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</si>
  <si>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</si>
  <si>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</si>
  <si>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</si>
  <si>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</si>
  <si>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</si>
  <si>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</si>
  <si>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</si>
  <si>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</si>
  <si>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</si>
  <si>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</si>
  <si>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</si>
  <si>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</si>
  <si>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</si>
  <si>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</si>
  <si>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</si>
  <si>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</si>
  <si>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</si>
  <si>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</si>
  <si>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</si>
  <si>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</si>
  <si>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</si>
  <si>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</si>
  <si>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</si>
  <si>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</si>
  <si>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</si>
  <si>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</si>
  <si>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</si>
  <si>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</si>
  <si>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</si>
  <si>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</si>
  <si>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</si>
  <si>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</si>
  <si>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</si>
  <si>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</si>
  <si>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</si>
  <si>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</si>
  <si>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</si>
  <si>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</si>
  <si>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</si>
  <si>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</si>
  <si>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</si>
  <si>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</si>
  <si>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</si>
  <si>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</si>
  <si>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</si>
  <si>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</si>
  <si>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</si>
  <si>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</si>
  <si>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</si>
  <si>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</si>
  <si>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</si>
  <si>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</si>
  <si>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</si>
  <si>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</si>
  <si>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</si>
  <si>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</si>
  <si>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</si>
  <si>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</si>
  <si>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</si>
  <si>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</si>
  <si>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</si>
  <si>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</si>
  <si>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</si>
  <si>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</si>
  <si>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</si>
  <si>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</si>
  <si>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</si>
  <si>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</si>
  <si>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</si>
  <si>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</si>
  <si>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</si>
  <si>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</si>
  <si>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</si>
  <si>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</si>
  <si>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</si>
  <si>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</si>
  <si>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</si>
  <si>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</si>
  <si>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</si>
  <si>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</si>
  <si>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</si>
  <si>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</si>
  <si>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</si>
  <si>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</si>
  <si>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</si>
  <si>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</si>
  <si>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</si>
  <si>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</si>
  <si>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</si>
  <si>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</si>
  <si>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</si>
  <si>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</si>
  <si>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</si>
  <si>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</si>
  <si>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</si>
  <si>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</si>
  <si>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</si>
  <si>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</si>
  <si>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</si>
  <si>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</si>
  <si>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</si>
  <si>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</si>
  <si>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</si>
  <si>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</si>
  <si>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</si>
  <si>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</si>
  <si>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</si>
  <si>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</si>
  <si>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</si>
  <si>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</si>
  <si>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</si>
  <si>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</si>
  <si>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</si>
  <si>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</si>
  <si>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</si>
  <si>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</si>
  <si>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</si>
  <si>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</si>
  <si>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</si>
  <si>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</si>
  <si>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</si>
  <si>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</si>
  <si>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</si>
  <si>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</si>
  <si>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</si>
  <si>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</si>
  <si>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</si>
  <si>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</si>
  <si>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</si>
  <si>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</si>
  <si>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</si>
  <si>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</si>
  <si>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</si>
  <si>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</si>
  <si>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</si>
  <si>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</si>
  <si>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</si>
  <si>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</si>
  <si>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</si>
  <si>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</si>
  <si>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</si>
  <si>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</si>
  <si>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</si>
  <si>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</si>
  <si>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</si>
  <si>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</si>
  <si>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</si>
  <si>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</si>
  <si>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</si>
  <si>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</si>
  <si>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</si>
  <si>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</si>
  <si>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</si>
  <si>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</si>
  <si>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</si>
  <si>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</si>
  <si>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</si>
  <si>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</si>
  <si>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</si>
  <si>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</si>
  <si>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</si>
  <si>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</si>
  <si>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</si>
  <si>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</si>
  <si>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</si>
  <si>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</si>
  <si>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</si>
  <si>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</si>
  <si>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</si>
  <si>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</si>
  <si>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</si>
  <si>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</si>
  <si>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</si>
  <si>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</si>
  <si>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</si>
  <si>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</si>
  <si>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</si>
  <si>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</si>
  <si>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</si>
  <si>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</si>
  <si>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</si>
  <si>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</si>
  <si>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</si>
  <si>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</si>
  <si>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</si>
  <si>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</si>
  <si>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</si>
  <si>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</si>
  <si>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</si>
  <si>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</si>
  <si>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</si>
  <si>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</si>
  <si>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</si>
  <si>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</si>
  <si>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</si>
  <si>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</si>
  <si>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</si>
  <si>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</si>
  <si>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</si>
  <si>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</si>
  <si>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</si>
  <si>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</si>
  <si>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</si>
  <si>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</si>
  <si>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</si>
  <si>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</si>
  <si>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</si>
  <si>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</si>
  <si>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</si>
  <si>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</si>
  <si>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</si>
  <si>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</si>
  <si>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</si>
  <si>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</si>
  <si>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</si>
  <si>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</si>
  <si>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</si>
  <si>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</si>
  <si>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</si>
  <si>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</si>
  <si>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</si>
  <si>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</si>
  <si>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</si>
  <si>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</si>
  <si>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</si>
  <si>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</si>
  <si>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</si>
  <si>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</si>
  <si>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</si>
  <si>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</si>
  <si>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</si>
  <si>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</si>
  <si>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</si>
  <si>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</si>
  <si>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</si>
  <si>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</si>
  <si>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</si>
  <si>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</si>
  <si>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</si>
  <si>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</si>
  <si>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</si>
  <si>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</si>
  <si>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</si>
  <si>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</si>
  <si>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</si>
  <si>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</si>
  <si>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</si>
  <si>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</si>
  <si>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</si>
  <si>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</si>
  <si>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</si>
  <si>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</si>
  <si>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</si>
  <si>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</si>
  <si>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</si>
  <si>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</si>
  <si>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</si>
  <si>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</si>
  <si>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</si>
  <si>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</si>
  <si>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</si>
  <si>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</si>
  <si>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</si>
  <si>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</si>
  <si>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</si>
  <si>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</si>
  <si>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</si>
  <si>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</si>
  <si>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</si>
  <si>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</si>
  <si>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</si>
  <si>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</si>
  <si>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</si>
  <si>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</si>
  <si>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</si>
  <si>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</si>
  <si>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</si>
  <si>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</si>
  <si>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10-800</t>
  </si>
  <si>
    <t>HKD</t>
  </si>
  <si>
    <t>JPY</t>
  </si>
  <si>
    <t>CAD</t>
  </si>
  <si>
    <t>54930013V5I303TF9571</t>
  </si>
  <si>
    <t>KKR &amp; CO. Inc</t>
  </si>
  <si>
    <t>IL0011708364</t>
  </si>
  <si>
    <t>לכל מטרה</t>
  </si>
  <si>
    <t>פומבדיתא 4 תל אביב</t>
  </si>
  <si>
    <t xml:space="preserve">יצחק בן נוב, שמאי מקרקעין </t>
  </si>
  <si>
    <t>12-591</t>
  </si>
  <si>
    <t>חוז מנהלת</t>
  </si>
  <si>
    <t>רועי בידה- חשב</t>
  </si>
  <si>
    <t>roy@bidacpa.com</t>
  </si>
  <si>
    <t>052-6674040</t>
  </si>
  <si>
    <t>Gatewood Capital GP LLC</t>
  </si>
  <si>
    <t>[GATEWOOD FUND (IBI)</t>
  </si>
  <si>
    <t xml:space="preserve">Alto Fund III GP, LLC  </t>
  </si>
  <si>
    <t>81-4386819</t>
  </si>
  <si>
    <t>ALTO III</t>
  </si>
  <si>
    <t>AMI GP L.P. Inc</t>
  </si>
  <si>
    <t>AMI OPPORTUNIT</t>
  </si>
  <si>
    <t>ARKIN BIO CAPITAL, LIMITED PARTNERSHIP</t>
  </si>
  <si>
    <t>Avenue Global Dislocation Opportunities GenPar, LLC,</t>
  </si>
  <si>
    <t>Bain Capital Distressed and Special Situations 2019 Investors, LLC</t>
  </si>
  <si>
    <t xml:space="preserve">98-1467575 </t>
  </si>
  <si>
    <t>Coller Credit Opportunities I General Partner, L.P.</t>
  </si>
  <si>
    <t>HarbourVest GP LLC</t>
  </si>
  <si>
    <t>Dover Street XI L.P. Dover Street XI L.P</t>
  </si>
  <si>
    <t>Electra America Hospitality AKA LLC</t>
  </si>
  <si>
    <t>86-3690594</t>
  </si>
  <si>
    <t>FORMA EUROPEAN FUND II GENERAL PARTNER LTD</t>
  </si>
  <si>
    <t>Forma European Fund II LP Forma European Fund II</t>
  </si>
  <si>
    <t>FORMA FUND GENERAL PARTNER LTD</t>
  </si>
  <si>
    <t>EQT Infrastructure V (General Partner) S.à r.l.</t>
  </si>
  <si>
    <t>B243962</t>
  </si>
  <si>
    <t>Fund EQT Infrastructure V</t>
  </si>
  <si>
    <t>Hanaco II GP, L.P.</t>
  </si>
  <si>
    <t>Hanaco II L.P</t>
  </si>
  <si>
    <t>HarbouVest Partners, LLC</t>
  </si>
  <si>
    <t>HARBOURVEST ACCESS CO INVEST V</t>
  </si>
  <si>
    <t>HARBOURVEST ACCESS DOVER X</t>
  </si>
  <si>
    <t>HGI Multifamily Credit Fund GP LLC</t>
  </si>
  <si>
    <t xml:space="preserve">HGI Multifamily Credit Fund, LP </t>
  </si>
  <si>
    <t>ISFM GPLP LTD</t>
  </si>
  <si>
    <t>ISF II</t>
  </si>
  <si>
    <t>Kedma Capital III G.P.L.P Limited Partnership</t>
  </si>
  <si>
    <t>Special Situations 2019 Investors, LLC</t>
  </si>
  <si>
    <t>KLIRMARK III</t>
  </si>
  <si>
    <t>CO – 121764</t>
  </si>
  <si>
    <t>Klirmark Opportunity Fund IV, L.P</t>
  </si>
  <si>
    <t>LLCP LMM III GP L.P</t>
  </si>
  <si>
    <t>MACQUARIE INFRASTRUCTURE PARTNERS GP LLC</t>
  </si>
  <si>
    <t>Madison Realty Capital Debt Fund VI GP LLC</t>
  </si>
  <si>
    <t>OEP VIII General Partner L.P</t>
  </si>
  <si>
    <t>One Equity Partners VIII, L.P.</t>
  </si>
  <si>
    <t>Pantheon PGIF IV GP (LUX) S.à r.l</t>
  </si>
  <si>
    <t>PEREGRINE VENTURES GROWTH GENERAL PARTNER, LIMITED PARTNERSHIP</t>
  </si>
  <si>
    <t>Peregrin Growth</t>
  </si>
  <si>
    <t>PGCO IV GP S.à r.l.</t>
  </si>
  <si>
    <t>B B222234</t>
  </si>
  <si>
    <t>PGCO IV I פנתאון</t>
  </si>
  <si>
    <t>Qumra Opportunity Fund GP, L.P.</t>
  </si>
  <si>
    <t>Qumra Opportunity</t>
  </si>
  <si>
    <t>STATE OF MIND VENTURES GP LIMITED PARTNERSHIP</t>
  </si>
  <si>
    <t>Starlight Bond FP I GP LIMITED</t>
  </si>
  <si>
    <t>RN157039</t>
  </si>
  <si>
    <t>Target Global Growth II GP S.à r.l.</t>
  </si>
  <si>
    <t>Vertex Venturs Partners LTD</t>
  </si>
  <si>
    <t>Vestar Capital Partners GP</t>
  </si>
  <si>
    <t>549300WW8RO3OMLV4Z13</t>
  </si>
  <si>
    <t>VIOLA CREDIT GL II, LIMITED PARTNERSHIP</t>
  </si>
  <si>
    <t>Viola Opportunity GP I, L.P.,</t>
  </si>
  <si>
    <t>VIOLA OPPORTUNITY I</t>
  </si>
  <si>
    <t>יסודות מעטפת פיננסית ג'יפי שותפות מוגבלת</t>
  </si>
  <si>
    <t>יסודות נדל"ן ג' פיתוח ושותפות I</t>
  </si>
  <si>
    <t>PGSF VI GP S.à r.l</t>
  </si>
  <si>
    <t>B 219908</t>
  </si>
  <si>
    <t>פנתאון PGSF VI</t>
  </si>
  <si>
    <t>COGITO CAPITAL FUND II GENERAL PARTNER LTD</t>
  </si>
  <si>
    <t>EdR Real Estate (Eastern Europe) Management S.à r.l,</t>
  </si>
  <si>
    <t>קרן רוטשילד נדלן</t>
  </si>
  <si>
    <t>ISRAEL INFRASTRUCTURE G.P. 4, LIMITED PARTNERSHIP</t>
  </si>
  <si>
    <t>תשתיות ישראל 4</t>
  </si>
  <si>
    <t>Ares CIP Mangement II,L.P.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</si>
</sst>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10" fillId="0" borderId="0"/>
    <xf numFmtId="0" fontId="10" fillId="0" borderId="0"/>
    <xf numFmtId="0" fontId="25" fillId="0" borderId="20"/>
    <xf numFmtId="9" fontId="3" fillId="0" borderId="0" applyFont="0" applyFill="0" applyBorder="0" applyAlignment="0" applyProtection="0"/>
    <xf numFmtId="0" fontId="2" fillId="0" borderId="0"/>
  </cellStyleXfs>
  <cellXfs count="22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8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5" fillId="0" borderId="0" xfId="0" applyNumberFormat="1" applyFont="1" applyFill="1" applyBorder="1" applyProtection="1">
      <protection locked="0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14" fillId="0" borderId="0" xfId="0" applyNumberFormat="1" applyFont="1" applyFill="1" applyBorder="1" applyProtection="1">
      <protection locked="0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3" fillId="0" borderId="0" xfId="0" applyNumberFormat="1" applyFont="1" applyFill="1" applyBorder="1"/>
    <xf numFmtId="0" fontId="5" fillId="0" borderId="0" xfId="0" applyNumberFormat="1" applyFont="1" applyFill="1" applyBorder="1"/>
    <xf numFmtId="0" fontId="4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3" fillId="6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4" fontId="5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/>
    <xf numFmtId="166" fontId="4" fillId="0" borderId="0" xfId="0" applyNumberFormat="1" applyFont="1" applyFill="1" applyBorder="1"/>
    <xf numFmtId="167" fontId="4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5" fillId="0" borderId="0" xfId="0" applyNumberFormat="1" applyFont="1" applyFill="1" applyBorder="1" applyProtection="1">
      <protection locked="0"/>
    </xf>
    <xf numFmtId="167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8" fontId="8" fillId="3" borderId="2" xfId="0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Border="1" applyProtection="1">
      <protection locked="0"/>
    </xf>
    <xf numFmtId="168" fontId="5" fillId="0" borderId="0" xfId="0" applyNumberFormat="1" applyFont="1" applyFill="1" applyBorder="1"/>
    <xf numFmtId="168" fontId="8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0" fontId="8" fillId="3" borderId="2" xfId="0" applyNumberFormat="1" applyFont="1" applyFill="1" applyBorder="1" applyAlignment="1">
      <alignment horizontal="center" vertical="center" wrapText="1"/>
    </xf>
    <xf numFmtId="10" fontId="5" fillId="0" borderId="0" xfId="0" applyNumberFormat="1" applyFont="1" applyFill="1" applyBorder="1" applyProtection="1">
      <protection locked="0"/>
    </xf>
    <xf numFmtId="2" fontId="8" fillId="3" borderId="2" xfId="0" applyNumberFormat="1" applyFont="1" applyFill="1" applyBorder="1" applyAlignment="1">
      <alignment horizontal="center" vertical="center" wrapText="1"/>
    </xf>
    <xf numFmtId="167" fontId="3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/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167" fontId="9" fillId="0" borderId="10" xfId="4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right"/>
    </xf>
    <xf numFmtId="0" fontId="8" fillId="3" borderId="2" xfId="0" applyNumberFormat="1" applyFont="1" applyFill="1" applyBorder="1" applyAlignment="1">
      <alignment horizontal="right" vertical="center" wrapText="1"/>
    </xf>
    <xf numFmtId="0" fontId="5" fillId="0" borderId="0" xfId="0" applyNumberFormat="1" applyFont="1" applyFill="1" applyBorder="1" applyAlignment="1" applyProtection="1">
      <alignment horizontal="right"/>
      <protection locked="0"/>
    </xf>
    <xf numFmtId="0" fontId="4" fillId="0" borderId="0" xfId="0" applyNumberFormat="1" applyFont="1" applyFill="1" applyBorder="1" applyAlignment="1" applyProtection="1">
      <alignment horizontal="right"/>
      <protection locked="0"/>
    </xf>
    <xf numFmtId="0" fontId="4" fillId="0" borderId="0" xfId="0" applyNumberFormat="1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0" fontId="4" fillId="0" borderId="0" xfId="0" applyFont="1" applyProtection="1">
      <protection locked="0"/>
    </xf>
    <xf numFmtId="14" fontId="5" fillId="0" borderId="0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13" fillId="5" borderId="11" xfId="1" applyFont="1" applyFill="1" applyBorder="1" applyAlignment="1" applyProtection="1">
      <alignment horizontal="right" vertical="center" wrapText="1"/>
      <protection locked="0"/>
    </xf>
    <xf numFmtId="0" fontId="13" fillId="5" borderId="11" xfId="1" applyFont="1" applyFill="1" applyBorder="1" applyAlignment="1">
      <alignment horizontal="right" vertical="center" wrapText="1"/>
    </xf>
    <xf numFmtId="0" fontId="15" fillId="3" borderId="7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0" fillId="0" borderId="0" xfId="0"/>
    <xf numFmtId="0" fontId="13" fillId="5" borderId="0" xfId="1" applyFont="1" applyFill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Alignment="1">
      <alignment horizontal="right"/>
    </xf>
    <xf numFmtId="0" fontId="13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4" borderId="0" xfId="0" applyFont="1" applyFill="1"/>
    <xf numFmtId="0" fontId="13" fillId="5" borderId="11" xfId="1" applyFont="1" applyFill="1" applyBorder="1" applyAlignment="1" applyProtection="1">
      <alignment vertical="center" wrapText="1"/>
      <protection locked="0"/>
    </xf>
    <xf numFmtId="0" fontId="12" fillId="0" borderId="0" xfId="0" applyFont="1"/>
    <xf numFmtId="0" fontId="6" fillId="4" borderId="0" xfId="0" applyFont="1" applyFill="1" applyAlignment="1">
      <alignment horizontal="right" vertical="top"/>
    </xf>
    <xf numFmtId="0" fontId="0" fillId="0" borderId="0" xfId="0" applyAlignment="1">
      <alignment horizontal="right" vertical="center" wrapText="1"/>
    </xf>
    <xf numFmtId="10" fontId="0" fillId="0" borderId="0" xfId="4" applyNumberFormat="1" applyFont="1" applyFill="1"/>
    <xf numFmtId="0" fontId="3" fillId="0" borderId="0" xfId="0" applyFont="1" applyFill="1"/>
    <xf numFmtId="0" fontId="0" fillId="0" borderId="0" xfId="0" applyFill="1"/>
    <xf numFmtId="0" fontId="3" fillId="0" borderId="0" xfId="0" applyFont="1" applyFill="1" applyAlignment="1">
      <alignment horizontal="left"/>
    </xf>
    <xf numFmtId="14" fontId="0" fillId="0" borderId="0" xfId="0" applyNumberFormat="1" applyFill="1"/>
    <xf numFmtId="2" fontId="0" fillId="0" borderId="0" xfId="0" applyNumberFormat="1" applyFill="1"/>
    <xf numFmtId="14" fontId="3" fillId="0" borderId="0" xfId="0" applyNumberFormat="1" applyFont="1" applyFill="1"/>
    <xf numFmtId="14" fontId="2" fillId="0" borderId="0" xfId="5" applyNumberFormat="1" applyFill="1"/>
    <xf numFmtId="0" fontId="3" fillId="0" borderId="0" xfId="5" applyFont="1" applyFill="1" applyAlignment="1">
      <alignment horizontal="right"/>
    </xf>
    <xf numFmtId="0" fontId="2" fillId="0" borderId="0" xfId="5" applyFill="1"/>
    <xf numFmtId="14" fontId="3" fillId="0" borderId="0" xfId="5" applyNumberFormat="1" applyFont="1" applyFill="1"/>
    <xf numFmtId="0" fontId="0" fillId="0" borderId="0" xfId="5" applyFont="1" applyFill="1" applyAlignment="1">
      <alignment horizontal="left"/>
    </xf>
    <xf numFmtId="0" fontId="3" fillId="0" borderId="0" xfId="5" applyFont="1" applyFill="1" applyProtection="1">
      <protection locked="0"/>
    </xf>
    <xf numFmtId="10" fontId="9" fillId="0" borderId="10" xfId="4" applyNumberFormat="1" applyFont="1" applyFill="1" applyBorder="1" applyAlignment="1">
      <alignment horizontal="center" vertical="center" wrapText="1"/>
    </xf>
    <xf numFmtId="10" fontId="25" fillId="0" borderId="20" xfId="4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Border="1" applyAlignment="1">
      <alignment horizontal="left"/>
    </xf>
  </cellXfs>
  <cellStyles count="6">
    <cellStyle name="Normal" xfId="0" builtinId="0"/>
    <cellStyle name="Normal 2" xfId="5" xr:uid="{E5B9C683-C4BC-473E-9CAE-F06E9C549927}"/>
    <cellStyle name="Normal 3" xfId="1" xr:uid="{00000000-0005-0000-0000-000001000000}"/>
    <cellStyle name="Normal 9" xfId="2" xr:uid="{00000000-0005-0000-0000-000002000000}"/>
    <cellStyle name="Percent" xfId="4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5">
          <cell r="A35" t="str">
            <v>הפניקס חברה לביטוח בע"מ</v>
          </cell>
          <cell r="B35">
            <v>520023185</v>
          </cell>
        </row>
        <row r="36">
          <cell r="A36" t="str">
            <v>כלל חברה לביטוח בע"מ</v>
          </cell>
          <cell r="B36">
            <v>520024647</v>
          </cell>
        </row>
        <row r="37">
          <cell r="A37" t="str">
            <v>מגדל חברה לביטוח בע"מ</v>
          </cell>
          <cell r="B37">
            <v>520004896</v>
          </cell>
        </row>
        <row r="38">
          <cell r="A38" t="str">
            <v>מנורה מבטחים ביטוח בע"מ</v>
          </cell>
          <cell r="B38">
            <v>520042540</v>
          </cell>
        </row>
        <row r="39">
          <cell r="A39" t="str">
            <v>אשרא החברה הישראלית לביטוח סיכוני סחר חוץ בע"מ</v>
          </cell>
          <cell r="B39">
            <v>520021916</v>
          </cell>
        </row>
        <row r="40">
          <cell r="A40" t="str">
            <v>שומרה חברה לביטוח בע"מ</v>
          </cell>
          <cell r="B40">
            <v>510015951</v>
          </cell>
        </row>
        <row r="41">
          <cell r="A41" t="str">
            <v>כלל ביטוח אשראי בע"מ</v>
          </cell>
          <cell r="B41">
            <v>510888985</v>
          </cell>
        </row>
        <row r="42">
          <cell r="A42" t="str">
            <v>הכשרה חברה לביטוח בע"מ</v>
          </cell>
          <cell r="B42">
            <v>520042177</v>
          </cell>
        </row>
        <row r="43">
          <cell r="A43" t="str">
            <v>ענבל חברה לביטוח בע"מ</v>
          </cell>
          <cell r="B43">
            <v>520031030</v>
          </cell>
        </row>
        <row r="44">
          <cell r="A44" t="str">
            <v>איילון חברה לביטוח בע"מ</v>
          </cell>
          <cell r="B44">
            <v>520030677</v>
          </cell>
        </row>
        <row r="45">
          <cell r="A45" t="str">
            <v>ש. שלמה חברה לביטוח בע"מ</v>
          </cell>
          <cell r="B45">
            <v>513879189</v>
          </cell>
        </row>
        <row r="46">
          <cell r="A46" t="str">
            <v>קנט - קרן לביטוח נזקי טבע בחקלאות</v>
          </cell>
          <cell r="B46">
            <v>520027848</v>
          </cell>
        </row>
        <row r="47">
          <cell r="A47" t="str">
            <v>ביטוח חקלאי - אגודה שיתופית מרכזית בע"מ</v>
          </cell>
          <cell r="B47">
            <v>570003152</v>
          </cell>
        </row>
        <row r="48">
          <cell r="A48" t="str">
            <v>איי. די. איי. חברה לביטוח בע"מ</v>
          </cell>
          <cell r="B48">
            <v>513910703</v>
          </cell>
        </row>
        <row r="49">
          <cell r="A49" t="str">
            <v>איי אי ג'י ישראל חברה לביטוח בע"מ</v>
          </cell>
          <cell r="B49">
            <v>512304882</v>
          </cell>
        </row>
        <row r="50">
          <cell r="A50" t="str">
            <v>אי. אם. איי-עזר חברה לביטוח משכנתאות בע"מ</v>
          </cell>
          <cell r="B50">
            <v>512310509</v>
          </cell>
        </row>
        <row r="51">
          <cell r="A51" t="str">
            <v>שירביט חברה לביטוח בע"מ</v>
          </cell>
          <cell r="B51">
            <v>512904608</v>
          </cell>
        </row>
        <row r="52">
          <cell r="A52" t="str">
            <v>קרנית-קרן לפיצוי נפגעי  תאונות דרכים</v>
          </cell>
          <cell r="B52">
            <v>500500376</v>
          </cell>
        </row>
        <row r="53">
          <cell r="A53" t="str">
            <v>ב.ס.ס.ח. - החברה הישראלית לביטוח אשראי בע"מ</v>
          </cell>
          <cell r="B53">
            <v>520044025</v>
          </cell>
        </row>
        <row r="54">
          <cell r="A54" t="str">
            <v>התאגיד המנהל של המאגר לביטוח רכב חובה ("הפול") בע"מ</v>
          </cell>
          <cell r="B54">
            <v>513136895</v>
          </cell>
        </row>
        <row r="55">
          <cell r="A55" t="str">
            <v>הראל חברה לביטוח בע"מ</v>
          </cell>
          <cell r="B55">
            <v>520004078</v>
          </cell>
        </row>
        <row r="56">
          <cell r="A56" t="str">
            <v>ליברה חברה לביטוח בע"מ</v>
          </cell>
          <cell r="B56">
            <v>515761625</v>
          </cell>
        </row>
        <row r="57">
          <cell r="A57" t="str">
            <v>ווישור חברה לביטוח בע"מ</v>
          </cell>
          <cell r="B57">
            <v>515764868</v>
          </cell>
        </row>
        <row r="58">
          <cell r="A58" t="str">
            <v>דיויד שילד חברה לביטוח בע"מ</v>
          </cell>
          <cell r="B58">
            <v>515859379</v>
          </cell>
        </row>
        <row r="59">
          <cell r="A59" t="str">
            <v>אנקור חברה לביטוח בע"מ</v>
          </cell>
          <cell r="B59">
            <v>516687407</v>
          </cell>
        </row>
        <row r="60">
          <cell r="A60" t="str">
            <v>סקוריטס חברה לביטוח בע"מ</v>
          </cell>
          <cell r="B60">
            <v>516885639</v>
          </cell>
        </row>
        <row r="61">
          <cell r="A61" t="str">
            <v>עוצ"מ - אגודה שיתופית לניהול קופות גמל בע"מ</v>
          </cell>
          <cell r="B61">
            <v>570009449</v>
          </cell>
        </row>
        <row r="62">
          <cell r="A62" t="str">
            <v>החברה לניהול קרן השתלמות לאקדמאים במדעי החברה והרוח בע"מ</v>
          </cell>
          <cell r="B62">
            <v>520027954</v>
          </cell>
        </row>
        <row r="63">
          <cell r="A63" t="str">
            <v>מחוג - מינהל גמל לעובדי חברת חשמל לישראל בע"מ</v>
          </cell>
          <cell r="B63">
            <v>512362914</v>
          </cell>
        </row>
        <row r="64">
          <cell r="A64" t="str">
            <v>אנליסט קופות גמל בע"מ</v>
          </cell>
          <cell r="B64">
            <v>511880460</v>
          </cell>
        </row>
        <row r="65">
          <cell r="A65" t="str">
            <v>קרן החסכון לצבא הקבע - חברה לניהול קופות גמל בע"מ</v>
          </cell>
          <cell r="B65">
            <v>511033060</v>
          </cell>
        </row>
        <row r="66">
          <cell r="A66" t="str">
            <v>קרן הביטוח והפנסיה של פועלי בנין ועבודות ציבוריות אגודה שיתופית בע"מ</v>
          </cell>
          <cell r="B66">
            <v>570005850</v>
          </cell>
        </row>
        <row r="67">
          <cell r="A67" t="str">
            <v>לאומי קמ"פ בע"מ</v>
          </cell>
          <cell r="B67">
            <v>510694821</v>
          </cell>
        </row>
        <row r="68">
          <cell r="A68" t="str">
            <v>הגומל חברה לניהול קופות גמל  בע"מ</v>
          </cell>
          <cell r="B68">
            <v>520027624</v>
          </cell>
        </row>
        <row r="69">
          <cell r="A69" t="str">
            <v>מנורה מבטחים והסתדרות המהנדסים ניהול קופות גמל בע"מ</v>
          </cell>
          <cell r="B69">
            <v>520027715</v>
          </cell>
        </row>
        <row r="70">
          <cell r="A70" t="str">
            <v>החברה לניהול קרן השתלמות למשפטנים בע"מ</v>
          </cell>
          <cell r="B70">
            <v>520028861</v>
          </cell>
        </row>
        <row r="71">
          <cell r="A71" t="str">
            <v>החברה לניהול קרן השתלמות לביוכימאים  ומקרוביולוגים בע"מ</v>
          </cell>
          <cell r="B71">
            <v>520029620</v>
          </cell>
        </row>
        <row r="72">
          <cell r="A72" t="str">
            <v>החברה לניהול קרן השתלמות לשופטים בע"מ</v>
          </cell>
          <cell r="B72">
            <v>520030743</v>
          </cell>
        </row>
        <row r="73">
          <cell r="A73" t="str">
            <v>ק.ה.ר - קרן השתלמות לרוקחים בע"מ</v>
          </cell>
          <cell r="B73">
            <v>520030198</v>
          </cell>
        </row>
        <row r="74">
          <cell r="A74" t="str">
            <v>שובל - חברה לניהול קופת גמל מפעלית בע"מ</v>
          </cell>
          <cell r="B74">
            <v>520042631</v>
          </cell>
        </row>
        <row r="75">
          <cell r="A75" t="str">
            <v>ק.ל.ע. - חברה לניהול קרן השתלמות לעובדים סוציאליים בע"מ</v>
          </cell>
          <cell r="B75">
            <v>520030941</v>
          </cell>
        </row>
        <row r="76">
          <cell r="A76" t="str">
            <v>החברה לניהול קרן ההשתלמות לעובדי המדינה בע"מ</v>
          </cell>
          <cell r="B76">
            <v>520032269</v>
          </cell>
        </row>
        <row r="77">
          <cell r="A77" t="str">
            <v>רעות חברה לניהול קופות גמל בע"מ</v>
          </cell>
          <cell r="B77">
            <v>510806870</v>
          </cell>
        </row>
        <row r="78">
          <cell r="A78" t="str">
            <v>החברה המנהלת של רום קרן ההשתלמות לעובדי הרשויות המקומיות בע"מ</v>
          </cell>
          <cell r="B78">
            <v>520031824</v>
          </cell>
        </row>
        <row r="79">
          <cell r="A79" t="str">
            <v>יהב אחים ואחיות - חברה לניהול קופות גמל בע"מ</v>
          </cell>
          <cell r="B79">
            <v>510927536</v>
          </cell>
        </row>
        <row r="80">
          <cell r="A80" t="str">
            <v>יחד רופאים - חברה לניהול קופות גמל בע"מ</v>
          </cell>
          <cell r="B80">
            <v>510930654</v>
          </cell>
        </row>
        <row r="81">
          <cell r="A81" t="str">
            <v>יהב - פ.ר.ח. - חברה לניהול קופות גמל בע"מ</v>
          </cell>
          <cell r="B81">
            <v>510930670</v>
          </cell>
        </row>
        <row r="82">
          <cell r="A82" t="str">
            <v>החברה המנהלת של קרן השתלמות של עובדי חברת החשמל לישראל בע"מ</v>
          </cell>
          <cell r="B82">
            <v>520034968</v>
          </cell>
        </row>
        <row r="83">
          <cell r="A83" t="str">
            <v>עגור חברה לניהול קופות גמל וקרנות השתלמות בע"מ</v>
          </cell>
          <cell r="B83">
            <v>520024985</v>
          </cell>
        </row>
        <row r="84">
          <cell r="A84" t="str">
            <v>החברה המנהלת של מינהל קרן ההשתלמות לפקידים עובדי המנהל והשירותים בע"מ</v>
          </cell>
          <cell r="B84">
            <v>520030990</v>
          </cell>
        </row>
        <row r="85">
          <cell r="A85" t="str">
            <v>מחר - חברה לניהול קופות גמל בע"מ</v>
          </cell>
          <cell r="B85">
            <v>520042615</v>
          </cell>
        </row>
        <row r="86">
          <cell r="A86" t="str">
            <v>הנדסאים וטכנאים - חברה לניהול קופות גמל בע"מ</v>
          </cell>
          <cell r="B86">
            <v>520042607</v>
          </cell>
        </row>
        <row r="87">
          <cell r="A87" t="str">
            <v>מבטחים מוסד לביטוח סוציאלי של העובדים בע"מ</v>
          </cell>
          <cell r="B87">
            <v>520019688</v>
          </cell>
        </row>
        <row r="88">
          <cell r="A88" t="str">
            <v>קופת תגמולים של עובדי התעשיה האוירית לישראל בע"מ</v>
          </cell>
          <cell r="B88">
            <v>570014928</v>
          </cell>
        </row>
        <row r="89">
          <cell r="A89" t="str">
            <v>חברת הגמל לעובדי האוניברסיטה העברית בע"מ</v>
          </cell>
          <cell r="B89">
            <v>510960586</v>
          </cell>
        </row>
        <row r="90">
          <cell r="A90" t="str">
            <v>עמ"י - חברה לניהול קופות גמל ענפיות בע"מ</v>
          </cell>
          <cell r="B90">
            <v>520042581</v>
          </cell>
        </row>
        <row r="91">
          <cell r="A91" t="str">
            <v>קופת"ג של עובדי עירית חיפה</v>
          </cell>
          <cell r="B91">
            <v>570005959</v>
          </cell>
        </row>
        <row r="92">
          <cell r="A92" t="str">
            <v>תגמולים של עובדים בעירית ת"א-יפו א.ש. בע"מ</v>
          </cell>
          <cell r="B92">
            <v>570002618</v>
          </cell>
        </row>
        <row r="93">
          <cell r="A93" t="str">
            <v>עתודות - קרן פנסיה לשכירים ועצמאיים בע"מ</v>
          </cell>
          <cell r="B93">
            <v>511789190</v>
          </cell>
        </row>
        <row r="94">
          <cell r="A94" t="str">
            <v>החברה לניהול קופת התגמולים והפנסיה של עובדי הסוכנות היהודית לארץ ישראל בע"מ</v>
          </cell>
          <cell r="B94">
            <v>520022518</v>
          </cell>
        </row>
        <row r="95">
          <cell r="A95" t="str">
            <v>עוצ"מ חברה לניהול קופות גמל והשתלמות בע"מ</v>
          </cell>
          <cell r="B95">
            <v>520031659</v>
          </cell>
        </row>
        <row r="96">
          <cell r="A96" t="str">
            <v>קרן ביטוח ופנסיה לפועלים חקלאים ובלתי מקצועיים בישראל אגודה שיתופית בע"מ</v>
          </cell>
          <cell r="B96">
            <v>570007476</v>
          </cell>
        </row>
        <row r="97">
          <cell r="A97" t="str">
            <v>קרן מקפת מרכז לפנסיה ותגמולים אגודה שיתופית בע"מ</v>
          </cell>
          <cell r="B97">
            <v>570009852</v>
          </cell>
        </row>
        <row r="98">
          <cell r="A98" t="str">
            <v>קרן ביטוח הדדי לחברי הסתדרות עובדי המדינה בישראל בע"מ</v>
          </cell>
          <cell r="B98">
            <v>510800402</v>
          </cell>
        </row>
        <row r="99">
          <cell r="A99" t="str">
            <v>ארם גמולים - חברה לניהול קופות גמל בע''מ</v>
          </cell>
          <cell r="B99">
            <v>510773922</v>
          </cell>
        </row>
        <row r="100">
          <cell r="A100" t="str">
            <v>קו הבריאות חברה לניהול קופות גמל בע"מ</v>
          </cell>
          <cell r="B100">
            <v>512008335</v>
          </cell>
        </row>
        <row r="101">
          <cell r="A101" t="str">
            <v>חברת ב'ת למ'ד דל'ת בע"מ</v>
          </cell>
          <cell r="B101">
            <v>510142789</v>
          </cell>
        </row>
        <row r="102">
          <cell r="A102" t="str">
            <v>החברה לניהול קרן ההשתלמות להנדסאים וטכנאים בע"מ</v>
          </cell>
          <cell r="B102">
            <v>520028556</v>
          </cell>
        </row>
        <row r="103">
          <cell r="A103" t="str">
            <v>שיבולת - חברה לניהול קופות גמל בע"מ</v>
          </cell>
          <cell r="B103">
            <v>520030693</v>
          </cell>
        </row>
        <row r="104">
          <cell r="A104" t="str">
            <v>עו"ס - חברה לניהול קופות גמל בע"מ</v>
          </cell>
          <cell r="B104">
            <v>520042573</v>
          </cell>
        </row>
        <row r="105">
          <cell r="A105" t="str">
            <v>לעתיד חברה לניהול קרנות פנסיה בע"מ</v>
          </cell>
          <cell r="B105">
            <v>511423048</v>
          </cell>
        </row>
        <row r="106">
          <cell r="A106" t="str">
            <v>קופת תגמולים של עובדי אל על נתיבי אוויר לישראל בע"מ אגודה שיתופית</v>
          </cell>
          <cell r="B106">
            <v>570011767</v>
          </cell>
        </row>
        <row r="107">
          <cell r="A107" t="str">
            <v>מיטב גמל ופנסיה בע"מ</v>
          </cell>
          <cell r="B107">
            <v>512065202</v>
          </cell>
        </row>
        <row r="108">
          <cell r="A108" t="str">
            <v>גל -ניהול קופות גמל לעובדי הוראה בע"מ</v>
          </cell>
          <cell r="B108">
            <v>512711409</v>
          </cell>
        </row>
        <row r="109">
          <cell r="A109" t="str">
            <v xml:space="preserve">החברה לניהול קופות התגמולים והפיצויים של עובדי בנק לאומי בע"מ </v>
          </cell>
          <cell r="B109">
            <v>520005497</v>
          </cell>
        </row>
        <row r="110">
          <cell r="A110" t="str">
            <v>היהלום - א.ש. לבטוח הדדי של חברי בורסת היהלומים</v>
          </cell>
          <cell r="B110">
            <v>570024109</v>
          </cell>
        </row>
        <row r="111">
          <cell r="A111" t="str">
            <v>קרן הגמלאות של חברי אגד בע"מ</v>
          </cell>
          <cell r="B111">
            <v>520020447</v>
          </cell>
        </row>
        <row r="112">
          <cell r="A112" t="str">
            <v>גילעד גימלאות לעובדים דתיים בע"מ</v>
          </cell>
          <cell r="B112">
            <v>520023094</v>
          </cell>
        </row>
        <row r="113">
          <cell r="A113" t="str">
            <v>החברה המנהלת של קרן הגמלאות של חברי "דן" בע"מ</v>
          </cell>
          <cell r="B113">
            <v>520028812</v>
          </cell>
        </row>
        <row r="114">
          <cell r="A114" t="str">
            <v>קופת הפנסיה לעובדי הדסה בע"מ</v>
          </cell>
          <cell r="B114">
            <v>520022963</v>
          </cell>
        </row>
        <row r="115">
          <cell r="A115" t="str">
            <v>קרנות השתלמות למורים ולגננות - חברה מנהלת בע"מ</v>
          </cell>
          <cell r="B115">
            <v>520027251</v>
          </cell>
        </row>
        <row r="116">
          <cell r="A116" t="str">
            <v>קרנות השתלמות למורים תיכוניים, מורי סמינרים ומפקחים - חברה מנהלת בע"מ</v>
          </cell>
          <cell r="B116">
            <v>520028390</v>
          </cell>
        </row>
        <row r="117">
          <cell r="A117" t="str">
            <v xml:space="preserve">הפניקס פנסיה וגמל בע"מ </v>
          </cell>
          <cell r="B117">
            <v>513026484</v>
          </cell>
        </row>
        <row r="118">
          <cell r="A118" t="str">
            <v>אלטשולר שחם גמל ופנסיה בע"מ</v>
          </cell>
          <cell r="B118">
            <v>513173393</v>
          </cell>
        </row>
        <row r="119">
          <cell r="A119" t="str">
            <v>חברה לניהול קופות גמל של העובדים בעיריית תל - אביב יפו בע"מ</v>
          </cell>
          <cell r="B119">
            <v>513452003</v>
          </cell>
        </row>
        <row r="120">
          <cell r="A120" t="str">
            <v>ילין לפידות ניהול קופות גמל בע"מ</v>
          </cell>
          <cell r="B120">
            <v>513611509</v>
          </cell>
        </row>
        <row r="121">
          <cell r="A121" t="str">
            <v>אינפיניטי השתלמות, גמל ופנסיה בע"מ</v>
          </cell>
          <cell r="B121">
            <v>513621110</v>
          </cell>
        </row>
        <row r="122">
          <cell r="A122" t="str">
            <v>כלל פנסיה וגמל בע"מ</v>
          </cell>
          <cell r="B122">
            <v>512244146</v>
          </cell>
        </row>
        <row r="123">
          <cell r="A123" t="str">
            <v>מגדל מקפת קרנות פנסיה וקופות גמל בע"מ</v>
          </cell>
          <cell r="B123">
            <v>512237744</v>
          </cell>
        </row>
        <row r="124">
          <cell r="A124" t="str">
            <v>הראל פנסיה וגמל בע"מ</v>
          </cell>
          <cell r="B124">
            <v>512267592</v>
          </cell>
        </row>
        <row r="125">
          <cell r="A125" t="str">
            <v xml:space="preserve">סלייס גמל בע"מ </v>
          </cell>
          <cell r="B125">
            <v>514767490</v>
          </cell>
        </row>
        <row r="126">
          <cell r="A126" t="str">
            <v>מור גמל ופנסיה בע"מ</v>
          </cell>
          <cell r="B126">
            <v>514956465</v>
          </cell>
        </row>
        <row r="127">
          <cell r="A127" t="str">
            <v>מנורה מבטחים פנסיה וגמל בע"מ</v>
          </cell>
          <cell r="B127">
            <v>512245812</v>
          </cell>
        </row>
        <row r="128">
          <cell r="A128" t="str">
            <v>הפניקס חח"י קופה מרכזית לקצבה בע"מ</v>
          </cell>
          <cell r="B128">
            <v>515447035</v>
          </cell>
        </row>
        <row r="129">
          <cell r="A129" t="str">
            <v>גלובלנט ניהול קופות גמל בע"מ</v>
          </cell>
          <cell r="B129">
            <v>516463635</v>
          </cell>
        </row>
        <row r="130">
          <cell r="A130" t="str">
            <v>אקטיון בע"מ</v>
          </cell>
          <cell r="B130">
            <v>515977338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A2" sqref="A2:XFD23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5.75" customHeight="1">
      <c r="A1" s="196" t="s">
        <v>2782</v>
      </c>
      <c r="B1" s="197"/>
      <c r="C1" s="197"/>
      <c r="D1" s="197"/>
    </row>
    <row r="2" spans="1:4" ht="22.5" customHeight="1">
      <c r="A2" s="198"/>
      <c r="B2" s="198"/>
      <c r="C2" s="198"/>
      <c r="D2" s="198"/>
    </row>
    <row r="3" spans="1:4" ht="22.5" customHeight="1">
      <c r="A3" s="198" t="s">
        <v>2783</v>
      </c>
      <c r="B3" s="198"/>
      <c r="C3" s="198"/>
      <c r="D3" s="194" t="s">
        <v>2797</v>
      </c>
    </row>
    <row r="4" spans="1:4" ht="22.5" customHeight="1">
      <c r="A4" s="198"/>
      <c r="B4" s="198"/>
      <c r="C4" s="198"/>
      <c r="D4" s="198"/>
    </row>
    <row r="5" spans="1:4" ht="22.5" customHeight="1">
      <c r="A5" s="198" t="s">
        <v>2784</v>
      </c>
      <c r="B5" s="198"/>
      <c r="C5" s="198"/>
      <c r="D5" s="194" t="s">
        <v>2808</v>
      </c>
    </row>
    <row r="6" spans="1:4" ht="22.5" customHeight="1">
      <c r="A6" s="198"/>
      <c r="B6" s="198"/>
      <c r="C6" s="198"/>
      <c r="D6" s="198"/>
    </row>
    <row r="7" spans="1:4" ht="22.5" customHeight="1">
      <c r="A7" s="198" t="s">
        <v>2785</v>
      </c>
      <c r="B7" s="198"/>
      <c r="C7" s="198"/>
      <c r="D7" s="194" t="s">
        <v>2815</v>
      </c>
    </row>
    <row r="8" spans="1:4" ht="22.5" customHeight="1">
      <c r="A8" s="198"/>
      <c r="B8" s="198"/>
      <c r="C8" s="198"/>
      <c r="D8" s="199"/>
    </row>
    <row r="9" spans="1:4" ht="22.5" customHeight="1">
      <c r="A9" s="198" t="s">
        <v>2786</v>
      </c>
      <c r="B9" s="198"/>
      <c r="C9" s="198"/>
      <c r="D9" s="194">
        <v>2025</v>
      </c>
    </row>
    <row r="10" spans="1:4" ht="22.5" customHeight="1">
      <c r="A10" s="198"/>
      <c r="B10" s="198"/>
      <c r="C10" s="198"/>
      <c r="D10" s="198"/>
    </row>
    <row r="11" spans="1:4" ht="22.5" customHeight="1">
      <c r="A11" s="198" t="s">
        <v>2787</v>
      </c>
      <c r="B11" s="198"/>
      <c r="C11" s="198"/>
      <c r="D11" s="194" t="s">
        <v>2875</v>
      </c>
    </row>
    <row r="12" spans="1:4" ht="22.5" customHeight="1">
      <c r="A12" s="198"/>
      <c r="B12" s="198"/>
      <c r="C12" s="198"/>
      <c r="D12" s="198"/>
    </row>
    <row r="13" spans="1:4" ht="22.5" customHeight="1">
      <c r="A13" s="198" t="s">
        <v>2788</v>
      </c>
      <c r="B13" s="198"/>
      <c r="C13" s="198"/>
      <c r="D13" s="195">
        <v>570002618</v>
      </c>
    </row>
    <row r="14" spans="1:4" ht="22.5" customHeight="1">
      <c r="A14" s="198"/>
      <c r="B14" s="198"/>
      <c r="C14" s="198"/>
      <c r="D14" s="198"/>
    </row>
    <row r="15" spans="1:4" ht="22.5" customHeight="1">
      <c r="A15" s="200" t="s">
        <v>2789</v>
      </c>
      <c r="B15" s="198"/>
      <c r="C15" s="198"/>
      <c r="D15" s="19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570002618_gm_0425.xlxs</v>
      </c>
    </row>
    <row r="16" spans="1:4" ht="22.5" customHeight="1">
      <c r="A16" s="200"/>
      <c r="B16" s="198"/>
      <c r="C16" s="198"/>
      <c r="D16" s="199"/>
    </row>
    <row r="17" spans="1:4" ht="22.5" customHeight="1">
      <c r="A17" s="200" t="s">
        <v>2790</v>
      </c>
      <c r="B17" s="201" t="s">
        <v>2791</v>
      </c>
      <c r="C17" s="201"/>
      <c r="D17" s="202" t="s">
        <v>2950</v>
      </c>
    </row>
    <row r="18" spans="1:4" ht="22.5" customHeight="1">
      <c r="A18" s="203"/>
      <c r="B18" s="198"/>
      <c r="C18" s="198"/>
      <c r="D18" s="193"/>
    </row>
    <row r="19" spans="1:4" ht="22.5" customHeight="1">
      <c r="A19" s="203"/>
      <c r="B19" s="201" t="s">
        <v>2792</v>
      </c>
      <c r="C19" s="201"/>
      <c r="D19" s="202" t="s">
        <v>2952</v>
      </c>
    </row>
    <row r="20" spans="1:4" ht="22.5" customHeight="1">
      <c r="A20" s="203"/>
      <c r="B20" s="198"/>
      <c r="C20" s="198"/>
      <c r="D20" s="193"/>
    </row>
    <row r="21" spans="1:4" ht="22.5" customHeight="1">
      <c r="A21" s="203"/>
      <c r="B21" s="201" t="s">
        <v>2793</v>
      </c>
      <c r="C21" s="201"/>
      <c r="D21" s="204" t="s">
        <v>2951</v>
      </c>
    </row>
    <row r="22" spans="1:4" ht="22.5" customHeight="1">
      <c r="A22" s="203"/>
      <c r="B22" s="205"/>
      <c r="C22" s="205"/>
      <c r="D22" s="198"/>
    </row>
    <row r="23" spans="1:4" ht="22.5" customHeight="1">
      <c r="A23" s="206"/>
      <c r="B23" s="198"/>
      <c r="C23" s="198"/>
      <c r="D23" s="207"/>
    </row>
  </sheetData>
  <conditionalFormatting sqref="D16">
    <cfRule type="containsText" dxfId="11" priority="12" operator="containsText" text="Please fill in data">
      <formula>NOT(ISERROR(SEARCH("Please fill in data",D16)))</formula>
    </cfRule>
  </conditionalFormatting>
  <conditionalFormatting sqref="D3">
    <cfRule type="containsText" dxfId="10" priority="11" operator="containsText" text="Please fill in data">
      <formula>NOT(ISERROR(SEARCH("Please fill in data",D3)))</formula>
    </cfRule>
  </conditionalFormatting>
  <conditionalFormatting sqref="D7">
    <cfRule type="containsText" dxfId="9" priority="8" operator="containsText" text="Please fill in data">
      <formula>NOT(ISERROR(SEARCH("Please fill in data",D7)))</formula>
    </cfRule>
  </conditionalFormatting>
  <conditionalFormatting sqref="D8">
    <cfRule type="containsText" dxfId="8" priority="10" operator="containsText" text="Please fill in data">
      <formula>NOT(ISERROR(SEARCH("Please fill in data",D8)))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9">
    <cfRule type="containsText" dxfId="6" priority="7" operator="containsText" text="Please fill in data">
      <formula>NOT(ISERROR(SEARCH("Please fill in data",D9)))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7">
    <cfRule type="containsText" dxfId="3" priority="4" operator="containsText" text="Please fill in data">
      <formula>NOT(ISERROR(SEARCH("Please fill in data",D17)))</formula>
    </cfRule>
  </conditionalFormatting>
  <conditionalFormatting sqref="D19">
    <cfRule type="containsText" dxfId="2" priority="3" operator="containsText" text="Please fill in data">
      <formula>NOT(ISERROR(SEARCH("Please fill in data",D19)))</formula>
    </cfRule>
  </conditionalFormatting>
  <conditionalFormatting sqref="D21">
    <cfRule type="containsText" dxfId="1" priority="2" operator="containsText" text="Please fill in data">
      <formula>NOT(ISERROR(SEARCH("Please fill in data",D21)))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8BACCC48-0625-4CD1-BA9B-623D5D742599}">
      <formula1>Type</formula1>
    </dataValidation>
    <dataValidation type="list" allowBlank="1" showInputMessage="1" showErrorMessage="1" sqref="D5" xr:uid="{3F85260B-705D-476D-ACF0-C1DFAB3C9FBB}">
      <formula1>File_Type</formula1>
    </dataValidation>
    <dataValidation type="list" allowBlank="1" showInputMessage="1" showErrorMessage="1" sqref="D7" xr:uid="{27767475-82E5-472D-8420-D040422F461F}">
      <formula1>QTR</formula1>
    </dataValidation>
    <dataValidation type="list" allowBlank="1" showInputMessage="1" showErrorMessage="1" sqref="D9" xr:uid="{EF2D380D-EFE4-4F1D-9D1E-C8CD83D92B10}">
      <formula1>YEAR</formula1>
    </dataValidation>
    <dataValidation type="list" allowBlank="1" showInputMessage="1" showErrorMessage="1" sqref="D11" xr:uid="{9805D1CF-A1D0-4023-9678-A2E4BC00CCB5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tabSelected="1" zoomScale="90" zoomScaleNormal="90" workbookViewId="0">
      <pane xSplit="5" ySplit="32" topLeftCell="F1048576" activePane="bottomRight" state="frozen"/>
      <selection pane="topRight" activeCell="F1" sqref="F1"/>
      <selection pane="bottomLeft" activeCell="A33" sqref="A33"/>
      <selection pane="bottomRight" activeCell="E3" sqref="E3:E30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46"/>
      <c r="B1" s="47"/>
      <c r="C1" s="106" t="s">
        <v>2934</v>
      </c>
      <c r="D1" s="105"/>
      <c r="E1" s="47"/>
    </row>
    <row r="2" spans="1:5" ht="25.5">
      <c r="A2" s="46"/>
      <c r="B2" s="47" t="s">
        <v>36</v>
      </c>
      <c r="C2" s="47" t="s">
        <v>2598</v>
      </c>
      <c r="D2" s="47" t="s">
        <v>22</v>
      </c>
      <c r="E2" s="47" t="s">
        <v>2935</v>
      </c>
    </row>
    <row r="3" spans="1:5">
      <c r="A3" s="49" t="s">
        <v>2638</v>
      </c>
      <c r="B3" s="181">
        <f>SUM('מזומנים ושווי מזומנים'!O:O)</f>
        <v>58187.967000000011</v>
      </c>
      <c r="C3" s="50"/>
      <c r="D3" s="50"/>
      <c r="E3" s="221">
        <f>B3/$B$30</f>
        <v>4.4679522193165462E-2</v>
      </c>
    </row>
    <row r="4" spans="1:5">
      <c r="A4" s="49" t="s">
        <v>2648</v>
      </c>
      <c r="B4" s="181">
        <f>SUM('איגרות חוב ממשלתיות'!U:U)</f>
        <v>268013.50799999997</v>
      </c>
      <c r="C4" s="50"/>
      <c r="D4" s="50"/>
      <c r="E4" s="221">
        <f t="shared" ref="E4:E29" si="0">B4/$B$30</f>
        <v>0.20579367343688301</v>
      </c>
    </row>
    <row r="5" spans="1:5">
      <c r="A5" s="49" t="s">
        <v>2652</v>
      </c>
      <c r="B5" s="181">
        <f>SUM('ניירות ערך מסחריים'!AD:AD)</f>
        <v>0</v>
      </c>
      <c r="C5" s="50"/>
      <c r="D5" s="50"/>
      <c r="E5" s="221">
        <f t="shared" si="0"/>
        <v>0</v>
      </c>
    </row>
    <row r="6" spans="1:5">
      <c r="A6" s="49" t="s">
        <v>2653</v>
      </c>
      <c r="B6" s="181">
        <f>SUM('איגרות חוב'!AD:AD)</f>
        <v>226442.02699999989</v>
      </c>
      <c r="C6" s="50"/>
      <c r="D6" s="50"/>
      <c r="E6" s="221">
        <f t="shared" si="0"/>
        <v>0.17387308910125465</v>
      </c>
    </row>
    <row r="7" spans="1:5">
      <c r="A7" s="49" t="s">
        <v>2658</v>
      </c>
      <c r="B7" s="181">
        <f>SUM('מניות מבכ ויהש'!U:U)</f>
        <v>311371.36000000004</v>
      </c>
      <c r="C7" s="50"/>
      <c r="D7" s="50"/>
      <c r="E7" s="221">
        <f t="shared" si="0"/>
        <v>0.2390859194210396</v>
      </c>
    </row>
    <row r="8" spans="1:5">
      <c r="A8" s="49" t="s">
        <v>2247</v>
      </c>
      <c r="B8" s="181">
        <f>SUM('קרנות סל'!T:T)</f>
        <v>200152.97999999998</v>
      </c>
      <c r="C8" s="50"/>
      <c r="D8" s="50"/>
      <c r="E8" s="221">
        <f t="shared" si="0"/>
        <v>0.15368709327717534</v>
      </c>
    </row>
    <row r="9" spans="1:5">
      <c r="A9" s="49" t="s">
        <v>2667</v>
      </c>
      <c r="B9" s="181">
        <f>SUM('קרנות נאמנות'!T:T)</f>
        <v>19376.971000000001</v>
      </c>
      <c r="C9" s="50"/>
      <c r="D9" s="50"/>
      <c r="E9" s="221">
        <f t="shared" si="0"/>
        <v>1.487857112847444E-2</v>
      </c>
    </row>
    <row r="10" spans="1:5">
      <c r="A10" s="49" t="s">
        <v>2922</v>
      </c>
      <c r="B10" s="181">
        <f>SUM('כתבי אופציה'!W:W)</f>
        <v>1055.921</v>
      </c>
      <c r="C10" s="50"/>
      <c r="D10" s="50"/>
      <c r="E10" s="221">
        <f t="shared" si="0"/>
        <v>8.1078697514435348E-4</v>
      </c>
    </row>
    <row r="11" spans="1:5">
      <c r="A11" s="49" t="s">
        <v>2670</v>
      </c>
      <c r="B11" s="181">
        <f>SUM(אופציות!V:V)</f>
        <v>0</v>
      </c>
      <c r="C11" s="50"/>
      <c r="D11" s="50"/>
      <c r="E11" s="221">
        <f t="shared" si="0"/>
        <v>0</v>
      </c>
    </row>
    <row r="12" spans="1:5">
      <c r="A12" s="49" t="s">
        <v>2923</v>
      </c>
      <c r="B12" s="181">
        <f>SUM('חוזים עתידיים'!R:R)</f>
        <v>-25.948999999999998</v>
      </c>
      <c r="C12" s="50"/>
      <c r="D12" s="50"/>
      <c r="E12" s="221">
        <f t="shared" si="0"/>
        <v>-1.9924891367839851E-5</v>
      </c>
    </row>
    <row r="13" spans="1:5">
      <c r="A13" s="49" t="s">
        <v>2675</v>
      </c>
      <c r="B13" s="181">
        <f>SUM('מוצרים מובנים'!Z:Z)</f>
        <v>0</v>
      </c>
      <c r="C13" s="50"/>
      <c r="D13" s="50"/>
      <c r="E13" s="221">
        <f t="shared" si="0"/>
        <v>0</v>
      </c>
    </row>
    <row r="14" spans="1:5">
      <c r="A14" s="49" t="s">
        <v>2682</v>
      </c>
      <c r="B14" s="181">
        <f>SUM('לא סחיר איגרות חוב ממשלתיות'!U:U)</f>
        <v>0</v>
      </c>
      <c r="C14" s="50"/>
      <c r="D14" s="50"/>
      <c r="E14" s="221">
        <f t="shared" si="0"/>
        <v>0</v>
      </c>
    </row>
    <row r="15" spans="1:5">
      <c r="A15" s="49" t="s">
        <v>2683</v>
      </c>
      <c r="B15" s="181">
        <f>SUM('לא סחיר איגרות חוב מיועדות'!N:N)</f>
        <v>0</v>
      </c>
      <c r="C15" s="50"/>
      <c r="D15" s="50"/>
      <c r="E15" s="221">
        <f t="shared" si="0"/>
        <v>0</v>
      </c>
    </row>
    <row r="16" spans="1:5" s="109" customFormat="1">
      <c r="A16" s="51" t="s">
        <v>2689</v>
      </c>
      <c r="B16" s="181">
        <f>SUM('אפיק השקעה מובטח תשואה'!F:F)</f>
        <v>0</v>
      </c>
      <c r="C16" s="52"/>
      <c r="D16" s="52"/>
      <c r="E16" s="221">
        <f t="shared" si="0"/>
        <v>0</v>
      </c>
    </row>
    <row r="17" spans="1:5">
      <c r="A17" s="51" t="s">
        <v>2693</v>
      </c>
      <c r="B17" s="181">
        <f>SUM('לא סחיר ניירות ערך מסחריים'!AI:AI)</f>
        <v>0</v>
      </c>
      <c r="C17" s="52"/>
      <c r="D17" s="52"/>
      <c r="E17" s="221">
        <f t="shared" si="0"/>
        <v>0</v>
      </c>
    </row>
    <row r="18" spans="1:5">
      <c r="A18" s="49" t="s">
        <v>2695</v>
      </c>
      <c r="B18" s="181">
        <f>SUM('לא סחיר איגרות חוב'!AG:AG)</f>
        <v>11963.896000000001</v>
      </c>
      <c r="C18" s="50"/>
      <c r="D18" s="50"/>
      <c r="E18" s="221">
        <f t="shared" si="0"/>
        <v>9.186455282906231E-3</v>
      </c>
    </row>
    <row r="19" spans="1:5">
      <c r="A19" s="49" t="s">
        <v>2698</v>
      </c>
      <c r="B19" s="181">
        <f>SUM('לא סחיר מניות מבכ ויהש'!X:X)</f>
        <v>13050.933000000001</v>
      </c>
      <c r="C19" s="50"/>
      <c r="D19" s="50"/>
      <c r="E19" s="221">
        <f t="shared" si="0"/>
        <v>1.0021134620754414E-2</v>
      </c>
    </row>
    <row r="20" spans="1:5">
      <c r="A20" s="49" t="s">
        <v>2488</v>
      </c>
      <c r="B20" s="181">
        <f>SUM('קרנות השקעה'!W:W)</f>
        <v>144927.16900000002</v>
      </c>
      <c r="C20" s="50"/>
      <c r="D20" s="50"/>
      <c r="E20" s="221">
        <f t="shared" si="0"/>
        <v>0.11128205705705685</v>
      </c>
    </row>
    <row r="21" spans="1:5">
      <c r="A21" s="49" t="s">
        <v>2926</v>
      </c>
      <c r="B21" s="181">
        <f>SUM('לא סחיר כתבי אופציה'!Z:Z)</f>
        <v>0</v>
      </c>
      <c r="C21" s="50"/>
      <c r="D21" s="50"/>
      <c r="E21" s="221">
        <f t="shared" si="0"/>
        <v>0</v>
      </c>
    </row>
    <row r="22" spans="1:5">
      <c r="A22" s="49" t="s">
        <v>2709</v>
      </c>
      <c r="B22" s="181">
        <f>SUM('לא סחיר אופציות'!Z:Z)</f>
        <v>0</v>
      </c>
      <c r="C22" s="50"/>
      <c r="D22" s="50"/>
      <c r="E22" s="221">
        <f t="shared" si="0"/>
        <v>0</v>
      </c>
    </row>
    <row r="23" spans="1:5">
      <c r="A23" s="49" t="s">
        <v>2717</v>
      </c>
      <c r="B23" s="181">
        <f>SUM('לא סחיר נגזרים אחרים'!R:R)</f>
        <v>2820.3650000000002</v>
      </c>
      <c r="C23" s="50"/>
      <c r="D23" s="50"/>
      <c r="E23" s="221">
        <f t="shared" si="0"/>
        <v>2.1656120175212014E-3</v>
      </c>
    </row>
    <row r="24" spans="1:5">
      <c r="A24" s="49" t="s">
        <v>2711</v>
      </c>
      <c r="B24" s="181">
        <f>SUM(הלוואות!AT:AT)</f>
        <v>42604.057000000001</v>
      </c>
      <c r="C24" s="50"/>
      <c r="D24" s="50"/>
      <c r="E24" s="221">
        <f t="shared" si="0"/>
        <v>3.2713445895959654E-2</v>
      </c>
    </row>
    <row r="25" spans="1:5">
      <c r="A25" s="49" t="s">
        <v>2728</v>
      </c>
      <c r="B25" s="181">
        <f>SUM('לא סחיר מוצרים מובנים'!AB:AB)</f>
        <v>0</v>
      </c>
      <c r="C25" s="50"/>
      <c r="D25" s="50"/>
      <c r="E25" s="221">
        <f t="shared" si="0"/>
        <v>0</v>
      </c>
    </row>
    <row r="26" spans="1:5">
      <c r="A26" s="49" t="s">
        <v>2733</v>
      </c>
      <c r="B26" s="181">
        <f>SUM('פיקדונות מעל 3 חודשים'!T:T)</f>
        <v>0</v>
      </c>
      <c r="C26" s="50"/>
      <c r="D26" s="50"/>
      <c r="E26" s="221">
        <f t="shared" si="0"/>
        <v>0</v>
      </c>
    </row>
    <row r="27" spans="1:5">
      <c r="A27" s="49" t="s">
        <v>2736</v>
      </c>
      <c r="B27" s="181">
        <f>SUM('זכויות מקרקעין'!S:S)</f>
        <v>4900</v>
      </c>
      <c r="C27" s="50"/>
      <c r="D27" s="50"/>
      <c r="E27" s="221">
        <f t="shared" si="0"/>
        <v>3.7624558827860526E-3</v>
      </c>
    </row>
    <row r="28" spans="1:5">
      <c r="A28" s="49" t="s">
        <v>2770</v>
      </c>
      <c r="B28" s="181">
        <f>SUM('השקעה בחברות מוחזקות'!U:U)</f>
        <v>0</v>
      </c>
      <c r="C28" s="50"/>
      <c r="D28" s="50"/>
      <c r="E28" s="221">
        <f t="shared" si="0"/>
        <v>0</v>
      </c>
    </row>
    <row r="29" spans="1:5">
      <c r="A29" s="49" t="s">
        <v>2738</v>
      </c>
      <c r="B29" s="182">
        <f>SUM('נכסים אחרים'!N:N)</f>
        <v>-2500.3530000000001</v>
      </c>
      <c r="C29" s="141"/>
      <c r="D29" s="141"/>
      <c r="E29" s="221">
        <f t="shared" si="0"/>
        <v>-1.9198913987534196E-3</v>
      </c>
    </row>
    <row r="30" spans="1:5" ht="15">
      <c r="A30" s="48" t="s">
        <v>2936</v>
      </c>
      <c r="B30" s="183">
        <f>IF(SUM(B3:B29)=0,0.0001,SUM(B3:B29))</f>
        <v>1302340.852</v>
      </c>
      <c r="C30" s="142">
        <f>SUM(C3:C29)</f>
        <v>0</v>
      </c>
      <c r="D30" s="142">
        <f>SUM(D3:D29)</f>
        <v>0</v>
      </c>
      <c r="E30" s="222">
        <f>SUM(E3:E29)</f>
        <v>1</v>
      </c>
    </row>
    <row r="31" spans="1:5" s="109" customFormat="1">
      <c r="A31" s="51" t="s">
        <v>2933</v>
      </c>
      <c r="B31" s="52"/>
      <c r="C31" s="52"/>
      <c r="D31" s="52"/>
      <c r="E31" s="184"/>
    </row>
    <row r="32" spans="1:5">
      <c r="A32" s="51" t="s">
        <v>2937</v>
      </c>
      <c r="B32" s="181">
        <f>SUM('יתרות התחייבות להשקעה'!O:O)</f>
        <v>32653.825185956663</v>
      </c>
      <c r="C32" s="52"/>
      <c r="D32" s="52"/>
      <c r="E32" s="221">
        <v>2.5073178911504086E-2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7"/>
  <sheetViews>
    <sheetView rightToLeft="1" workbookViewId="0">
      <selection sqref="A1:XFD1"/>
    </sheetView>
  </sheetViews>
  <sheetFormatPr defaultColWidth="0" defaultRowHeight="14.25"/>
  <cols>
    <col min="1" max="2" width="11.625" style="3" customWidth="1"/>
    <col min="3" max="3" width="20.5" style="3" customWidth="1"/>
    <col min="4" max="4" width="11.625" style="3" customWidth="1"/>
    <col min="5" max="5" width="11.625" style="5" customWidth="1"/>
    <col min="6" max="6" width="19.25" style="3" customWidth="1"/>
    <col min="7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18" t="s">
        <v>0</v>
      </c>
      <c r="B1" s="18" t="s">
        <v>1</v>
      </c>
      <c r="C1" s="18" t="s">
        <v>1999</v>
      </c>
      <c r="D1" s="18" t="s">
        <v>2000</v>
      </c>
      <c r="E1" s="18" t="s">
        <v>2001</v>
      </c>
      <c r="F1" s="18" t="s">
        <v>5</v>
      </c>
      <c r="G1" s="18" t="s">
        <v>6</v>
      </c>
      <c r="H1" s="18" t="s">
        <v>109</v>
      </c>
      <c r="I1" s="18" t="s">
        <v>2003</v>
      </c>
      <c r="J1" s="18" t="s">
        <v>10</v>
      </c>
      <c r="K1" s="18" t="s">
        <v>11</v>
      </c>
      <c r="L1" s="18" t="s">
        <v>2004</v>
      </c>
      <c r="M1" s="152" t="s">
        <v>18</v>
      </c>
      <c r="N1" s="154" t="s">
        <v>14</v>
      </c>
      <c r="O1" s="18" t="s">
        <v>20</v>
      </c>
      <c r="P1" s="154" t="s">
        <v>24</v>
      </c>
      <c r="Q1" s="154" t="s">
        <v>25</v>
      </c>
    </row>
    <row r="2" spans="1:17">
      <c r="A2" s="3">
        <v>337</v>
      </c>
      <c r="B2" s="3">
        <v>1405</v>
      </c>
      <c r="C2" s="3" t="s">
        <v>459</v>
      </c>
      <c r="D2" s="3" t="s">
        <v>2938</v>
      </c>
      <c r="E2" s="5" t="s">
        <v>2133</v>
      </c>
      <c r="F2" s="3" t="s">
        <v>2639</v>
      </c>
      <c r="G2" s="3" t="s">
        <v>30</v>
      </c>
      <c r="H2" s="3" t="s">
        <v>125</v>
      </c>
      <c r="I2" s="3" t="s">
        <v>357</v>
      </c>
      <c r="J2" s="3" t="s">
        <v>146</v>
      </c>
      <c r="K2" s="3" t="s">
        <v>34</v>
      </c>
      <c r="L2" s="144">
        <v>104.148</v>
      </c>
      <c r="M2" s="153">
        <v>1</v>
      </c>
      <c r="N2" s="155">
        <v>3.8800000000000001E-2</v>
      </c>
      <c r="O2" s="143">
        <v>104.148</v>
      </c>
      <c r="P2" s="155">
        <v>0.44858811423478201</v>
      </c>
      <c r="Q2" s="155">
        <v>1.3876220687399901E-2</v>
      </c>
    </row>
    <row r="3" spans="1:17">
      <c r="A3" s="3">
        <v>337</v>
      </c>
      <c r="B3" s="3">
        <v>1405</v>
      </c>
      <c r="C3" s="3" t="s">
        <v>1118</v>
      </c>
      <c r="D3" s="3" t="s">
        <v>2948</v>
      </c>
      <c r="E3" s="27" t="s">
        <v>2133</v>
      </c>
      <c r="F3" s="3" t="s">
        <v>2641</v>
      </c>
      <c r="G3" s="3" t="s">
        <v>30</v>
      </c>
      <c r="H3" s="3" t="s">
        <v>125</v>
      </c>
      <c r="I3" s="3" t="s">
        <v>357</v>
      </c>
      <c r="J3" s="3" t="s">
        <v>146</v>
      </c>
      <c r="K3" s="3" t="s">
        <v>84</v>
      </c>
      <c r="L3" s="143">
        <v>10.818</v>
      </c>
      <c r="M3" s="153">
        <v>3.19</v>
      </c>
      <c r="N3" s="155">
        <v>2.1999999999999999E-2</v>
      </c>
      <c r="O3" s="143">
        <v>34.51</v>
      </c>
      <c r="P3" s="155">
        <v>0.148641306532353</v>
      </c>
      <c r="Q3" s="155">
        <v>4.5979362966957196E-3</v>
      </c>
    </row>
    <row r="4" spans="1:17">
      <c r="A4" s="3">
        <v>337</v>
      </c>
      <c r="B4" s="3">
        <v>1405</v>
      </c>
      <c r="C4" s="3" t="s">
        <v>1118</v>
      </c>
      <c r="D4" s="3" t="s">
        <v>2948</v>
      </c>
      <c r="E4" s="27" t="s">
        <v>2133</v>
      </c>
      <c r="F4" s="3" t="s">
        <v>2641</v>
      </c>
      <c r="G4" s="3" t="s">
        <v>30</v>
      </c>
      <c r="H4" s="3" t="s">
        <v>125</v>
      </c>
      <c r="I4" s="3" t="s">
        <v>357</v>
      </c>
      <c r="J4" s="3" t="s">
        <v>146</v>
      </c>
      <c r="K4" s="3" t="s">
        <v>755</v>
      </c>
      <c r="L4" s="143">
        <v>5.5110000000000001</v>
      </c>
      <c r="M4" s="153">
        <v>3.7454999999999998</v>
      </c>
      <c r="N4" s="155">
        <v>0</v>
      </c>
      <c r="O4" s="143">
        <v>20.64</v>
      </c>
      <c r="P4" s="155">
        <v>8.8900972914211604E-2</v>
      </c>
      <c r="Q4" s="155">
        <v>2.74998262400799E-3</v>
      </c>
    </row>
    <row r="5" spans="1:17">
      <c r="A5" s="3">
        <v>337</v>
      </c>
      <c r="B5" s="3">
        <v>1405</v>
      </c>
      <c r="C5" s="3" t="s">
        <v>1118</v>
      </c>
      <c r="D5" s="3" t="s">
        <v>2948</v>
      </c>
      <c r="E5" s="27" t="s">
        <v>2133</v>
      </c>
      <c r="F5" s="3" t="s">
        <v>2639</v>
      </c>
      <c r="G5" s="3" t="s">
        <v>30</v>
      </c>
      <c r="H5" s="3" t="s">
        <v>125</v>
      </c>
      <c r="I5" s="3" t="s">
        <v>357</v>
      </c>
      <c r="J5" s="3" t="s">
        <v>146</v>
      </c>
      <c r="K5" s="3" t="s">
        <v>34</v>
      </c>
      <c r="L5" s="143">
        <v>72.866</v>
      </c>
      <c r="M5" s="153">
        <v>1</v>
      </c>
      <c r="N5" s="155">
        <v>3.8600000000000002E-2</v>
      </c>
      <c r="O5" s="143">
        <v>72.866</v>
      </c>
      <c r="P5" s="155">
        <v>0.31385039611826598</v>
      </c>
      <c r="Q5" s="155">
        <v>9.7083654719518093E-3</v>
      </c>
    </row>
    <row r="6" spans="1:17">
      <c r="A6" s="3">
        <v>337</v>
      </c>
      <c r="B6" s="3">
        <v>1405</v>
      </c>
      <c r="C6" s="3" t="s">
        <v>459</v>
      </c>
      <c r="D6" s="3" t="s">
        <v>2938</v>
      </c>
      <c r="E6" s="27" t="s">
        <v>2133</v>
      </c>
      <c r="F6" s="3" t="s">
        <v>2639</v>
      </c>
      <c r="G6" s="3" t="s">
        <v>30</v>
      </c>
      <c r="H6" s="3" t="s">
        <v>125</v>
      </c>
      <c r="I6" s="3" t="s">
        <v>357</v>
      </c>
      <c r="J6" s="3" t="s">
        <v>146</v>
      </c>
      <c r="K6" s="3" t="s">
        <v>34</v>
      </c>
      <c r="L6" s="143">
        <v>4.0000000000000001E-3</v>
      </c>
      <c r="M6" s="153">
        <v>1</v>
      </c>
      <c r="N6" s="155">
        <v>3.8800000000000001E-2</v>
      </c>
      <c r="O6" s="143">
        <v>4.0000000000000001E-3</v>
      </c>
      <c r="P6" s="155">
        <v>1.92102003878821E-5</v>
      </c>
      <c r="Q6" s="155">
        <v>5.9423103638433198E-7</v>
      </c>
    </row>
    <row r="7" spans="1:17">
      <c r="A7" s="3">
        <v>337</v>
      </c>
      <c r="B7" s="3">
        <v>1477</v>
      </c>
      <c r="C7" s="3" t="s">
        <v>459</v>
      </c>
      <c r="D7" s="3" t="s">
        <v>2938</v>
      </c>
      <c r="E7" s="27" t="s">
        <v>2133</v>
      </c>
      <c r="F7" s="3" t="s">
        <v>2639</v>
      </c>
      <c r="G7" s="3" t="s">
        <v>30</v>
      </c>
      <c r="H7" s="3" t="s">
        <v>125</v>
      </c>
      <c r="I7" s="3" t="s">
        <v>357</v>
      </c>
      <c r="J7" s="3" t="s">
        <v>146</v>
      </c>
      <c r="K7" s="3" t="s">
        <v>34</v>
      </c>
      <c r="L7" s="143">
        <v>335.173</v>
      </c>
      <c r="M7" s="153">
        <v>1</v>
      </c>
      <c r="N7" s="155">
        <v>3.8800000000000001E-2</v>
      </c>
      <c r="O7" s="143">
        <v>335.173</v>
      </c>
      <c r="P7" s="155">
        <v>0.11867396189828699</v>
      </c>
      <c r="Q7" s="155">
        <v>1.34862390324483E-2</v>
      </c>
    </row>
    <row r="8" spans="1:17">
      <c r="A8" s="3">
        <v>337</v>
      </c>
      <c r="B8" s="3">
        <v>1477</v>
      </c>
      <c r="C8" s="3" t="s">
        <v>1118</v>
      </c>
      <c r="D8" s="3" t="s">
        <v>2948</v>
      </c>
      <c r="E8" s="27" t="s">
        <v>2133</v>
      </c>
      <c r="F8" s="3" t="s">
        <v>2641</v>
      </c>
      <c r="G8" s="3" t="s">
        <v>30</v>
      </c>
      <c r="H8" s="3" t="s">
        <v>125</v>
      </c>
      <c r="I8" s="3" t="s">
        <v>357</v>
      </c>
      <c r="J8" s="3" t="s">
        <v>146</v>
      </c>
      <c r="K8" s="3" t="s">
        <v>84</v>
      </c>
      <c r="L8" s="143">
        <v>166.30199999999999</v>
      </c>
      <c r="M8" s="153">
        <v>3.19</v>
      </c>
      <c r="N8" s="155">
        <v>2.1999999999999999E-2</v>
      </c>
      <c r="O8" s="143">
        <v>530.50400000000002</v>
      </c>
      <c r="P8" s="155">
        <v>0.18783460697566901</v>
      </c>
      <c r="Q8" s="155">
        <v>2.1345730501615701E-2</v>
      </c>
    </row>
    <row r="9" spans="1:17">
      <c r="A9" s="3">
        <v>337</v>
      </c>
      <c r="B9" s="3">
        <v>1477</v>
      </c>
      <c r="C9" s="3" t="s">
        <v>1118</v>
      </c>
      <c r="D9" s="3" t="s">
        <v>2948</v>
      </c>
      <c r="E9" s="27" t="s">
        <v>2133</v>
      </c>
      <c r="F9" s="3" t="s">
        <v>2641</v>
      </c>
      <c r="G9" s="3" t="s">
        <v>30</v>
      </c>
      <c r="H9" s="3" t="s">
        <v>125</v>
      </c>
      <c r="I9" s="3" t="s">
        <v>357</v>
      </c>
      <c r="J9" s="3" t="s">
        <v>146</v>
      </c>
      <c r="K9" s="3" t="s">
        <v>2939</v>
      </c>
      <c r="L9" s="143">
        <v>2.915</v>
      </c>
      <c r="M9" s="153">
        <v>0.4093</v>
      </c>
      <c r="N9" s="155">
        <v>0</v>
      </c>
      <c r="O9" s="143">
        <v>1.1930000000000001</v>
      </c>
      <c r="P9" s="155">
        <v>4.2251462804560898E-4</v>
      </c>
      <c r="Q9" s="155">
        <v>4.8015025178082601E-5</v>
      </c>
    </row>
    <row r="10" spans="1:17">
      <c r="A10" s="3">
        <v>337</v>
      </c>
      <c r="B10" s="3">
        <v>1477</v>
      </c>
      <c r="C10" s="3" t="s">
        <v>1118</v>
      </c>
      <c r="D10" s="3" t="s">
        <v>2948</v>
      </c>
      <c r="E10" s="27" t="s">
        <v>2133</v>
      </c>
      <c r="F10" s="3" t="s">
        <v>2641</v>
      </c>
      <c r="G10" s="3" t="s">
        <v>30</v>
      </c>
      <c r="H10" s="3" t="s">
        <v>125</v>
      </c>
      <c r="I10" s="3" t="s">
        <v>357</v>
      </c>
      <c r="J10" s="3" t="s">
        <v>146</v>
      </c>
      <c r="K10" s="3" t="s">
        <v>755</v>
      </c>
      <c r="L10" s="143">
        <v>106.916</v>
      </c>
      <c r="M10" s="153">
        <v>3.7454999999999998</v>
      </c>
      <c r="N10" s="155">
        <v>0</v>
      </c>
      <c r="O10" s="143">
        <v>400.452</v>
      </c>
      <c r="P10" s="155">
        <v>0.14178746502015099</v>
      </c>
      <c r="Q10" s="155">
        <v>1.6112882847086101E-2</v>
      </c>
    </row>
    <row r="11" spans="1:17">
      <c r="A11" s="3">
        <v>337</v>
      </c>
      <c r="B11" s="3">
        <v>1477</v>
      </c>
      <c r="C11" s="3" t="s">
        <v>1118</v>
      </c>
      <c r="D11" s="3" t="s">
        <v>2948</v>
      </c>
      <c r="E11" s="27" t="s">
        <v>2133</v>
      </c>
      <c r="F11" s="3" t="s">
        <v>2641</v>
      </c>
      <c r="G11" s="3" t="s">
        <v>30</v>
      </c>
      <c r="H11" s="3" t="s">
        <v>125</v>
      </c>
      <c r="I11" s="3" t="s">
        <v>357</v>
      </c>
      <c r="J11" s="3" t="s">
        <v>146</v>
      </c>
      <c r="K11" s="3" t="s">
        <v>2940</v>
      </c>
      <c r="L11" s="143">
        <v>0.88200000000000001</v>
      </c>
      <c r="M11" s="153">
        <v>2.0365000000000001E-2</v>
      </c>
      <c r="N11" s="155">
        <v>0</v>
      </c>
      <c r="O11" s="143">
        <v>1.796</v>
      </c>
      <c r="P11" s="155">
        <v>6.3574653687152301E-4</v>
      </c>
      <c r="Q11" s="155">
        <v>7.2246932883634707E-5</v>
      </c>
    </row>
    <row r="12" spans="1:17">
      <c r="A12" s="3">
        <v>337</v>
      </c>
      <c r="B12" s="3">
        <v>1477</v>
      </c>
      <c r="C12" s="3" t="s">
        <v>1118</v>
      </c>
      <c r="D12" s="3" t="s">
        <v>2948</v>
      </c>
      <c r="E12" s="27" t="s">
        <v>2133</v>
      </c>
      <c r="F12" s="3" t="s">
        <v>2641</v>
      </c>
      <c r="G12" s="3" t="s">
        <v>30</v>
      </c>
      <c r="H12" s="3" t="s">
        <v>125</v>
      </c>
      <c r="I12" s="3" t="s">
        <v>357</v>
      </c>
      <c r="J12" s="3" t="s">
        <v>146</v>
      </c>
      <c r="K12" s="3" t="s">
        <v>1253</v>
      </c>
      <c r="L12" s="143">
        <v>0.57399999999999995</v>
      </c>
      <c r="M12" s="153">
        <v>4.29</v>
      </c>
      <c r="N12" s="155">
        <v>0</v>
      </c>
      <c r="O12" s="143">
        <v>2.4609999999999999</v>
      </c>
      <c r="P12" s="155">
        <v>8.7130164980491495E-4</v>
      </c>
      <c r="Q12" s="155">
        <v>9.9015673958090494E-5</v>
      </c>
    </row>
    <row r="13" spans="1:17">
      <c r="A13" s="3">
        <v>337</v>
      </c>
      <c r="B13" s="3">
        <v>1477</v>
      </c>
      <c r="C13" s="3" t="s">
        <v>1118</v>
      </c>
      <c r="D13" s="3" t="s">
        <v>2948</v>
      </c>
      <c r="E13" s="27" t="s">
        <v>2133</v>
      </c>
      <c r="F13" s="3" t="s">
        <v>2639</v>
      </c>
      <c r="G13" s="3" t="s">
        <v>30</v>
      </c>
      <c r="H13" s="3" t="s">
        <v>125</v>
      </c>
      <c r="I13" s="3" t="s">
        <v>357</v>
      </c>
      <c r="J13" s="3" t="s">
        <v>146</v>
      </c>
      <c r="K13" s="3" t="s">
        <v>34</v>
      </c>
      <c r="L13" s="143">
        <v>1547.2470000000001</v>
      </c>
      <c r="M13" s="153">
        <v>1</v>
      </c>
      <c r="N13" s="155">
        <v>3.8600000000000002E-2</v>
      </c>
      <c r="O13" s="143">
        <v>1547.2470000000001</v>
      </c>
      <c r="P13" s="155">
        <v>0.54783104447080699</v>
      </c>
      <c r="Q13" s="155">
        <v>6.22561200194982E-2</v>
      </c>
    </row>
    <row r="14" spans="1:17">
      <c r="A14" s="3">
        <v>337</v>
      </c>
      <c r="B14" s="3">
        <v>1477</v>
      </c>
      <c r="C14" s="3" t="s">
        <v>1118</v>
      </c>
      <c r="D14" s="3" t="s">
        <v>2948</v>
      </c>
      <c r="E14" s="27" t="s">
        <v>2133</v>
      </c>
      <c r="F14" s="3" t="s">
        <v>2642</v>
      </c>
      <c r="G14" s="3" t="s">
        <v>30</v>
      </c>
      <c r="H14" s="3" t="s">
        <v>125</v>
      </c>
      <c r="I14" s="3" t="s">
        <v>357</v>
      </c>
      <c r="J14" s="3" t="s">
        <v>146</v>
      </c>
      <c r="K14" s="3" t="s">
        <v>34</v>
      </c>
      <c r="L14" s="143">
        <v>0.23699999999999999</v>
      </c>
      <c r="M14" s="153">
        <v>1</v>
      </c>
      <c r="N14" s="155">
        <v>3.8600000000000002E-2</v>
      </c>
      <c r="O14" s="143">
        <v>0.23699999999999999</v>
      </c>
      <c r="P14" s="155">
        <v>8.3956658522967094E-5</v>
      </c>
      <c r="Q14" s="155">
        <v>9.5409266455333195E-6</v>
      </c>
    </row>
    <row r="15" spans="1:17">
      <c r="A15" s="3">
        <v>337</v>
      </c>
      <c r="B15" s="3">
        <v>1477</v>
      </c>
      <c r="C15" s="3" t="s">
        <v>1118</v>
      </c>
      <c r="D15" s="3" t="s">
        <v>2948</v>
      </c>
      <c r="E15" s="27" t="s">
        <v>2133</v>
      </c>
      <c r="F15" s="3" t="s">
        <v>2641</v>
      </c>
      <c r="G15" s="3" t="s">
        <v>30</v>
      </c>
      <c r="H15" s="3" t="s">
        <v>125</v>
      </c>
      <c r="I15" s="3" t="s">
        <v>357</v>
      </c>
      <c r="J15" s="3" t="s">
        <v>146</v>
      </c>
      <c r="K15" s="3" t="s">
        <v>1300</v>
      </c>
      <c r="L15" s="143">
        <v>1.306</v>
      </c>
      <c r="M15" s="153">
        <v>4.0213000000000001</v>
      </c>
      <c r="N15" s="155">
        <v>0</v>
      </c>
      <c r="O15" s="143">
        <v>5.2519999999999998</v>
      </c>
      <c r="P15" s="155">
        <v>1.85940216184074E-3</v>
      </c>
      <c r="Q15" s="155">
        <v>2.11304498568336E-4</v>
      </c>
    </row>
    <row r="16" spans="1:17">
      <c r="A16" s="3">
        <v>337</v>
      </c>
      <c r="B16" s="3">
        <v>9962</v>
      </c>
      <c r="C16" s="3" t="s">
        <v>459</v>
      </c>
      <c r="D16" s="3" t="s">
        <v>2938</v>
      </c>
      <c r="E16" s="27" t="s">
        <v>2133</v>
      </c>
      <c r="F16" s="3" t="s">
        <v>2639</v>
      </c>
      <c r="G16" s="3" t="s">
        <v>30</v>
      </c>
      <c r="H16" s="3" t="s">
        <v>125</v>
      </c>
      <c r="I16" s="3" t="s">
        <v>357</v>
      </c>
      <c r="J16" s="3" t="s">
        <v>146</v>
      </c>
      <c r="K16" s="3" t="s">
        <v>34</v>
      </c>
      <c r="L16" s="143">
        <v>652.83600000000001</v>
      </c>
      <c r="M16" s="153">
        <v>1</v>
      </c>
      <c r="N16" s="155">
        <v>3.8800000000000001E-2</v>
      </c>
      <c r="O16" s="143">
        <v>652.83600000000001</v>
      </c>
      <c r="P16" s="155">
        <v>0.432852637995637</v>
      </c>
      <c r="Q16" s="155">
        <v>1.30118808718831E-2</v>
      </c>
    </row>
    <row r="17" spans="1:17">
      <c r="A17" s="3">
        <v>337</v>
      </c>
      <c r="B17" s="3">
        <v>9962</v>
      </c>
      <c r="C17" s="3" t="s">
        <v>1118</v>
      </c>
      <c r="D17" s="3" t="s">
        <v>2948</v>
      </c>
      <c r="E17" s="27" t="s">
        <v>2133</v>
      </c>
      <c r="F17" s="3" t="s">
        <v>2641</v>
      </c>
      <c r="G17" s="3" t="s">
        <v>30</v>
      </c>
      <c r="H17" s="3" t="s">
        <v>125</v>
      </c>
      <c r="I17" s="3" t="s">
        <v>357</v>
      </c>
      <c r="J17" s="3" t="s">
        <v>146</v>
      </c>
      <c r="K17" s="3" t="s">
        <v>84</v>
      </c>
      <c r="L17" s="143">
        <v>170.202</v>
      </c>
      <c r="M17" s="153">
        <v>3.19</v>
      </c>
      <c r="N17" s="155">
        <v>2.1999999999999999E-2</v>
      </c>
      <c r="O17" s="143">
        <v>542.94500000000005</v>
      </c>
      <c r="P17" s="155">
        <v>0.35999096385752</v>
      </c>
      <c r="Q17" s="155">
        <v>1.0821603302128001E-2</v>
      </c>
    </row>
    <row r="18" spans="1:17">
      <c r="A18" s="3">
        <v>337</v>
      </c>
      <c r="B18" s="3">
        <v>9962</v>
      </c>
      <c r="C18" s="3" t="s">
        <v>1118</v>
      </c>
      <c r="D18" s="3" t="s">
        <v>2948</v>
      </c>
      <c r="E18" s="27" t="s">
        <v>2133</v>
      </c>
      <c r="F18" s="3" t="s">
        <v>2641</v>
      </c>
      <c r="G18" s="3" t="s">
        <v>30</v>
      </c>
      <c r="H18" s="3" t="s">
        <v>125</v>
      </c>
      <c r="I18" s="3" t="s">
        <v>357</v>
      </c>
      <c r="J18" s="3" t="s">
        <v>146</v>
      </c>
      <c r="K18" s="3" t="s">
        <v>2939</v>
      </c>
      <c r="L18" s="143">
        <v>0.90800000000000003</v>
      </c>
      <c r="M18" s="153">
        <v>0.4093</v>
      </c>
      <c r="N18" s="155">
        <v>0</v>
      </c>
      <c r="O18" s="143">
        <v>0.372</v>
      </c>
      <c r="P18" s="155">
        <v>2.4633965783300198E-4</v>
      </c>
      <c r="Q18" s="155">
        <v>7.40515824643253E-6</v>
      </c>
    </row>
    <row r="19" spans="1:17">
      <c r="A19" s="3">
        <v>337</v>
      </c>
      <c r="B19" s="3">
        <v>9962</v>
      </c>
      <c r="C19" s="3" t="s">
        <v>1118</v>
      </c>
      <c r="D19" s="3" t="s">
        <v>2948</v>
      </c>
      <c r="E19" s="27" t="s">
        <v>2133</v>
      </c>
      <c r="F19" s="3" t="s">
        <v>2641</v>
      </c>
      <c r="G19" s="3" t="s">
        <v>30</v>
      </c>
      <c r="H19" s="3" t="s">
        <v>125</v>
      </c>
      <c r="I19" s="3" t="s">
        <v>357</v>
      </c>
      <c r="J19" s="3" t="s">
        <v>146</v>
      </c>
      <c r="K19" s="3" t="s">
        <v>755</v>
      </c>
      <c r="L19" s="143">
        <v>39.673999999999999</v>
      </c>
      <c r="M19" s="153">
        <v>3.7454999999999998</v>
      </c>
      <c r="N19" s="155">
        <v>0</v>
      </c>
      <c r="O19" s="143">
        <v>148.601</v>
      </c>
      <c r="P19" s="155">
        <v>9.8527307920630594E-2</v>
      </c>
      <c r="Q19" s="155">
        <v>2.96180612234945E-3</v>
      </c>
    </row>
    <row r="20" spans="1:17">
      <c r="A20" s="3">
        <v>337</v>
      </c>
      <c r="B20" s="3">
        <v>9962</v>
      </c>
      <c r="C20" s="3" t="s">
        <v>1118</v>
      </c>
      <c r="D20" s="3" t="s">
        <v>2948</v>
      </c>
      <c r="E20" s="27" t="s">
        <v>2133</v>
      </c>
      <c r="F20" s="3" t="s">
        <v>2641</v>
      </c>
      <c r="G20" s="3" t="s">
        <v>30</v>
      </c>
      <c r="H20" s="3" t="s">
        <v>125</v>
      </c>
      <c r="I20" s="3" t="s">
        <v>357</v>
      </c>
      <c r="J20" s="3" t="s">
        <v>146</v>
      </c>
      <c r="K20" s="3" t="s">
        <v>2940</v>
      </c>
      <c r="L20" s="143">
        <v>0.99399999999999999</v>
      </c>
      <c r="M20" s="153">
        <v>2.0365000000000001E-2</v>
      </c>
      <c r="N20" s="155">
        <v>0</v>
      </c>
      <c r="O20" s="143">
        <v>2.024</v>
      </c>
      <c r="P20" s="155">
        <v>1.3418087821405E-3</v>
      </c>
      <c r="Q20" s="155">
        <v>4.0335796743451202E-5</v>
      </c>
    </row>
    <row r="21" spans="1:17" s="35" customFormat="1">
      <c r="A21" s="35">
        <v>337</v>
      </c>
      <c r="B21" s="35">
        <v>9962</v>
      </c>
      <c r="C21" s="35" t="s">
        <v>1118</v>
      </c>
      <c r="D21" s="34" t="s">
        <v>2948</v>
      </c>
      <c r="E21" s="38" t="s">
        <v>2133</v>
      </c>
      <c r="F21" s="35" t="s">
        <v>2641</v>
      </c>
      <c r="G21" s="35" t="s">
        <v>30</v>
      </c>
      <c r="H21" s="35" t="s">
        <v>125</v>
      </c>
      <c r="I21" s="35" t="s">
        <v>357</v>
      </c>
      <c r="J21" s="35" t="s">
        <v>146</v>
      </c>
      <c r="K21" s="35" t="s">
        <v>1253</v>
      </c>
      <c r="L21" s="143">
        <v>0.82199999999999995</v>
      </c>
      <c r="M21" s="153">
        <v>4.29</v>
      </c>
      <c r="N21" s="155">
        <v>0</v>
      </c>
      <c r="O21" s="143">
        <v>3.528</v>
      </c>
      <c r="P21" s="155">
        <v>2.3389352613200098E-3</v>
      </c>
      <c r="Q21" s="155">
        <v>7.0310180222696002E-5</v>
      </c>
    </row>
    <row r="22" spans="1:17">
      <c r="A22" s="3">
        <v>337</v>
      </c>
      <c r="B22" s="3">
        <v>9962</v>
      </c>
      <c r="C22" s="3" t="s">
        <v>1118</v>
      </c>
      <c r="D22" s="3" t="s">
        <v>2948</v>
      </c>
      <c r="E22" s="5" t="s">
        <v>2133</v>
      </c>
      <c r="F22" s="3" t="s">
        <v>2639</v>
      </c>
      <c r="G22" s="3" t="s">
        <v>30</v>
      </c>
      <c r="H22" s="3" t="s">
        <v>125</v>
      </c>
      <c r="I22" s="3" t="s">
        <v>357</v>
      </c>
      <c r="J22" s="3" t="s">
        <v>146</v>
      </c>
      <c r="K22" s="3" t="s">
        <v>34</v>
      </c>
      <c r="L22" s="143">
        <v>147.31</v>
      </c>
      <c r="M22" s="153">
        <v>1</v>
      </c>
      <c r="N22" s="155">
        <v>3.8600000000000002E-2</v>
      </c>
      <c r="O22" s="143">
        <v>147.31</v>
      </c>
      <c r="P22" s="155">
        <v>9.7671640812659596E-2</v>
      </c>
      <c r="Q22" s="155">
        <v>2.9360841156026102E-3</v>
      </c>
    </row>
    <row r="23" spans="1:17">
      <c r="A23" s="3">
        <v>337</v>
      </c>
      <c r="B23" s="3">
        <v>9962</v>
      </c>
      <c r="C23" s="3" t="s">
        <v>1118</v>
      </c>
      <c r="D23" s="3" t="s">
        <v>2948</v>
      </c>
      <c r="E23" s="5" t="s">
        <v>2133</v>
      </c>
      <c r="F23" s="3" t="s">
        <v>2641</v>
      </c>
      <c r="G23" s="3" t="s">
        <v>30</v>
      </c>
      <c r="H23" s="3" t="s">
        <v>125</v>
      </c>
      <c r="I23" s="3" t="s">
        <v>357</v>
      </c>
      <c r="J23" s="3" t="s">
        <v>146</v>
      </c>
      <c r="K23" s="3" t="s">
        <v>1300</v>
      </c>
      <c r="L23" s="143">
        <v>2.637</v>
      </c>
      <c r="M23" s="153">
        <v>4.0213000000000001</v>
      </c>
      <c r="N23" s="155">
        <v>0</v>
      </c>
      <c r="O23" s="143">
        <v>10.603</v>
      </c>
      <c r="P23" s="155">
        <v>7.0303657122588103E-3</v>
      </c>
      <c r="Q23" s="155">
        <v>2.11338162468598E-4</v>
      </c>
    </row>
    <row r="24" spans="1:17">
      <c r="A24" s="3">
        <v>337</v>
      </c>
      <c r="B24" s="3">
        <v>9963</v>
      </c>
      <c r="C24" s="3" t="s">
        <v>459</v>
      </c>
      <c r="D24" s="3" t="s">
        <v>2938</v>
      </c>
      <c r="E24" s="5" t="s">
        <v>2133</v>
      </c>
      <c r="F24" s="3" t="s">
        <v>2639</v>
      </c>
      <c r="G24" s="3" t="s">
        <v>30</v>
      </c>
      <c r="H24" s="3" t="s">
        <v>125</v>
      </c>
      <c r="I24" s="3" t="s">
        <v>357</v>
      </c>
      <c r="J24" s="3" t="s">
        <v>146</v>
      </c>
      <c r="K24" s="3" t="s">
        <v>34</v>
      </c>
      <c r="L24" s="143">
        <v>1659.634</v>
      </c>
      <c r="M24" s="153">
        <v>1</v>
      </c>
      <c r="N24" s="155">
        <v>3.8800000000000001E-2</v>
      </c>
      <c r="O24" s="143">
        <v>1659.634</v>
      </c>
      <c r="P24" s="155">
        <v>3.2180997536229002E-2</v>
      </c>
      <c r="Q24" s="155">
        <v>1.4241288599966099E-3</v>
      </c>
    </row>
    <row r="25" spans="1:17">
      <c r="A25" s="3">
        <v>337</v>
      </c>
      <c r="B25" s="3">
        <v>9963</v>
      </c>
      <c r="C25" s="3" t="s">
        <v>1118</v>
      </c>
      <c r="D25" s="3" t="s">
        <v>2948</v>
      </c>
      <c r="E25" s="5" t="s">
        <v>2133</v>
      </c>
      <c r="F25" s="3" t="s">
        <v>2641</v>
      </c>
      <c r="G25" s="3" t="s">
        <v>30</v>
      </c>
      <c r="H25" s="3" t="s">
        <v>125</v>
      </c>
      <c r="I25" s="3" t="s">
        <v>357</v>
      </c>
      <c r="J25" s="3" t="s">
        <v>146</v>
      </c>
      <c r="K25" s="3" t="s">
        <v>84</v>
      </c>
      <c r="L25" s="143">
        <v>9911.7569999999996</v>
      </c>
      <c r="M25" s="153">
        <v>3.19</v>
      </c>
      <c r="N25" s="155">
        <v>2.1999999999999999E-2</v>
      </c>
      <c r="O25" s="143">
        <v>31618.506000000001</v>
      </c>
      <c r="P25" s="155">
        <v>0.61309592188891104</v>
      </c>
      <c r="Q25" s="155">
        <v>2.7131775369152799E-2</v>
      </c>
    </row>
    <row r="26" spans="1:17">
      <c r="A26" s="3">
        <v>337</v>
      </c>
      <c r="B26" s="3">
        <v>9963</v>
      </c>
      <c r="C26" s="3" t="s">
        <v>1118</v>
      </c>
      <c r="D26" s="3" t="s">
        <v>2948</v>
      </c>
      <c r="E26" s="5" t="s">
        <v>2133</v>
      </c>
      <c r="F26" s="3" t="s">
        <v>2641</v>
      </c>
      <c r="G26" s="3" t="s">
        <v>30</v>
      </c>
      <c r="H26" s="3" t="s">
        <v>125</v>
      </c>
      <c r="I26" s="3" t="s">
        <v>357</v>
      </c>
      <c r="J26" s="3" t="s">
        <v>146</v>
      </c>
      <c r="K26" s="3" t="s">
        <v>2939</v>
      </c>
      <c r="L26" s="143">
        <v>87.459000000000003</v>
      </c>
      <c r="M26" s="153">
        <v>0.4093</v>
      </c>
      <c r="N26" s="155">
        <v>0</v>
      </c>
      <c r="O26" s="143">
        <v>35.796999999999997</v>
      </c>
      <c r="P26" s="155">
        <v>6.9412105082881296E-4</v>
      </c>
      <c r="Q26" s="155">
        <v>3.0717438752593797E-5</v>
      </c>
    </row>
    <row r="27" spans="1:17">
      <c r="A27" s="3">
        <v>337</v>
      </c>
      <c r="B27" s="3">
        <v>9963</v>
      </c>
      <c r="C27" s="3" t="s">
        <v>1118</v>
      </c>
      <c r="D27" s="3" t="s">
        <v>2948</v>
      </c>
      <c r="E27" s="5" t="s">
        <v>2133</v>
      </c>
      <c r="F27" s="3" t="s">
        <v>2641</v>
      </c>
      <c r="G27" s="3" t="s">
        <v>30</v>
      </c>
      <c r="H27" s="3" t="s">
        <v>125</v>
      </c>
      <c r="I27" s="3" t="s">
        <v>357</v>
      </c>
      <c r="J27" s="3" t="s">
        <v>146</v>
      </c>
      <c r="K27" s="3" t="s">
        <v>2941</v>
      </c>
      <c r="L27" s="143">
        <v>7.4950000000000001</v>
      </c>
      <c r="M27" s="153">
        <v>2.3275000000000001</v>
      </c>
      <c r="N27" s="155">
        <v>0</v>
      </c>
      <c r="O27" s="143">
        <v>17.445</v>
      </c>
      <c r="P27" s="155">
        <v>3.3826908599320597E-4</v>
      </c>
      <c r="Q27" s="155">
        <v>1.49696654761949E-5</v>
      </c>
    </row>
    <row r="28" spans="1:17">
      <c r="A28" s="3">
        <v>337</v>
      </c>
      <c r="B28" s="3">
        <v>9963</v>
      </c>
      <c r="C28" s="3" t="s">
        <v>1118</v>
      </c>
      <c r="D28" s="3" t="s">
        <v>2948</v>
      </c>
      <c r="E28" s="5" t="s">
        <v>2133</v>
      </c>
      <c r="F28" s="3" t="s">
        <v>2641</v>
      </c>
      <c r="G28" s="3" t="s">
        <v>30</v>
      </c>
      <c r="H28" s="3" t="s">
        <v>125</v>
      </c>
      <c r="I28" s="3" t="s">
        <v>357</v>
      </c>
      <c r="J28" s="3" t="s">
        <v>146</v>
      </c>
      <c r="K28" s="3" t="s">
        <v>755</v>
      </c>
      <c r="L28" s="143">
        <v>741.64200000000005</v>
      </c>
      <c r="M28" s="153">
        <v>3.7454999999999998</v>
      </c>
      <c r="N28" s="155">
        <v>0</v>
      </c>
      <c r="O28" s="143">
        <v>2777.819</v>
      </c>
      <c r="P28" s="155">
        <v>5.3863059554942298E-2</v>
      </c>
      <c r="Q28" s="155">
        <v>2.3836407654409201E-3</v>
      </c>
    </row>
    <row r="29" spans="1:17">
      <c r="A29" s="3">
        <v>337</v>
      </c>
      <c r="B29" s="3">
        <v>9963</v>
      </c>
      <c r="C29" s="3" t="s">
        <v>1118</v>
      </c>
      <c r="D29" s="3" t="s">
        <v>2948</v>
      </c>
      <c r="E29" s="5" t="s">
        <v>2133</v>
      </c>
      <c r="F29" s="3" t="s">
        <v>2641</v>
      </c>
      <c r="G29" s="3" t="s">
        <v>30</v>
      </c>
      <c r="H29" s="3" t="s">
        <v>125</v>
      </c>
      <c r="I29" s="3" t="s">
        <v>357</v>
      </c>
      <c r="J29" s="3" t="s">
        <v>146</v>
      </c>
      <c r="K29" s="3" t="s">
        <v>2940</v>
      </c>
      <c r="L29" s="143">
        <v>0.56999999999999995</v>
      </c>
      <c r="M29" s="153">
        <v>2.0365000000000001E-2</v>
      </c>
      <c r="N29" s="155">
        <v>0</v>
      </c>
      <c r="O29" s="143">
        <v>1.161</v>
      </c>
      <c r="P29" s="155">
        <v>2.25174966058883E-5</v>
      </c>
      <c r="Q29" s="155">
        <v>9.9648299389164505E-7</v>
      </c>
    </row>
    <row r="30" spans="1:17">
      <c r="A30" s="3">
        <v>337</v>
      </c>
      <c r="B30" s="3">
        <v>9963</v>
      </c>
      <c r="C30" s="3" t="s">
        <v>1118</v>
      </c>
      <c r="D30" s="3" t="s">
        <v>2948</v>
      </c>
      <c r="E30" s="5" t="s">
        <v>2133</v>
      </c>
      <c r="F30" s="3" t="s">
        <v>2641</v>
      </c>
      <c r="G30" s="3" t="s">
        <v>30</v>
      </c>
      <c r="H30" s="3" t="s">
        <v>125</v>
      </c>
      <c r="I30" s="3" t="s">
        <v>357</v>
      </c>
      <c r="J30" s="3" t="s">
        <v>146</v>
      </c>
      <c r="K30" s="3" t="s">
        <v>1253</v>
      </c>
      <c r="L30" s="143">
        <v>13.12</v>
      </c>
      <c r="M30" s="153">
        <v>4.29</v>
      </c>
      <c r="N30" s="155">
        <v>0</v>
      </c>
      <c r="O30" s="143">
        <v>56.284999999999997</v>
      </c>
      <c r="P30" s="155">
        <v>1.0913830656598799E-3</v>
      </c>
      <c r="Q30" s="155">
        <v>4.8297760794022001E-5</v>
      </c>
    </row>
    <row r="31" spans="1:17">
      <c r="A31" s="3">
        <v>337</v>
      </c>
      <c r="B31" s="3">
        <v>9963</v>
      </c>
      <c r="C31" s="3" t="s">
        <v>1118</v>
      </c>
      <c r="D31" s="3" t="s">
        <v>2948</v>
      </c>
      <c r="E31" s="5" t="s">
        <v>2133</v>
      </c>
      <c r="F31" s="3" t="s">
        <v>2639</v>
      </c>
      <c r="G31" s="3" t="s">
        <v>30</v>
      </c>
      <c r="H31" s="3" t="s">
        <v>125</v>
      </c>
      <c r="I31" s="3" t="s">
        <v>357</v>
      </c>
      <c r="J31" s="3" t="s">
        <v>146</v>
      </c>
      <c r="K31" s="3" t="s">
        <v>34</v>
      </c>
      <c r="L31" s="143">
        <v>10242.471</v>
      </c>
      <c r="M31" s="153">
        <v>1</v>
      </c>
      <c r="N31" s="155">
        <v>3.8600000000000002E-2</v>
      </c>
      <c r="O31" s="143">
        <v>10242.471</v>
      </c>
      <c r="P31" s="155">
        <v>0.19860574475067799</v>
      </c>
      <c r="Q31" s="155">
        <v>8.7890430538127996E-3</v>
      </c>
    </row>
    <row r="32" spans="1:17">
      <c r="A32" s="3">
        <v>337</v>
      </c>
      <c r="B32" s="3">
        <v>9963</v>
      </c>
      <c r="C32" s="3" t="s">
        <v>1118</v>
      </c>
      <c r="D32" s="3" t="s">
        <v>2948</v>
      </c>
      <c r="E32" s="5" t="s">
        <v>2133</v>
      </c>
      <c r="F32" s="3" t="s">
        <v>2641</v>
      </c>
      <c r="G32" s="3" t="s">
        <v>30</v>
      </c>
      <c r="H32" s="3" t="s">
        <v>125</v>
      </c>
      <c r="I32" s="3" t="s">
        <v>357</v>
      </c>
      <c r="J32" s="3" t="s">
        <v>146</v>
      </c>
      <c r="K32" s="3" t="s">
        <v>1300</v>
      </c>
      <c r="L32" s="143">
        <v>9.4139999999999997</v>
      </c>
      <c r="M32" s="153">
        <v>4.0213000000000001</v>
      </c>
      <c r="N32" s="155">
        <v>0</v>
      </c>
      <c r="O32" s="143">
        <v>37.854999999999997</v>
      </c>
      <c r="P32" s="155">
        <v>7.3403171904608299E-4</v>
      </c>
      <c r="Q32" s="155">
        <v>3.24836342959723E-5</v>
      </c>
    </row>
    <row r="33" spans="1:17">
      <c r="A33" s="3">
        <v>337</v>
      </c>
      <c r="B33" s="3">
        <v>9963</v>
      </c>
      <c r="C33" s="3" t="s">
        <v>459</v>
      </c>
      <c r="D33" s="3" t="s">
        <v>2938</v>
      </c>
      <c r="E33" s="5" t="s">
        <v>2133</v>
      </c>
      <c r="F33" s="3" t="s">
        <v>2639</v>
      </c>
      <c r="G33" s="3" t="s">
        <v>30</v>
      </c>
      <c r="H33" s="3" t="s">
        <v>125</v>
      </c>
      <c r="I33" s="3" t="s">
        <v>357</v>
      </c>
      <c r="J33" s="3" t="s">
        <v>146</v>
      </c>
      <c r="K33" s="3" t="s">
        <v>34</v>
      </c>
      <c r="L33" s="143">
        <v>3345.1550000000002</v>
      </c>
      <c r="M33" s="153">
        <v>1</v>
      </c>
      <c r="N33" s="155">
        <v>3.8800000000000001E-2</v>
      </c>
      <c r="O33" s="143">
        <v>3345.1550000000002</v>
      </c>
      <c r="P33" s="155">
        <v>6.4863943273490196E-2</v>
      </c>
      <c r="Q33" s="155">
        <v>2.8704707952252198E-3</v>
      </c>
    </row>
    <row r="34" spans="1:17">
      <c r="A34" s="3">
        <v>337</v>
      </c>
      <c r="B34" s="3">
        <v>9963</v>
      </c>
      <c r="C34" s="3" t="s">
        <v>459</v>
      </c>
      <c r="D34" s="3" t="s">
        <v>2938</v>
      </c>
      <c r="E34" s="5" t="s">
        <v>2133</v>
      </c>
      <c r="F34" s="3" t="s">
        <v>2639</v>
      </c>
      <c r="G34" s="3" t="s">
        <v>30</v>
      </c>
      <c r="H34" s="3" t="s">
        <v>125</v>
      </c>
      <c r="I34" s="3" t="s">
        <v>357</v>
      </c>
      <c r="J34" s="3" t="s">
        <v>146</v>
      </c>
      <c r="K34" s="3" t="s">
        <v>34</v>
      </c>
      <c r="L34" s="143">
        <v>1772.7249999999999</v>
      </c>
      <c r="M34" s="153">
        <v>1</v>
      </c>
      <c r="N34" s="155">
        <v>3.8800000000000001E-2</v>
      </c>
      <c r="O34" s="143">
        <v>1772.7249999999999</v>
      </c>
      <c r="P34" s="155">
        <v>3.4373872809354902E-2</v>
      </c>
      <c r="Q34" s="155">
        <v>1.52117174871737E-3</v>
      </c>
    </row>
    <row r="35" spans="1:17">
      <c r="A35" s="3">
        <v>337</v>
      </c>
      <c r="B35" s="3">
        <v>9963</v>
      </c>
      <c r="C35" s="3" t="s">
        <v>1118</v>
      </c>
      <c r="D35" s="3" t="s">
        <v>2948</v>
      </c>
      <c r="E35" s="5" t="s">
        <v>2133</v>
      </c>
      <c r="F35" s="3" t="s">
        <v>2639</v>
      </c>
      <c r="G35" s="3" t="s">
        <v>30</v>
      </c>
      <c r="H35" s="3" t="s">
        <v>125</v>
      </c>
      <c r="I35" s="3" t="s">
        <v>357</v>
      </c>
      <c r="J35" s="3" t="s">
        <v>146</v>
      </c>
      <c r="K35" s="3" t="s">
        <v>34</v>
      </c>
      <c r="L35" s="143">
        <v>0</v>
      </c>
      <c r="M35" s="153">
        <v>1</v>
      </c>
      <c r="N35" s="155">
        <v>3.8600000000000002E-2</v>
      </c>
      <c r="O35" s="143">
        <v>0</v>
      </c>
      <c r="P35" s="155">
        <v>2.32684965292113E-9</v>
      </c>
      <c r="Q35" s="155">
        <v>1.0297175343516001E-10</v>
      </c>
    </row>
    <row r="36" spans="1:17">
      <c r="A36" s="3">
        <v>337</v>
      </c>
      <c r="B36" s="3">
        <v>9963</v>
      </c>
      <c r="C36" s="3" t="s">
        <v>459</v>
      </c>
      <c r="D36" s="3" t="s">
        <v>2938</v>
      </c>
      <c r="E36" s="5" t="s">
        <v>2133</v>
      </c>
      <c r="F36" s="3" t="s">
        <v>2639</v>
      </c>
      <c r="G36" s="3" t="s">
        <v>30</v>
      </c>
      <c r="H36" s="3" t="s">
        <v>125</v>
      </c>
      <c r="I36" s="3" t="s">
        <v>357</v>
      </c>
      <c r="J36" s="3" t="s">
        <v>146</v>
      </c>
      <c r="K36" s="3" t="s">
        <v>34</v>
      </c>
      <c r="L36" s="143">
        <v>7.0209999999999999</v>
      </c>
      <c r="M36" s="153">
        <v>1</v>
      </c>
      <c r="N36" s="155">
        <v>3.8800000000000001E-2</v>
      </c>
      <c r="O36" s="143">
        <v>7.0209999999999999</v>
      </c>
      <c r="P36" s="155">
        <v>1.36135441410355E-4</v>
      </c>
      <c r="Q36" s="155">
        <v>6.0244997303953003E-6</v>
      </c>
    </row>
    <row r="37" spans="1:17">
      <c r="A37" s="3">
        <v>337</v>
      </c>
      <c r="B37" s="3">
        <v>9964</v>
      </c>
      <c r="C37" s="3" t="s">
        <v>459</v>
      </c>
      <c r="D37" s="3" t="s">
        <v>2938</v>
      </c>
      <c r="E37" s="5" t="s">
        <v>2133</v>
      </c>
      <c r="F37" s="3" t="s">
        <v>2639</v>
      </c>
      <c r="G37" s="3" t="s">
        <v>30</v>
      </c>
      <c r="H37" s="3" t="s">
        <v>125</v>
      </c>
      <c r="I37" s="3" t="s">
        <v>357</v>
      </c>
      <c r="J37" s="3" t="s">
        <v>146</v>
      </c>
      <c r="K37" s="3" t="s">
        <v>34</v>
      </c>
      <c r="L37" s="143">
        <v>607.79</v>
      </c>
      <c r="M37" s="153">
        <v>1</v>
      </c>
      <c r="N37" s="155">
        <v>3.8800000000000001E-2</v>
      </c>
      <c r="O37" s="143">
        <v>607.79</v>
      </c>
      <c r="P37" s="155">
        <v>0.31847532824366098</v>
      </c>
      <c r="Q37" s="155">
        <v>1.39357048912516E-2</v>
      </c>
    </row>
    <row r="38" spans="1:17">
      <c r="A38" s="3">
        <v>337</v>
      </c>
      <c r="B38" s="3">
        <v>9964</v>
      </c>
      <c r="C38" s="3" t="s">
        <v>1118</v>
      </c>
      <c r="D38" s="3" t="s">
        <v>2948</v>
      </c>
      <c r="E38" s="5" t="s">
        <v>2133</v>
      </c>
      <c r="F38" s="3" t="s">
        <v>2641</v>
      </c>
      <c r="G38" s="3" t="s">
        <v>30</v>
      </c>
      <c r="H38" s="3" t="s">
        <v>125</v>
      </c>
      <c r="I38" s="3" t="s">
        <v>357</v>
      </c>
      <c r="J38" s="3" t="s">
        <v>146</v>
      </c>
      <c r="K38" s="3" t="s">
        <v>84</v>
      </c>
      <c r="L38" s="143">
        <v>128.77799999999999</v>
      </c>
      <c r="M38" s="153">
        <v>3.19</v>
      </c>
      <c r="N38" s="155">
        <v>2.1999999999999999E-2</v>
      </c>
      <c r="O38" s="143">
        <v>410.80200000000002</v>
      </c>
      <c r="P38" s="155">
        <v>0.21525596043689299</v>
      </c>
      <c r="Q38" s="155">
        <v>9.4190766904129197E-3</v>
      </c>
    </row>
    <row r="39" spans="1:17">
      <c r="A39" s="3">
        <v>337</v>
      </c>
      <c r="B39" s="3">
        <v>9964</v>
      </c>
      <c r="C39" s="3" t="s">
        <v>1118</v>
      </c>
      <c r="D39" s="3" t="s">
        <v>2948</v>
      </c>
      <c r="E39" s="5" t="s">
        <v>2133</v>
      </c>
      <c r="F39" s="3" t="s">
        <v>2641</v>
      </c>
      <c r="G39" s="3" t="s">
        <v>30</v>
      </c>
      <c r="H39" s="3" t="s">
        <v>125</v>
      </c>
      <c r="I39" s="3" t="s">
        <v>357</v>
      </c>
      <c r="J39" s="3" t="s">
        <v>146</v>
      </c>
      <c r="K39" s="3" t="s">
        <v>2939</v>
      </c>
      <c r="L39" s="143">
        <v>3.056</v>
      </c>
      <c r="M39" s="153">
        <v>0.4093</v>
      </c>
      <c r="N39" s="155">
        <v>0</v>
      </c>
      <c r="O39" s="143">
        <v>1.2509999999999999</v>
      </c>
      <c r="P39" s="155">
        <v>6.5547462733782196E-4</v>
      </c>
      <c r="Q39" s="155">
        <v>2.8681973641909001E-5</v>
      </c>
    </row>
    <row r="40" spans="1:17">
      <c r="A40" s="3">
        <v>337</v>
      </c>
      <c r="B40" s="3">
        <v>9964</v>
      </c>
      <c r="C40" s="3" t="s">
        <v>1118</v>
      </c>
      <c r="D40" s="3" t="s">
        <v>2948</v>
      </c>
      <c r="E40" s="5" t="s">
        <v>2133</v>
      </c>
      <c r="F40" s="3" t="s">
        <v>2641</v>
      </c>
      <c r="G40" s="3" t="s">
        <v>30</v>
      </c>
      <c r="H40" s="3" t="s">
        <v>125</v>
      </c>
      <c r="I40" s="3" t="s">
        <v>357</v>
      </c>
      <c r="J40" s="3" t="s">
        <v>146</v>
      </c>
      <c r="K40" s="3" t="s">
        <v>755</v>
      </c>
      <c r="L40" s="143">
        <v>26.158999999999999</v>
      </c>
      <c r="M40" s="153">
        <v>3.7454999999999998</v>
      </c>
      <c r="N40" s="155">
        <v>0</v>
      </c>
      <c r="O40" s="143">
        <v>97.977999999999994</v>
      </c>
      <c r="P40" s="155">
        <v>5.13394882396302E-2</v>
      </c>
      <c r="Q40" s="155">
        <v>2.2464909960874099E-3</v>
      </c>
    </row>
    <row r="41" spans="1:17">
      <c r="A41" s="3">
        <v>337</v>
      </c>
      <c r="B41" s="3">
        <v>9964</v>
      </c>
      <c r="C41" s="3" t="s">
        <v>1118</v>
      </c>
      <c r="D41" s="3" t="s">
        <v>2948</v>
      </c>
      <c r="E41" s="5" t="s">
        <v>2133</v>
      </c>
      <c r="F41" s="3" t="s">
        <v>2641</v>
      </c>
      <c r="G41" s="3" t="s">
        <v>30</v>
      </c>
      <c r="H41" s="3" t="s">
        <v>125</v>
      </c>
      <c r="I41" s="3" t="s">
        <v>357</v>
      </c>
      <c r="J41" s="3" t="s">
        <v>146</v>
      </c>
      <c r="K41" s="3" t="s">
        <v>2940</v>
      </c>
      <c r="L41" s="143">
        <v>0.155</v>
      </c>
      <c r="M41" s="153">
        <v>2.0365000000000001E-2</v>
      </c>
      <c r="N41" s="155">
        <v>0</v>
      </c>
      <c r="O41" s="143">
        <v>0.316</v>
      </c>
      <c r="P41" s="155">
        <v>1.6542655089233599E-4</v>
      </c>
      <c r="Q41" s="155">
        <v>7.2386630610501702E-6</v>
      </c>
    </row>
    <row r="42" spans="1:17">
      <c r="A42" s="3">
        <v>337</v>
      </c>
      <c r="B42" s="3">
        <v>9964</v>
      </c>
      <c r="C42" s="3" t="s">
        <v>1118</v>
      </c>
      <c r="D42" s="3" t="s">
        <v>2948</v>
      </c>
      <c r="E42" s="5" t="s">
        <v>2133</v>
      </c>
      <c r="F42" s="3" t="s">
        <v>2641</v>
      </c>
      <c r="G42" s="3" t="s">
        <v>30</v>
      </c>
      <c r="H42" s="3" t="s">
        <v>125</v>
      </c>
      <c r="I42" s="3" t="s">
        <v>357</v>
      </c>
      <c r="J42" s="3" t="s">
        <v>146</v>
      </c>
      <c r="K42" s="3" t="s">
        <v>1253</v>
      </c>
      <c r="L42" s="143">
        <v>1.361</v>
      </c>
      <c r="M42" s="153">
        <v>4.29</v>
      </c>
      <c r="N42" s="155">
        <v>0</v>
      </c>
      <c r="O42" s="143">
        <v>5.84</v>
      </c>
      <c r="P42" s="155">
        <v>3.0599506103236199E-3</v>
      </c>
      <c r="Q42" s="155">
        <v>1.3389598786958499E-4</v>
      </c>
    </row>
    <row r="43" spans="1:17">
      <c r="A43" s="3">
        <v>337</v>
      </c>
      <c r="B43" s="3">
        <v>9964</v>
      </c>
      <c r="C43" s="3" t="s">
        <v>1118</v>
      </c>
      <c r="D43" s="3" t="s">
        <v>2948</v>
      </c>
      <c r="E43" s="5" t="s">
        <v>2133</v>
      </c>
      <c r="F43" s="3" t="s">
        <v>2639</v>
      </c>
      <c r="G43" s="3" t="s">
        <v>30</v>
      </c>
      <c r="H43" s="3" t="s">
        <v>125</v>
      </c>
      <c r="I43" s="3" t="s">
        <v>357</v>
      </c>
      <c r="J43" s="3" t="s">
        <v>146</v>
      </c>
      <c r="K43" s="3" t="s">
        <v>34</v>
      </c>
      <c r="L43" s="143">
        <v>764.59299999999996</v>
      </c>
      <c r="M43" s="153">
        <v>1</v>
      </c>
      <c r="N43" s="155">
        <v>3.8600000000000002E-2</v>
      </c>
      <c r="O43" s="143">
        <v>764.59299999999996</v>
      </c>
      <c r="P43" s="155">
        <v>0.40063853315853398</v>
      </c>
      <c r="Q43" s="155">
        <v>1.7530966674723501E-2</v>
      </c>
    </row>
    <row r="44" spans="1:17">
      <c r="A44" s="3">
        <v>337</v>
      </c>
      <c r="B44" s="3">
        <v>9964</v>
      </c>
      <c r="C44" s="3" t="s">
        <v>1118</v>
      </c>
      <c r="D44" s="3" t="s">
        <v>2948</v>
      </c>
      <c r="E44" s="5" t="s">
        <v>2133</v>
      </c>
      <c r="F44" s="3" t="s">
        <v>2641</v>
      </c>
      <c r="G44" s="3" t="s">
        <v>30</v>
      </c>
      <c r="H44" s="3" t="s">
        <v>125</v>
      </c>
      <c r="I44" s="3" t="s">
        <v>357</v>
      </c>
      <c r="J44" s="3" t="s">
        <v>146</v>
      </c>
      <c r="K44" s="3" t="s">
        <v>1300</v>
      </c>
      <c r="L44" s="143">
        <v>4.9400000000000004</v>
      </c>
      <c r="M44" s="153">
        <v>4.0213000000000001</v>
      </c>
      <c r="N44" s="155">
        <v>0</v>
      </c>
      <c r="O44" s="143">
        <v>19.867000000000001</v>
      </c>
      <c r="P44" s="155">
        <v>1.0409838132727899E-2</v>
      </c>
      <c r="Q44" s="155">
        <v>4.5550916921390102E-4</v>
      </c>
    </row>
    <row r="45" spans="1:17">
      <c r="A45" s="3">
        <v>337</v>
      </c>
      <c r="B45" s="3">
        <v>15372</v>
      </c>
      <c r="C45" s="3" t="s">
        <v>459</v>
      </c>
      <c r="D45" s="3" t="s">
        <v>2938</v>
      </c>
      <c r="E45" s="5" t="s">
        <v>2133</v>
      </c>
      <c r="F45" s="3" t="s">
        <v>2639</v>
      </c>
      <c r="G45" s="3" t="s">
        <v>30</v>
      </c>
      <c r="H45" s="3" t="s">
        <v>125</v>
      </c>
      <c r="I45" s="3" t="s">
        <v>357</v>
      </c>
      <c r="J45" s="3" t="s">
        <v>146</v>
      </c>
      <c r="K45" s="3" t="s">
        <v>34</v>
      </c>
      <c r="L45" s="143">
        <v>8.01</v>
      </c>
      <c r="M45" s="153">
        <v>1</v>
      </c>
      <c r="N45" s="155">
        <v>3.8800000000000001E-2</v>
      </c>
      <c r="O45" s="143">
        <v>8.01</v>
      </c>
      <c r="P45" s="155">
        <v>5.6031410540338597E-2</v>
      </c>
      <c r="Q45" s="155">
        <v>1.00026998320744E-3</v>
      </c>
    </row>
    <row r="46" spans="1:17">
      <c r="A46" s="3">
        <v>337</v>
      </c>
      <c r="B46" s="3">
        <v>15372</v>
      </c>
      <c r="C46" s="3" t="s">
        <v>1118</v>
      </c>
      <c r="D46" s="3" t="s">
        <v>2948</v>
      </c>
      <c r="E46" s="5" t="s">
        <v>2133</v>
      </c>
      <c r="F46" s="3" t="s">
        <v>2641</v>
      </c>
      <c r="G46" s="3" t="s">
        <v>30</v>
      </c>
      <c r="H46" s="3" t="s">
        <v>125</v>
      </c>
      <c r="I46" s="3" t="s">
        <v>357</v>
      </c>
      <c r="J46" s="3" t="s">
        <v>146</v>
      </c>
      <c r="K46" s="3" t="s">
        <v>84</v>
      </c>
      <c r="L46" s="143">
        <v>4.0910000000000002</v>
      </c>
      <c r="M46" s="153">
        <v>3.19</v>
      </c>
      <c r="N46" s="155">
        <v>2.1999999999999999E-2</v>
      </c>
      <c r="O46" s="143">
        <v>13.05</v>
      </c>
      <c r="P46" s="155">
        <v>9.1289177301707103E-2</v>
      </c>
      <c r="Q46" s="155">
        <v>1.62968990011166E-3</v>
      </c>
    </row>
    <row r="47" spans="1:17">
      <c r="A47" s="3">
        <v>337</v>
      </c>
      <c r="B47" s="3">
        <v>15372</v>
      </c>
      <c r="C47" s="3" t="s">
        <v>1118</v>
      </c>
      <c r="D47" s="3" t="s">
        <v>2948</v>
      </c>
      <c r="E47" s="5" t="s">
        <v>2133</v>
      </c>
      <c r="F47" s="3" t="s">
        <v>2639</v>
      </c>
      <c r="G47" s="3" t="s">
        <v>30</v>
      </c>
      <c r="H47" s="3" t="s">
        <v>125</v>
      </c>
      <c r="I47" s="3" t="s">
        <v>357</v>
      </c>
      <c r="J47" s="3" t="s">
        <v>146</v>
      </c>
      <c r="K47" s="3" t="s">
        <v>34</v>
      </c>
      <c r="L47" s="143">
        <v>121.89400000000001</v>
      </c>
      <c r="M47" s="153">
        <v>1</v>
      </c>
      <c r="N47" s="155">
        <v>3.8600000000000002E-2</v>
      </c>
      <c r="O47" s="143">
        <v>121.89400000000001</v>
      </c>
      <c r="P47" s="155">
        <v>0.85267941215795395</v>
      </c>
      <c r="Q47" s="155">
        <v>1.52219908985967E-2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2"/>
  <sheetViews>
    <sheetView rightToLeft="1" topLeftCell="Q1" workbookViewId="0">
      <selection activeCell="V1" sqref="V1"/>
    </sheetView>
  </sheetViews>
  <sheetFormatPr defaultColWidth="0" defaultRowHeight="14.25"/>
  <cols>
    <col min="1" max="3" width="11.625" style="5" customWidth="1"/>
    <col min="4" max="4" width="28.5" style="5" customWidth="1"/>
    <col min="5" max="5" width="20.125" style="5" customWidth="1"/>
    <col min="6" max="6" width="22.375" style="5" customWidth="1"/>
    <col min="7" max="17" width="11.625" style="5" customWidth="1"/>
    <col min="18" max="18" width="16.125" style="5" customWidth="1"/>
    <col min="19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54" t="s">
        <v>14</v>
      </c>
      <c r="P1" s="154" t="s">
        <v>15</v>
      </c>
      <c r="Q1" s="18" t="s">
        <v>16</v>
      </c>
      <c r="R1" s="18" t="s">
        <v>17</v>
      </c>
      <c r="S1" s="152" t="s">
        <v>18</v>
      </c>
      <c r="T1" s="158" t="s">
        <v>19</v>
      </c>
      <c r="U1" s="18" t="s">
        <v>20</v>
      </c>
      <c r="V1" s="18" t="s">
        <v>21</v>
      </c>
      <c r="W1" s="18" t="s">
        <v>22</v>
      </c>
      <c r="X1" s="154" t="s">
        <v>23</v>
      </c>
      <c r="Y1" s="154" t="s">
        <v>24</v>
      </c>
      <c r="Z1" s="154" t="s">
        <v>25</v>
      </c>
    </row>
    <row r="2" spans="1:26">
      <c r="A2" s="17">
        <v>337</v>
      </c>
      <c r="B2" s="17">
        <v>1405</v>
      </c>
      <c r="C2" s="17" t="s">
        <v>26</v>
      </c>
      <c r="D2" s="17" t="s">
        <v>27</v>
      </c>
      <c r="E2" s="17" t="s">
        <v>28</v>
      </c>
      <c r="F2" s="17" t="s">
        <v>29</v>
      </c>
      <c r="G2" s="17" t="s">
        <v>30</v>
      </c>
      <c r="H2" s="17" t="s">
        <v>30</v>
      </c>
      <c r="I2" s="17" t="s">
        <v>31</v>
      </c>
      <c r="J2" s="17" t="s">
        <v>32</v>
      </c>
      <c r="K2" s="17" t="s">
        <v>33</v>
      </c>
      <c r="L2" s="5" t="s">
        <v>34</v>
      </c>
      <c r="M2" s="145">
        <v>1.403</v>
      </c>
      <c r="N2" s="5" t="s">
        <v>35</v>
      </c>
      <c r="O2" s="157">
        <v>7.4999999999999997E-3</v>
      </c>
      <c r="P2" s="157">
        <v>1.9199999999999998E-2</v>
      </c>
      <c r="R2" s="145">
        <v>100197</v>
      </c>
      <c r="S2" s="156">
        <v>1</v>
      </c>
      <c r="T2" s="159">
        <v>117.85</v>
      </c>
      <c r="U2" s="145">
        <v>118.08199999999999</v>
      </c>
      <c r="W2" s="17" t="s">
        <v>36</v>
      </c>
      <c r="X2" s="157">
        <v>3.9999999999999998E-6</v>
      </c>
      <c r="Y2" s="157">
        <v>3.33288205835746E-2</v>
      </c>
      <c r="Z2" s="157">
        <v>1.5732754930345299E-2</v>
      </c>
    </row>
    <row r="3" spans="1:26">
      <c r="A3" s="17">
        <v>337</v>
      </c>
      <c r="B3" s="17">
        <v>1405</v>
      </c>
      <c r="C3" s="17" t="s">
        <v>26</v>
      </c>
      <c r="D3" s="17" t="s">
        <v>37</v>
      </c>
      <c r="E3" s="17" t="s">
        <v>38</v>
      </c>
      <c r="F3" s="17" t="s">
        <v>29</v>
      </c>
      <c r="G3" s="17" t="s">
        <v>30</v>
      </c>
      <c r="H3" s="17" t="s">
        <v>30</v>
      </c>
      <c r="I3" s="17" t="s">
        <v>31</v>
      </c>
      <c r="J3" s="17" t="s">
        <v>32</v>
      </c>
      <c r="K3" s="17" t="s">
        <v>33</v>
      </c>
      <c r="L3" s="5" t="s">
        <v>34</v>
      </c>
      <c r="M3" s="145">
        <v>5.899</v>
      </c>
      <c r="N3" s="5" t="s">
        <v>39</v>
      </c>
      <c r="O3" s="157">
        <v>1E-3</v>
      </c>
      <c r="P3" s="157">
        <v>1.7049999999999999E-2</v>
      </c>
      <c r="R3" s="145">
        <v>70000</v>
      </c>
      <c r="S3" s="156">
        <v>1</v>
      </c>
      <c r="T3" s="159">
        <v>107.5</v>
      </c>
      <c r="U3" s="145">
        <v>75.25</v>
      </c>
      <c r="W3" s="17" t="s">
        <v>36</v>
      </c>
      <c r="X3" s="157">
        <v>1.9999999999999999E-6</v>
      </c>
      <c r="Y3" s="157">
        <v>2.1239395124011198E-2</v>
      </c>
      <c r="Z3" s="157">
        <v>1.00259832932558E-2</v>
      </c>
    </row>
    <row r="4" spans="1:26">
      <c r="A4" s="17">
        <v>337</v>
      </c>
      <c r="B4" s="17">
        <v>1405</v>
      </c>
      <c r="C4" s="17" t="s">
        <v>26</v>
      </c>
      <c r="D4" s="17" t="s">
        <v>40</v>
      </c>
      <c r="E4" s="17" t="s">
        <v>41</v>
      </c>
      <c r="F4" s="17" t="s">
        <v>42</v>
      </c>
      <c r="G4" s="17" t="s">
        <v>30</v>
      </c>
      <c r="H4" s="17" t="s">
        <v>30</v>
      </c>
      <c r="I4" s="17" t="s">
        <v>31</v>
      </c>
      <c r="J4" s="17" t="s">
        <v>32</v>
      </c>
      <c r="K4" s="17" t="s">
        <v>33</v>
      </c>
      <c r="L4" s="5" t="s">
        <v>34</v>
      </c>
      <c r="M4" s="145">
        <v>2.6760000000000002</v>
      </c>
      <c r="N4" s="5" t="s">
        <v>43</v>
      </c>
      <c r="O4" s="157">
        <v>2.2499999999999999E-2</v>
      </c>
      <c r="P4" s="157">
        <v>3.7280000000000001E-2</v>
      </c>
      <c r="R4" s="145">
        <v>703616</v>
      </c>
      <c r="S4" s="156">
        <v>1</v>
      </c>
      <c r="T4" s="159">
        <v>96.78</v>
      </c>
      <c r="U4" s="145">
        <v>680.96</v>
      </c>
      <c r="W4" s="17" t="s">
        <v>36</v>
      </c>
      <c r="X4" s="157">
        <v>2.0000000000000002E-5</v>
      </c>
      <c r="Y4" s="157">
        <v>0.19220158485397901</v>
      </c>
      <c r="Z4" s="157">
        <v>9.0728095947741602E-2</v>
      </c>
    </row>
    <row r="5" spans="1:26">
      <c r="A5" s="17">
        <v>337</v>
      </c>
      <c r="B5" s="17">
        <v>1405</v>
      </c>
      <c r="C5" s="17" t="s">
        <v>26</v>
      </c>
      <c r="D5" s="17" t="s">
        <v>44</v>
      </c>
      <c r="E5" s="17" t="s">
        <v>45</v>
      </c>
      <c r="F5" s="17" t="s">
        <v>42</v>
      </c>
      <c r="G5" s="17" t="s">
        <v>30</v>
      </c>
      <c r="H5" s="17" t="s">
        <v>30</v>
      </c>
      <c r="I5" s="17" t="s">
        <v>31</v>
      </c>
      <c r="J5" s="17" t="s">
        <v>32</v>
      </c>
      <c r="K5" s="17" t="s">
        <v>33</v>
      </c>
      <c r="L5" s="5" t="s">
        <v>34</v>
      </c>
      <c r="M5" s="145">
        <v>1.224</v>
      </c>
      <c r="N5" s="5" t="s">
        <v>46</v>
      </c>
      <c r="O5" s="157">
        <v>0.02</v>
      </c>
      <c r="P5" s="157">
        <v>3.7560000000000003E-2</v>
      </c>
      <c r="R5" s="145">
        <v>186178</v>
      </c>
      <c r="S5" s="156">
        <v>1</v>
      </c>
      <c r="T5" s="159">
        <v>99.41</v>
      </c>
      <c r="U5" s="145">
        <v>185.08</v>
      </c>
      <c r="W5" s="17" t="s">
        <v>36</v>
      </c>
      <c r="X5" s="157">
        <v>6.9999999999999999E-6</v>
      </c>
      <c r="Y5" s="157">
        <v>5.2238906147193398E-2</v>
      </c>
      <c r="Z5" s="157">
        <v>2.4659195670672499E-2</v>
      </c>
    </row>
    <row r="6" spans="1:26">
      <c r="A6" s="17">
        <v>337</v>
      </c>
      <c r="B6" s="17">
        <v>1405</v>
      </c>
      <c r="C6" s="17" t="s">
        <v>26</v>
      </c>
      <c r="D6" s="17" t="s">
        <v>47</v>
      </c>
      <c r="E6" s="17" t="s">
        <v>48</v>
      </c>
      <c r="F6" s="17" t="s">
        <v>42</v>
      </c>
      <c r="G6" s="17" t="s">
        <v>30</v>
      </c>
      <c r="H6" s="17" t="s">
        <v>30</v>
      </c>
      <c r="I6" s="17" t="s">
        <v>31</v>
      </c>
      <c r="J6" s="17" t="s">
        <v>32</v>
      </c>
      <c r="K6" s="17" t="s">
        <v>33</v>
      </c>
      <c r="L6" s="5" t="s">
        <v>34</v>
      </c>
      <c r="M6" s="145">
        <v>7.6879999999999997</v>
      </c>
      <c r="N6" s="5" t="s">
        <v>49</v>
      </c>
      <c r="O6" s="157">
        <v>0.04</v>
      </c>
      <c r="P6" s="157">
        <v>3.9109999999999999E-2</v>
      </c>
      <c r="R6" s="145">
        <v>210941</v>
      </c>
      <c r="S6" s="156">
        <v>1</v>
      </c>
      <c r="T6" s="159">
        <v>103.69</v>
      </c>
      <c r="U6" s="145">
        <v>218.72499999999999</v>
      </c>
      <c r="W6" s="17" t="s">
        <v>36</v>
      </c>
      <c r="X6" s="157">
        <v>6.0000000000000002E-6</v>
      </c>
      <c r="Y6" s="157">
        <v>6.1735293196849901E-2</v>
      </c>
      <c r="Z6" s="157">
        <v>2.9141932460032001E-2</v>
      </c>
    </row>
    <row r="7" spans="1:26">
      <c r="A7" s="17">
        <v>337</v>
      </c>
      <c r="B7" s="17">
        <v>1405</v>
      </c>
      <c r="C7" s="17" t="s">
        <v>26</v>
      </c>
      <c r="D7" s="17" t="s">
        <v>50</v>
      </c>
      <c r="E7" s="17" t="s">
        <v>51</v>
      </c>
      <c r="F7" s="17" t="s">
        <v>42</v>
      </c>
      <c r="G7" s="17" t="s">
        <v>30</v>
      </c>
      <c r="H7" s="17" t="s">
        <v>30</v>
      </c>
      <c r="I7" s="17" t="s">
        <v>31</v>
      </c>
      <c r="J7" s="17" t="s">
        <v>32</v>
      </c>
      <c r="K7" s="17" t="s">
        <v>33</v>
      </c>
      <c r="L7" s="5" t="s">
        <v>34</v>
      </c>
      <c r="M7" s="145">
        <v>3.4140000000000001</v>
      </c>
      <c r="N7" s="5" t="s">
        <v>52</v>
      </c>
      <c r="O7" s="157">
        <v>4.5999999999999999E-2</v>
      </c>
      <c r="P7" s="157">
        <v>3.7220000000000003E-2</v>
      </c>
      <c r="R7" s="145">
        <v>99482</v>
      </c>
      <c r="S7" s="156">
        <v>1</v>
      </c>
      <c r="T7" s="159">
        <v>104.49</v>
      </c>
      <c r="U7" s="145">
        <v>103.949</v>
      </c>
      <c r="W7" s="17" t="s">
        <v>36</v>
      </c>
      <c r="X7" s="157">
        <v>3.9999999999999998E-6</v>
      </c>
      <c r="Y7" s="157">
        <v>2.93396465080932E-2</v>
      </c>
      <c r="Z7" s="157">
        <v>1.38496790517178E-2</v>
      </c>
    </row>
    <row r="8" spans="1:26">
      <c r="A8" s="17">
        <v>337</v>
      </c>
      <c r="B8" s="17">
        <v>1405</v>
      </c>
      <c r="C8" s="17" t="s">
        <v>26</v>
      </c>
      <c r="D8" s="17" t="s">
        <v>53</v>
      </c>
      <c r="E8" s="17" t="s">
        <v>54</v>
      </c>
      <c r="F8" s="17" t="s">
        <v>42</v>
      </c>
      <c r="G8" s="17" t="s">
        <v>30</v>
      </c>
      <c r="H8" s="17" t="s">
        <v>30</v>
      </c>
      <c r="I8" s="17" t="s">
        <v>31</v>
      </c>
      <c r="J8" s="17" t="s">
        <v>32</v>
      </c>
      <c r="K8" s="17" t="s">
        <v>33</v>
      </c>
      <c r="L8" s="5" t="s">
        <v>34</v>
      </c>
      <c r="M8" s="145">
        <v>10.978</v>
      </c>
      <c r="N8" s="5" t="s">
        <v>55</v>
      </c>
      <c r="O8" s="157">
        <v>5.5E-2</v>
      </c>
      <c r="P8" s="157">
        <v>4.1709999999999997E-2</v>
      </c>
      <c r="R8" s="145">
        <v>719573</v>
      </c>
      <c r="S8" s="156">
        <v>1</v>
      </c>
      <c r="T8" s="159">
        <v>120.4</v>
      </c>
      <c r="U8" s="145">
        <v>866.36599999999999</v>
      </c>
      <c r="W8" s="17" t="s">
        <v>36</v>
      </c>
      <c r="X8" s="157">
        <v>2.1999999999999999E-5</v>
      </c>
      <c r="Y8" s="157">
        <v>0.24453272428112199</v>
      </c>
      <c r="Z8" s="157">
        <v>0.115430830020448</v>
      </c>
    </row>
    <row r="9" spans="1:26">
      <c r="A9" s="17">
        <v>337</v>
      </c>
      <c r="B9" s="17">
        <v>1405</v>
      </c>
      <c r="C9" s="17" t="s">
        <v>26</v>
      </c>
      <c r="D9" s="17" t="s">
        <v>56</v>
      </c>
      <c r="E9" s="17" t="s">
        <v>57</v>
      </c>
      <c r="F9" s="17" t="s">
        <v>29</v>
      </c>
      <c r="G9" s="17" t="s">
        <v>30</v>
      </c>
      <c r="H9" s="17" t="s">
        <v>30</v>
      </c>
      <c r="I9" s="17" t="s">
        <v>31</v>
      </c>
      <c r="J9" s="17" t="s">
        <v>32</v>
      </c>
      <c r="K9" s="17" t="s">
        <v>33</v>
      </c>
      <c r="L9" s="5" t="s">
        <v>34</v>
      </c>
      <c r="M9" s="145">
        <v>3.383</v>
      </c>
      <c r="N9" s="5" t="s">
        <v>58</v>
      </c>
      <c r="O9" s="157">
        <v>5.0000000000000001E-3</v>
      </c>
      <c r="P9" s="157">
        <v>1.712E-2</v>
      </c>
      <c r="R9" s="145">
        <v>124190</v>
      </c>
      <c r="S9" s="156">
        <v>1</v>
      </c>
      <c r="T9" s="159">
        <v>113.71</v>
      </c>
      <c r="U9" s="145">
        <v>141.21600000000001</v>
      </c>
      <c r="W9" s="17" t="s">
        <v>36</v>
      </c>
      <c r="X9" s="157">
        <v>3.9999999999999998E-6</v>
      </c>
      <c r="Y9" s="157">
        <v>3.9858497784993702E-2</v>
      </c>
      <c r="Z9" s="157">
        <v>1.8815066556902502E-2</v>
      </c>
    </row>
    <row r="10" spans="1:26">
      <c r="A10" s="17">
        <v>337</v>
      </c>
      <c r="B10" s="17">
        <v>1405</v>
      </c>
      <c r="C10" s="17" t="s">
        <v>26</v>
      </c>
      <c r="D10" s="17" t="s">
        <v>59</v>
      </c>
      <c r="E10" s="17" t="s">
        <v>60</v>
      </c>
      <c r="F10" s="17" t="s">
        <v>29</v>
      </c>
      <c r="G10" s="17" t="s">
        <v>30</v>
      </c>
      <c r="H10" s="17" t="s">
        <v>30</v>
      </c>
      <c r="I10" s="17" t="s">
        <v>31</v>
      </c>
      <c r="J10" s="17" t="s">
        <v>32</v>
      </c>
      <c r="K10" s="17" t="s">
        <v>33</v>
      </c>
      <c r="L10" s="5" t="s">
        <v>34</v>
      </c>
      <c r="M10" s="145">
        <v>0.57799999999999996</v>
      </c>
      <c r="N10" s="5" t="s">
        <v>61</v>
      </c>
      <c r="O10" s="157">
        <v>1E-3</v>
      </c>
      <c r="P10" s="157">
        <v>2.5760000000000002E-2</v>
      </c>
      <c r="R10" s="145">
        <v>29997</v>
      </c>
      <c r="S10" s="156">
        <v>1</v>
      </c>
      <c r="T10" s="159">
        <v>116.46</v>
      </c>
      <c r="U10" s="145">
        <v>34.935000000000002</v>
      </c>
      <c r="W10" s="17" t="s">
        <v>36</v>
      </c>
      <c r="X10" s="157">
        <v>9.9999999999999995E-7</v>
      </c>
      <c r="Y10" s="157">
        <v>9.8603027328108706E-3</v>
      </c>
      <c r="Z10" s="157">
        <v>4.6545219338118499E-3</v>
      </c>
    </row>
    <row r="11" spans="1:26">
      <c r="A11" s="17">
        <v>337</v>
      </c>
      <c r="B11" s="17">
        <v>1405</v>
      </c>
      <c r="C11" s="17" t="s">
        <v>26</v>
      </c>
      <c r="D11" s="17" t="s">
        <v>62</v>
      </c>
      <c r="E11" s="17" t="s">
        <v>63</v>
      </c>
      <c r="F11" s="17" t="s">
        <v>29</v>
      </c>
      <c r="G11" s="17" t="s">
        <v>30</v>
      </c>
      <c r="H11" s="17" t="s">
        <v>30</v>
      </c>
      <c r="I11" s="17" t="s">
        <v>31</v>
      </c>
      <c r="J11" s="17" t="s">
        <v>32</v>
      </c>
      <c r="K11" s="17" t="s">
        <v>33</v>
      </c>
      <c r="L11" s="5" t="s">
        <v>34</v>
      </c>
      <c r="M11" s="145">
        <v>2.8</v>
      </c>
      <c r="N11" s="5" t="s">
        <v>64</v>
      </c>
      <c r="O11" s="157">
        <v>1.0999999999999999E-2</v>
      </c>
      <c r="P11" s="157">
        <v>1.763E-2</v>
      </c>
      <c r="R11" s="145">
        <v>665425</v>
      </c>
      <c r="S11" s="156">
        <v>1</v>
      </c>
      <c r="T11" s="159">
        <v>105.04</v>
      </c>
      <c r="U11" s="145">
        <v>698.96199999999999</v>
      </c>
      <c r="W11" s="17" t="s">
        <v>36</v>
      </c>
      <c r="X11" s="157">
        <v>2.0000000000000002E-5</v>
      </c>
      <c r="Y11" s="157">
        <v>0.19728291050119701</v>
      </c>
      <c r="Z11" s="157">
        <v>9.3126718213071905E-2</v>
      </c>
    </row>
    <row r="12" spans="1:26">
      <c r="A12" s="17">
        <v>337</v>
      </c>
      <c r="B12" s="17">
        <v>1405</v>
      </c>
      <c r="C12" s="17" t="s">
        <v>26</v>
      </c>
      <c r="D12" s="17" t="s">
        <v>65</v>
      </c>
      <c r="E12" s="17" t="s">
        <v>66</v>
      </c>
      <c r="F12" s="17" t="s">
        <v>42</v>
      </c>
      <c r="G12" s="17" t="s">
        <v>30</v>
      </c>
      <c r="H12" s="17" t="s">
        <v>30</v>
      </c>
      <c r="I12" s="17" t="s">
        <v>31</v>
      </c>
      <c r="J12" s="17" t="s">
        <v>32</v>
      </c>
      <c r="K12" s="17" t="s">
        <v>33</v>
      </c>
      <c r="L12" s="5" t="s">
        <v>34</v>
      </c>
      <c r="M12" s="145">
        <v>10.317</v>
      </c>
      <c r="N12" s="5" t="s">
        <v>67</v>
      </c>
      <c r="O12" s="157">
        <v>1.4999999999999999E-2</v>
      </c>
      <c r="P12" s="157">
        <v>4.0410000000000001E-2</v>
      </c>
      <c r="R12" s="145">
        <v>109758</v>
      </c>
      <c r="S12" s="156">
        <v>1</v>
      </c>
      <c r="T12" s="159">
        <v>78</v>
      </c>
      <c r="U12" s="145">
        <v>85.611000000000004</v>
      </c>
      <c r="W12" s="17" t="s">
        <v>36</v>
      </c>
      <c r="X12" s="157">
        <v>3.0000000000000001E-6</v>
      </c>
      <c r="Y12" s="157">
        <v>2.4163866490585401E-2</v>
      </c>
      <c r="Z12" s="157">
        <v>1.14064699263112E-2</v>
      </c>
    </row>
    <row r="13" spans="1:26">
      <c r="A13" s="17">
        <v>337</v>
      </c>
      <c r="B13" s="17">
        <v>1405</v>
      </c>
      <c r="C13" s="17" t="s">
        <v>26</v>
      </c>
      <c r="D13" s="17" t="s">
        <v>68</v>
      </c>
      <c r="E13" s="17" t="s">
        <v>69</v>
      </c>
      <c r="F13" s="17" t="s">
        <v>42</v>
      </c>
      <c r="G13" s="17" t="s">
        <v>30</v>
      </c>
      <c r="H13" s="17" t="s">
        <v>30</v>
      </c>
      <c r="I13" s="17" t="s">
        <v>31</v>
      </c>
      <c r="J13" s="17" t="s">
        <v>32</v>
      </c>
      <c r="K13" s="17" t="s">
        <v>33</v>
      </c>
      <c r="L13" s="5" t="s">
        <v>34</v>
      </c>
      <c r="M13" s="145">
        <v>4.141</v>
      </c>
      <c r="N13" s="5" t="s">
        <v>70</v>
      </c>
      <c r="O13" s="157">
        <v>0.01</v>
      </c>
      <c r="P13" s="157">
        <v>3.7170000000000002E-2</v>
      </c>
      <c r="R13" s="145">
        <v>123321</v>
      </c>
      <c r="S13" s="156">
        <v>1</v>
      </c>
      <c r="T13" s="159">
        <v>90.26</v>
      </c>
      <c r="U13" s="145">
        <v>111.31</v>
      </c>
      <c r="W13" s="17" t="s">
        <v>36</v>
      </c>
      <c r="X13" s="157">
        <v>3.0000000000000001E-6</v>
      </c>
      <c r="Y13" s="157">
        <v>3.1417238357995897E-2</v>
      </c>
      <c r="Z13" s="157">
        <v>1.48303991266403E-2</v>
      </c>
    </row>
    <row r="14" spans="1:26">
      <c r="A14" s="17">
        <v>337</v>
      </c>
      <c r="B14" s="17">
        <v>1405</v>
      </c>
      <c r="C14" s="17" t="s">
        <v>26</v>
      </c>
      <c r="D14" s="17" t="s">
        <v>71</v>
      </c>
      <c r="E14" s="17" t="s">
        <v>72</v>
      </c>
      <c r="F14" s="17" t="s">
        <v>73</v>
      </c>
      <c r="G14" s="17" t="s">
        <v>30</v>
      </c>
      <c r="H14" s="17" t="s">
        <v>30</v>
      </c>
      <c r="I14" s="17" t="s">
        <v>31</v>
      </c>
      <c r="J14" s="17" t="s">
        <v>32</v>
      </c>
      <c r="K14" s="17" t="s">
        <v>33</v>
      </c>
      <c r="L14" s="5" t="s">
        <v>34</v>
      </c>
      <c r="M14" s="145">
        <v>0.51500000000000001</v>
      </c>
      <c r="N14" s="5" t="s">
        <v>74</v>
      </c>
      <c r="O14" s="157">
        <v>0</v>
      </c>
      <c r="P14" s="157">
        <v>0.04</v>
      </c>
      <c r="R14" s="145">
        <v>40000</v>
      </c>
      <c r="S14" s="156">
        <v>1</v>
      </c>
      <c r="T14" s="159">
        <v>98</v>
      </c>
      <c r="U14" s="145">
        <v>39.200000000000003</v>
      </c>
      <c r="W14" s="17" t="s">
        <v>36</v>
      </c>
      <c r="X14" s="157">
        <v>1.9999999999999999E-6</v>
      </c>
      <c r="Y14" s="157">
        <v>1.1064243041345401E-2</v>
      </c>
      <c r="Z14" s="157">
        <v>5.2228378085797797E-3</v>
      </c>
    </row>
    <row r="15" spans="1:26">
      <c r="A15" s="17">
        <v>337</v>
      </c>
      <c r="B15" s="17">
        <v>1405</v>
      </c>
      <c r="C15" s="17" t="s">
        <v>75</v>
      </c>
      <c r="D15" s="17" t="s">
        <v>76</v>
      </c>
      <c r="E15" s="17" t="s">
        <v>77</v>
      </c>
      <c r="F15" s="17" t="s">
        <v>78</v>
      </c>
      <c r="G15" s="17" t="s">
        <v>79</v>
      </c>
      <c r="H15" s="17" t="s">
        <v>80</v>
      </c>
      <c r="I15" s="17" t="s">
        <v>81</v>
      </c>
      <c r="J15" s="17" t="s">
        <v>82</v>
      </c>
      <c r="K15" s="17" t="s">
        <v>83</v>
      </c>
      <c r="L15" s="5" t="s">
        <v>84</v>
      </c>
      <c r="M15" s="145">
        <v>7.2910000000000004</v>
      </c>
      <c r="N15" s="5" t="s">
        <v>85</v>
      </c>
      <c r="O15" s="157">
        <v>3.875E-2</v>
      </c>
      <c r="P15" s="157">
        <v>4.0739999999999998E-2</v>
      </c>
      <c r="R15" s="145">
        <v>27500</v>
      </c>
      <c r="S15" s="156">
        <v>3.19</v>
      </c>
      <c r="T15" s="159">
        <v>100.005</v>
      </c>
      <c r="U15" s="145">
        <v>87.73</v>
      </c>
      <c r="W15" s="17" t="s">
        <v>36</v>
      </c>
      <c r="X15" s="157">
        <v>0</v>
      </c>
      <c r="Y15" s="157">
        <v>2.4761814637269002E-2</v>
      </c>
      <c r="Z15" s="157">
        <v>1.16887292888721E-2</v>
      </c>
    </row>
    <row r="16" spans="1:26">
      <c r="A16" s="17">
        <v>337</v>
      </c>
      <c r="B16" s="17">
        <v>1405</v>
      </c>
      <c r="C16" s="17" t="s">
        <v>75</v>
      </c>
      <c r="D16" s="17" t="s">
        <v>86</v>
      </c>
      <c r="E16" s="17" t="s">
        <v>87</v>
      </c>
      <c r="F16" s="17" t="s">
        <v>78</v>
      </c>
      <c r="G16" s="17" t="s">
        <v>79</v>
      </c>
      <c r="H16" s="17" t="s">
        <v>80</v>
      </c>
      <c r="I16" s="17" t="s">
        <v>81</v>
      </c>
      <c r="J16" s="17" t="s">
        <v>82</v>
      </c>
      <c r="K16" s="17" t="s">
        <v>83</v>
      </c>
      <c r="L16" s="5" t="s">
        <v>84</v>
      </c>
      <c r="M16" s="145">
        <v>6.5359999999999996</v>
      </c>
      <c r="N16" s="5" t="s">
        <v>88</v>
      </c>
      <c r="O16" s="157">
        <v>3.3750000000000002E-2</v>
      </c>
      <c r="P16" s="157">
        <v>3.9699999999999999E-2</v>
      </c>
      <c r="R16" s="145">
        <v>31000</v>
      </c>
      <c r="S16" s="156">
        <v>3.19</v>
      </c>
      <c r="T16" s="159">
        <v>96.643000000000001</v>
      </c>
      <c r="U16" s="145">
        <v>95.57</v>
      </c>
      <c r="W16" s="17" t="s">
        <v>36</v>
      </c>
      <c r="X16" s="157">
        <v>0</v>
      </c>
      <c r="Y16" s="157">
        <v>2.69747557589805E-2</v>
      </c>
      <c r="Z16" s="157">
        <v>1.2733340521239801E-2</v>
      </c>
    </row>
    <row r="17" spans="1:26">
      <c r="A17" s="17">
        <v>337</v>
      </c>
      <c r="B17" s="17">
        <v>9962</v>
      </c>
      <c r="C17" s="17" t="s">
        <v>26</v>
      </c>
      <c r="D17" s="17" t="s">
        <v>27</v>
      </c>
      <c r="E17" s="17" t="s">
        <v>28</v>
      </c>
      <c r="F17" s="17" t="s">
        <v>29</v>
      </c>
      <c r="G17" s="17" t="s">
        <v>30</v>
      </c>
      <c r="H17" s="17" t="s">
        <v>30</v>
      </c>
      <c r="I17" s="17" t="s">
        <v>31</v>
      </c>
      <c r="J17" s="17" t="s">
        <v>32</v>
      </c>
      <c r="K17" s="17" t="s">
        <v>33</v>
      </c>
      <c r="L17" s="5" t="s">
        <v>34</v>
      </c>
      <c r="M17" s="145">
        <v>1.403</v>
      </c>
      <c r="N17" s="5" t="s">
        <v>35</v>
      </c>
      <c r="O17" s="157">
        <v>7.4999999999999997E-3</v>
      </c>
      <c r="P17" s="157">
        <v>1.9199999999999998E-2</v>
      </c>
      <c r="R17" s="145">
        <v>262671</v>
      </c>
      <c r="S17" s="156">
        <v>1</v>
      </c>
      <c r="T17" s="159">
        <v>117.85</v>
      </c>
      <c r="U17" s="145">
        <v>309.55799999999999</v>
      </c>
      <c r="W17" s="17" t="s">
        <v>36</v>
      </c>
      <c r="X17" s="157">
        <v>1.1E-5</v>
      </c>
      <c r="Y17" s="157">
        <v>2.1651630754443301E-2</v>
      </c>
      <c r="Z17" s="157">
        <v>6.1698928874313703E-3</v>
      </c>
    </row>
    <row r="18" spans="1:26">
      <c r="A18" s="17">
        <v>337</v>
      </c>
      <c r="B18" s="17">
        <v>9962</v>
      </c>
      <c r="C18" s="17" t="s">
        <v>26</v>
      </c>
      <c r="D18" s="17" t="s">
        <v>40</v>
      </c>
      <c r="E18" s="17" t="s">
        <v>41</v>
      </c>
      <c r="F18" s="17" t="s">
        <v>42</v>
      </c>
      <c r="G18" s="17" t="s">
        <v>30</v>
      </c>
      <c r="H18" s="17" t="s">
        <v>30</v>
      </c>
      <c r="I18" s="17" t="s">
        <v>31</v>
      </c>
      <c r="J18" s="17" t="s">
        <v>32</v>
      </c>
      <c r="K18" s="17" t="s">
        <v>33</v>
      </c>
      <c r="L18" s="5" t="s">
        <v>34</v>
      </c>
      <c r="M18" s="145">
        <v>2.6760000000000002</v>
      </c>
      <c r="N18" s="5" t="s">
        <v>43</v>
      </c>
      <c r="O18" s="157">
        <v>2.2499999999999999E-2</v>
      </c>
      <c r="P18" s="157">
        <v>3.7280000000000001E-2</v>
      </c>
      <c r="R18" s="145">
        <v>190769</v>
      </c>
      <c r="S18" s="156">
        <v>1</v>
      </c>
      <c r="T18" s="159">
        <v>96.78</v>
      </c>
      <c r="U18" s="145">
        <v>184.626</v>
      </c>
      <c r="W18" s="17" t="s">
        <v>36</v>
      </c>
      <c r="X18" s="157">
        <v>5.0000000000000004E-6</v>
      </c>
      <c r="Y18" s="157">
        <v>1.29134509913649E-2</v>
      </c>
      <c r="Z18" s="157">
        <v>3.6798433488648601E-3</v>
      </c>
    </row>
    <row r="19" spans="1:26">
      <c r="A19" s="17">
        <v>337</v>
      </c>
      <c r="B19" s="17">
        <v>9962</v>
      </c>
      <c r="C19" s="17" t="s">
        <v>26</v>
      </c>
      <c r="D19" s="17" t="s">
        <v>89</v>
      </c>
      <c r="E19" s="17" t="s">
        <v>90</v>
      </c>
      <c r="F19" s="17" t="s">
        <v>42</v>
      </c>
      <c r="G19" s="17" t="s">
        <v>30</v>
      </c>
      <c r="H19" s="17" t="s">
        <v>30</v>
      </c>
      <c r="I19" s="17" t="s">
        <v>31</v>
      </c>
      <c r="J19" s="17" t="s">
        <v>32</v>
      </c>
      <c r="K19" s="17" t="s">
        <v>33</v>
      </c>
      <c r="L19" s="5" t="s">
        <v>34</v>
      </c>
      <c r="M19" s="145">
        <v>1.7090000000000001</v>
      </c>
      <c r="N19" s="5" t="s">
        <v>91</v>
      </c>
      <c r="O19" s="157">
        <v>3.7499999999999999E-2</v>
      </c>
      <c r="P19" s="157">
        <v>3.739E-2</v>
      </c>
      <c r="R19" s="145">
        <v>1118681</v>
      </c>
      <c r="S19" s="156">
        <v>1</v>
      </c>
      <c r="T19" s="159">
        <v>100.96</v>
      </c>
      <c r="U19" s="145">
        <v>1129.42</v>
      </c>
      <c r="W19" s="17" t="s">
        <v>36</v>
      </c>
      <c r="X19" s="157">
        <v>3.1000000000000001E-5</v>
      </c>
      <c r="Y19" s="157">
        <v>7.8995890944001307E-2</v>
      </c>
      <c r="Z19" s="157">
        <v>2.2510830301854998E-2</v>
      </c>
    </row>
    <row r="20" spans="1:26">
      <c r="A20" s="5">
        <v>337</v>
      </c>
      <c r="B20" s="5">
        <v>9962</v>
      </c>
      <c r="C20" s="5" t="s">
        <v>26</v>
      </c>
      <c r="D20" s="5" t="s">
        <v>47</v>
      </c>
      <c r="E20" s="5" t="s">
        <v>48</v>
      </c>
      <c r="F20" s="17" t="s">
        <v>42</v>
      </c>
      <c r="G20" s="17" t="s">
        <v>30</v>
      </c>
      <c r="H20" s="17" t="s">
        <v>30</v>
      </c>
      <c r="I20" s="17" t="s">
        <v>31</v>
      </c>
      <c r="J20" s="5" t="s">
        <v>32</v>
      </c>
      <c r="K20" s="17" t="s">
        <v>33</v>
      </c>
      <c r="L20" s="5" t="s">
        <v>34</v>
      </c>
      <c r="M20" s="145">
        <v>7.6879999999999997</v>
      </c>
      <c r="N20" s="5" t="s">
        <v>49</v>
      </c>
      <c r="O20" s="157">
        <v>0.04</v>
      </c>
      <c r="P20" s="157">
        <v>3.9109999999999999E-2</v>
      </c>
      <c r="R20" s="145">
        <v>2070740</v>
      </c>
      <c r="S20" s="156">
        <v>1</v>
      </c>
      <c r="T20" s="159">
        <v>103.69</v>
      </c>
      <c r="U20" s="145">
        <v>2147.15</v>
      </c>
      <c r="W20" s="17" t="s">
        <v>36</v>
      </c>
      <c r="X20" s="157">
        <v>5.5999999999999999E-5</v>
      </c>
      <c r="Y20" s="157">
        <v>0.150179738903575</v>
      </c>
      <c r="Z20" s="157">
        <v>4.2795524891690397E-2</v>
      </c>
    </row>
    <row r="21" spans="1:26" s="38" customFormat="1">
      <c r="A21" s="38">
        <v>337</v>
      </c>
      <c r="B21" s="38">
        <v>9962</v>
      </c>
      <c r="C21" s="38" t="s">
        <v>26</v>
      </c>
      <c r="D21" s="38" t="s">
        <v>50</v>
      </c>
      <c r="E21" s="38" t="s">
        <v>51</v>
      </c>
      <c r="F21" s="38" t="s">
        <v>42</v>
      </c>
      <c r="G21" s="38" t="s">
        <v>30</v>
      </c>
      <c r="H21" s="38" t="s">
        <v>30</v>
      </c>
      <c r="I21" s="38" t="s">
        <v>31</v>
      </c>
      <c r="J21" s="38" t="s">
        <v>32</v>
      </c>
      <c r="K21" s="38" t="s">
        <v>33</v>
      </c>
      <c r="L21" s="27" t="s">
        <v>34</v>
      </c>
      <c r="M21" s="145">
        <v>3.4140000000000001</v>
      </c>
      <c r="N21" s="38" t="s">
        <v>52</v>
      </c>
      <c r="O21" s="157">
        <v>4.5999999999999999E-2</v>
      </c>
      <c r="P21" s="157">
        <v>3.7220000000000003E-2</v>
      </c>
      <c r="R21" s="145">
        <v>582009</v>
      </c>
      <c r="S21" s="156">
        <v>1</v>
      </c>
      <c r="T21" s="159">
        <v>104.49</v>
      </c>
      <c r="U21" s="145">
        <v>608.14099999999996</v>
      </c>
      <c r="W21" s="38" t="s">
        <v>36</v>
      </c>
      <c r="X21" s="157">
        <v>2.5999999999999998E-5</v>
      </c>
      <c r="Y21" s="157">
        <v>4.2535674839823498E-2</v>
      </c>
      <c r="Z21" s="157">
        <v>1.21210527111203E-2</v>
      </c>
    </row>
    <row r="22" spans="1:26">
      <c r="A22" s="5">
        <v>337</v>
      </c>
      <c r="B22" s="5">
        <v>9962</v>
      </c>
      <c r="C22" s="5" t="s">
        <v>26</v>
      </c>
      <c r="D22" s="5" t="s">
        <v>53</v>
      </c>
      <c r="E22" s="5" t="s">
        <v>54</v>
      </c>
      <c r="F22" s="5" t="s">
        <v>42</v>
      </c>
      <c r="G22" s="5" t="s">
        <v>30</v>
      </c>
      <c r="H22" s="5" t="s">
        <v>30</v>
      </c>
      <c r="I22" s="5" t="s">
        <v>31</v>
      </c>
      <c r="J22" s="5" t="s">
        <v>32</v>
      </c>
      <c r="K22" s="5" t="s">
        <v>33</v>
      </c>
      <c r="L22" s="17" t="s">
        <v>34</v>
      </c>
      <c r="M22" s="145">
        <v>10.978</v>
      </c>
      <c r="N22" s="5" t="s">
        <v>55</v>
      </c>
      <c r="O22" s="157">
        <v>5.5E-2</v>
      </c>
      <c r="P22" s="157">
        <v>4.1709999999999997E-2</v>
      </c>
      <c r="R22" s="145">
        <v>1349279</v>
      </c>
      <c r="S22" s="156">
        <v>1</v>
      </c>
      <c r="T22" s="159">
        <v>120.4</v>
      </c>
      <c r="U22" s="145">
        <v>1624.5319999999999</v>
      </c>
      <c r="W22" s="5" t="s">
        <v>36</v>
      </c>
      <c r="X22" s="157">
        <v>4.1999999999999998E-5</v>
      </c>
      <c r="Y22" s="157">
        <v>0.113625850180888</v>
      </c>
      <c r="Z22" s="157">
        <v>3.2379054160413999E-2</v>
      </c>
    </row>
    <row r="23" spans="1:26">
      <c r="A23" s="5">
        <v>337</v>
      </c>
      <c r="B23" s="5">
        <v>9962</v>
      </c>
      <c r="C23" s="5" t="s">
        <v>26</v>
      </c>
      <c r="D23" s="5" t="s">
        <v>92</v>
      </c>
      <c r="E23" s="5" t="s">
        <v>93</v>
      </c>
      <c r="F23" s="5" t="s">
        <v>94</v>
      </c>
      <c r="G23" s="5" t="s">
        <v>30</v>
      </c>
      <c r="H23" s="5" t="s">
        <v>30</v>
      </c>
      <c r="I23" s="5" t="s">
        <v>31</v>
      </c>
      <c r="J23" s="5" t="s">
        <v>32</v>
      </c>
      <c r="K23" s="5" t="s">
        <v>33</v>
      </c>
      <c r="L23" s="17" t="s">
        <v>34</v>
      </c>
      <c r="M23" s="145">
        <v>0.40899999999999997</v>
      </c>
      <c r="N23" s="5" t="s">
        <v>95</v>
      </c>
      <c r="O23" s="157">
        <v>4.3200000000000002E-2</v>
      </c>
      <c r="P23" s="157">
        <v>4.0489999999999998E-2</v>
      </c>
      <c r="R23" s="145">
        <v>78000</v>
      </c>
      <c r="S23" s="156">
        <v>1</v>
      </c>
      <c r="T23" s="159">
        <v>100.28</v>
      </c>
      <c r="U23" s="145">
        <v>78.218000000000004</v>
      </c>
      <c r="W23" s="5" t="s">
        <v>36</v>
      </c>
      <c r="X23" s="157">
        <v>3.9999999999999998E-6</v>
      </c>
      <c r="Y23" s="157">
        <v>5.4708880214999504E-3</v>
      </c>
      <c r="Z23" s="157">
        <v>1.5589954158468601E-3</v>
      </c>
    </row>
    <row r="24" spans="1:26">
      <c r="A24" s="5">
        <v>337</v>
      </c>
      <c r="B24" s="5">
        <v>9962</v>
      </c>
      <c r="C24" s="5" t="s">
        <v>26</v>
      </c>
      <c r="D24" s="5" t="s">
        <v>56</v>
      </c>
      <c r="E24" s="5" t="s">
        <v>57</v>
      </c>
      <c r="F24" s="5" t="s">
        <v>29</v>
      </c>
      <c r="G24" s="5" t="s">
        <v>30</v>
      </c>
      <c r="H24" s="5" t="s">
        <v>30</v>
      </c>
      <c r="I24" s="5" t="s">
        <v>31</v>
      </c>
      <c r="J24" s="5" t="s">
        <v>32</v>
      </c>
      <c r="K24" s="5" t="s">
        <v>33</v>
      </c>
      <c r="L24" s="17" t="s">
        <v>34</v>
      </c>
      <c r="M24" s="145">
        <v>3.383</v>
      </c>
      <c r="N24" s="5" t="s">
        <v>58</v>
      </c>
      <c r="O24" s="157">
        <v>5.0000000000000001E-3</v>
      </c>
      <c r="P24" s="157">
        <v>1.712E-2</v>
      </c>
      <c r="R24" s="145">
        <v>439284</v>
      </c>
      <c r="S24" s="156">
        <v>1</v>
      </c>
      <c r="T24" s="159">
        <v>113.71</v>
      </c>
      <c r="U24" s="145">
        <v>499.51</v>
      </c>
      <c r="W24" s="5" t="s">
        <v>36</v>
      </c>
      <c r="X24" s="157">
        <v>1.5E-5</v>
      </c>
      <c r="Y24" s="157">
        <v>3.4937589883993501E-2</v>
      </c>
      <c r="Z24" s="157">
        <v>9.9558869155852991E-3</v>
      </c>
    </row>
    <row r="25" spans="1:26">
      <c r="A25" s="5">
        <v>337</v>
      </c>
      <c r="B25" s="5">
        <v>9962</v>
      </c>
      <c r="C25" s="5" t="s">
        <v>26</v>
      </c>
      <c r="D25" s="5" t="s">
        <v>62</v>
      </c>
      <c r="E25" s="5" t="s">
        <v>63</v>
      </c>
      <c r="F25" s="5" t="s">
        <v>29</v>
      </c>
      <c r="G25" s="5" t="s">
        <v>30</v>
      </c>
      <c r="H25" s="5" t="s">
        <v>30</v>
      </c>
      <c r="I25" s="5" t="s">
        <v>31</v>
      </c>
      <c r="J25" s="5" t="s">
        <v>32</v>
      </c>
      <c r="K25" s="5" t="s">
        <v>33</v>
      </c>
      <c r="L25" s="17" t="s">
        <v>34</v>
      </c>
      <c r="M25" s="145">
        <v>2.8</v>
      </c>
      <c r="N25" s="5" t="s">
        <v>64</v>
      </c>
      <c r="O25" s="157">
        <v>1.0999999999999999E-2</v>
      </c>
      <c r="P25" s="157">
        <v>1.763E-2</v>
      </c>
      <c r="R25" s="145">
        <v>2254056</v>
      </c>
      <c r="S25" s="156">
        <v>1</v>
      </c>
      <c r="T25" s="159">
        <v>105.04</v>
      </c>
      <c r="U25" s="145">
        <v>2367.66</v>
      </c>
      <c r="W25" s="5" t="s">
        <v>36</v>
      </c>
      <c r="X25" s="157">
        <v>6.7000000000000002E-5</v>
      </c>
      <c r="Y25" s="157">
        <v>0.16560304281202001</v>
      </c>
      <c r="Z25" s="157">
        <v>4.7190581050029802E-2</v>
      </c>
    </row>
    <row r="26" spans="1:26">
      <c r="A26" s="5">
        <v>337</v>
      </c>
      <c r="B26" s="5">
        <v>9962</v>
      </c>
      <c r="C26" s="5" t="s">
        <v>26</v>
      </c>
      <c r="D26" s="5" t="s">
        <v>65</v>
      </c>
      <c r="E26" s="5" t="s">
        <v>66</v>
      </c>
      <c r="F26" s="5" t="s">
        <v>42</v>
      </c>
      <c r="G26" s="5" t="s">
        <v>30</v>
      </c>
      <c r="H26" s="5" t="s">
        <v>30</v>
      </c>
      <c r="I26" s="5" t="s">
        <v>31</v>
      </c>
      <c r="J26" s="5" t="s">
        <v>32</v>
      </c>
      <c r="K26" s="5" t="s">
        <v>33</v>
      </c>
      <c r="L26" s="17" t="s">
        <v>34</v>
      </c>
      <c r="M26" s="145">
        <v>10.317</v>
      </c>
      <c r="N26" s="5" t="s">
        <v>67</v>
      </c>
      <c r="O26" s="157">
        <v>1.4999999999999999E-2</v>
      </c>
      <c r="P26" s="157">
        <v>4.0410000000000001E-2</v>
      </c>
      <c r="R26" s="145">
        <v>131927</v>
      </c>
      <c r="S26" s="156">
        <v>1</v>
      </c>
      <c r="T26" s="159">
        <v>78</v>
      </c>
      <c r="U26" s="145">
        <v>102.90300000000001</v>
      </c>
      <c r="W26" s="5" t="s">
        <v>36</v>
      </c>
      <c r="X26" s="157">
        <v>3.0000000000000001E-6</v>
      </c>
      <c r="Y26" s="157">
        <v>7.1974256483089798E-3</v>
      </c>
      <c r="Z26" s="157">
        <v>2.05099310157987E-3</v>
      </c>
    </row>
    <row r="27" spans="1:26">
      <c r="A27" s="5">
        <v>337</v>
      </c>
      <c r="B27" s="5">
        <v>9962</v>
      </c>
      <c r="C27" s="5" t="s">
        <v>26</v>
      </c>
      <c r="D27" s="5" t="s">
        <v>68</v>
      </c>
      <c r="E27" s="5" t="s">
        <v>69</v>
      </c>
      <c r="F27" s="5" t="s">
        <v>42</v>
      </c>
      <c r="G27" s="5" t="s">
        <v>30</v>
      </c>
      <c r="H27" s="5" t="s">
        <v>30</v>
      </c>
      <c r="I27" s="5" t="s">
        <v>31</v>
      </c>
      <c r="J27" s="5" t="s">
        <v>32</v>
      </c>
      <c r="K27" s="5" t="s">
        <v>33</v>
      </c>
      <c r="L27" s="5" t="s">
        <v>34</v>
      </c>
      <c r="M27" s="145">
        <v>4.141</v>
      </c>
      <c r="N27" s="5" t="s">
        <v>70</v>
      </c>
      <c r="O27" s="157">
        <v>0.01</v>
      </c>
      <c r="P27" s="157">
        <v>3.7170000000000002E-2</v>
      </c>
      <c r="R27" s="145">
        <v>3757471</v>
      </c>
      <c r="S27" s="156">
        <v>1</v>
      </c>
      <c r="T27" s="159">
        <v>90.26</v>
      </c>
      <c r="U27" s="145">
        <v>3391.4929999999999</v>
      </c>
      <c r="W27" s="5" t="s">
        <v>36</v>
      </c>
      <c r="X27" s="157">
        <v>1E-4</v>
      </c>
      <c r="Y27" s="157">
        <v>0.23721375283246901</v>
      </c>
      <c r="Z27" s="157">
        <v>6.7596915123892098E-2</v>
      </c>
    </row>
    <row r="28" spans="1:26">
      <c r="A28" s="5">
        <v>337</v>
      </c>
      <c r="B28" s="5">
        <v>9962</v>
      </c>
      <c r="C28" s="5" t="s">
        <v>26</v>
      </c>
      <c r="D28" s="5" t="s">
        <v>96</v>
      </c>
      <c r="E28" s="5" t="s">
        <v>97</v>
      </c>
      <c r="F28" s="5" t="s">
        <v>42</v>
      </c>
      <c r="G28" s="5" t="s">
        <v>30</v>
      </c>
      <c r="H28" s="5" t="s">
        <v>30</v>
      </c>
      <c r="I28" s="5" t="s">
        <v>31</v>
      </c>
      <c r="J28" s="5" t="s">
        <v>32</v>
      </c>
      <c r="K28" s="5" t="s">
        <v>33</v>
      </c>
      <c r="L28" s="5" t="s">
        <v>34</v>
      </c>
      <c r="M28" s="145">
        <v>6.0389999999999997</v>
      </c>
      <c r="N28" s="5" t="s">
        <v>98</v>
      </c>
      <c r="O28" s="157">
        <v>1.2999999999999999E-2</v>
      </c>
      <c r="P28" s="157">
        <v>3.7949999999999998E-2</v>
      </c>
      <c r="R28" s="145">
        <v>1009268</v>
      </c>
      <c r="S28" s="156">
        <v>1</v>
      </c>
      <c r="T28" s="159">
        <v>87.06</v>
      </c>
      <c r="U28" s="145">
        <v>878.66899999999998</v>
      </c>
      <c r="W28" s="5" t="s">
        <v>36</v>
      </c>
      <c r="X28" s="157">
        <v>2.5000000000000001E-5</v>
      </c>
      <c r="Y28" s="157">
        <v>6.1457383166766501E-2</v>
      </c>
      <c r="Z28" s="157">
        <v>1.75130213322598E-2</v>
      </c>
    </row>
    <row r="29" spans="1:26">
      <c r="A29" s="5">
        <v>337</v>
      </c>
      <c r="B29" s="5">
        <v>9962</v>
      </c>
      <c r="C29" s="5" t="s">
        <v>26</v>
      </c>
      <c r="D29" s="5" t="s">
        <v>71</v>
      </c>
      <c r="E29" s="5" t="s">
        <v>72</v>
      </c>
      <c r="F29" s="5" t="s">
        <v>73</v>
      </c>
      <c r="G29" s="5" t="s">
        <v>30</v>
      </c>
      <c r="H29" s="5" t="s">
        <v>30</v>
      </c>
      <c r="I29" s="5" t="s">
        <v>31</v>
      </c>
      <c r="J29" s="5" t="s">
        <v>32</v>
      </c>
      <c r="K29" s="5" t="s">
        <v>33</v>
      </c>
      <c r="L29" s="5" t="s">
        <v>34</v>
      </c>
      <c r="M29" s="145">
        <v>0.51500000000000001</v>
      </c>
      <c r="N29" s="5" t="s">
        <v>74</v>
      </c>
      <c r="O29" s="157">
        <v>0</v>
      </c>
      <c r="P29" s="157">
        <v>0.04</v>
      </c>
      <c r="R29" s="145">
        <v>300000</v>
      </c>
      <c r="S29" s="156">
        <v>1</v>
      </c>
      <c r="T29" s="159">
        <v>98</v>
      </c>
      <c r="U29" s="145">
        <v>294</v>
      </c>
      <c r="W29" s="5" t="s">
        <v>36</v>
      </c>
      <c r="X29" s="157">
        <v>1.7E-5</v>
      </c>
      <c r="Y29" s="157">
        <v>2.0563461772690101E-2</v>
      </c>
      <c r="Z29" s="157">
        <v>5.8598060336056204E-3</v>
      </c>
    </row>
    <row r="30" spans="1:26">
      <c r="A30" s="5">
        <v>337</v>
      </c>
      <c r="B30" s="5">
        <v>9962</v>
      </c>
      <c r="C30" s="5" t="s">
        <v>75</v>
      </c>
      <c r="D30" s="5" t="s">
        <v>86</v>
      </c>
      <c r="E30" s="5" t="s">
        <v>87</v>
      </c>
      <c r="F30" s="5" t="s">
        <v>78</v>
      </c>
      <c r="G30" s="5" t="s">
        <v>79</v>
      </c>
      <c r="H30" s="5" t="s">
        <v>80</v>
      </c>
      <c r="I30" s="5" t="s">
        <v>81</v>
      </c>
      <c r="J30" s="5" t="s">
        <v>82</v>
      </c>
      <c r="K30" s="5" t="s">
        <v>83</v>
      </c>
      <c r="L30" s="5" t="s">
        <v>84</v>
      </c>
      <c r="M30" s="145">
        <v>6.5359999999999996</v>
      </c>
      <c r="N30" s="5" t="s">
        <v>88</v>
      </c>
      <c r="O30" s="157">
        <v>3.3750000000000002E-2</v>
      </c>
      <c r="P30" s="157">
        <v>3.9699999999999999E-2</v>
      </c>
      <c r="R30" s="145">
        <v>221000</v>
      </c>
      <c r="S30" s="156">
        <v>3.19</v>
      </c>
      <c r="T30" s="159">
        <v>96.643000000000001</v>
      </c>
      <c r="U30" s="145">
        <v>681.322</v>
      </c>
      <c r="W30" s="5" t="s">
        <v>36</v>
      </c>
      <c r="X30" s="157">
        <v>1.9999999999999999E-6</v>
      </c>
      <c r="Y30" s="157">
        <v>4.7654219248156798E-2</v>
      </c>
      <c r="Z30" s="157">
        <v>1.35796435718802E-2</v>
      </c>
    </row>
    <row r="31" spans="1:26">
      <c r="A31" s="5">
        <v>337</v>
      </c>
      <c r="B31" s="5">
        <v>9963</v>
      </c>
      <c r="C31" s="5" t="s">
        <v>26</v>
      </c>
      <c r="D31" s="5" t="s">
        <v>27</v>
      </c>
      <c r="E31" s="5" t="s">
        <v>28</v>
      </c>
      <c r="F31" s="5" t="s">
        <v>29</v>
      </c>
      <c r="G31" s="5" t="s">
        <v>30</v>
      </c>
      <c r="H31" s="5" t="s">
        <v>30</v>
      </c>
      <c r="I31" s="5" t="s">
        <v>31</v>
      </c>
      <c r="J31" s="5" t="s">
        <v>32</v>
      </c>
      <c r="K31" s="5" t="s">
        <v>33</v>
      </c>
      <c r="L31" s="5" t="s">
        <v>34</v>
      </c>
      <c r="M31" s="145">
        <v>1.403</v>
      </c>
      <c r="N31" s="5" t="s">
        <v>35</v>
      </c>
      <c r="O31" s="157">
        <v>7.4999999999999997E-3</v>
      </c>
      <c r="P31" s="157">
        <v>1.9199999999999998E-2</v>
      </c>
      <c r="R31" s="145">
        <v>20300469</v>
      </c>
      <c r="S31" s="156">
        <v>1</v>
      </c>
      <c r="T31" s="159">
        <v>117.85</v>
      </c>
      <c r="U31" s="145">
        <v>23924.102999999999</v>
      </c>
      <c r="W31" s="5" t="s">
        <v>36</v>
      </c>
      <c r="X31" s="157">
        <v>8.3299999999999997E-4</v>
      </c>
      <c r="Y31" s="157">
        <v>0.10322845572183401</v>
      </c>
      <c r="Z31" s="157">
        <v>2.0529223384007401E-2</v>
      </c>
    </row>
    <row r="32" spans="1:26">
      <c r="A32" s="5">
        <v>337</v>
      </c>
      <c r="B32" s="5">
        <v>9963</v>
      </c>
      <c r="C32" s="5" t="s">
        <v>26</v>
      </c>
      <c r="D32" s="5" t="s">
        <v>37</v>
      </c>
      <c r="E32" s="5" t="s">
        <v>38</v>
      </c>
      <c r="F32" s="5" t="s">
        <v>29</v>
      </c>
      <c r="G32" s="5" t="s">
        <v>30</v>
      </c>
      <c r="H32" s="5" t="s">
        <v>30</v>
      </c>
      <c r="I32" s="5" t="s">
        <v>31</v>
      </c>
      <c r="J32" s="5" t="s">
        <v>32</v>
      </c>
      <c r="K32" s="5" t="s">
        <v>33</v>
      </c>
      <c r="L32" s="5" t="s">
        <v>34</v>
      </c>
      <c r="M32" s="145">
        <v>5.899</v>
      </c>
      <c r="N32" s="5" t="s">
        <v>39</v>
      </c>
      <c r="O32" s="157">
        <v>1E-3</v>
      </c>
      <c r="P32" s="157">
        <v>1.7049999999999999E-2</v>
      </c>
      <c r="R32" s="145">
        <v>500000</v>
      </c>
      <c r="S32" s="156">
        <v>1</v>
      </c>
      <c r="T32" s="159">
        <v>107.5</v>
      </c>
      <c r="U32" s="145">
        <v>537.5</v>
      </c>
      <c r="W32" s="5" t="s">
        <v>36</v>
      </c>
      <c r="X32" s="157">
        <v>1.5E-5</v>
      </c>
      <c r="Y32" s="157">
        <v>2.3192215652969301E-3</v>
      </c>
      <c r="Z32" s="157">
        <v>4.6122764559498902E-4</v>
      </c>
    </row>
    <row r="33" spans="1:26">
      <c r="A33" s="5">
        <v>337</v>
      </c>
      <c r="B33" s="5">
        <v>9963</v>
      </c>
      <c r="C33" s="5" t="s">
        <v>26</v>
      </c>
      <c r="D33" s="5" t="s">
        <v>47</v>
      </c>
      <c r="E33" s="5" t="s">
        <v>48</v>
      </c>
      <c r="F33" s="5" t="s">
        <v>42</v>
      </c>
      <c r="G33" s="5" t="s">
        <v>30</v>
      </c>
      <c r="H33" s="5" t="s">
        <v>30</v>
      </c>
      <c r="I33" s="5" t="s">
        <v>31</v>
      </c>
      <c r="J33" s="5" t="s">
        <v>32</v>
      </c>
      <c r="K33" s="5" t="s">
        <v>33</v>
      </c>
      <c r="L33" s="5" t="s">
        <v>34</v>
      </c>
      <c r="M33" s="145">
        <v>7.6879999999999997</v>
      </c>
      <c r="N33" s="5" t="s">
        <v>49</v>
      </c>
      <c r="O33" s="157">
        <v>0.04</v>
      </c>
      <c r="P33" s="157">
        <v>3.9109999999999999E-2</v>
      </c>
      <c r="R33" s="145">
        <v>49655547</v>
      </c>
      <c r="S33" s="156">
        <v>1</v>
      </c>
      <c r="T33" s="159">
        <v>103.69</v>
      </c>
      <c r="U33" s="145">
        <v>51487.837</v>
      </c>
      <c r="W33" s="5" t="s">
        <v>36</v>
      </c>
      <c r="X33" s="157">
        <v>1.354E-3</v>
      </c>
      <c r="Y33" s="157">
        <v>0.222161304537144</v>
      </c>
      <c r="Z33" s="157">
        <v>4.4181606866379501E-2</v>
      </c>
    </row>
    <row r="34" spans="1:26">
      <c r="A34" s="5">
        <v>337</v>
      </c>
      <c r="B34" s="5">
        <v>9963</v>
      </c>
      <c r="C34" s="5" t="s">
        <v>26</v>
      </c>
      <c r="D34" s="5" t="s">
        <v>99</v>
      </c>
      <c r="E34" s="5" t="s">
        <v>100</v>
      </c>
      <c r="F34" s="5" t="s">
        <v>42</v>
      </c>
      <c r="G34" s="5" t="s">
        <v>30</v>
      </c>
      <c r="H34" s="5" t="s">
        <v>30</v>
      </c>
      <c r="I34" s="5" t="s">
        <v>31</v>
      </c>
      <c r="J34" s="5" t="s">
        <v>32</v>
      </c>
      <c r="K34" s="5" t="s">
        <v>33</v>
      </c>
      <c r="L34" s="5" t="s">
        <v>34</v>
      </c>
      <c r="M34" s="145">
        <v>14.298</v>
      </c>
      <c r="N34" s="5" t="s">
        <v>101</v>
      </c>
      <c r="O34" s="157">
        <v>3.7499999999999999E-2</v>
      </c>
      <c r="P34" s="157">
        <v>4.3090000000000003E-2</v>
      </c>
      <c r="R34" s="145">
        <v>2168629</v>
      </c>
      <c r="S34" s="156">
        <v>1</v>
      </c>
      <c r="T34" s="159">
        <v>95.14</v>
      </c>
      <c r="U34" s="145">
        <v>2063.2339999999999</v>
      </c>
      <c r="W34" s="5" t="s">
        <v>36</v>
      </c>
      <c r="X34" s="157">
        <v>8.0000000000000007E-5</v>
      </c>
      <c r="Y34" s="157">
        <v>8.9025040564342205E-3</v>
      </c>
      <c r="Z34" s="157">
        <v>1.7704565390772801E-3</v>
      </c>
    </row>
    <row r="35" spans="1:26">
      <c r="A35" s="5">
        <v>337</v>
      </c>
      <c r="B35" s="5">
        <v>9963</v>
      </c>
      <c r="C35" s="5" t="s">
        <v>26</v>
      </c>
      <c r="D35" s="5" t="s">
        <v>53</v>
      </c>
      <c r="E35" s="5" t="s">
        <v>54</v>
      </c>
      <c r="F35" s="5" t="s">
        <v>42</v>
      </c>
      <c r="G35" s="5" t="s">
        <v>30</v>
      </c>
      <c r="H35" s="5" t="s">
        <v>30</v>
      </c>
      <c r="I35" s="5" t="s">
        <v>31</v>
      </c>
      <c r="J35" s="5" t="s">
        <v>32</v>
      </c>
      <c r="K35" s="5" t="s">
        <v>33</v>
      </c>
      <c r="L35" s="5" t="s">
        <v>34</v>
      </c>
      <c r="M35" s="145">
        <v>10.978</v>
      </c>
      <c r="N35" s="5" t="s">
        <v>55</v>
      </c>
      <c r="O35" s="157">
        <v>5.5E-2</v>
      </c>
      <c r="P35" s="157">
        <v>4.1709999999999997E-2</v>
      </c>
      <c r="R35" s="145">
        <v>73686867</v>
      </c>
      <c r="S35" s="156">
        <v>1</v>
      </c>
      <c r="T35" s="159">
        <v>120.4</v>
      </c>
      <c r="U35" s="145">
        <v>88718.987999999998</v>
      </c>
      <c r="W35" s="5" t="s">
        <v>36</v>
      </c>
      <c r="X35" s="157">
        <v>2.2780000000000001E-3</v>
      </c>
      <c r="Y35" s="157">
        <v>0.38280742309726901</v>
      </c>
      <c r="Z35" s="157">
        <v>7.61295811980056E-2</v>
      </c>
    </row>
    <row r="36" spans="1:26">
      <c r="A36" s="5">
        <v>337</v>
      </c>
      <c r="B36" s="5">
        <v>9963</v>
      </c>
      <c r="C36" s="5" t="s">
        <v>26</v>
      </c>
      <c r="D36" s="5" t="s">
        <v>56</v>
      </c>
      <c r="E36" s="5" t="s">
        <v>57</v>
      </c>
      <c r="F36" s="5" t="s">
        <v>29</v>
      </c>
      <c r="G36" s="5" t="s">
        <v>30</v>
      </c>
      <c r="H36" s="5" t="s">
        <v>30</v>
      </c>
      <c r="I36" s="5" t="s">
        <v>31</v>
      </c>
      <c r="J36" s="5" t="s">
        <v>32</v>
      </c>
      <c r="K36" s="5" t="s">
        <v>33</v>
      </c>
      <c r="L36" s="5" t="s">
        <v>34</v>
      </c>
      <c r="M36" s="145">
        <v>3.383</v>
      </c>
      <c r="N36" s="5" t="s">
        <v>58</v>
      </c>
      <c r="O36" s="157">
        <v>5.0000000000000001E-3</v>
      </c>
      <c r="P36" s="157">
        <v>1.712E-2</v>
      </c>
      <c r="R36" s="145">
        <v>3722213</v>
      </c>
      <c r="S36" s="156">
        <v>1</v>
      </c>
      <c r="T36" s="159">
        <v>113.71</v>
      </c>
      <c r="U36" s="145">
        <v>4232.5280000000002</v>
      </c>
      <c r="W36" s="5" t="s">
        <v>36</v>
      </c>
      <c r="X36" s="157">
        <v>1.2400000000000001E-4</v>
      </c>
      <c r="Y36" s="157">
        <v>1.82626439932017E-2</v>
      </c>
      <c r="Z36" s="157">
        <v>3.63192392540791E-3</v>
      </c>
    </row>
    <row r="37" spans="1:26">
      <c r="A37" s="5">
        <v>337</v>
      </c>
      <c r="B37" s="5">
        <v>9963</v>
      </c>
      <c r="C37" s="5" t="s">
        <v>26</v>
      </c>
      <c r="D37" s="5" t="s">
        <v>62</v>
      </c>
      <c r="E37" s="5" t="s">
        <v>63</v>
      </c>
      <c r="F37" s="5" t="s">
        <v>29</v>
      </c>
      <c r="G37" s="5" t="s">
        <v>30</v>
      </c>
      <c r="H37" s="5" t="s">
        <v>30</v>
      </c>
      <c r="I37" s="5" t="s">
        <v>31</v>
      </c>
      <c r="J37" s="5" t="s">
        <v>32</v>
      </c>
      <c r="K37" s="5" t="s">
        <v>33</v>
      </c>
      <c r="L37" s="5" t="s">
        <v>34</v>
      </c>
      <c r="M37" s="145">
        <v>2.8</v>
      </c>
      <c r="N37" s="5" t="s">
        <v>64</v>
      </c>
      <c r="O37" s="157">
        <v>1.0999999999999999E-2</v>
      </c>
      <c r="P37" s="157">
        <v>1.763E-2</v>
      </c>
      <c r="R37" s="145">
        <v>28277420</v>
      </c>
      <c r="S37" s="156">
        <v>1</v>
      </c>
      <c r="T37" s="159">
        <v>105.04</v>
      </c>
      <c r="U37" s="145">
        <v>29702.601999999999</v>
      </c>
      <c r="W37" s="5" t="s">
        <v>36</v>
      </c>
      <c r="X37" s="157">
        <v>8.3900000000000001E-4</v>
      </c>
      <c r="Y37" s="157">
        <v>0.128161702380682</v>
      </c>
      <c r="Z37" s="157">
        <v>2.5487741718596701E-2</v>
      </c>
    </row>
    <row r="38" spans="1:26">
      <c r="A38" s="5">
        <v>337</v>
      </c>
      <c r="B38" s="5">
        <v>9963</v>
      </c>
      <c r="C38" s="5" t="s">
        <v>26</v>
      </c>
      <c r="D38" s="5" t="s">
        <v>65</v>
      </c>
      <c r="E38" s="5" t="s">
        <v>66</v>
      </c>
      <c r="F38" s="5" t="s">
        <v>42</v>
      </c>
      <c r="G38" s="5" t="s">
        <v>30</v>
      </c>
      <c r="H38" s="5" t="s">
        <v>30</v>
      </c>
      <c r="I38" s="5" t="s">
        <v>31</v>
      </c>
      <c r="J38" s="5" t="s">
        <v>32</v>
      </c>
      <c r="K38" s="5" t="s">
        <v>33</v>
      </c>
      <c r="L38" s="5" t="s">
        <v>34</v>
      </c>
      <c r="M38" s="145">
        <v>10.317</v>
      </c>
      <c r="N38" s="5" t="s">
        <v>67</v>
      </c>
      <c r="O38" s="157">
        <v>1.4999999999999999E-2</v>
      </c>
      <c r="P38" s="157">
        <v>4.0410000000000001E-2</v>
      </c>
      <c r="R38" s="145">
        <v>7603293</v>
      </c>
      <c r="S38" s="156">
        <v>1</v>
      </c>
      <c r="T38" s="159">
        <v>78</v>
      </c>
      <c r="U38" s="145">
        <v>5930.5690000000004</v>
      </c>
      <c r="W38" s="5" t="s">
        <v>36</v>
      </c>
      <c r="X38" s="157">
        <v>1.8100000000000001E-4</v>
      </c>
      <c r="Y38" s="157">
        <v>2.55893999115154E-2</v>
      </c>
      <c r="Z38" s="157">
        <v>5.0890086785933203E-3</v>
      </c>
    </row>
    <row r="39" spans="1:26">
      <c r="A39" s="5">
        <v>337</v>
      </c>
      <c r="B39" s="5">
        <v>9963</v>
      </c>
      <c r="C39" s="5" t="s">
        <v>26</v>
      </c>
      <c r="D39" s="5" t="s">
        <v>68</v>
      </c>
      <c r="E39" s="5" t="s">
        <v>69</v>
      </c>
      <c r="F39" s="5" t="s">
        <v>42</v>
      </c>
      <c r="G39" s="5" t="s">
        <v>30</v>
      </c>
      <c r="H39" s="5" t="s">
        <v>30</v>
      </c>
      <c r="I39" s="5" t="s">
        <v>31</v>
      </c>
      <c r="J39" s="5" t="s">
        <v>32</v>
      </c>
      <c r="K39" s="5" t="s">
        <v>33</v>
      </c>
      <c r="L39" s="5" t="s">
        <v>34</v>
      </c>
      <c r="M39" s="145">
        <v>4.141</v>
      </c>
      <c r="N39" s="5" t="s">
        <v>70</v>
      </c>
      <c r="O39" s="157">
        <v>0.01</v>
      </c>
      <c r="P39" s="157">
        <v>3.7170000000000002E-2</v>
      </c>
      <c r="R39" s="145">
        <v>27876620</v>
      </c>
      <c r="S39" s="156">
        <v>1</v>
      </c>
      <c r="T39" s="159">
        <v>90.26</v>
      </c>
      <c r="U39" s="145">
        <v>25161.437000000002</v>
      </c>
      <c r="W39" s="5" t="s">
        <v>36</v>
      </c>
      <c r="X39" s="157">
        <v>7.3800000000000005E-4</v>
      </c>
      <c r="Y39" s="157">
        <v>0.10856734473662299</v>
      </c>
      <c r="Z39" s="157">
        <v>2.15909775722361E-2</v>
      </c>
    </row>
    <row r="40" spans="1:26">
      <c r="A40" s="5">
        <v>337</v>
      </c>
      <c r="B40" s="5">
        <v>9964</v>
      </c>
      <c r="C40" s="5" t="s">
        <v>26</v>
      </c>
      <c r="D40" s="5" t="s">
        <v>27</v>
      </c>
      <c r="E40" s="5" t="s">
        <v>28</v>
      </c>
      <c r="F40" s="5" t="s">
        <v>29</v>
      </c>
      <c r="G40" s="5" t="s">
        <v>30</v>
      </c>
      <c r="H40" s="5" t="s">
        <v>30</v>
      </c>
      <c r="I40" s="5" t="s">
        <v>31</v>
      </c>
      <c r="J40" s="5" t="s">
        <v>32</v>
      </c>
      <c r="K40" s="5" t="s">
        <v>33</v>
      </c>
      <c r="L40" s="5" t="s">
        <v>34</v>
      </c>
      <c r="M40" s="145">
        <v>1.403</v>
      </c>
      <c r="N40" s="5" t="s">
        <v>35</v>
      </c>
      <c r="O40" s="157">
        <v>7.4999999999999997E-3</v>
      </c>
      <c r="P40" s="157">
        <v>1.9199999999999998E-2</v>
      </c>
      <c r="R40" s="145">
        <v>1566166</v>
      </c>
      <c r="S40" s="156">
        <v>1</v>
      </c>
      <c r="T40" s="159">
        <v>117.85</v>
      </c>
      <c r="U40" s="145">
        <v>1845.7270000000001</v>
      </c>
      <c r="W40" s="5" t="s">
        <v>36</v>
      </c>
      <c r="X40" s="157">
        <v>6.3999999999999997E-5</v>
      </c>
      <c r="Y40" s="157">
        <v>0.100231901720043</v>
      </c>
      <c r="Z40" s="157">
        <v>4.2319735796038101E-2</v>
      </c>
    </row>
    <row r="41" spans="1:26">
      <c r="A41" s="5">
        <v>337</v>
      </c>
      <c r="B41" s="5">
        <v>9964</v>
      </c>
      <c r="C41" s="5" t="s">
        <v>26</v>
      </c>
      <c r="D41" s="5" t="s">
        <v>40</v>
      </c>
      <c r="E41" s="5" t="s">
        <v>41</v>
      </c>
      <c r="F41" s="5" t="s">
        <v>42</v>
      </c>
      <c r="G41" s="5" t="s">
        <v>30</v>
      </c>
      <c r="H41" s="5" t="s">
        <v>30</v>
      </c>
      <c r="I41" s="5" t="s">
        <v>31</v>
      </c>
      <c r="J41" s="5" t="s">
        <v>32</v>
      </c>
      <c r="K41" s="5" t="s">
        <v>33</v>
      </c>
      <c r="L41" s="5" t="s">
        <v>34</v>
      </c>
      <c r="M41" s="145">
        <v>2.6760000000000002</v>
      </c>
      <c r="N41" s="5" t="s">
        <v>43</v>
      </c>
      <c r="O41" s="157">
        <v>2.2499999999999999E-2</v>
      </c>
      <c r="P41" s="157">
        <v>3.7280000000000001E-2</v>
      </c>
      <c r="R41" s="145">
        <v>519889</v>
      </c>
      <c r="S41" s="156">
        <v>1</v>
      </c>
      <c r="T41" s="159">
        <v>96.78</v>
      </c>
      <c r="U41" s="145">
        <v>503.149</v>
      </c>
      <c r="W41" s="5" t="s">
        <v>36</v>
      </c>
      <c r="X41" s="157">
        <v>1.5E-5</v>
      </c>
      <c r="Y41" s="157">
        <v>2.7323406182025198E-2</v>
      </c>
      <c r="Z41" s="157">
        <v>1.15364401036793E-2</v>
      </c>
    </row>
    <row r="42" spans="1:26">
      <c r="A42" s="5">
        <v>337</v>
      </c>
      <c r="B42" s="5">
        <v>9964</v>
      </c>
      <c r="C42" s="5" t="s">
        <v>26</v>
      </c>
      <c r="D42" s="5" t="s">
        <v>102</v>
      </c>
      <c r="E42" s="5" t="s">
        <v>103</v>
      </c>
      <c r="F42" s="5" t="s">
        <v>42</v>
      </c>
      <c r="G42" s="5" t="s">
        <v>30</v>
      </c>
      <c r="H42" s="5" t="s">
        <v>30</v>
      </c>
      <c r="I42" s="5" t="s">
        <v>31</v>
      </c>
      <c r="J42" s="5" t="s">
        <v>32</v>
      </c>
      <c r="K42" s="5" t="s">
        <v>33</v>
      </c>
      <c r="L42" s="5" t="s">
        <v>34</v>
      </c>
      <c r="M42" s="145">
        <v>2.95</v>
      </c>
      <c r="N42" s="5" t="s">
        <v>104</v>
      </c>
      <c r="O42" s="157">
        <v>3.7499999999999999E-2</v>
      </c>
      <c r="P42" s="157">
        <v>3.721E-2</v>
      </c>
      <c r="R42" s="145">
        <v>1006137</v>
      </c>
      <c r="S42" s="156">
        <v>1</v>
      </c>
      <c r="T42" s="159">
        <v>103.23</v>
      </c>
      <c r="U42" s="145">
        <v>1038.635</v>
      </c>
      <c r="W42" s="5" t="s">
        <v>36</v>
      </c>
      <c r="X42" s="157">
        <v>2.9E-5</v>
      </c>
      <c r="Y42" s="157">
        <v>5.6402926661352201E-2</v>
      </c>
      <c r="Z42" s="157">
        <v>2.3814343671725802E-2</v>
      </c>
    </row>
    <row r="43" spans="1:26">
      <c r="A43" s="5">
        <v>337</v>
      </c>
      <c r="B43" s="5">
        <v>9964</v>
      </c>
      <c r="C43" s="5" t="s">
        <v>26</v>
      </c>
      <c r="D43" s="5" t="s">
        <v>47</v>
      </c>
      <c r="E43" s="5" t="s">
        <v>48</v>
      </c>
      <c r="F43" s="5" t="s">
        <v>42</v>
      </c>
      <c r="G43" s="5" t="s">
        <v>30</v>
      </c>
      <c r="H43" s="5" t="s">
        <v>30</v>
      </c>
      <c r="I43" s="5" t="s">
        <v>31</v>
      </c>
      <c r="J43" s="5" t="s">
        <v>32</v>
      </c>
      <c r="K43" s="5" t="s">
        <v>33</v>
      </c>
      <c r="L43" s="5" t="s">
        <v>34</v>
      </c>
      <c r="M43" s="145">
        <v>7.6879999999999997</v>
      </c>
      <c r="N43" s="5" t="s">
        <v>49</v>
      </c>
      <c r="O43" s="157">
        <v>0.04</v>
      </c>
      <c r="P43" s="157">
        <v>3.9109999999999999E-2</v>
      </c>
      <c r="R43" s="145">
        <v>2236486</v>
      </c>
      <c r="S43" s="156">
        <v>1</v>
      </c>
      <c r="T43" s="159">
        <v>103.69</v>
      </c>
      <c r="U43" s="145">
        <v>2319.0120000000002</v>
      </c>
      <c r="W43" s="5" t="s">
        <v>36</v>
      </c>
      <c r="X43" s="157">
        <v>6.0999999999999999E-5</v>
      </c>
      <c r="Y43" s="157">
        <v>0.12593360922737601</v>
      </c>
      <c r="Z43" s="157">
        <v>5.31714651611601E-2</v>
      </c>
    </row>
    <row r="44" spans="1:26">
      <c r="A44" s="5">
        <v>337</v>
      </c>
      <c r="B44" s="5">
        <v>9964</v>
      </c>
      <c r="C44" s="5" t="s">
        <v>26</v>
      </c>
      <c r="D44" s="5" t="s">
        <v>50</v>
      </c>
      <c r="E44" s="5" t="s">
        <v>51</v>
      </c>
      <c r="F44" s="5" t="s">
        <v>42</v>
      </c>
      <c r="G44" s="5" t="s">
        <v>30</v>
      </c>
      <c r="H44" s="5" t="s">
        <v>30</v>
      </c>
      <c r="I44" s="5" t="s">
        <v>31</v>
      </c>
      <c r="J44" s="5" t="s">
        <v>32</v>
      </c>
      <c r="K44" s="5" t="s">
        <v>33</v>
      </c>
      <c r="L44" s="5" t="s">
        <v>34</v>
      </c>
      <c r="M44" s="145">
        <v>3.4140000000000001</v>
      </c>
      <c r="N44" s="5" t="s">
        <v>52</v>
      </c>
      <c r="O44" s="157">
        <v>4.5999999999999999E-2</v>
      </c>
      <c r="P44" s="157">
        <v>3.7220000000000003E-2</v>
      </c>
      <c r="R44" s="145">
        <v>292797</v>
      </c>
      <c r="S44" s="156">
        <v>1</v>
      </c>
      <c r="T44" s="159">
        <v>104.49</v>
      </c>
      <c r="U44" s="145">
        <v>305.94400000000002</v>
      </c>
      <c r="W44" s="5" t="s">
        <v>36</v>
      </c>
      <c r="X44" s="157">
        <v>1.2999999999999999E-5</v>
      </c>
      <c r="Y44" s="157">
        <v>1.6614219494169E-2</v>
      </c>
      <c r="Z44" s="157">
        <v>7.0148262916777801E-3</v>
      </c>
    </row>
    <row r="45" spans="1:26">
      <c r="A45" s="5">
        <v>337</v>
      </c>
      <c r="B45" s="5">
        <v>9964</v>
      </c>
      <c r="C45" s="5" t="s">
        <v>26</v>
      </c>
      <c r="D45" s="5" t="s">
        <v>53</v>
      </c>
      <c r="E45" s="5" t="s">
        <v>54</v>
      </c>
      <c r="F45" s="5" t="s">
        <v>42</v>
      </c>
      <c r="G45" s="5" t="s">
        <v>30</v>
      </c>
      <c r="H45" s="5" t="s">
        <v>30</v>
      </c>
      <c r="I45" s="5" t="s">
        <v>31</v>
      </c>
      <c r="J45" s="5" t="s">
        <v>32</v>
      </c>
      <c r="K45" s="5" t="s">
        <v>33</v>
      </c>
      <c r="L45" s="5" t="s">
        <v>34</v>
      </c>
      <c r="M45" s="145">
        <v>10.978</v>
      </c>
      <c r="N45" s="5" t="s">
        <v>55</v>
      </c>
      <c r="O45" s="157">
        <v>5.5E-2</v>
      </c>
      <c r="P45" s="157">
        <v>4.1709999999999997E-2</v>
      </c>
      <c r="R45" s="145">
        <v>1605767</v>
      </c>
      <c r="S45" s="156">
        <v>1</v>
      </c>
      <c r="T45" s="159">
        <v>120.4</v>
      </c>
      <c r="U45" s="145">
        <v>1933.3430000000001</v>
      </c>
      <c r="W45" s="5" t="s">
        <v>36</v>
      </c>
      <c r="X45" s="157">
        <v>5.0000000000000002E-5</v>
      </c>
      <c r="Y45" s="157">
        <v>0.104989920620408</v>
      </c>
      <c r="Z45" s="157">
        <v>4.4328658098424602E-2</v>
      </c>
    </row>
    <row r="46" spans="1:26">
      <c r="A46" s="5">
        <v>337</v>
      </c>
      <c r="B46" s="5">
        <v>9964</v>
      </c>
      <c r="C46" s="5" t="s">
        <v>26</v>
      </c>
      <c r="D46" s="5" t="s">
        <v>56</v>
      </c>
      <c r="E46" s="5" t="s">
        <v>57</v>
      </c>
      <c r="F46" s="5" t="s">
        <v>29</v>
      </c>
      <c r="G46" s="5" t="s">
        <v>30</v>
      </c>
      <c r="H46" s="5" t="s">
        <v>30</v>
      </c>
      <c r="I46" s="5" t="s">
        <v>31</v>
      </c>
      <c r="J46" s="5" t="s">
        <v>32</v>
      </c>
      <c r="K46" s="5" t="s">
        <v>33</v>
      </c>
      <c r="L46" s="5" t="s">
        <v>34</v>
      </c>
      <c r="M46" s="145">
        <v>3.383</v>
      </c>
      <c r="N46" s="5" t="s">
        <v>58</v>
      </c>
      <c r="O46" s="157">
        <v>5.0000000000000001E-3</v>
      </c>
      <c r="P46" s="157">
        <v>1.712E-2</v>
      </c>
      <c r="R46" s="145">
        <v>486535</v>
      </c>
      <c r="S46" s="156">
        <v>1</v>
      </c>
      <c r="T46" s="159">
        <v>113.71</v>
      </c>
      <c r="U46" s="145">
        <v>553.23900000000003</v>
      </c>
      <c r="W46" s="5" t="s">
        <v>36</v>
      </c>
      <c r="X46" s="157">
        <v>1.5999999999999999E-5</v>
      </c>
      <c r="Y46" s="157">
        <v>3.0043556278812601E-2</v>
      </c>
      <c r="Z46" s="157">
        <v>1.26849370537136E-2</v>
      </c>
    </row>
    <row r="47" spans="1:26">
      <c r="A47" s="5">
        <v>337</v>
      </c>
      <c r="B47" s="5">
        <v>9964</v>
      </c>
      <c r="C47" s="5" t="s">
        <v>26</v>
      </c>
      <c r="D47" s="5" t="s">
        <v>59</v>
      </c>
      <c r="E47" s="5" t="s">
        <v>60</v>
      </c>
      <c r="F47" s="5" t="s">
        <v>29</v>
      </c>
      <c r="G47" s="5" t="s">
        <v>30</v>
      </c>
      <c r="H47" s="5" t="s">
        <v>30</v>
      </c>
      <c r="I47" s="5" t="s">
        <v>31</v>
      </c>
      <c r="J47" s="5" t="s">
        <v>32</v>
      </c>
      <c r="K47" s="5" t="s">
        <v>33</v>
      </c>
      <c r="L47" s="5" t="s">
        <v>34</v>
      </c>
      <c r="M47" s="145">
        <v>0.57799999999999996</v>
      </c>
      <c r="N47" s="5" t="s">
        <v>61</v>
      </c>
      <c r="O47" s="157">
        <v>1E-3</v>
      </c>
      <c r="P47" s="157">
        <v>2.5760000000000002E-2</v>
      </c>
      <c r="R47" s="145">
        <v>1320000</v>
      </c>
      <c r="S47" s="156">
        <v>1</v>
      </c>
      <c r="T47" s="159">
        <v>116.46</v>
      </c>
      <c r="U47" s="145">
        <v>1537.2719999999999</v>
      </c>
      <c r="W47" s="5" t="s">
        <v>36</v>
      </c>
      <c r="X47" s="157">
        <v>6.4999999999999994E-5</v>
      </c>
      <c r="Y47" s="157">
        <v>8.3481320274114507E-2</v>
      </c>
      <c r="Z47" s="157">
        <v>3.5247335002908699E-2</v>
      </c>
    </row>
    <row r="48" spans="1:26">
      <c r="A48" s="5">
        <v>337</v>
      </c>
      <c r="B48" s="5">
        <v>9964</v>
      </c>
      <c r="C48" s="5" t="s">
        <v>26</v>
      </c>
      <c r="D48" s="5" t="s">
        <v>62</v>
      </c>
      <c r="E48" s="5" t="s">
        <v>63</v>
      </c>
      <c r="F48" s="5" t="s">
        <v>29</v>
      </c>
      <c r="G48" s="5" t="s">
        <v>30</v>
      </c>
      <c r="H48" s="5" t="s">
        <v>30</v>
      </c>
      <c r="I48" s="5" t="s">
        <v>31</v>
      </c>
      <c r="J48" s="5" t="s">
        <v>32</v>
      </c>
      <c r="K48" s="5" t="s">
        <v>33</v>
      </c>
      <c r="L48" s="5" t="s">
        <v>34</v>
      </c>
      <c r="M48" s="145">
        <v>2.8</v>
      </c>
      <c r="N48" s="5" t="s">
        <v>64</v>
      </c>
      <c r="O48" s="157">
        <v>1.0999999999999999E-2</v>
      </c>
      <c r="P48" s="157">
        <v>1.763E-2</v>
      </c>
      <c r="R48" s="145">
        <v>2289602</v>
      </c>
      <c r="S48" s="156">
        <v>1</v>
      </c>
      <c r="T48" s="159">
        <v>105.04</v>
      </c>
      <c r="U48" s="145">
        <v>2404.998</v>
      </c>
      <c r="W48" s="5" t="s">
        <v>36</v>
      </c>
      <c r="X48" s="157">
        <v>6.7999999999999999E-5</v>
      </c>
      <c r="Y48" s="157">
        <v>0.13060304445440399</v>
      </c>
      <c r="Z48" s="157">
        <v>5.51429858220817E-2</v>
      </c>
    </row>
    <row r="49" spans="1:26">
      <c r="A49" s="5">
        <v>337</v>
      </c>
      <c r="B49" s="5">
        <v>9964</v>
      </c>
      <c r="C49" s="5" t="s">
        <v>26</v>
      </c>
      <c r="D49" s="5" t="s">
        <v>65</v>
      </c>
      <c r="E49" s="5" t="s">
        <v>66</v>
      </c>
      <c r="F49" s="5" t="s">
        <v>42</v>
      </c>
      <c r="G49" s="5" t="s">
        <v>30</v>
      </c>
      <c r="H49" s="5" t="s">
        <v>30</v>
      </c>
      <c r="I49" s="5" t="s">
        <v>31</v>
      </c>
      <c r="J49" s="5" t="s">
        <v>32</v>
      </c>
      <c r="K49" s="5" t="s">
        <v>33</v>
      </c>
      <c r="L49" s="5" t="s">
        <v>34</v>
      </c>
      <c r="M49" s="145">
        <v>10.317</v>
      </c>
      <c r="N49" s="5" t="s">
        <v>67</v>
      </c>
      <c r="O49" s="157">
        <v>1.4999999999999999E-2</v>
      </c>
      <c r="P49" s="157">
        <v>4.0410000000000001E-2</v>
      </c>
      <c r="R49" s="145">
        <v>902368</v>
      </c>
      <c r="S49" s="156">
        <v>1</v>
      </c>
      <c r="T49" s="159">
        <v>78</v>
      </c>
      <c r="U49" s="145">
        <v>703.84699999999998</v>
      </c>
      <c r="W49" s="5" t="s">
        <v>36</v>
      </c>
      <c r="X49" s="157">
        <v>2.1999999999999999E-5</v>
      </c>
      <c r="Y49" s="157">
        <v>3.82223055973357E-2</v>
      </c>
      <c r="Z49" s="157">
        <v>1.61381540870358E-2</v>
      </c>
    </row>
    <row r="50" spans="1:26">
      <c r="A50" s="5">
        <v>337</v>
      </c>
      <c r="B50" s="5">
        <v>9964</v>
      </c>
      <c r="C50" s="5" t="s">
        <v>26</v>
      </c>
      <c r="D50" s="5" t="s">
        <v>68</v>
      </c>
      <c r="E50" s="5" t="s">
        <v>69</v>
      </c>
      <c r="F50" s="5" t="s">
        <v>42</v>
      </c>
      <c r="G50" s="5" t="s">
        <v>30</v>
      </c>
      <c r="H50" s="5" t="s">
        <v>30</v>
      </c>
      <c r="I50" s="5" t="s">
        <v>31</v>
      </c>
      <c r="J50" s="5" t="s">
        <v>32</v>
      </c>
      <c r="K50" s="5" t="s">
        <v>33</v>
      </c>
      <c r="L50" s="5" t="s">
        <v>34</v>
      </c>
      <c r="M50" s="145">
        <v>4.141</v>
      </c>
      <c r="N50" s="5" t="s">
        <v>70</v>
      </c>
      <c r="O50" s="157">
        <v>0.01</v>
      </c>
      <c r="P50" s="157">
        <v>3.7170000000000002E-2</v>
      </c>
      <c r="R50" s="145">
        <v>4145306</v>
      </c>
      <c r="S50" s="156">
        <v>1</v>
      </c>
      <c r="T50" s="159">
        <v>90.26</v>
      </c>
      <c r="U50" s="145">
        <v>3741.5529999999999</v>
      </c>
      <c r="W50" s="5" t="s">
        <v>36</v>
      </c>
      <c r="X50" s="157">
        <v>1.1E-4</v>
      </c>
      <c r="Y50" s="157">
        <v>0.203184472653194</v>
      </c>
      <c r="Z50" s="157">
        <v>8.5788187722483006E-2</v>
      </c>
    </row>
    <row r="51" spans="1:26">
      <c r="A51" s="5">
        <v>337</v>
      </c>
      <c r="B51" s="5">
        <v>9964</v>
      </c>
      <c r="C51" s="5" t="s">
        <v>26</v>
      </c>
      <c r="D51" s="5" t="s">
        <v>96</v>
      </c>
      <c r="E51" s="5" t="s">
        <v>97</v>
      </c>
      <c r="F51" s="5" t="s">
        <v>42</v>
      </c>
      <c r="G51" s="5" t="s">
        <v>30</v>
      </c>
      <c r="H51" s="5" t="s">
        <v>30</v>
      </c>
      <c r="I51" s="5" t="s">
        <v>31</v>
      </c>
      <c r="J51" s="5" t="s">
        <v>32</v>
      </c>
      <c r="K51" s="5" t="s">
        <v>33</v>
      </c>
      <c r="L51" s="5" t="s">
        <v>34</v>
      </c>
      <c r="M51" s="145">
        <v>6.0389999999999997</v>
      </c>
      <c r="N51" s="5" t="s">
        <v>98</v>
      </c>
      <c r="O51" s="157">
        <v>1.2999999999999999E-2</v>
      </c>
      <c r="P51" s="157">
        <v>3.7949999999999998E-2</v>
      </c>
      <c r="R51" s="145">
        <v>756334</v>
      </c>
      <c r="S51" s="156">
        <v>1</v>
      </c>
      <c r="T51" s="159">
        <v>87.06</v>
      </c>
      <c r="U51" s="145">
        <v>658.46400000000006</v>
      </c>
      <c r="W51" s="5" t="s">
        <v>36</v>
      </c>
      <c r="X51" s="157">
        <v>1.8E-5</v>
      </c>
      <c r="Y51" s="157">
        <v>3.5757807225571502E-2</v>
      </c>
      <c r="Z51" s="157">
        <v>1.5097597954975801E-2</v>
      </c>
    </row>
    <row r="52" spans="1:26">
      <c r="A52" s="5">
        <v>337</v>
      </c>
      <c r="B52" s="5">
        <v>9964</v>
      </c>
      <c r="C52" s="5" t="s">
        <v>75</v>
      </c>
      <c r="D52" s="5" t="s">
        <v>86</v>
      </c>
      <c r="E52" s="5" t="s">
        <v>87</v>
      </c>
      <c r="F52" s="5" t="s">
        <v>78</v>
      </c>
      <c r="G52" s="5" t="s">
        <v>79</v>
      </c>
      <c r="H52" s="5" t="s">
        <v>80</v>
      </c>
      <c r="I52" s="5" t="s">
        <v>81</v>
      </c>
      <c r="J52" s="5" t="s">
        <v>82</v>
      </c>
      <c r="K52" s="5" t="s">
        <v>83</v>
      </c>
      <c r="L52" s="5" t="s">
        <v>84</v>
      </c>
      <c r="M52" s="145">
        <v>6.5359999999999996</v>
      </c>
      <c r="N52" s="5" t="s">
        <v>88</v>
      </c>
      <c r="O52" s="157">
        <v>3.3750000000000002E-2</v>
      </c>
      <c r="P52" s="157">
        <v>3.9699999999999999E-2</v>
      </c>
      <c r="R52" s="145">
        <v>282000</v>
      </c>
      <c r="S52" s="156">
        <v>3.19</v>
      </c>
      <c r="T52" s="159">
        <v>96.643000000000001</v>
      </c>
      <c r="U52" s="145">
        <v>869.37900000000002</v>
      </c>
      <c r="W52" s="5" t="s">
        <v>36</v>
      </c>
      <c r="X52" s="157">
        <v>3.0000000000000001E-6</v>
      </c>
      <c r="Y52" s="157">
        <v>4.7211509611195003E-2</v>
      </c>
      <c r="Z52" s="157">
        <v>1.99335598645872E-2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18" t="s">
        <v>0</v>
      </c>
      <c r="B1" s="18" t="s">
        <v>1</v>
      </c>
      <c r="C1" s="18" t="s">
        <v>2</v>
      </c>
      <c r="D1" s="18" t="s">
        <v>105</v>
      </c>
      <c r="E1" s="18" t="s">
        <v>106</v>
      </c>
      <c r="F1" s="18" t="s">
        <v>3</v>
      </c>
      <c r="G1" s="18" t="s">
        <v>4</v>
      </c>
      <c r="H1" s="18" t="s">
        <v>107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108</v>
      </c>
      <c r="N1" s="18" t="s">
        <v>109</v>
      </c>
      <c r="O1" s="18" t="s">
        <v>9</v>
      </c>
      <c r="P1" s="18" t="s">
        <v>10</v>
      </c>
      <c r="Q1" s="18" t="s">
        <v>110</v>
      </c>
      <c r="R1" s="18" t="s">
        <v>11</v>
      </c>
      <c r="S1" s="18" t="s">
        <v>12</v>
      </c>
      <c r="T1" s="18" t="s">
        <v>111</v>
      </c>
      <c r="U1" s="18" t="s">
        <v>13</v>
      </c>
      <c r="V1" s="18" t="s">
        <v>14</v>
      </c>
      <c r="W1" s="18" t="s">
        <v>15</v>
      </c>
      <c r="X1" s="18" t="s">
        <v>112</v>
      </c>
      <c r="Y1" s="18" t="s">
        <v>113</v>
      </c>
      <c r="Z1" s="18" t="s">
        <v>17</v>
      </c>
      <c r="AA1" s="18" t="s">
        <v>18</v>
      </c>
      <c r="AB1" s="18" t="s">
        <v>19</v>
      </c>
      <c r="AC1" s="18" t="s">
        <v>16</v>
      </c>
      <c r="AD1" s="18" t="s">
        <v>20</v>
      </c>
      <c r="AE1" s="18" t="s">
        <v>21</v>
      </c>
      <c r="AF1" s="18" t="s">
        <v>114</v>
      </c>
      <c r="AG1" s="18" t="s">
        <v>22</v>
      </c>
      <c r="AH1" s="18" t="s">
        <v>23</v>
      </c>
      <c r="AI1" s="18" t="s">
        <v>24</v>
      </c>
      <c r="AJ1" s="18" t="s">
        <v>25</v>
      </c>
    </row>
    <row r="2" spans="1:36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P2" s="17"/>
      <c r="Q2" s="17"/>
      <c r="R2" s="17"/>
      <c r="S2" s="17"/>
      <c r="T2" s="19"/>
      <c r="U2" s="17"/>
      <c r="V2" s="17"/>
      <c r="X2" s="17"/>
      <c r="Y2" s="27"/>
      <c r="Z2" s="17"/>
      <c r="AA2" s="17"/>
      <c r="AB2" s="17"/>
      <c r="AC2" s="17"/>
      <c r="AD2" s="17"/>
      <c r="AE2" s="17"/>
      <c r="AG2" s="17"/>
    </row>
    <row r="3" spans="1:3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6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</row>
    <row r="9" spans="1:36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6"/>
      <c r="AG9" s="17"/>
    </row>
    <row r="10" spans="1:36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>
      <c r="E20" s="17"/>
      <c r="H20" s="17"/>
      <c r="I20" s="17"/>
      <c r="J20" s="17"/>
      <c r="K20" s="17"/>
      <c r="L20" s="17"/>
      <c r="M20" s="17"/>
      <c r="N20" s="17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600"/>
  <sheetViews>
    <sheetView rightToLeft="1" workbookViewId="0">
      <selection activeCell="E22" sqref="E22"/>
    </sheetView>
  </sheetViews>
  <sheetFormatPr defaultColWidth="0" defaultRowHeight="14.25"/>
  <cols>
    <col min="1" max="2" width="11.625" style="3" customWidth="1"/>
    <col min="3" max="3" width="29.125" style="185" customWidth="1"/>
    <col min="4" max="4" width="22" style="3" customWidth="1"/>
    <col min="5" max="5" width="23.375" style="189" customWidth="1"/>
    <col min="6" max="6" width="32.125" style="185" customWidth="1"/>
    <col min="7" max="7" width="14.25" style="3" customWidth="1"/>
    <col min="8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18" t="s">
        <v>0</v>
      </c>
      <c r="B1" s="18" t="s">
        <v>1</v>
      </c>
      <c r="C1" s="186" t="s">
        <v>2</v>
      </c>
      <c r="D1" s="18" t="s">
        <v>105</v>
      </c>
      <c r="E1" s="186" t="s">
        <v>106</v>
      </c>
      <c r="F1" s="186" t="s">
        <v>3</v>
      </c>
      <c r="G1" s="18" t="s">
        <v>4</v>
      </c>
      <c r="H1" s="18" t="s">
        <v>107</v>
      </c>
      <c r="I1" s="18" t="s">
        <v>5</v>
      </c>
      <c r="J1" s="18" t="s">
        <v>6</v>
      </c>
      <c r="K1" s="18" t="s">
        <v>7</v>
      </c>
      <c r="L1" s="18" t="s">
        <v>115</v>
      </c>
      <c r="M1" s="18" t="s">
        <v>8</v>
      </c>
      <c r="N1" s="18" t="s">
        <v>108</v>
      </c>
      <c r="O1" s="18" t="s">
        <v>109</v>
      </c>
      <c r="P1" s="18" t="s">
        <v>9</v>
      </c>
      <c r="Q1" s="18" t="s">
        <v>10</v>
      </c>
      <c r="R1" s="18" t="s">
        <v>110</v>
      </c>
      <c r="S1" s="18" t="s">
        <v>11</v>
      </c>
      <c r="T1" s="18" t="s">
        <v>12</v>
      </c>
      <c r="U1" s="18" t="s">
        <v>13</v>
      </c>
      <c r="V1" s="154" t="s">
        <v>14</v>
      </c>
      <c r="W1" s="154" t="s">
        <v>15</v>
      </c>
      <c r="X1" s="18" t="s">
        <v>112</v>
      </c>
      <c r="Y1" s="18" t="s">
        <v>113</v>
      </c>
      <c r="Z1" s="18" t="s">
        <v>17</v>
      </c>
      <c r="AA1" s="152" t="s">
        <v>18</v>
      </c>
      <c r="AB1" s="158" t="s">
        <v>19</v>
      </c>
      <c r="AC1" s="18" t="s">
        <v>16</v>
      </c>
      <c r="AD1" s="18" t="s">
        <v>20</v>
      </c>
      <c r="AE1" s="18" t="s">
        <v>21</v>
      </c>
      <c r="AF1" s="18" t="s">
        <v>114</v>
      </c>
      <c r="AG1" s="18" t="s">
        <v>22</v>
      </c>
      <c r="AH1" s="154" t="s">
        <v>23</v>
      </c>
      <c r="AI1" s="154" t="s">
        <v>24</v>
      </c>
      <c r="AJ1" s="154" t="s">
        <v>25</v>
      </c>
    </row>
    <row r="2" spans="1:36">
      <c r="A2" s="3">
        <v>337</v>
      </c>
      <c r="B2" s="19">
        <v>1405</v>
      </c>
      <c r="C2" s="187" t="s">
        <v>116</v>
      </c>
      <c r="D2" s="19" t="s">
        <v>117</v>
      </c>
      <c r="E2" s="188" t="s">
        <v>118</v>
      </c>
      <c r="F2" s="187" t="s">
        <v>119</v>
      </c>
      <c r="G2" s="19" t="s">
        <v>120</v>
      </c>
      <c r="H2" s="17" t="s">
        <v>121</v>
      </c>
      <c r="I2" s="33" t="s">
        <v>122</v>
      </c>
      <c r="J2" s="17" t="s">
        <v>30</v>
      </c>
      <c r="K2" s="17" t="s">
        <v>30</v>
      </c>
      <c r="L2" s="19" t="s">
        <v>123</v>
      </c>
      <c r="M2" s="17" t="s">
        <v>31</v>
      </c>
      <c r="N2" s="19" t="s">
        <v>124</v>
      </c>
      <c r="O2" s="19" t="s">
        <v>125</v>
      </c>
      <c r="P2" s="19" t="s">
        <v>126</v>
      </c>
      <c r="Q2" s="19" t="s">
        <v>127</v>
      </c>
      <c r="R2" s="19" t="s">
        <v>128</v>
      </c>
      <c r="S2" s="17" t="s">
        <v>34</v>
      </c>
      <c r="T2" s="146">
        <v>0.97099999999999997</v>
      </c>
      <c r="U2" s="19" t="s">
        <v>91</v>
      </c>
      <c r="V2" s="161">
        <v>3.5000000000000003E-2</v>
      </c>
      <c r="W2" s="161">
        <v>4.8559999999999999E-2</v>
      </c>
      <c r="X2" s="17" t="s">
        <v>129</v>
      </c>
      <c r="Y2" s="27" t="s">
        <v>125</v>
      </c>
      <c r="Z2" s="146">
        <v>23140</v>
      </c>
      <c r="AA2" s="160">
        <v>1</v>
      </c>
      <c r="AB2" s="162">
        <v>99.65</v>
      </c>
      <c r="AC2" s="19"/>
      <c r="AD2" s="146">
        <v>23.059000000000001</v>
      </c>
      <c r="AE2" s="19"/>
      <c r="AF2" s="33"/>
      <c r="AG2" s="17" t="s">
        <v>36</v>
      </c>
      <c r="AH2" s="155">
        <v>2.0799999999999999E-4</v>
      </c>
      <c r="AI2" s="155">
        <v>7.0549635169788001E-3</v>
      </c>
      <c r="AJ2" s="155">
        <v>3.0722823789902801E-3</v>
      </c>
    </row>
    <row r="3" spans="1:36">
      <c r="A3" s="19">
        <v>337</v>
      </c>
      <c r="B3" s="19">
        <v>1405</v>
      </c>
      <c r="C3" s="187" t="s">
        <v>116</v>
      </c>
      <c r="D3" s="19" t="s">
        <v>117</v>
      </c>
      <c r="E3" s="188" t="s">
        <v>118</v>
      </c>
      <c r="F3" s="187" t="s">
        <v>130</v>
      </c>
      <c r="G3" s="19" t="s">
        <v>131</v>
      </c>
      <c r="H3" s="17" t="s">
        <v>121</v>
      </c>
      <c r="I3" s="20" t="s">
        <v>132</v>
      </c>
      <c r="J3" s="17" t="s">
        <v>30</v>
      </c>
      <c r="K3" s="17" t="s">
        <v>30</v>
      </c>
      <c r="L3" s="19" t="s">
        <v>123</v>
      </c>
      <c r="M3" s="17" t="s">
        <v>31</v>
      </c>
      <c r="N3" s="19" t="s">
        <v>124</v>
      </c>
      <c r="O3" s="19" t="s">
        <v>125</v>
      </c>
      <c r="P3" s="19" t="s">
        <v>126</v>
      </c>
      <c r="Q3" s="19" t="s">
        <v>127</v>
      </c>
      <c r="R3" s="19" t="s">
        <v>128</v>
      </c>
      <c r="S3" s="17" t="s">
        <v>34</v>
      </c>
      <c r="T3" s="146">
        <v>1.657</v>
      </c>
      <c r="U3" s="19" t="s">
        <v>133</v>
      </c>
      <c r="V3" s="161">
        <v>3.85E-2</v>
      </c>
      <c r="W3" s="161">
        <v>2.962E-2</v>
      </c>
      <c r="X3" s="17" t="s">
        <v>129</v>
      </c>
      <c r="Y3" s="17" t="s">
        <v>125</v>
      </c>
      <c r="Z3" s="146">
        <v>19000</v>
      </c>
      <c r="AA3" s="160">
        <v>1</v>
      </c>
      <c r="AB3" s="162">
        <v>112.15</v>
      </c>
      <c r="AC3" s="19"/>
      <c r="AD3" s="146">
        <v>21.308</v>
      </c>
      <c r="AE3" s="19"/>
      <c r="AG3" s="17" t="s">
        <v>36</v>
      </c>
      <c r="AH3" s="155">
        <v>6.3E-5</v>
      </c>
      <c r="AI3" s="155">
        <v>6.5193904725980396E-3</v>
      </c>
      <c r="AJ3" s="155">
        <v>2.8390520266357699E-3</v>
      </c>
    </row>
    <row r="4" spans="1:36">
      <c r="A4" s="19">
        <v>337</v>
      </c>
      <c r="B4" s="19">
        <v>1405</v>
      </c>
      <c r="C4" s="187" t="s">
        <v>134</v>
      </c>
      <c r="D4" s="19" t="s">
        <v>135</v>
      </c>
      <c r="E4" s="188" t="s">
        <v>118</v>
      </c>
      <c r="F4" s="187" t="s">
        <v>136</v>
      </c>
      <c r="G4" s="19" t="s">
        <v>137</v>
      </c>
      <c r="H4" s="17" t="s">
        <v>121</v>
      </c>
      <c r="I4" s="20" t="s">
        <v>132</v>
      </c>
      <c r="J4" s="17" t="s">
        <v>30</v>
      </c>
      <c r="K4" s="17" t="s">
        <v>138</v>
      </c>
      <c r="L4" s="19" t="s">
        <v>123</v>
      </c>
      <c r="M4" s="17" t="s">
        <v>31</v>
      </c>
      <c r="N4" s="19" t="s">
        <v>139</v>
      </c>
      <c r="O4" s="19" t="s">
        <v>125</v>
      </c>
      <c r="P4" s="19" t="s">
        <v>126</v>
      </c>
      <c r="Q4" s="19" t="s">
        <v>127</v>
      </c>
      <c r="R4" s="19" t="s">
        <v>128</v>
      </c>
      <c r="S4" s="17" t="s">
        <v>34</v>
      </c>
      <c r="T4" s="146">
        <v>2.1539999999999999</v>
      </c>
      <c r="U4" s="19" t="s">
        <v>70</v>
      </c>
      <c r="V4" s="161">
        <v>2.4500000000000001E-2</v>
      </c>
      <c r="W4" s="161">
        <v>2.9590000000000002E-2</v>
      </c>
      <c r="X4" s="17" t="s">
        <v>129</v>
      </c>
      <c r="Y4" s="17" t="s">
        <v>125</v>
      </c>
      <c r="Z4" s="146">
        <v>4565.22</v>
      </c>
      <c r="AA4" s="160">
        <v>1</v>
      </c>
      <c r="AB4" s="162">
        <v>117.22</v>
      </c>
      <c r="AC4" s="19"/>
      <c r="AD4" s="146">
        <v>5.351</v>
      </c>
      <c r="AE4" s="19"/>
      <c r="AG4" s="17" t="s">
        <v>36</v>
      </c>
      <c r="AH4" s="155">
        <v>1.0000000000000001E-5</v>
      </c>
      <c r="AI4" s="155">
        <v>1.63725958977303E-3</v>
      </c>
      <c r="AJ4" s="155">
        <v>7.1299075826357198E-4</v>
      </c>
    </row>
    <row r="5" spans="1:36">
      <c r="A5" s="19">
        <v>337</v>
      </c>
      <c r="B5" s="19">
        <v>1405</v>
      </c>
      <c r="C5" s="187" t="s">
        <v>140</v>
      </c>
      <c r="D5" s="19" t="s">
        <v>141</v>
      </c>
      <c r="E5" s="188" t="s">
        <v>118</v>
      </c>
      <c r="F5" s="187" t="s">
        <v>142</v>
      </c>
      <c r="G5" s="19" t="s">
        <v>143</v>
      </c>
      <c r="H5" s="17" t="s">
        <v>121</v>
      </c>
      <c r="I5" s="20" t="s">
        <v>132</v>
      </c>
      <c r="J5" s="17" t="s">
        <v>30</v>
      </c>
      <c r="K5" s="17" t="s">
        <v>30</v>
      </c>
      <c r="L5" s="19" t="s">
        <v>123</v>
      </c>
      <c r="M5" s="17" t="s">
        <v>31</v>
      </c>
      <c r="N5" s="19" t="s">
        <v>144</v>
      </c>
      <c r="O5" s="19" t="s">
        <v>125</v>
      </c>
      <c r="P5" s="19" t="s">
        <v>145</v>
      </c>
      <c r="Q5" s="19" t="s">
        <v>146</v>
      </c>
      <c r="R5" s="19" t="s">
        <v>128</v>
      </c>
      <c r="S5" s="17" t="s">
        <v>34</v>
      </c>
      <c r="T5" s="146">
        <v>5.1340000000000003</v>
      </c>
      <c r="U5" s="19" t="s">
        <v>147</v>
      </c>
      <c r="V5" s="161">
        <v>5.1499999999999997E-2</v>
      </c>
      <c r="W5" s="161">
        <v>3.3709999999999997E-2</v>
      </c>
      <c r="X5" s="17" t="s">
        <v>129</v>
      </c>
      <c r="Y5" s="17" t="s">
        <v>125</v>
      </c>
      <c r="Z5" s="146">
        <v>0.71</v>
      </c>
      <c r="AA5" s="160">
        <v>1</v>
      </c>
      <c r="AB5" s="162">
        <v>156.16999999999999</v>
      </c>
      <c r="AC5" s="19"/>
      <c r="AD5" s="146">
        <v>1E-3</v>
      </c>
      <c r="AE5" s="19"/>
      <c r="AG5" s="17" t="s">
        <v>36</v>
      </c>
      <c r="AH5" s="155">
        <v>0</v>
      </c>
      <c r="AI5" s="155">
        <v>3.3924235829598602E-7</v>
      </c>
      <c r="AJ5" s="155">
        <v>1.4773263066372199E-7</v>
      </c>
    </row>
    <row r="6" spans="1:36">
      <c r="A6" s="19">
        <v>337</v>
      </c>
      <c r="B6" s="19">
        <v>1405</v>
      </c>
      <c r="C6" s="187" t="s">
        <v>148</v>
      </c>
      <c r="D6" s="19" t="s">
        <v>149</v>
      </c>
      <c r="E6" s="188" t="s">
        <v>118</v>
      </c>
      <c r="F6" s="187" t="s">
        <v>150</v>
      </c>
      <c r="G6" s="19" t="s">
        <v>151</v>
      </c>
      <c r="H6" s="17" t="s">
        <v>121</v>
      </c>
      <c r="I6" s="20" t="s">
        <v>132</v>
      </c>
      <c r="J6" s="17" t="s">
        <v>30</v>
      </c>
      <c r="K6" s="17" t="s">
        <v>30</v>
      </c>
      <c r="L6" s="19" t="s">
        <v>123</v>
      </c>
      <c r="M6" s="17" t="s">
        <v>31</v>
      </c>
      <c r="N6" s="19" t="s">
        <v>152</v>
      </c>
      <c r="O6" s="19" t="s">
        <v>125</v>
      </c>
      <c r="P6" s="19" t="s">
        <v>153</v>
      </c>
      <c r="Q6" s="19" t="s">
        <v>146</v>
      </c>
      <c r="R6" s="19" t="s">
        <v>128</v>
      </c>
      <c r="S6" s="17" t="s">
        <v>34</v>
      </c>
      <c r="T6" s="146">
        <v>2.1619999999999999</v>
      </c>
      <c r="U6" s="19" t="s">
        <v>154</v>
      </c>
      <c r="V6" s="161">
        <v>2.75E-2</v>
      </c>
      <c r="W6" s="161">
        <v>2.4850000000000001E-2</v>
      </c>
      <c r="X6" s="17" t="s">
        <v>129</v>
      </c>
      <c r="Y6" s="17" t="s">
        <v>125</v>
      </c>
      <c r="Z6" s="143">
        <v>19008.82</v>
      </c>
      <c r="AA6" s="153">
        <v>1</v>
      </c>
      <c r="AB6" s="163">
        <v>118.88</v>
      </c>
      <c r="AC6" s="19"/>
      <c r="AD6" s="143">
        <v>22.597999999999999</v>
      </c>
      <c r="AG6" s="3" t="s">
        <v>36</v>
      </c>
      <c r="AH6" s="155">
        <v>4.3000000000000002E-5</v>
      </c>
      <c r="AI6" s="155">
        <v>6.9138200107919301E-3</v>
      </c>
      <c r="AJ6" s="155">
        <v>3.0108174676660498E-3</v>
      </c>
    </row>
    <row r="7" spans="1:36">
      <c r="A7" s="19">
        <v>337</v>
      </c>
      <c r="B7" s="19">
        <v>1405</v>
      </c>
      <c r="C7" s="187" t="s">
        <v>155</v>
      </c>
      <c r="D7" s="19" t="s">
        <v>156</v>
      </c>
      <c r="E7" s="188" t="s">
        <v>118</v>
      </c>
      <c r="F7" s="187" t="s">
        <v>157</v>
      </c>
      <c r="G7" s="19" t="s">
        <v>158</v>
      </c>
      <c r="H7" s="17" t="s">
        <v>121</v>
      </c>
      <c r="I7" s="20" t="s">
        <v>122</v>
      </c>
      <c r="J7" s="17" t="s">
        <v>30</v>
      </c>
      <c r="K7" s="17" t="s">
        <v>30</v>
      </c>
      <c r="L7" s="19" t="s">
        <v>123</v>
      </c>
      <c r="M7" s="17" t="s">
        <v>31</v>
      </c>
      <c r="N7" s="19" t="s">
        <v>159</v>
      </c>
      <c r="O7" s="19" t="s">
        <v>125</v>
      </c>
      <c r="P7" s="19" t="s">
        <v>126</v>
      </c>
      <c r="Q7" s="19" t="s">
        <v>127</v>
      </c>
      <c r="R7" s="19" t="s">
        <v>128</v>
      </c>
      <c r="S7" s="17" t="s">
        <v>34</v>
      </c>
      <c r="T7" s="146">
        <v>5.7190000000000003</v>
      </c>
      <c r="U7" s="19" t="s">
        <v>160</v>
      </c>
      <c r="V7" s="161">
        <v>5.1299999999999998E-2</v>
      </c>
      <c r="W7" s="161">
        <v>4.5629999999999997E-2</v>
      </c>
      <c r="X7" s="17" t="s">
        <v>129</v>
      </c>
      <c r="Y7" s="17" t="s">
        <v>125</v>
      </c>
      <c r="Z7" s="143">
        <v>16000</v>
      </c>
      <c r="AA7" s="153">
        <v>1</v>
      </c>
      <c r="AB7" s="163">
        <v>104.92</v>
      </c>
      <c r="AC7" s="19"/>
      <c r="AD7" s="143">
        <v>16.786999999999999</v>
      </c>
      <c r="AG7" s="3" t="s">
        <v>36</v>
      </c>
      <c r="AH7" s="155">
        <v>4.6999999999999997E-5</v>
      </c>
      <c r="AI7" s="155">
        <v>5.1360870892647398E-3</v>
      </c>
      <c r="AJ7" s="155">
        <v>2.2366536443926099E-3</v>
      </c>
    </row>
    <row r="8" spans="1:36">
      <c r="A8" s="19">
        <v>337</v>
      </c>
      <c r="B8" s="19">
        <v>1405</v>
      </c>
      <c r="C8" s="187" t="s">
        <v>161</v>
      </c>
      <c r="D8" s="19" t="s">
        <v>162</v>
      </c>
      <c r="E8" s="188" t="s">
        <v>118</v>
      </c>
      <c r="F8" s="187" t="s">
        <v>163</v>
      </c>
      <c r="G8" s="19" t="s">
        <v>164</v>
      </c>
      <c r="H8" s="17" t="s">
        <v>121</v>
      </c>
      <c r="I8" s="20" t="s">
        <v>122</v>
      </c>
      <c r="J8" s="17" t="s">
        <v>30</v>
      </c>
      <c r="K8" s="17" t="s">
        <v>30</v>
      </c>
      <c r="L8" s="19" t="s">
        <v>123</v>
      </c>
      <c r="M8" s="17" t="s">
        <v>31</v>
      </c>
      <c r="N8" s="19" t="s">
        <v>144</v>
      </c>
      <c r="O8" s="19" t="s">
        <v>125</v>
      </c>
      <c r="P8" s="19" t="s">
        <v>165</v>
      </c>
      <c r="Q8" s="19" t="s">
        <v>146</v>
      </c>
      <c r="R8" s="19" t="s">
        <v>128</v>
      </c>
      <c r="S8" s="17" t="s">
        <v>34</v>
      </c>
      <c r="T8" s="146">
        <v>7.1239999999999997</v>
      </c>
      <c r="U8" s="19" t="s">
        <v>166</v>
      </c>
      <c r="V8" s="161">
        <v>2.4E-2</v>
      </c>
      <c r="W8" s="161">
        <v>4.3560000000000001E-2</v>
      </c>
      <c r="X8" s="17" t="s">
        <v>129</v>
      </c>
      <c r="Y8" s="17" t="s">
        <v>125</v>
      </c>
      <c r="Z8" s="146">
        <v>56267.79</v>
      </c>
      <c r="AA8" s="160">
        <v>1</v>
      </c>
      <c r="AB8" s="162">
        <v>87.37</v>
      </c>
      <c r="AC8" s="19"/>
      <c r="AD8" s="146">
        <v>49.161000000000001</v>
      </c>
      <c r="AE8" s="19"/>
      <c r="AG8" s="17" t="s">
        <v>36</v>
      </c>
      <c r="AH8" s="155">
        <v>3.6999999999999998E-5</v>
      </c>
      <c r="AI8" s="155">
        <v>1.50409860423247E-2</v>
      </c>
      <c r="AJ8" s="155">
        <v>6.5500206017028396E-3</v>
      </c>
    </row>
    <row r="9" spans="1:36">
      <c r="A9" s="19">
        <v>337</v>
      </c>
      <c r="B9" s="19">
        <v>1405</v>
      </c>
      <c r="C9" s="187" t="s">
        <v>167</v>
      </c>
      <c r="D9" s="19" t="s">
        <v>168</v>
      </c>
      <c r="E9" s="188" t="s">
        <v>118</v>
      </c>
      <c r="F9" s="187" t="s">
        <v>169</v>
      </c>
      <c r="G9" s="19" t="s">
        <v>170</v>
      </c>
      <c r="H9" s="17" t="s">
        <v>121</v>
      </c>
      <c r="I9" s="20" t="s">
        <v>132</v>
      </c>
      <c r="J9" s="17" t="s">
        <v>30</v>
      </c>
      <c r="K9" s="17" t="s">
        <v>30</v>
      </c>
      <c r="L9" s="19" t="s">
        <v>123</v>
      </c>
      <c r="M9" s="17" t="s">
        <v>31</v>
      </c>
      <c r="N9" s="19" t="s">
        <v>171</v>
      </c>
      <c r="O9" s="19" t="s">
        <v>125</v>
      </c>
      <c r="P9" s="19" t="s">
        <v>165</v>
      </c>
      <c r="Q9" s="19" t="s">
        <v>146</v>
      </c>
      <c r="R9" s="19" t="s">
        <v>128</v>
      </c>
      <c r="S9" s="17" t="s">
        <v>34</v>
      </c>
      <c r="T9" s="146">
        <v>1.5149999999999999</v>
      </c>
      <c r="U9" s="19" t="s">
        <v>104</v>
      </c>
      <c r="V9" s="161">
        <v>2.3400000000000001E-2</v>
      </c>
      <c r="W9" s="161">
        <v>2.6200000000000001E-2</v>
      </c>
      <c r="X9" s="17" t="s">
        <v>129</v>
      </c>
      <c r="Y9" s="17" t="s">
        <v>125</v>
      </c>
      <c r="Z9" s="146">
        <v>44835.17</v>
      </c>
      <c r="AA9" s="160">
        <v>1</v>
      </c>
      <c r="AB9" s="162">
        <v>119.52</v>
      </c>
      <c r="AC9" s="19"/>
      <c r="AD9" s="146">
        <v>53.587000000000003</v>
      </c>
      <c r="AE9" s="19"/>
      <c r="AG9" s="17" t="s">
        <v>36</v>
      </c>
      <c r="AH9" s="155">
        <v>2.8E-5</v>
      </c>
      <c r="AI9" s="155">
        <v>1.63950792340018E-2</v>
      </c>
      <c r="AJ9" s="155">
        <v>7.13969858406066E-3</v>
      </c>
    </row>
    <row r="10" spans="1:36">
      <c r="A10" s="19">
        <v>337</v>
      </c>
      <c r="B10" s="19">
        <v>1405</v>
      </c>
      <c r="C10" s="187" t="s">
        <v>172</v>
      </c>
      <c r="D10" s="19" t="s">
        <v>173</v>
      </c>
      <c r="E10" s="188" t="s">
        <v>118</v>
      </c>
      <c r="F10" s="187" t="s">
        <v>174</v>
      </c>
      <c r="G10" s="19" t="s">
        <v>175</v>
      </c>
      <c r="H10" s="17" t="s">
        <v>121</v>
      </c>
      <c r="I10" s="20" t="s">
        <v>176</v>
      </c>
      <c r="J10" s="17" t="s">
        <v>30</v>
      </c>
      <c r="K10" s="17" t="s">
        <v>30</v>
      </c>
      <c r="L10" s="19" t="s">
        <v>123</v>
      </c>
      <c r="M10" s="17" t="s">
        <v>31</v>
      </c>
      <c r="N10" s="19" t="s">
        <v>177</v>
      </c>
      <c r="O10" s="19" t="s">
        <v>125</v>
      </c>
      <c r="P10" s="19" t="s">
        <v>178</v>
      </c>
      <c r="Q10" s="19" t="s">
        <v>178</v>
      </c>
      <c r="R10" s="19" t="s">
        <v>178</v>
      </c>
      <c r="S10" s="17" t="s">
        <v>34</v>
      </c>
      <c r="T10" s="146">
        <v>2.39</v>
      </c>
      <c r="U10" s="19" t="s">
        <v>179</v>
      </c>
      <c r="V10" s="161">
        <v>4.8500000000000001E-2</v>
      </c>
      <c r="W10" s="161">
        <v>-1.5900000000000001E-2</v>
      </c>
      <c r="X10" s="17" t="s">
        <v>129</v>
      </c>
      <c r="Y10" s="17" t="s">
        <v>125</v>
      </c>
      <c r="Z10" s="146">
        <v>13000</v>
      </c>
      <c r="AA10" s="160">
        <v>1</v>
      </c>
      <c r="AB10" s="162">
        <v>116.5</v>
      </c>
      <c r="AC10" s="19"/>
      <c r="AD10" s="146">
        <v>15.145</v>
      </c>
      <c r="AE10" s="19"/>
      <c r="AG10" s="17" t="s">
        <v>36</v>
      </c>
      <c r="AH10" s="155">
        <v>4.3000000000000002E-5</v>
      </c>
      <c r="AI10" s="155">
        <v>4.6336517684256199E-3</v>
      </c>
      <c r="AJ10" s="155">
        <v>2.0178540461974698E-3</v>
      </c>
    </row>
    <row r="11" spans="1:36">
      <c r="A11" s="19">
        <v>337</v>
      </c>
      <c r="B11" s="19">
        <v>1405</v>
      </c>
      <c r="C11" s="187" t="s">
        <v>180</v>
      </c>
      <c r="D11" s="19" t="s">
        <v>181</v>
      </c>
      <c r="E11" s="188" t="s">
        <v>118</v>
      </c>
      <c r="F11" s="187" t="s">
        <v>182</v>
      </c>
      <c r="G11" s="19" t="s">
        <v>183</v>
      </c>
      <c r="H11" s="17" t="s">
        <v>121</v>
      </c>
      <c r="I11" s="20" t="s">
        <v>132</v>
      </c>
      <c r="J11" s="17" t="s">
        <v>30</v>
      </c>
      <c r="K11" s="17" t="s">
        <v>30</v>
      </c>
      <c r="L11" s="19" t="s">
        <v>123</v>
      </c>
      <c r="M11" s="17" t="s">
        <v>31</v>
      </c>
      <c r="N11" s="19" t="s">
        <v>184</v>
      </c>
      <c r="O11" s="19" t="s">
        <v>125</v>
      </c>
      <c r="P11" s="19" t="s">
        <v>153</v>
      </c>
      <c r="Q11" s="19" t="s">
        <v>146</v>
      </c>
      <c r="R11" s="19" t="s">
        <v>128</v>
      </c>
      <c r="S11" s="17" t="s">
        <v>34</v>
      </c>
      <c r="T11" s="146">
        <v>1.2150000000000001</v>
      </c>
      <c r="U11" s="19" t="s">
        <v>185</v>
      </c>
      <c r="V11" s="161">
        <v>3.2000000000000001E-2</v>
      </c>
      <c r="W11" s="161">
        <v>2.9610000000000001E-2</v>
      </c>
      <c r="X11" s="17" t="s">
        <v>129</v>
      </c>
      <c r="Y11" s="17" t="s">
        <v>125</v>
      </c>
      <c r="Z11" s="146">
        <v>5000</v>
      </c>
      <c r="AA11" s="160">
        <v>1</v>
      </c>
      <c r="AB11" s="162">
        <v>110.32</v>
      </c>
      <c r="AC11" s="19"/>
      <c r="AD11" s="146">
        <v>5.516</v>
      </c>
      <c r="AE11" s="19"/>
      <c r="AG11" s="17" t="s">
        <v>36</v>
      </c>
      <c r="AH11" s="155">
        <v>9.0000000000000002E-6</v>
      </c>
      <c r="AI11" s="155">
        <v>1.6876344110026899E-3</v>
      </c>
      <c r="AJ11" s="155">
        <v>7.34927891635869E-4</v>
      </c>
    </row>
    <row r="12" spans="1:36">
      <c r="A12" s="19">
        <v>337</v>
      </c>
      <c r="B12" s="19">
        <v>1405</v>
      </c>
      <c r="C12" s="187" t="s">
        <v>180</v>
      </c>
      <c r="D12" s="19" t="s">
        <v>181</v>
      </c>
      <c r="E12" s="188" t="s">
        <v>118</v>
      </c>
      <c r="F12" s="187" t="s">
        <v>186</v>
      </c>
      <c r="G12" s="19" t="s">
        <v>187</v>
      </c>
      <c r="H12" s="17" t="s">
        <v>121</v>
      </c>
      <c r="I12" s="20" t="s">
        <v>122</v>
      </c>
      <c r="J12" s="17" t="s">
        <v>30</v>
      </c>
      <c r="K12" s="17" t="s">
        <v>30</v>
      </c>
      <c r="L12" s="19" t="s">
        <v>123</v>
      </c>
      <c r="M12" s="17" t="s">
        <v>31</v>
      </c>
      <c r="N12" s="19" t="s">
        <v>184</v>
      </c>
      <c r="O12" s="19" t="s">
        <v>125</v>
      </c>
      <c r="P12" s="19" t="s">
        <v>153</v>
      </c>
      <c r="Q12" s="19" t="s">
        <v>146</v>
      </c>
      <c r="R12" s="19" t="s">
        <v>128</v>
      </c>
      <c r="S12" s="17" t="s">
        <v>34</v>
      </c>
      <c r="T12" s="146">
        <v>1.2909999999999999</v>
      </c>
      <c r="U12" s="19" t="s">
        <v>188</v>
      </c>
      <c r="V12" s="161">
        <v>5.7000000000000002E-2</v>
      </c>
      <c r="W12" s="161">
        <v>4.7969999999999999E-2</v>
      </c>
      <c r="X12" s="17" t="s">
        <v>129</v>
      </c>
      <c r="Y12" s="17" t="s">
        <v>125</v>
      </c>
      <c r="Z12" s="146">
        <v>6000</v>
      </c>
      <c r="AA12" s="160">
        <v>1</v>
      </c>
      <c r="AB12" s="162">
        <v>101.45</v>
      </c>
      <c r="AC12" s="19"/>
      <c r="AD12" s="146">
        <v>6.0869999999999997</v>
      </c>
      <c r="AE12" s="19"/>
      <c r="AG12" s="17" t="s">
        <v>36</v>
      </c>
      <c r="AH12" s="155">
        <v>9.0000000000000002E-6</v>
      </c>
      <c r="AI12" s="155">
        <v>1.86233333208364E-3</v>
      </c>
      <c r="AJ12" s="155">
        <v>8.1100545257206896E-4</v>
      </c>
    </row>
    <row r="13" spans="1:36">
      <c r="A13" s="19">
        <v>337</v>
      </c>
      <c r="B13" s="19">
        <v>1405</v>
      </c>
      <c r="C13" s="187" t="s">
        <v>189</v>
      </c>
      <c r="D13" s="19" t="s">
        <v>190</v>
      </c>
      <c r="E13" s="188" t="s">
        <v>118</v>
      </c>
      <c r="F13" s="187" t="s">
        <v>191</v>
      </c>
      <c r="G13" s="19" t="s">
        <v>192</v>
      </c>
      <c r="H13" s="17" t="s">
        <v>121</v>
      </c>
      <c r="I13" s="20" t="s">
        <v>132</v>
      </c>
      <c r="J13" s="17" t="s">
        <v>30</v>
      </c>
      <c r="K13" s="17" t="s">
        <v>30</v>
      </c>
      <c r="L13" s="19" t="s">
        <v>123</v>
      </c>
      <c r="M13" s="17" t="s">
        <v>31</v>
      </c>
      <c r="N13" s="19" t="s">
        <v>184</v>
      </c>
      <c r="O13" s="19" t="s">
        <v>125</v>
      </c>
      <c r="P13" s="19" t="s">
        <v>153</v>
      </c>
      <c r="Q13" s="19" t="s">
        <v>146</v>
      </c>
      <c r="R13" s="19" t="s">
        <v>128</v>
      </c>
      <c r="S13" s="17" t="s">
        <v>34</v>
      </c>
      <c r="T13" s="146">
        <v>2.1589999999999998</v>
      </c>
      <c r="U13" s="19" t="s">
        <v>193</v>
      </c>
      <c r="V13" s="161">
        <v>3.2300000000000002E-2</v>
      </c>
      <c r="W13" s="161">
        <v>2.5850000000000001E-2</v>
      </c>
      <c r="X13" s="17" t="s">
        <v>129</v>
      </c>
      <c r="Y13" s="17" t="s">
        <v>125</v>
      </c>
      <c r="Z13" s="146">
        <v>8160</v>
      </c>
      <c r="AA13" s="160">
        <v>1</v>
      </c>
      <c r="AB13" s="162">
        <v>111.83</v>
      </c>
      <c r="AC13" s="19"/>
      <c r="AD13" s="146">
        <v>9.125</v>
      </c>
      <c r="AE13" s="19"/>
      <c r="AG13" s="17" t="s">
        <v>36</v>
      </c>
      <c r="AH13" s="155">
        <v>2.0000000000000002E-5</v>
      </c>
      <c r="AI13" s="155">
        <v>2.7919176114007101E-3</v>
      </c>
      <c r="AJ13" s="155">
        <v>1.21581908403295E-3</v>
      </c>
    </row>
    <row r="14" spans="1:36">
      <c r="A14" s="19">
        <v>337</v>
      </c>
      <c r="B14" s="19">
        <v>1405</v>
      </c>
      <c r="C14" s="187" t="s">
        <v>194</v>
      </c>
      <c r="D14" s="19" t="s">
        <v>195</v>
      </c>
      <c r="E14" s="188" t="s">
        <v>118</v>
      </c>
      <c r="F14" s="187" t="s">
        <v>196</v>
      </c>
      <c r="G14" s="19" t="s">
        <v>197</v>
      </c>
      <c r="H14" s="17" t="s">
        <v>121</v>
      </c>
      <c r="I14" s="20" t="s">
        <v>132</v>
      </c>
      <c r="J14" s="17" t="s">
        <v>30</v>
      </c>
      <c r="K14" s="17" t="s">
        <v>30</v>
      </c>
      <c r="L14" s="19" t="s">
        <v>123</v>
      </c>
      <c r="M14" s="17" t="s">
        <v>31</v>
      </c>
      <c r="N14" s="19" t="s">
        <v>171</v>
      </c>
      <c r="O14" s="19" t="s">
        <v>125</v>
      </c>
      <c r="P14" s="19" t="s">
        <v>198</v>
      </c>
      <c r="Q14" s="19" t="s">
        <v>146</v>
      </c>
      <c r="R14" s="19" t="s">
        <v>128</v>
      </c>
      <c r="S14" s="17" t="s">
        <v>34</v>
      </c>
      <c r="T14" s="146">
        <v>1.944</v>
      </c>
      <c r="U14" s="19" t="s">
        <v>199</v>
      </c>
      <c r="V14" s="161">
        <v>2.4899999999999999E-2</v>
      </c>
      <c r="W14" s="161">
        <v>2.8840000000000001E-2</v>
      </c>
      <c r="X14" s="17" t="s">
        <v>129</v>
      </c>
      <c r="Y14" s="17" t="s">
        <v>125</v>
      </c>
      <c r="Z14" s="146">
        <v>16100</v>
      </c>
      <c r="AA14" s="160">
        <v>1</v>
      </c>
      <c r="AB14" s="162">
        <v>109.55</v>
      </c>
      <c r="AC14" s="19"/>
      <c r="AD14" s="146">
        <v>17.638000000000002</v>
      </c>
      <c r="AE14" s="19"/>
      <c r="AG14" s="17" t="s">
        <v>36</v>
      </c>
      <c r="AH14" s="155">
        <v>9.8999999999999994E-5</v>
      </c>
      <c r="AI14" s="155">
        <v>5.3962538625417803E-3</v>
      </c>
      <c r="AJ14" s="155">
        <v>2.3499505864978602E-3</v>
      </c>
    </row>
    <row r="15" spans="1:36">
      <c r="A15" s="19">
        <v>337</v>
      </c>
      <c r="B15" s="19">
        <v>1405</v>
      </c>
      <c r="C15" s="187" t="s">
        <v>200</v>
      </c>
      <c r="D15" s="19" t="s">
        <v>201</v>
      </c>
      <c r="E15" s="188" t="s">
        <v>118</v>
      </c>
      <c r="F15" s="187" t="s">
        <v>202</v>
      </c>
      <c r="G15" s="19" t="s">
        <v>203</v>
      </c>
      <c r="H15" s="17" t="s">
        <v>121</v>
      </c>
      <c r="I15" s="20" t="s">
        <v>122</v>
      </c>
      <c r="J15" s="17" t="s">
        <v>30</v>
      </c>
      <c r="K15" s="17" t="s">
        <v>30</v>
      </c>
      <c r="L15" s="19" t="s">
        <v>123</v>
      </c>
      <c r="M15" s="17" t="s">
        <v>31</v>
      </c>
      <c r="N15" s="19" t="s">
        <v>171</v>
      </c>
      <c r="O15" s="19" t="s">
        <v>125</v>
      </c>
      <c r="P15" s="19" t="s">
        <v>145</v>
      </c>
      <c r="Q15" s="19" t="s">
        <v>146</v>
      </c>
      <c r="R15" s="19" t="s">
        <v>128</v>
      </c>
      <c r="S15" s="17" t="s">
        <v>34</v>
      </c>
      <c r="T15" s="146">
        <v>3.2090000000000001</v>
      </c>
      <c r="U15" s="19" t="s">
        <v>204</v>
      </c>
      <c r="V15" s="161">
        <v>2.41E-2</v>
      </c>
      <c r="W15" s="161">
        <v>4.478E-2</v>
      </c>
      <c r="X15" s="17" t="s">
        <v>129</v>
      </c>
      <c r="Y15" s="17" t="s">
        <v>125</v>
      </c>
      <c r="Z15" s="146">
        <v>32851</v>
      </c>
      <c r="AA15" s="160">
        <v>1</v>
      </c>
      <c r="AB15" s="162">
        <v>95.65</v>
      </c>
      <c r="AC15" s="19"/>
      <c r="AD15" s="146">
        <v>31.422000000000001</v>
      </c>
      <c r="AE15" s="19"/>
      <c r="AG15" s="17" t="s">
        <v>36</v>
      </c>
      <c r="AH15" s="155">
        <v>1.5999999999999999E-5</v>
      </c>
      <c r="AI15" s="155">
        <v>9.61363619312724E-3</v>
      </c>
      <c r="AJ15" s="155">
        <v>4.18652839282383E-3</v>
      </c>
    </row>
    <row r="16" spans="1:36">
      <c r="A16" s="19">
        <v>337</v>
      </c>
      <c r="B16" s="19">
        <v>1405</v>
      </c>
      <c r="C16" s="187" t="s">
        <v>205</v>
      </c>
      <c r="D16" s="19" t="s">
        <v>206</v>
      </c>
      <c r="E16" s="188" t="s">
        <v>118</v>
      </c>
      <c r="F16" s="187" t="s">
        <v>207</v>
      </c>
      <c r="G16" s="19" t="s">
        <v>208</v>
      </c>
      <c r="H16" s="17" t="s">
        <v>121</v>
      </c>
      <c r="I16" s="20" t="s">
        <v>122</v>
      </c>
      <c r="J16" s="17" t="s">
        <v>30</v>
      </c>
      <c r="K16" s="17" t="s">
        <v>30</v>
      </c>
      <c r="L16" s="19" t="s">
        <v>123</v>
      </c>
      <c r="M16" s="17" t="s">
        <v>31</v>
      </c>
      <c r="N16" s="19" t="s">
        <v>209</v>
      </c>
      <c r="O16" s="19" t="s">
        <v>125</v>
      </c>
      <c r="P16" s="19" t="s">
        <v>145</v>
      </c>
      <c r="Q16" s="19" t="s">
        <v>146</v>
      </c>
      <c r="R16" s="19" t="s">
        <v>128</v>
      </c>
      <c r="S16" s="17" t="s">
        <v>34</v>
      </c>
      <c r="T16" s="146">
        <v>2.1150000000000002</v>
      </c>
      <c r="U16" s="19" t="s">
        <v>210</v>
      </c>
      <c r="V16" s="161">
        <v>2.0400000000000001E-2</v>
      </c>
      <c r="W16" s="161">
        <v>4.3630000000000002E-2</v>
      </c>
      <c r="X16" s="17" t="s">
        <v>129</v>
      </c>
      <c r="Y16" s="17" t="s">
        <v>125</v>
      </c>
      <c r="Z16" s="146">
        <v>15000</v>
      </c>
      <c r="AA16" s="160">
        <v>1</v>
      </c>
      <c r="AB16" s="162">
        <v>95.91</v>
      </c>
      <c r="AC16" s="19"/>
      <c r="AD16" s="146">
        <v>14.385999999999999</v>
      </c>
      <c r="AE16" s="19"/>
      <c r="AG16" s="17" t="s">
        <v>36</v>
      </c>
      <c r="AH16" s="155">
        <v>5.0000000000000002E-5</v>
      </c>
      <c r="AI16" s="155">
        <v>4.4015867392839299E-3</v>
      </c>
      <c r="AJ16" s="155">
        <v>1.91679479931462E-3</v>
      </c>
    </row>
    <row r="17" spans="1:36">
      <c r="A17" s="19">
        <v>337</v>
      </c>
      <c r="B17" s="19">
        <v>1405</v>
      </c>
      <c r="C17" s="187" t="s">
        <v>211</v>
      </c>
      <c r="D17" s="19" t="s">
        <v>212</v>
      </c>
      <c r="E17" s="188" t="s">
        <v>118</v>
      </c>
      <c r="F17" s="187" t="s">
        <v>213</v>
      </c>
      <c r="G17" s="19" t="s">
        <v>214</v>
      </c>
      <c r="H17" s="17" t="s">
        <v>121</v>
      </c>
      <c r="I17" s="20" t="s">
        <v>122</v>
      </c>
      <c r="J17" s="17" t="s">
        <v>30</v>
      </c>
      <c r="K17" s="17" t="s">
        <v>30</v>
      </c>
      <c r="L17" s="19" t="s">
        <v>123</v>
      </c>
      <c r="M17" s="17" t="s">
        <v>31</v>
      </c>
      <c r="N17" s="19" t="s">
        <v>209</v>
      </c>
      <c r="O17" s="19" t="s">
        <v>125</v>
      </c>
      <c r="P17" s="19" t="s">
        <v>153</v>
      </c>
      <c r="Q17" s="19" t="s">
        <v>146</v>
      </c>
      <c r="R17" s="19" t="s">
        <v>128</v>
      </c>
      <c r="S17" s="17" t="s">
        <v>34</v>
      </c>
      <c r="T17" s="146">
        <v>2.3180000000000001</v>
      </c>
      <c r="U17" s="19" t="s">
        <v>215</v>
      </c>
      <c r="V17" s="161">
        <v>0.04</v>
      </c>
      <c r="W17" s="161">
        <v>4.5150000000000003E-2</v>
      </c>
      <c r="X17" s="17" t="s">
        <v>129</v>
      </c>
      <c r="Y17" s="17" t="s">
        <v>125</v>
      </c>
      <c r="Z17" s="146">
        <v>9750</v>
      </c>
      <c r="AA17" s="160">
        <v>1</v>
      </c>
      <c r="AB17" s="162">
        <v>100.82</v>
      </c>
      <c r="AC17" s="19"/>
      <c r="AD17" s="146">
        <v>9.83</v>
      </c>
      <c r="AE17" s="19"/>
      <c r="AG17" s="17" t="s">
        <v>36</v>
      </c>
      <c r="AH17" s="155">
        <v>1.7E-5</v>
      </c>
      <c r="AI17" s="155">
        <v>3.0074985276352202E-3</v>
      </c>
      <c r="AJ17" s="155">
        <v>1.3096998601134901E-3</v>
      </c>
    </row>
    <row r="18" spans="1:36">
      <c r="A18" s="19">
        <v>337</v>
      </c>
      <c r="B18" s="19">
        <v>1405</v>
      </c>
      <c r="C18" s="187" t="s">
        <v>211</v>
      </c>
      <c r="D18" s="19" t="s">
        <v>212</v>
      </c>
      <c r="E18" s="188" t="s">
        <v>118</v>
      </c>
      <c r="F18" s="187" t="s">
        <v>216</v>
      </c>
      <c r="G18" s="19" t="s">
        <v>217</v>
      </c>
      <c r="H18" s="17" t="s">
        <v>121</v>
      </c>
      <c r="I18" s="20" t="s">
        <v>122</v>
      </c>
      <c r="J18" s="17" t="s">
        <v>30</v>
      </c>
      <c r="K18" s="17" t="s">
        <v>30</v>
      </c>
      <c r="L18" s="19" t="s">
        <v>123</v>
      </c>
      <c r="M18" s="17" t="s">
        <v>31</v>
      </c>
      <c r="N18" s="19" t="s">
        <v>209</v>
      </c>
      <c r="O18" s="19" t="s">
        <v>125</v>
      </c>
      <c r="P18" s="19" t="s">
        <v>153</v>
      </c>
      <c r="Q18" s="19" t="s">
        <v>146</v>
      </c>
      <c r="R18" s="19" t="s">
        <v>128</v>
      </c>
      <c r="S18" s="17" t="s">
        <v>34</v>
      </c>
      <c r="T18" s="146">
        <v>4.8570000000000002</v>
      </c>
      <c r="U18" s="19" t="s">
        <v>218</v>
      </c>
      <c r="V18" s="161">
        <v>2.07E-2</v>
      </c>
      <c r="W18" s="161">
        <v>4.6010000000000002E-2</v>
      </c>
      <c r="X18" s="17" t="s">
        <v>129</v>
      </c>
      <c r="Y18" s="17" t="s">
        <v>125</v>
      </c>
      <c r="Z18" s="146">
        <v>17257.400000000001</v>
      </c>
      <c r="AA18" s="160">
        <v>1</v>
      </c>
      <c r="AB18" s="162">
        <v>88.72</v>
      </c>
      <c r="AC18" s="19"/>
      <c r="AD18" s="146">
        <v>15.311</v>
      </c>
      <c r="AE18" s="19"/>
      <c r="AG18" s="17" t="s">
        <v>36</v>
      </c>
      <c r="AH18" s="155">
        <v>2.5999999999999998E-5</v>
      </c>
      <c r="AI18" s="155">
        <v>4.6843680829066698E-3</v>
      </c>
      <c r="AJ18" s="155">
        <v>2.0399398924151701E-3</v>
      </c>
    </row>
    <row r="19" spans="1:36">
      <c r="A19" s="19">
        <v>337</v>
      </c>
      <c r="B19" s="19">
        <v>1405</v>
      </c>
      <c r="C19" s="187" t="s">
        <v>219</v>
      </c>
      <c r="D19" s="19" t="s">
        <v>220</v>
      </c>
      <c r="E19" s="188" t="s">
        <v>118</v>
      </c>
      <c r="F19" s="187" t="s">
        <v>221</v>
      </c>
      <c r="G19" s="19" t="s">
        <v>222</v>
      </c>
      <c r="H19" s="17" t="s">
        <v>121</v>
      </c>
      <c r="I19" s="20" t="s">
        <v>132</v>
      </c>
      <c r="J19" s="17" t="s">
        <v>30</v>
      </c>
      <c r="K19" s="17" t="s">
        <v>30</v>
      </c>
      <c r="L19" s="19" t="s">
        <v>123</v>
      </c>
      <c r="M19" s="17" t="s">
        <v>31</v>
      </c>
      <c r="N19" s="19" t="s">
        <v>171</v>
      </c>
      <c r="O19" s="19" t="s">
        <v>125</v>
      </c>
      <c r="P19" s="19" t="s">
        <v>165</v>
      </c>
      <c r="Q19" s="19" t="s">
        <v>146</v>
      </c>
      <c r="R19" s="19" t="s">
        <v>128</v>
      </c>
      <c r="S19" s="17" t="s">
        <v>34</v>
      </c>
      <c r="T19" s="146">
        <v>2.3809999999999998</v>
      </c>
      <c r="U19" s="19" t="s">
        <v>223</v>
      </c>
      <c r="V19" s="161">
        <v>1.14E-2</v>
      </c>
      <c r="W19" s="161">
        <v>2.46E-2</v>
      </c>
      <c r="X19" s="17" t="s">
        <v>129</v>
      </c>
      <c r="Y19" s="17" t="s">
        <v>125</v>
      </c>
      <c r="Z19" s="146">
        <v>36000</v>
      </c>
      <c r="AA19" s="160">
        <v>1</v>
      </c>
      <c r="AB19" s="162">
        <v>112.98</v>
      </c>
      <c r="AC19" s="19"/>
      <c r="AD19" s="146">
        <v>40.673000000000002</v>
      </c>
      <c r="AE19" s="19"/>
      <c r="AG19" s="17" t="s">
        <v>36</v>
      </c>
      <c r="AH19" s="155">
        <v>1.7E-5</v>
      </c>
      <c r="AI19" s="155">
        <v>1.2443947946307101E-2</v>
      </c>
      <c r="AJ19" s="155">
        <v>5.41906728624499E-3</v>
      </c>
    </row>
    <row r="20" spans="1:36">
      <c r="A20" s="3">
        <v>337</v>
      </c>
      <c r="B20" s="3">
        <v>1405</v>
      </c>
      <c r="C20" s="185" t="s">
        <v>224</v>
      </c>
      <c r="D20" s="3" t="s">
        <v>225</v>
      </c>
      <c r="E20" s="188" t="s">
        <v>118</v>
      </c>
      <c r="F20" s="185" t="s">
        <v>226</v>
      </c>
      <c r="G20" s="3" t="s">
        <v>227</v>
      </c>
      <c r="H20" s="17" t="s">
        <v>121</v>
      </c>
      <c r="I20" s="20" t="s">
        <v>122</v>
      </c>
      <c r="J20" s="17" t="s">
        <v>30</v>
      </c>
      <c r="K20" s="17" t="s">
        <v>80</v>
      </c>
      <c r="L20" s="19" t="s">
        <v>123</v>
      </c>
      <c r="M20" s="17" t="s">
        <v>31</v>
      </c>
      <c r="N20" s="19" t="s">
        <v>228</v>
      </c>
      <c r="O20" s="19" t="s">
        <v>125</v>
      </c>
      <c r="P20" s="3" t="s">
        <v>198</v>
      </c>
      <c r="Q20" s="19" t="s">
        <v>146</v>
      </c>
      <c r="R20" s="19" t="s">
        <v>128</v>
      </c>
      <c r="S20" s="3" t="s">
        <v>34</v>
      </c>
      <c r="T20" s="143">
        <v>0.65700000000000003</v>
      </c>
      <c r="U20" s="3" t="s">
        <v>229</v>
      </c>
      <c r="V20" s="155">
        <v>3.4500000000000003E-2</v>
      </c>
      <c r="W20" s="155">
        <v>4.8649999999999999E-2</v>
      </c>
      <c r="X20" s="17" t="s">
        <v>129</v>
      </c>
      <c r="Y20" s="17" t="s">
        <v>125</v>
      </c>
      <c r="Z20" s="143">
        <v>8411.76</v>
      </c>
      <c r="AA20" s="153">
        <v>1</v>
      </c>
      <c r="AB20" s="163">
        <v>100.27</v>
      </c>
      <c r="AD20" s="143">
        <v>8.4339999999999993</v>
      </c>
      <c r="AG20" s="3" t="s">
        <v>36</v>
      </c>
      <c r="AH20" s="155">
        <v>1.5E-5</v>
      </c>
      <c r="AI20" s="155">
        <v>2.5805483624556399E-3</v>
      </c>
      <c r="AJ20" s="155">
        <v>1.1237723969832599E-3</v>
      </c>
    </row>
    <row r="21" spans="1:36" s="35" customFormat="1">
      <c r="A21" s="35">
        <v>337</v>
      </c>
      <c r="B21" s="35">
        <v>1405</v>
      </c>
      <c r="C21" s="185" t="s">
        <v>230</v>
      </c>
      <c r="D21" s="35" t="s">
        <v>231</v>
      </c>
      <c r="E21" s="189" t="s">
        <v>118</v>
      </c>
      <c r="F21" s="185" t="s">
        <v>232</v>
      </c>
      <c r="G21" s="35" t="s">
        <v>233</v>
      </c>
      <c r="H21" s="38" t="s">
        <v>121</v>
      </c>
      <c r="I21" s="35" t="s">
        <v>122</v>
      </c>
      <c r="J21" s="35" t="s">
        <v>30</v>
      </c>
      <c r="K21" s="35" t="s">
        <v>30</v>
      </c>
      <c r="L21" s="35" t="s">
        <v>123</v>
      </c>
      <c r="M21" s="38" t="s">
        <v>31</v>
      </c>
      <c r="N21" s="35" t="s">
        <v>228</v>
      </c>
      <c r="O21" s="35" t="s">
        <v>125</v>
      </c>
      <c r="P21" s="35" t="s">
        <v>198</v>
      </c>
      <c r="Q21" s="35" t="s">
        <v>146</v>
      </c>
      <c r="R21" s="35" t="s">
        <v>128</v>
      </c>
      <c r="S21" s="35" t="s">
        <v>34</v>
      </c>
      <c r="T21" s="143">
        <v>2.2010000000000001</v>
      </c>
      <c r="U21" s="35" t="s">
        <v>234</v>
      </c>
      <c r="V21" s="155">
        <v>2.0500000000000001E-2</v>
      </c>
      <c r="W21" s="155">
        <v>4.6739999999999997E-2</v>
      </c>
      <c r="X21" s="38" t="s">
        <v>129</v>
      </c>
      <c r="Y21" s="38" t="s">
        <v>125</v>
      </c>
      <c r="Z21" s="143">
        <v>14545.46</v>
      </c>
      <c r="AA21" s="153">
        <v>1</v>
      </c>
      <c r="AB21" s="163">
        <v>95.33</v>
      </c>
      <c r="AD21" s="143">
        <v>13.866</v>
      </c>
      <c r="AG21" s="35" t="s">
        <v>36</v>
      </c>
      <c r="AH21" s="155">
        <v>1.7E-5</v>
      </c>
      <c r="AI21" s="155">
        <v>4.24239564194625E-3</v>
      </c>
      <c r="AJ21" s="155">
        <v>1.84747055659307E-3</v>
      </c>
    </row>
    <row r="22" spans="1:36">
      <c r="A22" s="3">
        <v>337</v>
      </c>
      <c r="B22" s="3">
        <v>1405</v>
      </c>
      <c r="C22" s="185" t="s">
        <v>230</v>
      </c>
      <c r="D22" s="3" t="s">
        <v>231</v>
      </c>
      <c r="E22" s="189" t="s">
        <v>118</v>
      </c>
      <c r="F22" s="185" t="s">
        <v>235</v>
      </c>
      <c r="G22" s="3" t="s">
        <v>236</v>
      </c>
      <c r="H22" s="5" t="s">
        <v>121</v>
      </c>
      <c r="I22" s="3" t="s">
        <v>176</v>
      </c>
      <c r="J22" s="3" t="s">
        <v>30</v>
      </c>
      <c r="K22" s="3" t="s">
        <v>30</v>
      </c>
      <c r="L22" s="3" t="s">
        <v>123</v>
      </c>
      <c r="M22" s="5" t="s">
        <v>31</v>
      </c>
      <c r="N22" s="3" t="s">
        <v>228</v>
      </c>
      <c r="O22" s="3" t="s">
        <v>125</v>
      </c>
      <c r="P22" s="3" t="s">
        <v>198</v>
      </c>
      <c r="Q22" s="3" t="s">
        <v>146</v>
      </c>
      <c r="R22" s="3" t="s">
        <v>128</v>
      </c>
      <c r="S22" s="3" t="s">
        <v>34</v>
      </c>
      <c r="T22" s="143">
        <v>1.577</v>
      </c>
      <c r="U22" s="3" t="s">
        <v>237</v>
      </c>
      <c r="V22" s="155">
        <v>1.25E-3</v>
      </c>
      <c r="W22" s="155">
        <v>4.8980000000000003E-2</v>
      </c>
      <c r="X22" s="5" t="s">
        <v>129</v>
      </c>
      <c r="Y22" s="5" t="s">
        <v>125</v>
      </c>
      <c r="Z22" s="143">
        <v>7000</v>
      </c>
      <c r="AA22" s="153">
        <v>1</v>
      </c>
      <c r="AB22" s="163">
        <v>93.2</v>
      </c>
      <c r="AD22" s="143">
        <v>6.524</v>
      </c>
      <c r="AG22" s="3" t="s">
        <v>36</v>
      </c>
      <c r="AH22" s="155">
        <v>1.2E-5</v>
      </c>
      <c r="AI22" s="155">
        <v>1.99603460793719E-3</v>
      </c>
      <c r="AJ22" s="155">
        <v>8.6922943528506299E-4</v>
      </c>
    </row>
    <row r="23" spans="1:36">
      <c r="A23" s="3">
        <v>337</v>
      </c>
      <c r="B23" s="3">
        <v>1405</v>
      </c>
      <c r="C23" s="185" t="s">
        <v>238</v>
      </c>
      <c r="D23" s="3" t="s">
        <v>239</v>
      </c>
      <c r="E23" s="189" t="s">
        <v>118</v>
      </c>
      <c r="F23" s="185" t="s">
        <v>240</v>
      </c>
      <c r="G23" s="3" t="s">
        <v>241</v>
      </c>
      <c r="H23" s="5" t="s">
        <v>121</v>
      </c>
      <c r="I23" s="3" t="s">
        <v>132</v>
      </c>
      <c r="J23" s="3" t="s">
        <v>30</v>
      </c>
      <c r="K23" s="3" t="s">
        <v>30</v>
      </c>
      <c r="L23" s="3" t="s">
        <v>123</v>
      </c>
      <c r="M23" s="3" t="s">
        <v>31</v>
      </c>
      <c r="N23" s="3" t="s">
        <v>242</v>
      </c>
      <c r="O23" s="3" t="s">
        <v>125</v>
      </c>
      <c r="P23" s="3" t="s">
        <v>243</v>
      </c>
      <c r="Q23" s="3" t="s">
        <v>127</v>
      </c>
      <c r="R23" s="3" t="s">
        <v>128</v>
      </c>
      <c r="S23" s="3" t="s">
        <v>34</v>
      </c>
      <c r="T23" s="143">
        <v>0.98599999999999999</v>
      </c>
      <c r="U23" s="3" t="s">
        <v>244</v>
      </c>
      <c r="V23" s="155">
        <v>1.2500000000000001E-2</v>
      </c>
      <c r="W23" s="155">
        <v>4.011E-2</v>
      </c>
      <c r="X23" s="5" t="s">
        <v>129</v>
      </c>
      <c r="Y23" s="5" t="s">
        <v>125</v>
      </c>
      <c r="Z23" s="143">
        <v>0.13</v>
      </c>
      <c r="AA23" s="153">
        <v>1</v>
      </c>
      <c r="AB23" s="163">
        <v>108.77</v>
      </c>
      <c r="AD23" s="143">
        <v>0</v>
      </c>
      <c r="AG23" s="3" t="s">
        <v>36</v>
      </c>
      <c r="AH23" s="155">
        <v>0</v>
      </c>
      <c r="AI23" s="155">
        <v>4.3262000244777203E-8</v>
      </c>
      <c r="AJ23" s="155">
        <v>1.8839655330892601E-8</v>
      </c>
    </row>
    <row r="24" spans="1:36">
      <c r="A24" s="3">
        <v>337</v>
      </c>
      <c r="B24" s="3">
        <v>1405</v>
      </c>
      <c r="C24" s="185" t="s">
        <v>245</v>
      </c>
      <c r="D24" s="3" t="s">
        <v>246</v>
      </c>
      <c r="E24" s="189" t="s">
        <v>118</v>
      </c>
      <c r="F24" s="185" t="s">
        <v>247</v>
      </c>
      <c r="G24" s="3" t="s">
        <v>248</v>
      </c>
      <c r="H24" s="3" t="s">
        <v>121</v>
      </c>
      <c r="I24" s="3" t="s">
        <v>132</v>
      </c>
      <c r="J24" s="3" t="s">
        <v>30</v>
      </c>
      <c r="K24" s="3" t="s">
        <v>30</v>
      </c>
      <c r="L24" s="3" t="s">
        <v>123</v>
      </c>
      <c r="M24" s="3" t="s">
        <v>31</v>
      </c>
      <c r="N24" s="3" t="s">
        <v>139</v>
      </c>
      <c r="O24" s="3" t="s">
        <v>125</v>
      </c>
      <c r="P24" s="3" t="s">
        <v>153</v>
      </c>
      <c r="Q24" s="3" t="s">
        <v>146</v>
      </c>
      <c r="R24" s="3" t="s">
        <v>128</v>
      </c>
      <c r="S24" s="3" t="s">
        <v>34</v>
      </c>
      <c r="T24" s="143">
        <v>2.9510000000000001</v>
      </c>
      <c r="U24" s="3" t="s">
        <v>199</v>
      </c>
      <c r="V24" s="155">
        <v>1.09E-2</v>
      </c>
      <c r="W24" s="155">
        <v>2.7E-2</v>
      </c>
      <c r="X24" s="5" t="s">
        <v>129</v>
      </c>
      <c r="Y24" s="5" t="s">
        <v>125</v>
      </c>
      <c r="Z24" s="143">
        <v>10000</v>
      </c>
      <c r="AA24" s="153">
        <v>1</v>
      </c>
      <c r="AB24" s="163">
        <v>111.03</v>
      </c>
      <c r="AD24" s="143">
        <v>11.103</v>
      </c>
      <c r="AG24" s="3" t="s">
        <v>36</v>
      </c>
      <c r="AH24" s="155">
        <v>1.4E-5</v>
      </c>
      <c r="AI24" s="155">
        <v>3.3969914549243701E-3</v>
      </c>
      <c r="AJ24" s="155">
        <v>1.47931551501687E-3</v>
      </c>
    </row>
    <row r="25" spans="1:36">
      <c r="A25" s="3">
        <v>337</v>
      </c>
      <c r="B25" s="3">
        <v>1405</v>
      </c>
      <c r="C25" s="185" t="s">
        <v>245</v>
      </c>
      <c r="D25" s="3" t="s">
        <v>246</v>
      </c>
      <c r="E25" s="189" t="s">
        <v>118</v>
      </c>
      <c r="F25" s="185" t="s">
        <v>249</v>
      </c>
      <c r="G25" s="3" t="s">
        <v>250</v>
      </c>
      <c r="H25" s="3" t="s">
        <v>121</v>
      </c>
      <c r="I25" s="3" t="s">
        <v>132</v>
      </c>
      <c r="J25" s="3" t="s">
        <v>30</v>
      </c>
      <c r="K25" s="3" t="s">
        <v>30</v>
      </c>
      <c r="L25" s="3" t="s">
        <v>123</v>
      </c>
      <c r="M25" s="3" t="s">
        <v>31</v>
      </c>
      <c r="N25" s="3" t="s">
        <v>139</v>
      </c>
      <c r="O25" s="3" t="s">
        <v>125</v>
      </c>
      <c r="P25" s="3" t="s">
        <v>153</v>
      </c>
      <c r="Q25" s="3" t="s">
        <v>146</v>
      </c>
      <c r="R25" s="3" t="s">
        <v>128</v>
      </c>
      <c r="S25" s="3" t="s">
        <v>34</v>
      </c>
      <c r="T25" s="143">
        <v>6.2389999999999999</v>
      </c>
      <c r="U25" s="3" t="s">
        <v>251</v>
      </c>
      <c r="V25" s="155">
        <v>4.02E-2</v>
      </c>
      <c r="W25" s="155">
        <v>2.759E-2</v>
      </c>
      <c r="X25" s="5" t="s">
        <v>129</v>
      </c>
      <c r="Y25" s="5" t="s">
        <v>125</v>
      </c>
      <c r="Z25" s="143">
        <v>16000</v>
      </c>
      <c r="AA25" s="153">
        <v>1</v>
      </c>
      <c r="AB25" s="163">
        <v>112.72</v>
      </c>
      <c r="AD25" s="143">
        <v>18.035</v>
      </c>
      <c r="AG25" s="3" t="s">
        <v>36</v>
      </c>
      <c r="AH25" s="155">
        <v>2.0000000000000002E-5</v>
      </c>
      <c r="AI25" s="155">
        <v>5.5179159045169804E-3</v>
      </c>
      <c r="AJ25" s="155">
        <v>2.4029317460535198E-3</v>
      </c>
    </row>
    <row r="26" spans="1:36">
      <c r="A26" s="3">
        <v>337</v>
      </c>
      <c r="B26" s="3">
        <v>1405</v>
      </c>
      <c r="C26" s="185" t="s">
        <v>252</v>
      </c>
      <c r="D26" s="3" t="s">
        <v>253</v>
      </c>
      <c r="E26" s="189" t="s">
        <v>118</v>
      </c>
      <c r="F26" s="185" t="s">
        <v>254</v>
      </c>
      <c r="G26" s="3" t="s">
        <v>255</v>
      </c>
      <c r="H26" s="3" t="s">
        <v>121</v>
      </c>
      <c r="I26" s="3" t="s">
        <v>122</v>
      </c>
      <c r="J26" s="3" t="s">
        <v>30</v>
      </c>
      <c r="K26" s="3" t="s">
        <v>30</v>
      </c>
      <c r="L26" s="3" t="s">
        <v>123</v>
      </c>
      <c r="M26" s="3" t="s">
        <v>31</v>
      </c>
      <c r="N26" s="3" t="s">
        <v>124</v>
      </c>
      <c r="O26" s="3" t="s">
        <v>125</v>
      </c>
      <c r="P26" s="3" t="s">
        <v>178</v>
      </c>
      <c r="Q26" s="3" t="s">
        <v>178</v>
      </c>
      <c r="R26" s="3" t="s">
        <v>178</v>
      </c>
      <c r="S26" s="3" t="s">
        <v>34</v>
      </c>
      <c r="T26" s="143">
        <v>0.97299999999999998</v>
      </c>
      <c r="U26" s="3" t="s">
        <v>244</v>
      </c>
      <c r="V26" s="155">
        <v>8.5000000000000006E-2</v>
      </c>
      <c r="W26" s="155">
        <v>5.5739999999999998E-2</v>
      </c>
      <c r="X26" s="5" t="s">
        <v>129</v>
      </c>
      <c r="Y26" s="5" t="s">
        <v>125</v>
      </c>
      <c r="Z26" s="143">
        <v>10000</v>
      </c>
      <c r="AA26" s="153">
        <v>1</v>
      </c>
      <c r="AB26" s="163">
        <v>102.9</v>
      </c>
      <c r="AD26" s="143">
        <v>10.29</v>
      </c>
      <c r="AG26" s="3" t="s">
        <v>36</v>
      </c>
      <c r="AH26" s="155">
        <v>7.7000000000000001E-5</v>
      </c>
      <c r="AI26" s="155">
        <v>3.1482520103730299E-3</v>
      </c>
      <c r="AJ26" s="155">
        <v>1.3709949247521899E-3</v>
      </c>
    </row>
    <row r="27" spans="1:36">
      <c r="A27" s="3">
        <v>337</v>
      </c>
      <c r="B27" s="3">
        <v>1405</v>
      </c>
      <c r="C27" s="185" t="s">
        <v>256</v>
      </c>
      <c r="D27" s="3" t="s">
        <v>257</v>
      </c>
      <c r="E27" s="189" t="s">
        <v>118</v>
      </c>
      <c r="F27" s="185" t="s">
        <v>258</v>
      </c>
      <c r="G27" s="3" t="s">
        <v>259</v>
      </c>
      <c r="H27" s="3" t="s">
        <v>121</v>
      </c>
      <c r="I27" s="3" t="s">
        <v>132</v>
      </c>
      <c r="J27" s="3" t="s">
        <v>30</v>
      </c>
      <c r="K27" s="3" t="s">
        <v>30</v>
      </c>
      <c r="L27" s="3" t="s">
        <v>123</v>
      </c>
      <c r="M27" s="3" t="s">
        <v>31</v>
      </c>
      <c r="N27" s="3" t="s">
        <v>209</v>
      </c>
      <c r="O27" s="3" t="s">
        <v>125</v>
      </c>
      <c r="P27" s="3" t="s">
        <v>260</v>
      </c>
      <c r="Q27" s="3" t="s">
        <v>146</v>
      </c>
      <c r="R27" s="3" t="s">
        <v>128</v>
      </c>
      <c r="S27" s="3" t="s">
        <v>34</v>
      </c>
      <c r="T27" s="143">
        <v>1.7310000000000001</v>
      </c>
      <c r="U27" s="3" t="s">
        <v>261</v>
      </c>
      <c r="V27" s="155">
        <v>2.8799999999999999E-2</v>
      </c>
      <c r="W27" s="155">
        <v>2.7604500000000001</v>
      </c>
      <c r="X27" s="5" t="s">
        <v>129</v>
      </c>
      <c r="Y27" s="5" t="s">
        <v>125</v>
      </c>
      <c r="Z27" s="143">
        <v>14777.78</v>
      </c>
      <c r="AA27" s="153">
        <v>1</v>
      </c>
      <c r="AB27" s="163">
        <v>119.09</v>
      </c>
      <c r="AD27" s="143">
        <v>17.599</v>
      </c>
      <c r="AG27" s="3" t="s">
        <v>36</v>
      </c>
      <c r="AH27" s="155">
        <v>6.4999999999999994E-5</v>
      </c>
      <c r="AI27" s="155">
        <v>5.3844160072610801E-3</v>
      </c>
      <c r="AJ27" s="155">
        <v>2.34479545931735E-3</v>
      </c>
    </row>
    <row r="28" spans="1:36">
      <c r="A28" s="3">
        <v>337</v>
      </c>
      <c r="B28" s="3">
        <v>1405</v>
      </c>
      <c r="C28" s="185" t="s">
        <v>262</v>
      </c>
      <c r="D28" s="3" t="s">
        <v>263</v>
      </c>
      <c r="E28" s="189" t="s">
        <v>118</v>
      </c>
      <c r="F28" s="185" t="s">
        <v>264</v>
      </c>
      <c r="G28" s="3" t="s">
        <v>265</v>
      </c>
      <c r="H28" s="3" t="s">
        <v>121</v>
      </c>
      <c r="I28" s="3" t="s">
        <v>122</v>
      </c>
      <c r="J28" s="3" t="s">
        <v>30</v>
      </c>
      <c r="K28" s="3" t="s">
        <v>30</v>
      </c>
      <c r="L28" s="3" t="s">
        <v>123</v>
      </c>
      <c r="M28" s="3" t="s">
        <v>31</v>
      </c>
      <c r="N28" s="3" t="s">
        <v>209</v>
      </c>
      <c r="O28" s="3" t="s">
        <v>125</v>
      </c>
      <c r="P28" s="3" t="s">
        <v>165</v>
      </c>
      <c r="Q28" s="3" t="s">
        <v>146</v>
      </c>
      <c r="R28" s="3" t="s">
        <v>128</v>
      </c>
      <c r="S28" s="3" t="s">
        <v>34</v>
      </c>
      <c r="T28" s="143">
        <v>5.5049999999999999</v>
      </c>
      <c r="U28" s="3" t="s">
        <v>266</v>
      </c>
      <c r="V28" s="155">
        <v>5.3100000000000001E-2</v>
      </c>
      <c r="W28" s="155">
        <v>4.4269999999999997E-2</v>
      </c>
      <c r="X28" s="5" t="s">
        <v>129</v>
      </c>
      <c r="Y28" s="5" t="s">
        <v>125</v>
      </c>
      <c r="Z28" s="143">
        <v>5000</v>
      </c>
      <c r="AA28" s="153">
        <v>1</v>
      </c>
      <c r="AB28" s="163">
        <v>107.51</v>
      </c>
      <c r="AD28" s="143">
        <v>5.375</v>
      </c>
      <c r="AG28" s="3" t="s">
        <v>36</v>
      </c>
      <c r="AH28" s="155">
        <v>1.5999999999999999E-5</v>
      </c>
      <c r="AI28" s="155">
        <v>1.64464807402918E-3</v>
      </c>
      <c r="AJ28" s="155">
        <v>7.1620828163317801E-4</v>
      </c>
    </row>
    <row r="29" spans="1:36">
      <c r="A29" s="3">
        <v>337</v>
      </c>
      <c r="B29" s="3">
        <v>1405</v>
      </c>
      <c r="C29" s="185" t="s">
        <v>267</v>
      </c>
      <c r="D29" s="3" t="s">
        <v>268</v>
      </c>
      <c r="E29" s="189" t="s">
        <v>269</v>
      </c>
      <c r="F29" s="185" t="s">
        <v>270</v>
      </c>
      <c r="G29" s="3" t="s">
        <v>271</v>
      </c>
      <c r="H29" s="3" t="s">
        <v>121</v>
      </c>
      <c r="I29" s="3" t="s">
        <v>122</v>
      </c>
      <c r="J29" s="3" t="s">
        <v>30</v>
      </c>
      <c r="K29" s="3" t="s">
        <v>30</v>
      </c>
      <c r="L29" s="3" t="s">
        <v>123</v>
      </c>
      <c r="M29" s="3" t="s">
        <v>31</v>
      </c>
      <c r="N29" s="3" t="s">
        <v>139</v>
      </c>
      <c r="O29" s="3" t="s">
        <v>125</v>
      </c>
      <c r="P29" s="3" t="s">
        <v>243</v>
      </c>
      <c r="Q29" s="3" t="s">
        <v>127</v>
      </c>
      <c r="R29" s="3" t="s">
        <v>128</v>
      </c>
      <c r="S29" s="3" t="s">
        <v>34</v>
      </c>
      <c r="T29" s="143">
        <v>0.24399999999999999</v>
      </c>
      <c r="U29" s="3" t="s">
        <v>272</v>
      </c>
      <c r="V29" s="155">
        <v>7.0000000000000007E-2</v>
      </c>
      <c r="W29" s="155">
        <v>7.0709999999999995E-2</v>
      </c>
      <c r="X29" s="5" t="s">
        <v>129</v>
      </c>
      <c r="Y29" s="5" t="s">
        <v>125</v>
      </c>
      <c r="Z29" s="143">
        <v>0.39</v>
      </c>
      <c r="AA29" s="153">
        <v>1</v>
      </c>
      <c r="AB29" s="163">
        <v>101.79</v>
      </c>
      <c r="AD29" s="143">
        <v>0</v>
      </c>
      <c r="AG29" s="3" t="s">
        <v>36</v>
      </c>
      <c r="AH29" s="155">
        <v>0</v>
      </c>
      <c r="AI29" s="155">
        <v>1.21457359701642E-7</v>
      </c>
      <c r="AJ29" s="155">
        <v>5.2892024900199203E-8</v>
      </c>
    </row>
    <row r="30" spans="1:36">
      <c r="A30" s="3">
        <v>337</v>
      </c>
      <c r="B30" s="3">
        <v>1405</v>
      </c>
      <c r="C30" s="185" t="s">
        <v>273</v>
      </c>
      <c r="D30" s="3" t="s">
        <v>274</v>
      </c>
      <c r="E30" s="189" t="s">
        <v>118</v>
      </c>
      <c r="F30" s="185" t="s">
        <v>275</v>
      </c>
      <c r="G30" s="3" t="s">
        <v>276</v>
      </c>
      <c r="H30" s="3" t="s">
        <v>121</v>
      </c>
      <c r="I30" s="3" t="s">
        <v>132</v>
      </c>
      <c r="J30" s="3" t="s">
        <v>30</v>
      </c>
      <c r="K30" s="3" t="s">
        <v>30</v>
      </c>
      <c r="L30" s="3" t="s">
        <v>123</v>
      </c>
      <c r="M30" s="3" t="s">
        <v>31</v>
      </c>
      <c r="N30" s="3" t="s">
        <v>171</v>
      </c>
      <c r="O30" s="3" t="s">
        <v>125</v>
      </c>
      <c r="P30" s="3" t="s">
        <v>178</v>
      </c>
      <c r="Q30" s="3" t="s">
        <v>178</v>
      </c>
      <c r="R30" s="3" t="s">
        <v>178</v>
      </c>
      <c r="S30" s="3" t="s">
        <v>34</v>
      </c>
      <c r="T30" s="143">
        <v>1.208</v>
      </c>
      <c r="U30" s="3" t="s">
        <v>277</v>
      </c>
      <c r="V30" s="155">
        <v>1.9E-2</v>
      </c>
      <c r="W30" s="155">
        <v>3.236E-2</v>
      </c>
      <c r="X30" s="5" t="s">
        <v>129</v>
      </c>
      <c r="Y30" s="5" t="s">
        <v>125</v>
      </c>
      <c r="Z30" s="143">
        <v>11100</v>
      </c>
      <c r="AA30" s="153">
        <v>1</v>
      </c>
      <c r="AB30" s="163">
        <v>111.97</v>
      </c>
      <c r="AD30" s="143">
        <v>12.429</v>
      </c>
      <c r="AG30" s="3" t="s">
        <v>36</v>
      </c>
      <c r="AH30" s="155">
        <v>1.7E-5</v>
      </c>
      <c r="AI30" s="155">
        <v>3.8025836067796899E-3</v>
      </c>
      <c r="AJ30" s="155">
        <v>1.65594203026432E-3</v>
      </c>
    </row>
    <row r="31" spans="1:36">
      <c r="A31" s="3">
        <v>337</v>
      </c>
      <c r="B31" s="3">
        <v>1405</v>
      </c>
      <c r="C31" s="185" t="s">
        <v>167</v>
      </c>
      <c r="D31" s="3" t="s">
        <v>168</v>
      </c>
      <c r="E31" s="189" t="s">
        <v>118</v>
      </c>
      <c r="F31" s="185" t="s">
        <v>278</v>
      </c>
      <c r="G31" s="3" t="s">
        <v>279</v>
      </c>
      <c r="H31" s="3" t="s">
        <v>121</v>
      </c>
      <c r="I31" s="3" t="s">
        <v>132</v>
      </c>
      <c r="J31" s="3" t="s">
        <v>30</v>
      </c>
      <c r="K31" s="3" t="s">
        <v>30</v>
      </c>
      <c r="L31" s="3" t="s">
        <v>123</v>
      </c>
      <c r="M31" s="3" t="s">
        <v>31</v>
      </c>
      <c r="N31" s="3" t="s">
        <v>171</v>
      </c>
      <c r="O31" s="3" t="s">
        <v>125</v>
      </c>
      <c r="P31" s="3" t="s">
        <v>165</v>
      </c>
      <c r="Q31" s="3" t="s">
        <v>146</v>
      </c>
      <c r="R31" s="3" t="s">
        <v>128</v>
      </c>
      <c r="S31" s="3" t="s">
        <v>34</v>
      </c>
      <c r="T31" s="143">
        <v>4.6390000000000002</v>
      </c>
      <c r="U31" s="3" t="s">
        <v>280</v>
      </c>
      <c r="V31" s="155">
        <v>6.4999999999999997E-3</v>
      </c>
      <c r="W31" s="155">
        <v>2.487E-2</v>
      </c>
      <c r="X31" s="5" t="s">
        <v>129</v>
      </c>
      <c r="Y31" s="5" t="s">
        <v>125</v>
      </c>
      <c r="Z31" s="143">
        <v>9409.64</v>
      </c>
      <c r="AA31" s="153">
        <v>1</v>
      </c>
      <c r="AB31" s="163">
        <v>107.91</v>
      </c>
      <c r="AD31" s="143">
        <v>10.154</v>
      </c>
      <c r="AG31" s="3" t="s">
        <v>36</v>
      </c>
      <c r="AH31" s="155">
        <v>5.0000000000000004E-6</v>
      </c>
      <c r="AI31" s="155">
        <v>3.1066248750626999E-3</v>
      </c>
      <c r="AJ31" s="155">
        <v>1.3528672173595199E-3</v>
      </c>
    </row>
    <row r="32" spans="1:36">
      <c r="A32" s="3">
        <v>337</v>
      </c>
      <c r="B32" s="3">
        <v>1405</v>
      </c>
      <c r="C32" s="185" t="s">
        <v>167</v>
      </c>
      <c r="D32" s="3" t="s">
        <v>168</v>
      </c>
      <c r="E32" s="189" t="s">
        <v>118</v>
      </c>
      <c r="F32" s="185" t="s">
        <v>281</v>
      </c>
      <c r="G32" s="3" t="s">
        <v>282</v>
      </c>
      <c r="H32" s="3" t="s">
        <v>121</v>
      </c>
      <c r="I32" s="3" t="s">
        <v>132</v>
      </c>
      <c r="J32" s="3" t="s">
        <v>30</v>
      </c>
      <c r="K32" s="3" t="s">
        <v>30</v>
      </c>
      <c r="L32" s="3" t="s">
        <v>123</v>
      </c>
      <c r="M32" s="3" t="s">
        <v>31</v>
      </c>
      <c r="N32" s="3" t="s">
        <v>171</v>
      </c>
      <c r="O32" s="3" t="s">
        <v>125</v>
      </c>
      <c r="P32" s="3" t="s">
        <v>165</v>
      </c>
      <c r="Q32" s="3" t="s">
        <v>146</v>
      </c>
      <c r="R32" s="3" t="s">
        <v>128</v>
      </c>
      <c r="S32" s="3" t="s">
        <v>34</v>
      </c>
      <c r="T32" s="143">
        <v>6.8630000000000004</v>
      </c>
      <c r="U32" s="3" t="s">
        <v>283</v>
      </c>
      <c r="V32" s="155">
        <v>3.5999999999999997E-2</v>
      </c>
      <c r="W32" s="155">
        <v>2.5940000000000001E-2</v>
      </c>
      <c r="X32" s="5" t="s">
        <v>129</v>
      </c>
      <c r="Y32" s="5" t="s">
        <v>125</v>
      </c>
      <c r="Z32" s="143">
        <v>21000</v>
      </c>
      <c r="AA32" s="153">
        <v>1</v>
      </c>
      <c r="AB32" s="163">
        <v>110.2</v>
      </c>
      <c r="AD32" s="143">
        <v>23.141999999999999</v>
      </c>
      <c r="AG32" s="3" t="s">
        <v>36</v>
      </c>
      <c r="AH32" s="155">
        <v>2.4000000000000001E-5</v>
      </c>
      <c r="AI32" s="155">
        <v>7.0803545212879196E-3</v>
      </c>
      <c r="AJ32" s="155">
        <v>3.0833396062794199E-3</v>
      </c>
    </row>
    <row r="33" spans="1:36">
      <c r="A33" s="3">
        <v>337</v>
      </c>
      <c r="B33" s="3">
        <v>1405</v>
      </c>
      <c r="C33" s="185" t="s">
        <v>284</v>
      </c>
      <c r="D33" s="3" t="s">
        <v>285</v>
      </c>
      <c r="E33" s="189" t="s">
        <v>118</v>
      </c>
      <c r="F33" s="185" t="s">
        <v>286</v>
      </c>
      <c r="G33" s="3" t="s">
        <v>287</v>
      </c>
      <c r="H33" s="3" t="s">
        <v>121</v>
      </c>
      <c r="I33" s="3" t="s">
        <v>132</v>
      </c>
      <c r="J33" s="3" t="s">
        <v>30</v>
      </c>
      <c r="K33" s="3" t="s">
        <v>30</v>
      </c>
      <c r="L33" s="3" t="s">
        <v>123</v>
      </c>
      <c r="M33" s="3" t="s">
        <v>31</v>
      </c>
      <c r="N33" s="3" t="s">
        <v>171</v>
      </c>
      <c r="O33" s="3" t="s">
        <v>125</v>
      </c>
      <c r="P33" s="3" t="s">
        <v>198</v>
      </c>
      <c r="Q33" s="3" t="s">
        <v>146</v>
      </c>
      <c r="R33" s="3" t="s">
        <v>128</v>
      </c>
      <c r="S33" s="3" t="s">
        <v>34</v>
      </c>
      <c r="T33" s="143">
        <v>5.1769999999999996</v>
      </c>
      <c r="U33" s="3" t="s">
        <v>288</v>
      </c>
      <c r="V33" s="155">
        <v>3.6799999999999999E-2</v>
      </c>
      <c r="W33" s="155">
        <v>2.8209999999999999E-2</v>
      </c>
      <c r="X33" s="5" t="s">
        <v>129</v>
      </c>
      <c r="Y33" s="5" t="s">
        <v>125</v>
      </c>
      <c r="Z33" s="143">
        <v>21000</v>
      </c>
      <c r="AA33" s="153">
        <v>1</v>
      </c>
      <c r="AB33" s="163">
        <v>110.69</v>
      </c>
      <c r="AD33" s="143">
        <v>23.245000000000001</v>
      </c>
      <c r="AG33" s="3" t="s">
        <v>36</v>
      </c>
      <c r="AH33" s="155">
        <v>3.1999999999999999E-5</v>
      </c>
      <c r="AI33" s="155">
        <v>7.1118370413916498E-3</v>
      </c>
      <c r="AJ33" s="155">
        <v>3.0970495555269401E-3</v>
      </c>
    </row>
    <row r="34" spans="1:36">
      <c r="A34" s="3">
        <v>337</v>
      </c>
      <c r="B34" s="3">
        <v>1405</v>
      </c>
      <c r="C34" s="185" t="s">
        <v>284</v>
      </c>
      <c r="D34" s="3" t="s">
        <v>285</v>
      </c>
      <c r="E34" s="189" t="s">
        <v>118</v>
      </c>
      <c r="F34" s="185" t="s">
        <v>289</v>
      </c>
      <c r="G34" s="3" t="s">
        <v>290</v>
      </c>
      <c r="H34" s="3" t="s">
        <v>121</v>
      </c>
      <c r="I34" s="3" t="s">
        <v>122</v>
      </c>
      <c r="J34" s="3" t="s">
        <v>30</v>
      </c>
      <c r="K34" s="3" t="s">
        <v>30</v>
      </c>
      <c r="L34" s="3" t="s">
        <v>123</v>
      </c>
      <c r="M34" s="3" t="s">
        <v>31</v>
      </c>
      <c r="N34" s="3" t="s">
        <v>124</v>
      </c>
      <c r="O34" s="3" t="s">
        <v>125</v>
      </c>
      <c r="P34" s="3" t="s">
        <v>198</v>
      </c>
      <c r="Q34" s="3" t="s">
        <v>146</v>
      </c>
      <c r="R34" s="3" t="s">
        <v>128</v>
      </c>
      <c r="S34" s="3" t="s">
        <v>34</v>
      </c>
      <c r="T34" s="143">
        <v>2.1030000000000002</v>
      </c>
      <c r="U34" s="3" t="s">
        <v>291</v>
      </c>
      <c r="V34" s="155">
        <v>5.2999999999999999E-2</v>
      </c>
      <c r="W34" s="155">
        <v>4.6629999999999998E-2</v>
      </c>
      <c r="X34" s="5" t="s">
        <v>129</v>
      </c>
      <c r="Y34" s="5" t="s">
        <v>125</v>
      </c>
      <c r="Z34" s="143">
        <v>35912.800000000003</v>
      </c>
      <c r="AA34" s="153">
        <v>1</v>
      </c>
      <c r="AB34" s="163">
        <v>102.76</v>
      </c>
      <c r="AD34" s="143">
        <v>36.904000000000003</v>
      </c>
      <c r="AG34" s="3" t="s">
        <v>36</v>
      </c>
      <c r="AH34" s="155">
        <v>1.1900000000000001E-4</v>
      </c>
      <c r="AI34" s="155">
        <v>1.1290871820656301E-2</v>
      </c>
      <c r="AJ34" s="155">
        <v>4.9169278415907699E-3</v>
      </c>
    </row>
    <row r="35" spans="1:36">
      <c r="A35" s="3">
        <v>337</v>
      </c>
      <c r="B35" s="3">
        <v>1405</v>
      </c>
      <c r="C35" s="185" t="s">
        <v>292</v>
      </c>
      <c r="D35" s="3" t="s">
        <v>293</v>
      </c>
      <c r="E35" s="189" t="s">
        <v>118</v>
      </c>
      <c r="F35" s="185" t="s">
        <v>294</v>
      </c>
      <c r="G35" s="3" t="s">
        <v>295</v>
      </c>
      <c r="H35" s="3" t="s">
        <v>121</v>
      </c>
      <c r="I35" s="3" t="s">
        <v>132</v>
      </c>
      <c r="J35" s="3" t="s">
        <v>30</v>
      </c>
      <c r="K35" s="3" t="s">
        <v>30</v>
      </c>
      <c r="L35" s="3" t="s">
        <v>123</v>
      </c>
      <c r="M35" s="3" t="s">
        <v>31</v>
      </c>
      <c r="N35" s="3" t="s">
        <v>124</v>
      </c>
      <c r="O35" s="3" t="s">
        <v>125</v>
      </c>
      <c r="P35" s="3" t="s">
        <v>198</v>
      </c>
      <c r="Q35" s="3" t="s">
        <v>146</v>
      </c>
      <c r="R35" s="3" t="s">
        <v>128</v>
      </c>
      <c r="S35" s="3" t="s">
        <v>34</v>
      </c>
      <c r="T35" s="143">
        <v>4.7859999999999996</v>
      </c>
      <c r="U35" s="3" t="s">
        <v>296</v>
      </c>
      <c r="V35" s="155">
        <v>4.0800000000000003E-2</v>
      </c>
      <c r="W35" s="155">
        <v>2.878E-2</v>
      </c>
      <c r="X35" s="5" t="s">
        <v>129</v>
      </c>
      <c r="Y35" s="5" t="s">
        <v>125</v>
      </c>
      <c r="Z35" s="143">
        <v>14250</v>
      </c>
      <c r="AA35" s="153">
        <v>1</v>
      </c>
      <c r="AB35" s="163">
        <v>112.75</v>
      </c>
      <c r="AD35" s="143">
        <v>16.067</v>
      </c>
      <c r="AG35" s="3" t="s">
        <v>36</v>
      </c>
      <c r="AH35" s="155">
        <v>1.7E-5</v>
      </c>
      <c r="AI35" s="155">
        <v>4.9157017997242198E-3</v>
      </c>
      <c r="AJ35" s="155">
        <v>2.1406806687685001E-3</v>
      </c>
    </row>
    <row r="36" spans="1:36">
      <c r="A36" s="3">
        <v>337</v>
      </c>
      <c r="B36" s="3">
        <v>1405</v>
      </c>
      <c r="C36" s="185" t="s">
        <v>297</v>
      </c>
      <c r="D36" s="3" t="s">
        <v>298</v>
      </c>
      <c r="E36" s="189" t="s">
        <v>118</v>
      </c>
      <c r="F36" s="185" t="s">
        <v>299</v>
      </c>
      <c r="G36" s="3" t="s">
        <v>300</v>
      </c>
      <c r="H36" s="3" t="s">
        <v>121</v>
      </c>
      <c r="I36" s="3" t="s">
        <v>122</v>
      </c>
      <c r="J36" s="3" t="s">
        <v>30</v>
      </c>
      <c r="K36" s="3" t="s">
        <v>30</v>
      </c>
      <c r="L36" s="3" t="s">
        <v>123</v>
      </c>
      <c r="M36" s="3" t="s">
        <v>31</v>
      </c>
      <c r="N36" s="3" t="s">
        <v>301</v>
      </c>
      <c r="O36" s="3" t="s">
        <v>125</v>
      </c>
      <c r="P36" s="3" t="s">
        <v>165</v>
      </c>
      <c r="Q36" s="3" t="s">
        <v>146</v>
      </c>
      <c r="R36" s="3" t="s">
        <v>128</v>
      </c>
      <c r="S36" s="3" t="s">
        <v>34</v>
      </c>
      <c r="T36" s="143">
        <v>7.0430000000000001</v>
      </c>
      <c r="U36" s="3" t="s">
        <v>302</v>
      </c>
      <c r="V36" s="155">
        <v>2.7900000000000001E-2</v>
      </c>
      <c r="W36" s="155">
        <v>4.4069999999999998E-2</v>
      </c>
      <c r="X36" s="5" t="s">
        <v>129</v>
      </c>
      <c r="Y36" s="5" t="s">
        <v>125</v>
      </c>
      <c r="Z36" s="143">
        <v>31566</v>
      </c>
      <c r="AA36" s="153">
        <v>1</v>
      </c>
      <c r="AB36" s="163">
        <v>89.85</v>
      </c>
      <c r="AD36" s="143">
        <v>28.361999999999998</v>
      </c>
      <c r="AG36" s="3" t="s">
        <v>36</v>
      </c>
      <c r="AH36" s="155">
        <v>1.4E-5</v>
      </c>
      <c r="AI36" s="155">
        <v>8.6774425732801305E-3</v>
      </c>
      <c r="AJ36" s="155">
        <v>3.7788365380527502E-3</v>
      </c>
    </row>
    <row r="37" spans="1:36">
      <c r="A37" s="3">
        <v>337</v>
      </c>
      <c r="B37" s="3">
        <v>1405</v>
      </c>
      <c r="C37" s="185" t="s">
        <v>303</v>
      </c>
      <c r="D37" s="3" t="s">
        <v>304</v>
      </c>
      <c r="E37" s="189" t="s">
        <v>118</v>
      </c>
      <c r="F37" s="185" t="s">
        <v>305</v>
      </c>
      <c r="G37" s="3" t="s">
        <v>306</v>
      </c>
      <c r="H37" s="3" t="s">
        <v>121</v>
      </c>
      <c r="I37" s="3" t="s">
        <v>132</v>
      </c>
      <c r="J37" s="3" t="s">
        <v>30</v>
      </c>
      <c r="K37" s="3" t="s">
        <v>30</v>
      </c>
      <c r="L37" s="3" t="s">
        <v>123</v>
      </c>
      <c r="M37" s="3" t="s">
        <v>31</v>
      </c>
      <c r="N37" s="3" t="s">
        <v>171</v>
      </c>
      <c r="O37" s="3" t="s">
        <v>125</v>
      </c>
      <c r="P37" s="3" t="s">
        <v>145</v>
      </c>
      <c r="Q37" s="3" t="s">
        <v>146</v>
      </c>
      <c r="R37" s="3" t="s">
        <v>128</v>
      </c>
      <c r="S37" s="3" t="s">
        <v>34</v>
      </c>
      <c r="T37" s="143">
        <v>4.4950000000000001</v>
      </c>
      <c r="U37" s="3" t="s">
        <v>307</v>
      </c>
      <c r="V37" s="155">
        <v>1.8700000000000001E-2</v>
      </c>
      <c r="W37" s="155">
        <v>2.6079999999999999E-2</v>
      </c>
      <c r="X37" s="5" t="s">
        <v>129</v>
      </c>
      <c r="Y37" s="5" t="s">
        <v>125</v>
      </c>
      <c r="Z37" s="143">
        <v>19090.91</v>
      </c>
      <c r="AA37" s="153">
        <v>1</v>
      </c>
      <c r="AB37" s="163">
        <v>109.95</v>
      </c>
      <c r="AD37" s="143">
        <v>20.99</v>
      </c>
      <c r="AG37" s="3" t="s">
        <v>36</v>
      </c>
      <c r="AH37" s="155">
        <v>2.0000000000000002E-5</v>
      </c>
      <c r="AI37" s="155">
        <v>6.4220839522052499E-3</v>
      </c>
      <c r="AJ37" s="155">
        <v>2.79667716427906E-3</v>
      </c>
    </row>
    <row r="38" spans="1:36">
      <c r="A38" s="3">
        <v>337</v>
      </c>
      <c r="B38" s="3">
        <v>1405</v>
      </c>
      <c r="C38" s="185" t="s">
        <v>303</v>
      </c>
      <c r="D38" s="3" t="s">
        <v>304</v>
      </c>
      <c r="E38" s="189" t="s">
        <v>118</v>
      </c>
      <c r="F38" s="185" t="s">
        <v>308</v>
      </c>
      <c r="G38" s="3" t="s">
        <v>309</v>
      </c>
      <c r="H38" s="3" t="s">
        <v>121</v>
      </c>
      <c r="I38" s="3" t="s">
        <v>132</v>
      </c>
      <c r="J38" s="3" t="s">
        <v>30</v>
      </c>
      <c r="K38" s="3" t="s">
        <v>30</v>
      </c>
      <c r="L38" s="3" t="s">
        <v>123</v>
      </c>
      <c r="M38" s="3" t="s">
        <v>31</v>
      </c>
      <c r="N38" s="3" t="s">
        <v>171</v>
      </c>
      <c r="O38" s="3" t="s">
        <v>125</v>
      </c>
      <c r="P38" s="3" t="s">
        <v>310</v>
      </c>
      <c r="Q38" s="3" t="s">
        <v>127</v>
      </c>
      <c r="R38" s="3" t="s">
        <v>128</v>
      </c>
      <c r="S38" s="3" t="s">
        <v>34</v>
      </c>
      <c r="T38" s="143">
        <v>6.7759999999999998</v>
      </c>
      <c r="U38" s="3" t="s">
        <v>311</v>
      </c>
      <c r="V38" s="155">
        <v>3.0599999999999999E-2</v>
      </c>
      <c r="W38" s="155">
        <v>2.7029999999999998E-2</v>
      </c>
      <c r="X38" s="5" t="s">
        <v>129</v>
      </c>
      <c r="Y38" s="5" t="s">
        <v>125</v>
      </c>
      <c r="Z38" s="143">
        <v>16000</v>
      </c>
      <c r="AA38" s="153">
        <v>1</v>
      </c>
      <c r="AB38" s="163">
        <v>104.26</v>
      </c>
      <c r="AD38" s="143">
        <v>16.681999999999999</v>
      </c>
      <c r="AG38" s="3" t="s">
        <v>36</v>
      </c>
      <c r="AH38" s="155">
        <v>1.5E-5</v>
      </c>
      <c r="AI38" s="155">
        <v>5.1037784972049402E-3</v>
      </c>
      <c r="AJ38" s="155">
        <v>2.22258395886746E-3</v>
      </c>
    </row>
    <row r="39" spans="1:36">
      <c r="A39" s="3">
        <v>337</v>
      </c>
      <c r="B39" s="3">
        <v>1405</v>
      </c>
      <c r="C39" s="185" t="s">
        <v>312</v>
      </c>
      <c r="D39" s="3" t="s">
        <v>313</v>
      </c>
      <c r="E39" s="189" t="s">
        <v>118</v>
      </c>
      <c r="F39" s="185" t="s">
        <v>314</v>
      </c>
      <c r="G39" s="3" t="s">
        <v>315</v>
      </c>
      <c r="H39" s="3" t="s">
        <v>121</v>
      </c>
      <c r="I39" s="3" t="s">
        <v>132</v>
      </c>
      <c r="J39" s="3" t="s">
        <v>30</v>
      </c>
      <c r="K39" s="3" t="s">
        <v>30</v>
      </c>
      <c r="L39" s="3" t="s">
        <v>123</v>
      </c>
      <c r="M39" s="3" t="s">
        <v>31</v>
      </c>
      <c r="N39" s="3" t="s">
        <v>316</v>
      </c>
      <c r="O39" s="3" t="s">
        <v>125</v>
      </c>
      <c r="P39" s="3" t="s">
        <v>145</v>
      </c>
      <c r="Q39" s="3" t="s">
        <v>146</v>
      </c>
      <c r="R39" s="3" t="s">
        <v>128</v>
      </c>
      <c r="S39" s="3" t="s">
        <v>34</v>
      </c>
      <c r="T39" s="143">
        <v>2.214</v>
      </c>
      <c r="U39" s="3" t="s">
        <v>317</v>
      </c>
      <c r="V39" s="155">
        <v>1.09E-2</v>
      </c>
      <c r="W39" s="155">
        <v>2.5430000000000001E-2</v>
      </c>
      <c r="X39" s="5" t="s">
        <v>129</v>
      </c>
      <c r="Y39" s="5" t="s">
        <v>125</v>
      </c>
      <c r="Z39" s="143">
        <v>50000</v>
      </c>
      <c r="AA39" s="153">
        <v>1</v>
      </c>
      <c r="AB39" s="163">
        <v>111.21</v>
      </c>
      <c r="AD39" s="143">
        <v>55.604999999999997</v>
      </c>
      <c r="AG39" s="3" t="s">
        <v>36</v>
      </c>
      <c r="AH39" s="155">
        <v>5.5000000000000002E-5</v>
      </c>
      <c r="AI39" s="155">
        <v>1.7012493006490999E-2</v>
      </c>
      <c r="AJ39" s="155">
        <v>7.4085687843387397E-3</v>
      </c>
    </row>
    <row r="40" spans="1:36">
      <c r="A40" s="3">
        <v>337</v>
      </c>
      <c r="B40" s="3">
        <v>1405</v>
      </c>
      <c r="C40" s="185" t="s">
        <v>312</v>
      </c>
      <c r="D40" s="3" t="s">
        <v>313</v>
      </c>
      <c r="E40" s="189" t="s">
        <v>118</v>
      </c>
      <c r="F40" s="185" t="s">
        <v>318</v>
      </c>
      <c r="G40" s="3" t="s">
        <v>319</v>
      </c>
      <c r="H40" s="3" t="s">
        <v>121</v>
      </c>
      <c r="I40" s="3" t="s">
        <v>132</v>
      </c>
      <c r="J40" s="3" t="s">
        <v>30</v>
      </c>
      <c r="K40" s="3" t="s">
        <v>30</v>
      </c>
      <c r="L40" s="3" t="s">
        <v>123</v>
      </c>
      <c r="M40" s="3" t="s">
        <v>31</v>
      </c>
      <c r="N40" s="3" t="s">
        <v>316</v>
      </c>
      <c r="O40" s="3" t="s">
        <v>125</v>
      </c>
      <c r="P40" s="3" t="s">
        <v>145</v>
      </c>
      <c r="Q40" s="3" t="s">
        <v>146</v>
      </c>
      <c r="R40" s="3" t="s">
        <v>128</v>
      </c>
      <c r="S40" s="3" t="s">
        <v>34</v>
      </c>
      <c r="T40" s="143">
        <v>3.028</v>
      </c>
      <c r="U40" s="3" t="s">
        <v>320</v>
      </c>
      <c r="V40" s="155">
        <v>2.9899999999999999E-2</v>
      </c>
      <c r="W40" s="155">
        <v>2.5389999999999999E-2</v>
      </c>
      <c r="X40" s="5" t="s">
        <v>129</v>
      </c>
      <c r="Y40" s="5" t="s">
        <v>125</v>
      </c>
      <c r="Z40" s="143">
        <v>50000</v>
      </c>
      <c r="AA40" s="153">
        <v>1</v>
      </c>
      <c r="AB40" s="163">
        <v>114.16</v>
      </c>
      <c r="AD40" s="143">
        <v>57.08</v>
      </c>
      <c r="AG40" s="3" t="s">
        <v>36</v>
      </c>
      <c r="AH40" s="155">
        <v>6.3E-5</v>
      </c>
      <c r="AI40" s="155">
        <v>1.74637730565688E-2</v>
      </c>
      <c r="AJ40" s="155">
        <v>7.6050913804523897E-3</v>
      </c>
    </row>
    <row r="41" spans="1:36">
      <c r="A41" s="3">
        <v>337</v>
      </c>
      <c r="B41" s="3">
        <v>1405</v>
      </c>
      <c r="C41" s="185" t="s">
        <v>321</v>
      </c>
      <c r="D41" s="3" t="s">
        <v>322</v>
      </c>
      <c r="E41" s="189" t="s">
        <v>118</v>
      </c>
      <c r="F41" s="185" t="s">
        <v>323</v>
      </c>
      <c r="G41" s="3" t="s">
        <v>324</v>
      </c>
      <c r="H41" s="3" t="s">
        <v>121</v>
      </c>
      <c r="I41" s="3" t="s">
        <v>122</v>
      </c>
      <c r="J41" s="3" t="s">
        <v>30</v>
      </c>
      <c r="K41" s="3" t="s">
        <v>30</v>
      </c>
      <c r="L41" s="3" t="s">
        <v>123</v>
      </c>
      <c r="M41" s="3" t="s">
        <v>31</v>
      </c>
      <c r="N41" s="3" t="s">
        <v>152</v>
      </c>
      <c r="O41" s="3" t="s">
        <v>125</v>
      </c>
      <c r="P41" s="3" t="s">
        <v>325</v>
      </c>
      <c r="Q41" s="3" t="s">
        <v>127</v>
      </c>
      <c r="R41" s="3" t="s">
        <v>128</v>
      </c>
      <c r="S41" s="3" t="s">
        <v>34</v>
      </c>
      <c r="T41" s="143">
        <v>2.3479999999999999</v>
      </c>
      <c r="U41" s="3" t="s">
        <v>326</v>
      </c>
      <c r="V41" s="155">
        <v>7.2499999999999995E-2</v>
      </c>
      <c r="W41" s="155">
        <v>5.8560000000000001E-2</v>
      </c>
      <c r="X41" s="5" t="s">
        <v>129</v>
      </c>
      <c r="Y41" s="5" t="s">
        <v>125</v>
      </c>
      <c r="Z41" s="143">
        <v>23000</v>
      </c>
      <c r="AA41" s="153">
        <v>1</v>
      </c>
      <c r="AB41" s="163">
        <v>105.31</v>
      </c>
      <c r="AD41" s="143">
        <v>24.221</v>
      </c>
      <c r="AG41" s="3" t="s">
        <v>36</v>
      </c>
      <c r="AH41" s="155">
        <v>3.6000000000000001E-5</v>
      </c>
      <c r="AI41" s="155">
        <v>7.4105691369143198E-3</v>
      </c>
      <c r="AJ41" s="155">
        <v>3.2271408523712598E-3</v>
      </c>
    </row>
    <row r="42" spans="1:36">
      <c r="A42" s="3">
        <v>337</v>
      </c>
      <c r="B42" s="3">
        <v>1405</v>
      </c>
      <c r="C42" s="185" t="s">
        <v>327</v>
      </c>
      <c r="D42" s="3" t="s">
        <v>328</v>
      </c>
      <c r="E42" s="189" t="s">
        <v>118</v>
      </c>
      <c r="F42" s="185" t="s">
        <v>329</v>
      </c>
      <c r="G42" s="3" t="s">
        <v>330</v>
      </c>
      <c r="H42" s="3" t="s">
        <v>121</v>
      </c>
      <c r="I42" s="3" t="s">
        <v>122</v>
      </c>
      <c r="J42" s="3" t="s">
        <v>30</v>
      </c>
      <c r="K42" s="3" t="s">
        <v>30</v>
      </c>
      <c r="L42" s="3" t="s">
        <v>123</v>
      </c>
      <c r="M42" s="3" t="s">
        <v>31</v>
      </c>
      <c r="N42" s="3" t="s">
        <v>152</v>
      </c>
      <c r="O42" s="3" t="s">
        <v>125</v>
      </c>
      <c r="P42" s="3" t="s">
        <v>153</v>
      </c>
      <c r="Q42" s="3" t="s">
        <v>146</v>
      </c>
      <c r="R42" s="3" t="s">
        <v>128</v>
      </c>
      <c r="S42" s="3" t="s">
        <v>34</v>
      </c>
      <c r="T42" s="143">
        <v>3.6509999999999998</v>
      </c>
      <c r="U42" s="3" t="s">
        <v>331</v>
      </c>
      <c r="V42" s="155">
        <v>5.7500000000000002E-2</v>
      </c>
      <c r="W42" s="155">
        <v>4.548E-2</v>
      </c>
      <c r="X42" s="5" t="s">
        <v>129</v>
      </c>
      <c r="Y42" s="5" t="s">
        <v>125</v>
      </c>
      <c r="Z42" s="143">
        <v>28929</v>
      </c>
      <c r="AA42" s="153">
        <v>1</v>
      </c>
      <c r="AB42" s="163">
        <v>106.13</v>
      </c>
      <c r="AD42" s="143">
        <v>30.702000000000002</v>
      </c>
      <c r="AG42" s="3" t="s">
        <v>36</v>
      </c>
      <c r="AH42" s="155">
        <v>5.5000000000000002E-5</v>
      </c>
      <c r="AI42" s="155">
        <v>9.3934623780074708E-3</v>
      </c>
      <c r="AJ42" s="155">
        <v>4.0906475096867999E-3</v>
      </c>
    </row>
    <row r="43" spans="1:36">
      <c r="A43" s="3">
        <v>337</v>
      </c>
      <c r="B43" s="3">
        <v>1405</v>
      </c>
      <c r="C43" s="185" t="s">
        <v>332</v>
      </c>
      <c r="D43" s="3" t="s">
        <v>333</v>
      </c>
      <c r="E43" s="189" t="s">
        <v>118</v>
      </c>
      <c r="F43" s="185" t="s">
        <v>334</v>
      </c>
      <c r="G43" s="3" t="s">
        <v>335</v>
      </c>
      <c r="H43" s="3" t="s">
        <v>121</v>
      </c>
      <c r="I43" s="3" t="s">
        <v>122</v>
      </c>
      <c r="J43" s="3" t="s">
        <v>30</v>
      </c>
      <c r="K43" s="3" t="s">
        <v>30</v>
      </c>
      <c r="L43" s="3" t="s">
        <v>123</v>
      </c>
      <c r="M43" s="3" t="s">
        <v>31</v>
      </c>
      <c r="N43" s="3" t="s">
        <v>171</v>
      </c>
      <c r="O43" s="3" t="s">
        <v>125</v>
      </c>
      <c r="P43" s="3" t="s">
        <v>165</v>
      </c>
      <c r="Q43" s="3" t="s">
        <v>146</v>
      </c>
      <c r="R43" s="3" t="s">
        <v>128</v>
      </c>
      <c r="S43" s="3" t="s">
        <v>34</v>
      </c>
      <c r="T43" s="143">
        <v>4.3869999999999996</v>
      </c>
      <c r="U43" s="3" t="s">
        <v>336</v>
      </c>
      <c r="V43" s="155">
        <v>2.5499999999999998E-2</v>
      </c>
      <c r="W43" s="155">
        <v>4.4990000000000002E-2</v>
      </c>
      <c r="X43" s="5" t="s">
        <v>129</v>
      </c>
      <c r="Y43" s="5" t="s">
        <v>125</v>
      </c>
      <c r="Z43" s="143">
        <v>32568.27</v>
      </c>
      <c r="AA43" s="153">
        <v>1</v>
      </c>
      <c r="AB43" s="163">
        <v>92.05</v>
      </c>
      <c r="AD43" s="143">
        <v>29.978999999999999</v>
      </c>
      <c r="AG43" s="3" t="s">
        <v>36</v>
      </c>
      <c r="AH43" s="155">
        <v>1.2E-5</v>
      </c>
      <c r="AI43" s="155">
        <v>9.1721805969361501E-3</v>
      </c>
      <c r="AJ43" s="155">
        <v>3.9942841315997396E-3</v>
      </c>
    </row>
    <row r="44" spans="1:36">
      <c r="A44" s="3">
        <v>337</v>
      </c>
      <c r="B44" s="3">
        <v>1405</v>
      </c>
      <c r="C44" s="185" t="s">
        <v>332</v>
      </c>
      <c r="D44" s="3" t="s">
        <v>333</v>
      </c>
      <c r="E44" s="189" t="s">
        <v>118</v>
      </c>
      <c r="F44" s="185" t="s">
        <v>337</v>
      </c>
      <c r="G44" s="3" t="s">
        <v>338</v>
      </c>
      <c r="H44" s="3" t="s">
        <v>121</v>
      </c>
      <c r="I44" s="3" t="s">
        <v>132</v>
      </c>
      <c r="J44" s="3" t="s">
        <v>30</v>
      </c>
      <c r="K44" s="3" t="s">
        <v>30</v>
      </c>
      <c r="L44" s="3" t="s">
        <v>123</v>
      </c>
      <c r="M44" s="3" t="s">
        <v>31</v>
      </c>
      <c r="N44" s="3" t="s">
        <v>171</v>
      </c>
      <c r="O44" s="3" t="s">
        <v>125</v>
      </c>
      <c r="P44" s="3" t="s">
        <v>165</v>
      </c>
      <c r="Q44" s="3" t="s">
        <v>146</v>
      </c>
      <c r="R44" s="3" t="s">
        <v>128</v>
      </c>
      <c r="S44" s="3" t="s">
        <v>34</v>
      </c>
      <c r="T44" s="143">
        <v>3.524</v>
      </c>
      <c r="U44" s="3" t="s">
        <v>339</v>
      </c>
      <c r="V44" s="155">
        <v>5.0000000000000001E-3</v>
      </c>
      <c r="W44" s="155">
        <v>2.462E-2</v>
      </c>
      <c r="X44" s="5" t="s">
        <v>129</v>
      </c>
      <c r="Y44" s="5" t="s">
        <v>125</v>
      </c>
      <c r="Z44" s="143">
        <v>17258.84</v>
      </c>
      <c r="AA44" s="153">
        <v>1</v>
      </c>
      <c r="AB44" s="163">
        <v>109.85</v>
      </c>
      <c r="AD44" s="143">
        <v>18.959</v>
      </c>
      <c r="AG44" s="3" t="s">
        <v>36</v>
      </c>
      <c r="AH44" s="155">
        <v>1.2999999999999999E-5</v>
      </c>
      <c r="AI44" s="155">
        <v>5.8005046387548196E-3</v>
      </c>
      <c r="AJ44" s="155">
        <v>2.5259929619776901E-3</v>
      </c>
    </row>
    <row r="45" spans="1:36">
      <c r="A45" s="3">
        <v>337</v>
      </c>
      <c r="B45" s="3">
        <v>1405</v>
      </c>
      <c r="C45" s="185" t="s">
        <v>332</v>
      </c>
      <c r="D45" s="3" t="s">
        <v>333</v>
      </c>
      <c r="E45" s="189" t="s">
        <v>118</v>
      </c>
      <c r="F45" s="185" t="s">
        <v>340</v>
      </c>
      <c r="G45" s="3" t="s">
        <v>341</v>
      </c>
      <c r="H45" s="3" t="s">
        <v>121</v>
      </c>
      <c r="I45" s="3" t="s">
        <v>132</v>
      </c>
      <c r="J45" s="3" t="s">
        <v>30</v>
      </c>
      <c r="K45" s="3" t="s">
        <v>30</v>
      </c>
      <c r="L45" s="3" t="s">
        <v>123</v>
      </c>
      <c r="M45" s="3" t="s">
        <v>31</v>
      </c>
      <c r="N45" s="3" t="s">
        <v>171</v>
      </c>
      <c r="O45" s="3" t="s">
        <v>125</v>
      </c>
      <c r="P45" s="3" t="s">
        <v>165</v>
      </c>
      <c r="Q45" s="3" t="s">
        <v>146</v>
      </c>
      <c r="R45" s="3" t="s">
        <v>128</v>
      </c>
      <c r="S45" s="3" t="s">
        <v>34</v>
      </c>
      <c r="T45" s="143">
        <v>2.6179999999999999</v>
      </c>
      <c r="U45" s="3" t="s">
        <v>70</v>
      </c>
      <c r="V45" s="155">
        <v>3.3399999999999999E-2</v>
      </c>
      <c r="W45" s="155">
        <v>2.5579999999999999E-2</v>
      </c>
      <c r="X45" s="5" t="s">
        <v>129</v>
      </c>
      <c r="Y45" s="5" t="s">
        <v>125</v>
      </c>
      <c r="Z45" s="143">
        <v>30000</v>
      </c>
      <c r="AA45" s="153">
        <v>1</v>
      </c>
      <c r="AB45" s="163">
        <v>106.94</v>
      </c>
      <c r="AD45" s="143">
        <v>32.082000000000001</v>
      </c>
      <c r="AG45" s="3" t="s">
        <v>36</v>
      </c>
      <c r="AH45" s="155">
        <v>2.8E-5</v>
      </c>
      <c r="AI45" s="155">
        <v>9.8155705536236808E-3</v>
      </c>
      <c r="AJ45" s="155">
        <v>4.2744663922157297E-3</v>
      </c>
    </row>
    <row r="46" spans="1:36">
      <c r="A46" s="3">
        <v>337</v>
      </c>
      <c r="B46" s="3">
        <v>1405</v>
      </c>
      <c r="C46" s="185" t="s">
        <v>342</v>
      </c>
      <c r="D46" s="3" t="s">
        <v>343</v>
      </c>
      <c r="E46" s="189" t="s">
        <v>118</v>
      </c>
      <c r="F46" s="185" t="s">
        <v>344</v>
      </c>
      <c r="G46" s="3" t="s">
        <v>345</v>
      </c>
      <c r="H46" s="3" t="s">
        <v>121</v>
      </c>
      <c r="I46" s="3" t="s">
        <v>122</v>
      </c>
      <c r="J46" s="3" t="s">
        <v>30</v>
      </c>
      <c r="K46" s="3" t="s">
        <v>30</v>
      </c>
      <c r="L46" s="3" t="s">
        <v>123</v>
      </c>
      <c r="M46" s="3" t="s">
        <v>31</v>
      </c>
      <c r="N46" s="3" t="s">
        <v>124</v>
      </c>
      <c r="O46" s="3" t="s">
        <v>125</v>
      </c>
      <c r="P46" s="3" t="s">
        <v>178</v>
      </c>
      <c r="Q46" s="3" t="s">
        <v>178</v>
      </c>
      <c r="R46" s="3" t="s">
        <v>178</v>
      </c>
      <c r="S46" s="3" t="s">
        <v>34</v>
      </c>
      <c r="T46" s="143">
        <v>1.9E-2</v>
      </c>
      <c r="U46" s="3" t="s">
        <v>346</v>
      </c>
      <c r="V46" s="155">
        <v>3.8699999999999998E-2</v>
      </c>
      <c r="W46" s="155">
        <v>1E-4</v>
      </c>
      <c r="X46" s="5" t="s">
        <v>129</v>
      </c>
      <c r="Y46" s="5" t="s">
        <v>125</v>
      </c>
      <c r="Z46" s="143">
        <v>9978.4500000000007</v>
      </c>
      <c r="AA46" s="153">
        <v>1</v>
      </c>
      <c r="AB46" s="163">
        <v>100.16</v>
      </c>
      <c r="AD46" s="143">
        <v>9.9939999999999998</v>
      </c>
      <c r="AG46" s="3" t="s">
        <v>36</v>
      </c>
      <c r="AH46" s="155">
        <v>3.0000000000000001E-5</v>
      </c>
      <c r="AI46" s="155">
        <v>3.05781717719567E-3</v>
      </c>
      <c r="AJ46" s="155">
        <v>1.33161253195185E-3</v>
      </c>
    </row>
    <row r="47" spans="1:36">
      <c r="A47" s="3">
        <v>337</v>
      </c>
      <c r="B47" s="3">
        <v>1405</v>
      </c>
      <c r="C47" s="185" t="s">
        <v>342</v>
      </c>
      <c r="D47" s="3" t="s">
        <v>343</v>
      </c>
      <c r="E47" s="189" t="s">
        <v>118</v>
      </c>
      <c r="F47" s="185" t="s">
        <v>347</v>
      </c>
      <c r="G47" s="3" t="s">
        <v>348</v>
      </c>
      <c r="H47" s="3" t="s">
        <v>121</v>
      </c>
      <c r="I47" s="3" t="s">
        <v>122</v>
      </c>
      <c r="J47" s="3" t="s">
        <v>30</v>
      </c>
      <c r="K47" s="3" t="s">
        <v>30</v>
      </c>
      <c r="L47" s="3" t="s">
        <v>123</v>
      </c>
      <c r="M47" s="3" t="s">
        <v>31</v>
      </c>
      <c r="N47" s="3" t="s">
        <v>124</v>
      </c>
      <c r="O47" s="3" t="s">
        <v>125</v>
      </c>
      <c r="P47" s="3" t="s">
        <v>178</v>
      </c>
      <c r="Q47" s="3" t="s">
        <v>178</v>
      </c>
      <c r="R47" s="3" t="s">
        <v>178</v>
      </c>
      <c r="S47" s="3" t="s">
        <v>34</v>
      </c>
      <c r="T47" s="143">
        <v>0.96699999999999997</v>
      </c>
      <c r="U47" s="3" t="s">
        <v>244</v>
      </c>
      <c r="V47" s="155">
        <v>6.25E-2</v>
      </c>
      <c r="W47" s="155">
        <v>8.1570000000000004E-2</v>
      </c>
      <c r="X47" s="5" t="s">
        <v>129</v>
      </c>
      <c r="Y47" s="5" t="s">
        <v>125</v>
      </c>
      <c r="Z47" s="143">
        <v>0.5</v>
      </c>
      <c r="AA47" s="153">
        <v>1</v>
      </c>
      <c r="AB47" s="163">
        <v>99.79</v>
      </c>
      <c r="AD47" s="143">
        <v>0</v>
      </c>
      <c r="AG47" s="3" t="s">
        <v>36</v>
      </c>
      <c r="AH47" s="155">
        <v>0</v>
      </c>
      <c r="AI47" s="155">
        <v>1.52655037956815E-7</v>
      </c>
      <c r="AJ47" s="155">
        <v>6.6477931749767396E-8</v>
      </c>
    </row>
    <row r="48" spans="1:36">
      <c r="A48" s="3">
        <v>337</v>
      </c>
      <c r="B48" s="3">
        <v>1405</v>
      </c>
      <c r="C48" s="185" t="s">
        <v>349</v>
      </c>
      <c r="D48" s="3" t="s">
        <v>350</v>
      </c>
      <c r="E48" s="189" t="s">
        <v>118</v>
      </c>
      <c r="F48" s="185" t="s">
        <v>351</v>
      </c>
      <c r="G48" s="3" t="s">
        <v>352</v>
      </c>
      <c r="H48" s="3" t="s">
        <v>121</v>
      </c>
      <c r="I48" s="3" t="s">
        <v>176</v>
      </c>
      <c r="J48" s="3" t="s">
        <v>30</v>
      </c>
      <c r="K48" s="3" t="s">
        <v>30</v>
      </c>
      <c r="L48" s="3" t="s">
        <v>123</v>
      </c>
      <c r="M48" s="3" t="s">
        <v>31</v>
      </c>
      <c r="N48" s="3" t="s">
        <v>124</v>
      </c>
      <c r="O48" s="3" t="s">
        <v>125</v>
      </c>
      <c r="P48" s="3" t="s">
        <v>178</v>
      </c>
      <c r="Q48" s="3" t="s">
        <v>178</v>
      </c>
      <c r="R48" s="3" t="s">
        <v>178</v>
      </c>
      <c r="S48" s="3" t="s">
        <v>34</v>
      </c>
      <c r="T48" s="143">
        <v>2.5609999999999999</v>
      </c>
      <c r="U48" s="3" t="s">
        <v>154</v>
      </c>
      <c r="V48" s="155">
        <v>7.0000000000000007E-2</v>
      </c>
      <c r="W48" s="155">
        <v>1E-4</v>
      </c>
      <c r="X48" s="5" t="s">
        <v>129</v>
      </c>
      <c r="Y48" s="5" t="s">
        <v>125</v>
      </c>
      <c r="Z48" s="143">
        <v>10000</v>
      </c>
      <c r="AA48" s="153">
        <v>1</v>
      </c>
      <c r="AB48" s="163">
        <v>150.6</v>
      </c>
      <c r="AD48" s="143">
        <v>15.06</v>
      </c>
      <c r="AG48" s="3" t="s">
        <v>36</v>
      </c>
      <c r="AH48" s="155">
        <v>2.0000000000000001E-4</v>
      </c>
      <c r="AI48" s="155">
        <v>4.6076457994380796E-3</v>
      </c>
      <c r="AJ48" s="155">
        <v>2.0065290152349899E-3</v>
      </c>
    </row>
    <row r="49" spans="1:36">
      <c r="A49" s="3">
        <v>337</v>
      </c>
      <c r="B49" s="3">
        <v>1405</v>
      </c>
      <c r="C49" s="185" t="s">
        <v>353</v>
      </c>
      <c r="D49" s="3" t="s">
        <v>354</v>
      </c>
      <c r="E49" s="189" t="s">
        <v>118</v>
      </c>
      <c r="F49" s="185" t="s">
        <v>355</v>
      </c>
      <c r="G49" s="3" t="s">
        <v>356</v>
      </c>
      <c r="H49" s="3" t="s">
        <v>121</v>
      </c>
      <c r="I49" s="3" t="s">
        <v>132</v>
      </c>
      <c r="J49" s="3" t="s">
        <v>30</v>
      </c>
      <c r="K49" s="3" t="s">
        <v>30</v>
      </c>
      <c r="L49" s="3" t="s">
        <v>123</v>
      </c>
      <c r="M49" s="3" t="s">
        <v>31</v>
      </c>
      <c r="N49" s="3" t="s">
        <v>316</v>
      </c>
      <c r="O49" s="3" t="s">
        <v>125</v>
      </c>
      <c r="P49" s="3" t="s">
        <v>357</v>
      </c>
      <c r="Q49" s="3" t="s">
        <v>146</v>
      </c>
      <c r="R49" s="3" t="s">
        <v>128</v>
      </c>
      <c r="S49" s="3" t="s">
        <v>34</v>
      </c>
      <c r="T49" s="143">
        <v>3.2749999999999999</v>
      </c>
      <c r="U49" s="3" t="s">
        <v>358</v>
      </c>
      <c r="V49" s="155">
        <v>2E-3</v>
      </c>
      <c r="W49" s="155">
        <v>2.2429999999999999E-2</v>
      </c>
      <c r="X49" s="5" t="s">
        <v>129</v>
      </c>
      <c r="Y49" s="5" t="s">
        <v>125</v>
      </c>
      <c r="Z49" s="143">
        <v>0.2</v>
      </c>
      <c r="AA49" s="153">
        <v>1</v>
      </c>
      <c r="AB49" s="163">
        <v>107.7</v>
      </c>
      <c r="AD49" s="143">
        <v>0</v>
      </c>
      <c r="AG49" s="3" t="s">
        <v>36</v>
      </c>
      <c r="AH49" s="155">
        <v>0</v>
      </c>
      <c r="AI49" s="155">
        <v>6.5902184940170198E-8</v>
      </c>
      <c r="AJ49" s="155">
        <v>2.8698960815512401E-8</v>
      </c>
    </row>
    <row r="50" spans="1:36">
      <c r="A50" s="3">
        <v>337</v>
      </c>
      <c r="B50" s="3">
        <v>1405</v>
      </c>
      <c r="C50" s="185" t="s">
        <v>353</v>
      </c>
      <c r="D50" s="3" t="s">
        <v>354</v>
      </c>
      <c r="E50" s="189" t="s">
        <v>118</v>
      </c>
      <c r="F50" s="185" t="s">
        <v>359</v>
      </c>
      <c r="G50" s="3" t="s">
        <v>360</v>
      </c>
      <c r="H50" s="3" t="s">
        <v>121</v>
      </c>
      <c r="I50" s="3" t="s">
        <v>132</v>
      </c>
      <c r="J50" s="3" t="s">
        <v>30</v>
      </c>
      <c r="K50" s="3" t="s">
        <v>30</v>
      </c>
      <c r="L50" s="3" t="s">
        <v>123</v>
      </c>
      <c r="M50" s="3" t="s">
        <v>31</v>
      </c>
      <c r="N50" s="3" t="s">
        <v>316</v>
      </c>
      <c r="O50" s="3" t="s">
        <v>125</v>
      </c>
      <c r="P50" s="3" t="s">
        <v>357</v>
      </c>
      <c r="Q50" s="3" t="s">
        <v>146</v>
      </c>
      <c r="R50" s="3" t="s">
        <v>128</v>
      </c>
      <c r="S50" s="3" t="s">
        <v>34</v>
      </c>
      <c r="T50" s="143">
        <v>4.34</v>
      </c>
      <c r="U50" s="3" t="s">
        <v>361</v>
      </c>
      <c r="V50" s="155">
        <v>2.4E-2</v>
      </c>
      <c r="W50" s="155">
        <v>2.281E-2</v>
      </c>
      <c r="X50" s="5" t="s">
        <v>129</v>
      </c>
      <c r="Y50" s="5" t="s">
        <v>125</v>
      </c>
      <c r="Z50" s="143">
        <v>17000</v>
      </c>
      <c r="AA50" s="153">
        <v>1</v>
      </c>
      <c r="AB50" s="163">
        <v>105.25</v>
      </c>
      <c r="AD50" s="143">
        <v>17.891999999999999</v>
      </c>
      <c r="AG50" s="3" t="s">
        <v>36</v>
      </c>
      <c r="AH50" s="155">
        <v>3.9999999999999998E-6</v>
      </c>
      <c r="AI50" s="155">
        <v>5.4742564718755597E-3</v>
      </c>
      <c r="AJ50" s="155">
        <v>2.38391901760239E-3</v>
      </c>
    </row>
    <row r="51" spans="1:36">
      <c r="A51" s="3">
        <v>337</v>
      </c>
      <c r="B51" s="3">
        <v>1405</v>
      </c>
      <c r="C51" s="185" t="s">
        <v>353</v>
      </c>
      <c r="D51" s="3" t="s">
        <v>354</v>
      </c>
      <c r="E51" s="189" t="s">
        <v>118</v>
      </c>
      <c r="F51" s="185" t="s">
        <v>362</v>
      </c>
      <c r="G51" s="3" t="s">
        <v>363</v>
      </c>
      <c r="H51" s="3" t="s">
        <v>121</v>
      </c>
      <c r="I51" s="3" t="s">
        <v>122</v>
      </c>
      <c r="J51" s="3" t="s">
        <v>30</v>
      </c>
      <c r="K51" s="3" t="s">
        <v>30</v>
      </c>
      <c r="L51" s="3" t="s">
        <v>123</v>
      </c>
      <c r="M51" s="3" t="s">
        <v>31</v>
      </c>
      <c r="N51" s="3" t="s">
        <v>316</v>
      </c>
      <c r="O51" s="3" t="s">
        <v>125</v>
      </c>
      <c r="P51" s="3" t="s">
        <v>357</v>
      </c>
      <c r="Q51" s="3" t="s">
        <v>146</v>
      </c>
      <c r="R51" s="3" t="s">
        <v>128</v>
      </c>
      <c r="S51" s="3" t="s">
        <v>34</v>
      </c>
      <c r="T51" s="143">
        <v>2.8</v>
      </c>
      <c r="U51" s="3" t="s">
        <v>364</v>
      </c>
      <c r="V51" s="155">
        <v>2.6800000000000001E-2</v>
      </c>
      <c r="W51" s="155">
        <v>4.0969999999999999E-2</v>
      </c>
      <c r="X51" s="5" t="s">
        <v>129</v>
      </c>
      <c r="Y51" s="5" t="s">
        <v>125</v>
      </c>
      <c r="Z51" s="143">
        <v>47242.36</v>
      </c>
      <c r="AA51" s="153">
        <v>1</v>
      </c>
      <c r="AB51" s="163">
        <v>96.4</v>
      </c>
      <c r="AD51" s="143">
        <v>45.542000000000002</v>
      </c>
      <c r="AG51" s="3" t="s">
        <v>36</v>
      </c>
      <c r="AH51" s="155">
        <v>2.0000000000000002E-5</v>
      </c>
      <c r="AI51" s="155">
        <v>1.3933580570491299E-2</v>
      </c>
      <c r="AJ51" s="155">
        <v>6.0677697283534103E-3</v>
      </c>
    </row>
    <row r="52" spans="1:36">
      <c r="A52" s="3">
        <v>337</v>
      </c>
      <c r="B52" s="3">
        <v>1405</v>
      </c>
      <c r="C52" s="185" t="s">
        <v>365</v>
      </c>
      <c r="D52" s="3" t="s">
        <v>366</v>
      </c>
      <c r="E52" s="189" t="s">
        <v>118</v>
      </c>
      <c r="F52" s="185" t="s">
        <v>367</v>
      </c>
      <c r="G52" s="3" t="s">
        <v>368</v>
      </c>
      <c r="H52" s="3" t="s">
        <v>121</v>
      </c>
      <c r="I52" s="3" t="s">
        <v>132</v>
      </c>
      <c r="J52" s="3" t="s">
        <v>30</v>
      </c>
      <c r="K52" s="3" t="s">
        <v>30</v>
      </c>
      <c r="L52" s="3" t="s">
        <v>123</v>
      </c>
      <c r="M52" s="3" t="s">
        <v>31</v>
      </c>
      <c r="N52" s="3" t="s">
        <v>152</v>
      </c>
      <c r="O52" s="3" t="s">
        <v>125</v>
      </c>
      <c r="P52" s="3" t="s">
        <v>243</v>
      </c>
      <c r="Q52" s="3" t="s">
        <v>127</v>
      </c>
      <c r="R52" s="3" t="s">
        <v>128</v>
      </c>
      <c r="S52" s="3" t="s">
        <v>34</v>
      </c>
      <c r="T52" s="143">
        <v>2.9849999999999999</v>
      </c>
      <c r="U52" s="3" t="s">
        <v>369</v>
      </c>
      <c r="V52" s="155">
        <v>1.7999999999999999E-2</v>
      </c>
      <c r="W52" s="155">
        <v>2.7730000000000001E-2</v>
      </c>
      <c r="X52" s="5" t="s">
        <v>129</v>
      </c>
      <c r="Y52" s="5" t="s">
        <v>125</v>
      </c>
      <c r="Z52" s="143">
        <v>13196.39</v>
      </c>
      <c r="AA52" s="153">
        <v>1</v>
      </c>
      <c r="AB52" s="163">
        <v>115.18</v>
      </c>
      <c r="AD52" s="143">
        <v>15.2</v>
      </c>
      <c r="AG52" s="3" t="s">
        <v>36</v>
      </c>
      <c r="AH52" s="155">
        <v>1.5999999999999999E-5</v>
      </c>
      <c r="AI52" s="155">
        <v>4.6503573916099597E-3</v>
      </c>
      <c r="AJ52" s="155">
        <v>2.0251289798829202E-3</v>
      </c>
    </row>
    <row r="53" spans="1:36">
      <c r="A53" s="3">
        <v>337</v>
      </c>
      <c r="B53" s="3">
        <v>1405</v>
      </c>
      <c r="C53" s="185" t="s">
        <v>365</v>
      </c>
      <c r="D53" s="3" t="s">
        <v>366</v>
      </c>
      <c r="E53" s="189" t="s">
        <v>118</v>
      </c>
      <c r="F53" s="185" t="s">
        <v>370</v>
      </c>
      <c r="G53" s="3" t="s">
        <v>371</v>
      </c>
      <c r="H53" s="3" t="s">
        <v>121</v>
      </c>
      <c r="I53" s="3" t="s">
        <v>132</v>
      </c>
      <c r="J53" s="3" t="s">
        <v>30</v>
      </c>
      <c r="K53" s="3" t="s">
        <v>30</v>
      </c>
      <c r="L53" s="3" t="s">
        <v>123</v>
      </c>
      <c r="M53" s="3" t="s">
        <v>31</v>
      </c>
      <c r="N53" s="3" t="s">
        <v>152</v>
      </c>
      <c r="O53" s="3" t="s">
        <v>125</v>
      </c>
      <c r="P53" s="3" t="s">
        <v>243</v>
      </c>
      <c r="Q53" s="3" t="s">
        <v>127</v>
      </c>
      <c r="R53" s="3" t="s">
        <v>128</v>
      </c>
      <c r="S53" s="3" t="s">
        <v>34</v>
      </c>
      <c r="T53" s="143">
        <v>7.5019999999999998</v>
      </c>
      <c r="U53" s="3" t="s">
        <v>372</v>
      </c>
      <c r="V53" s="155">
        <v>3.3399999999999999E-2</v>
      </c>
      <c r="W53" s="155">
        <v>3.1140000000000001E-2</v>
      </c>
      <c r="X53" s="5" t="s">
        <v>129</v>
      </c>
      <c r="Y53" s="5" t="s">
        <v>125</v>
      </c>
      <c r="Z53" s="143">
        <v>20000</v>
      </c>
      <c r="AA53" s="153">
        <v>1</v>
      </c>
      <c r="AB53" s="163">
        <v>101.51</v>
      </c>
      <c r="AD53" s="143">
        <v>20.302</v>
      </c>
      <c r="AG53" s="3" t="s">
        <v>36</v>
      </c>
      <c r="AH53" s="155">
        <v>1.3300000000000001E-4</v>
      </c>
      <c r="AI53" s="155">
        <v>6.2114492045280204E-3</v>
      </c>
      <c r="AJ53" s="155">
        <v>2.70495033647415E-3</v>
      </c>
    </row>
    <row r="54" spans="1:36">
      <c r="A54" s="3">
        <v>337</v>
      </c>
      <c r="B54" s="3">
        <v>1405</v>
      </c>
      <c r="C54" s="185" t="s">
        <v>373</v>
      </c>
      <c r="D54" s="3" t="s">
        <v>374</v>
      </c>
      <c r="E54" s="189" t="s">
        <v>118</v>
      </c>
      <c r="F54" s="185" t="s">
        <v>375</v>
      </c>
      <c r="G54" s="3" t="s">
        <v>376</v>
      </c>
      <c r="H54" s="3" t="s">
        <v>121</v>
      </c>
      <c r="I54" s="3" t="s">
        <v>122</v>
      </c>
      <c r="J54" s="3" t="s">
        <v>30</v>
      </c>
      <c r="K54" s="3" t="s">
        <v>30</v>
      </c>
      <c r="L54" s="3" t="s">
        <v>123</v>
      </c>
      <c r="M54" s="3" t="s">
        <v>31</v>
      </c>
      <c r="N54" s="3" t="s">
        <v>377</v>
      </c>
      <c r="O54" s="3" t="s">
        <v>125</v>
      </c>
      <c r="P54" s="3" t="s">
        <v>260</v>
      </c>
      <c r="Q54" s="3" t="s">
        <v>146</v>
      </c>
      <c r="R54" s="3" t="s">
        <v>128</v>
      </c>
      <c r="S54" s="3" t="s">
        <v>34</v>
      </c>
      <c r="T54" s="143">
        <v>5.2539999999999996</v>
      </c>
      <c r="U54" s="3" t="s">
        <v>339</v>
      </c>
      <c r="V54" s="155">
        <v>5.6899999999999999E-2</v>
      </c>
      <c r="W54" s="155">
        <v>5.0369999999999998E-2</v>
      </c>
      <c r="X54" s="5" t="s">
        <v>129</v>
      </c>
      <c r="Y54" s="5" t="s">
        <v>125</v>
      </c>
      <c r="Z54" s="143">
        <v>16000</v>
      </c>
      <c r="AA54" s="153">
        <v>1</v>
      </c>
      <c r="AB54" s="163">
        <v>103.73</v>
      </c>
      <c r="AD54" s="143">
        <v>16.597000000000001</v>
      </c>
      <c r="AG54" s="3" t="s">
        <v>36</v>
      </c>
      <c r="AH54" s="155">
        <v>1.0000000000000001E-5</v>
      </c>
      <c r="AI54" s="155">
        <v>5.0778337187326701E-3</v>
      </c>
      <c r="AJ54" s="155">
        <v>2.2112855750366501E-3</v>
      </c>
    </row>
    <row r="55" spans="1:36">
      <c r="A55" s="3">
        <v>337</v>
      </c>
      <c r="B55" s="3">
        <v>1405</v>
      </c>
      <c r="C55" s="185" t="s">
        <v>373</v>
      </c>
      <c r="D55" s="3" t="s">
        <v>374</v>
      </c>
      <c r="E55" s="189" t="s">
        <v>118</v>
      </c>
      <c r="F55" s="185" t="s">
        <v>378</v>
      </c>
      <c r="G55" s="3" t="s">
        <v>379</v>
      </c>
      <c r="H55" s="3" t="s">
        <v>121</v>
      </c>
      <c r="I55" s="3" t="s">
        <v>122</v>
      </c>
      <c r="J55" s="3" t="s">
        <v>30</v>
      </c>
      <c r="K55" s="3" t="s">
        <v>30</v>
      </c>
      <c r="L55" s="3" t="s">
        <v>123</v>
      </c>
      <c r="M55" s="3" t="s">
        <v>31</v>
      </c>
      <c r="N55" s="3" t="s">
        <v>377</v>
      </c>
      <c r="O55" s="3" t="s">
        <v>125</v>
      </c>
      <c r="P55" s="3" t="s">
        <v>126</v>
      </c>
      <c r="Q55" s="3" t="s">
        <v>127</v>
      </c>
      <c r="R55" s="3" t="s">
        <v>128</v>
      </c>
      <c r="S55" s="3" t="s">
        <v>34</v>
      </c>
      <c r="T55" s="143">
        <v>6.0750000000000002</v>
      </c>
      <c r="U55" s="3" t="s">
        <v>380</v>
      </c>
      <c r="V55" s="155">
        <v>5.6800000000000003E-2</v>
      </c>
      <c r="W55" s="155">
        <v>5.1319999999999998E-2</v>
      </c>
      <c r="X55" s="5" t="s">
        <v>129</v>
      </c>
      <c r="Y55" s="5" t="s">
        <v>125</v>
      </c>
      <c r="Z55" s="143">
        <v>16000</v>
      </c>
      <c r="AA55" s="153">
        <v>1</v>
      </c>
      <c r="AB55" s="163">
        <v>105.5</v>
      </c>
      <c r="AD55" s="143">
        <v>16.88</v>
      </c>
      <c r="AG55" s="3" t="s">
        <v>36</v>
      </c>
      <c r="AH55" s="155">
        <v>9.0000000000000002E-6</v>
      </c>
      <c r="AI55" s="155">
        <v>5.1644794883475998E-3</v>
      </c>
      <c r="AJ55" s="155">
        <v>2.2490179134904802E-3</v>
      </c>
    </row>
    <row r="56" spans="1:36">
      <c r="A56" s="3">
        <v>337</v>
      </c>
      <c r="B56" s="3">
        <v>1405</v>
      </c>
      <c r="C56" s="185" t="s">
        <v>381</v>
      </c>
      <c r="D56" s="3" t="s">
        <v>382</v>
      </c>
      <c r="E56" s="189" t="s">
        <v>118</v>
      </c>
      <c r="F56" s="185" t="s">
        <v>383</v>
      </c>
      <c r="G56" s="3" t="s">
        <v>384</v>
      </c>
      <c r="H56" s="3" t="s">
        <v>121</v>
      </c>
      <c r="I56" s="3" t="s">
        <v>132</v>
      </c>
      <c r="J56" s="3" t="s">
        <v>30</v>
      </c>
      <c r="K56" s="3" t="s">
        <v>30</v>
      </c>
      <c r="L56" s="3" t="s">
        <v>123</v>
      </c>
      <c r="M56" s="3" t="s">
        <v>31</v>
      </c>
      <c r="N56" s="3" t="s">
        <v>171</v>
      </c>
      <c r="O56" s="3" t="s">
        <v>125</v>
      </c>
      <c r="P56" s="3" t="s">
        <v>198</v>
      </c>
      <c r="Q56" s="3" t="s">
        <v>146</v>
      </c>
      <c r="R56" s="3" t="s">
        <v>128</v>
      </c>
      <c r="S56" s="3" t="s">
        <v>34</v>
      </c>
      <c r="T56" s="143">
        <v>1.8959999999999999</v>
      </c>
      <c r="U56" s="3" t="s">
        <v>385</v>
      </c>
      <c r="V56" s="155">
        <v>1.7999999999999999E-2</v>
      </c>
      <c r="W56" s="155">
        <v>2.6780000000000002E-2</v>
      </c>
      <c r="X56" s="5" t="s">
        <v>129</v>
      </c>
      <c r="Y56" s="5" t="s">
        <v>125</v>
      </c>
      <c r="Z56" s="143">
        <v>41549.69</v>
      </c>
      <c r="AA56" s="153">
        <v>1</v>
      </c>
      <c r="AB56" s="163">
        <v>117.12</v>
      </c>
      <c r="AD56" s="143">
        <v>48.662999999999997</v>
      </c>
      <c r="AG56" s="3" t="s">
        <v>36</v>
      </c>
      <c r="AH56" s="155">
        <v>6.0000000000000002E-5</v>
      </c>
      <c r="AI56" s="155">
        <v>1.4888569281764101E-2</v>
      </c>
      <c r="AJ56" s="155">
        <v>6.4836464345500002E-3</v>
      </c>
    </row>
    <row r="57" spans="1:36">
      <c r="A57" s="3">
        <v>337</v>
      </c>
      <c r="B57" s="3">
        <v>1405</v>
      </c>
      <c r="C57" s="185" t="s">
        <v>386</v>
      </c>
      <c r="D57" s="3" t="s">
        <v>387</v>
      </c>
      <c r="E57" s="189" t="s">
        <v>118</v>
      </c>
      <c r="F57" s="185" t="s">
        <v>388</v>
      </c>
      <c r="G57" s="3" t="s">
        <v>389</v>
      </c>
      <c r="H57" s="3" t="s">
        <v>121</v>
      </c>
      <c r="I57" s="3" t="s">
        <v>122</v>
      </c>
      <c r="J57" s="3" t="s">
        <v>30</v>
      </c>
      <c r="K57" s="3" t="s">
        <v>30</v>
      </c>
      <c r="L57" s="3" t="s">
        <v>123</v>
      </c>
      <c r="M57" s="3" t="s">
        <v>31</v>
      </c>
      <c r="N57" s="3" t="s">
        <v>159</v>
      </c>
      <c r="O57" s="3" t="s">
        <v>125</v>
      </c>
      <c r="P57" s="3" t="s">
        <v>165</v>
      </c>
      <c r="Q57" s="3" t="s">
        <v>146</v>
      </c>
      <c r="R57" s="3" t="s">
        <v>128</v>
      </c>
      <c r="S57" s="3" t="s">
        <v>34</v>
      </c>
      <c r="T57" s="143">
        <v>6.5590000000000002</v>
      </c>
      <c r="U57" s="3" t="s">
        <v>288</v>
      </c>
      <c r="V57" s="155">
        <v>6.0199999999999997E-2</v>
      </c>
      <c r="W57" s="155">
        <v>4.4139999999999999E-2</v>
      </c>
      <c r="X57" s="5" t="s">
        <v>129</v>
      </c>
      <c r="Y57" s="5" t="s">
        <v>125</v>
      </c>
      <c r="Z57" s="143">
        <v>28307</v>
      </c>
      <c r="AA57" s="153">
        <v>1</v>
      </c>
      <c r="AB57" s="163">
        <v>111.05</v>
      </c>
      <c r="AD57" s="143">
        <v>31.434999999999999</v>
      </c>
      <c r="AG57" s="3" t="s">
        <v>36</v>
      </c>
      <c r="AH57" s="155">
        <v>5.7000000000000003E-5</v>
      </c>
      <c r="AI57" s="155">
        <v>9.6175958313700193E-3</v>
      </c>
      <c r="AJ57" s="155">
        <v>4.1882527287146198E-3</v>
      </c>
    </row>
    <row r="58" spans="1:36">
      <c r="A58" s="3">
        <v>337</v>
      </c>
      <c r="B58" s="3">
        <v>1405</v>
      </c>
      <c r="C58" s="185" t="s">
        <v>386</v>
      </c>
      <c r="D58" s="3" t="s">
        <v>387</v>
      </c>
      <c r="E58" s="189" t="s">
        <v>118</v>
      </c>
      <c r="F58" s="185" t="s">
        <v>390</v>
      </c>
      <c r="G58" s="3" t="s">
        <v>391</v>
      </c>
      <c r="H58" s="3" t="s">
        <v>121</v>
      </c>
      <c r="I58" s="3" t="s">
        <v>122</v>
      </c>
      <c r="J58" s="3" t="s">
        <v>30</v>
      </c>
      <c r="K58" s="3" t="s">
        <v>30</v>
      </c>
      <c r="L58" s="3" t="s">
        <v>123</v>
      </c>
      <c r="M58" s="3" t="s">
        <v>31</v>
      </c>
      <c r="N58" s="3" t="s">
        <v>159</v>
      </c>
      <c r="O58" s="3" t="s">
        <v>125</v>
      </c>
      <c r="P58" s="3" t="s">
        <v>145</v>
      </c>
      <c r="Q58" s="3" t="s">
        <v>146</v>
      </c>
      <c r="R58" s="3" t="s">
        <v>128</v>
      </c>
      <c r="S58" s="3" t="s">
        <v>34</v>
      </c>
      <c r="T58" s="143">
        <v>7.5170000000000003</v>
      </c>
      <c r="U58" s="3" t="s">
        <v>392</v>
      </c>
      <c r="V58" s="155">
        <v>5.8500000000000003E-2</v>
      </c>
      <c r="W58" s="155">
        <v>4.795E-2</v>
      </c>
      <c r="X58" s="5" t="s">
        <v>129</v>
      </c>
      <c r="Y58" s="5" t="s">
        <v>125</v>
      </c>
      <c r="Z58" s="143">
        <v>18000</v>
      </c>
      <c r="AA58" s="153">
        <v>1</v>
      </c>
      <c r="AB58" s="163">
        <v>108.42</v>
      </c>
      <c r="AD58" s="143">
        <v>19.515999999999998</v>
      </c>
      <c r="AG58" s="3" t="s">
        <v>36</v>
      </c>
      <c r="AH58" s="155">
        <v>1.8E-5</v>
      </c>
      <c r="AI58" s="155">
        <v>5.9708480985068996E-3</v>
      </c>
      <c r="AJ58" s="155">
        <v>2.60017381472244E-3</v>
      </c>
    </row>
    <row r="59" spans="1:36">
      <c r="A59" s="3">
        <v>337</v>
      </c>
      <c r="B59" s="3">
        <v>1405</v>
      </c>
      <c r="C59" s="185" t="s">
        <v>393</v>
      </c>
      <c r="D59" s="3" t="s">
        <v>394</v>
      </c>
      <c r="E59" s="189" t="s">
        <v>118</v>
      </c>
      <c r="F59" s="185" t="s">
        <v>395</v>
      </c>
      <c r="G59" s="3" t="s">
        <v>396</v>
      </c>
      <c r="H59" s="3" t="s">
        <v>121</v>
      </c>
      <c r="I59" s="3" t="s">
        <v>132</v>
      </c>
      <c r="J59" s="3" t="s">
        <v>30</v>
      </c>
      <c r="K59" s="3" t="s">
        <v>30</v>
      </c>
      <c r="L59" s="3" t="s">
        <v>123</v>
      </c>
      <c r="M59" s="3" t="s">
        <v>31</v>
      </c>
      <c r="N59" s="3" t="s">
        <v>171</v>
      </c>
      <c r="O59" s="3" t="s">
        <v>125</v>
      </c>
      <c r="P59" s="3" t="s">
        <v>126</v>
      </c>
      <c r="Q59" s="3" t="s">
        <v>127</v>
      </c>
      <c r="R59" s="3" t="s">
        <v>128</v>
      </c>
      <c r="S59" s="3" t="s">
        <v>34</v>
      </c>
      <c r="T59" s="143">
        <v>4.6909999999999998</v>
      </c>
      <c r="U59" s="3" t="s">
        <v>397</v>
      </c>
      <c r="V59" s="155">
        <v>3.1800000000000002E-2</v>
      </c>
      <c r="W59" s="155">
        <v>2.7150000000000001E-2</v>
      </c>
      <c r="X59" s="5" t="s">
        <v>129</v>
      </c>
      <c r="Y59" s="5" t="s">
        <v>125</v>
      </c>
      <c r="Z59" s="143">
        <v>21000</v>
      </c>
      <c r="AA59" s="153">
        <v>1</v>
      </c>
      <c r="AB59" s="163">
        <v>104.97</v>
      </c>
      <c r="AD59" s="143">
        <v>22.044</v>
      </c>
      <c r="AG59" s="3" t="s">
        <v>36</v>
      </c>
      <c r="AH59" s="155">
        <v>9.3999999999999994E-5</v>
      </c>
      <c r="AI59" s="155">
        <v>6.7443268067113801E-3</v>
      </c>
      <c r="AJ59" s="155">
        <v>2.93700688267832E-3</v>
      </c>
    </row>
    <row r="60" spans="1:36">
      <c r="A60" s="3">
        <v>337</v>
      </c>
      <c r="B60" s="3">
        <v>1405</v>
      </c>
      <c r="C60" s="185" t="s">
        <v>398</v>
      </c>
      <c r="D60" s="3" t="s">
        <v>399</v>
      </c>
      <c r="E60" s="189" t="s">
        <v>118</v>
      </c>
      <c r="F60" s="185" t="s">
        <v>400</v>
      </c>
      <c r="G60" s="3" t="s">
        <v>401</v>
      </c>
      <c r="H60" s="3" t="s">
        <v>121</v>
      </c>
      <c r="I60" s="3" t="s">
        <v>132</v>
      </c>
      <c r="J60" s="3" t="s">
        <v>30</v>
      </c>
      <c r="K60" s="3" t="s">
        <v>30</v>
      </c>
      <c r="L60" s="3" t="s">
        <v>123</v>
      </c>
      <c r="M60" s="3" t="s">
        <v>31</v>
      </c>
      <c r="N60" s="3" t="s">
        <v>152</v>
      </c>
      <c r="O60" s="3" t="s">
        <v>125</v>
      </c>
      <c r="P60" s="3" t="s">
        <v>357</v>
      </c>
      <c r="Q60" s="3" t="s">
        <v>146</v>
      </c>
      <c r="R60" s="3" t="s">
        <v>128</v>
      </c>
      <c r="S60" s="3" t="s">
        <v>34</v>
      </c>
      <c r="T60" s="143">
        <v>9.7279999999999998</v>
      </c>
      <c r="U60" s="3" t="s">
        <v>402</v>
      </c>
      <c r="V60" s="155">
        <v>3.2000000000000001E-2</v>
      </c>
      <c r="W60" s="155">
        <v>2.572E-2</v>
      </c>
      <c r="X60" s="5" t="s">
        <v>129</v>
      </c>
      <c r="Y60" s="5" t="s">
        <v>125</v>
      </c>
      <c r="Z60" s="143">
        <v>26000</v>
      </c>
      <c r="AA60" s="153">
        <v>1</v>
      </c>
      <c r="AB60" s="163">
        <v>113.96</v>
      </c>
      <c r="AD60" s="143">
        <v>29.63</v>
      </c>
      <c r="AG60" s="3" t="s">
        <v>36</v>
      </c>
      <c r="AH60" s="155">
        <v>5.0000000000000004E-6</v>
      </c>
      <c r="AI60" s="155">
        <v>9.0652524554469208E-3</v>
      </c>
      <c r="AJ60" s="155">
        <v>3.9477192635993703E-3</v>
      </c>
    </row>
    <row r="61" spans="1:36">
      <c r="A61" s="3">
        <v>337</v>
      </c>
      <c r="B61" s="3">
        <v>1405</v>
      </c>
      <c r="C61" s="185" t="s">
        <v>398</v>
      </c>
      <c r="D61" s="3" t="s">
        <v>399</v>
      </c>
      <c r="E61" s="189" t="s">
        <v>118</v>
      </c>
      <c r="F61" s="185" t="s">
        <v>403</v>
      </c>
      <c r="G61" s="3" t="s">
        <v>404</v>
      </c>
      <c r="H61" s="3" t="s">
        <v>121</v>
      </c>
      <c r="I61" s="3" t="s">
        <v>132</v>
      </c>
      <c r="J61" s="3" t="s">
        <v>30</v>
      </c>
      <c r="K61" s="3" t="s">
        <v>30</v>
      </c>
      <c r="L61" s="3" t="s">
        <v>123</v>
      </c>
      <c r="M61" s="3" t="s">
        <v>31</v>
      </c>
      <c r="N61" s="3" t="s">
        <v>152</v>
      </c>
      <c r="O61" s="3" t="s">
        <v>125</v>
      </c>
      <c r="P61" s="3" t="s">
        <v>357</v>
      </c>
      <c r="Q61" s="3" t="s">
        <v>146</v>
      </c>
      <c r="R61" s="3" t="s">
        <v>128</v>
      </c>
      <c r="S61" s="3" t="s">
        <v>34</v>
      </c>
      <c r="T61" s="143">
        <v>7.452</v>
      </c>
      <c r="U61" s="3" t="s">
        <v>405</v>
      </c>
      <c r="V61" s="155">
        <v>2.9899999999999999E-2</v>
      </c>
      <c r="W61" s="155">
        <v>2.4979999999999999E-2</v>
      </c>
      <c r="X61" s="5" t="s">
        <v>129</v>
      </c>
      <c r="Y61" s="5" t="s">
        <v>125</v>
      </c>
      <c r="Z61" s="143">
        <v>3000</v>
      </c>
      <c r="AA61" s="153">
        <v>1</v>
      </c>
      <c r="AB61" s="163">
        <v>105.86</v>
      </c>
      <c r="AD61" s="143">
        <v>3.1760000000000002</v>
      </c>
      <c r="AG61" s="3" t="s">
        <v>36</v>
      </c>
      <c r="AH61" s="155">
        <v>7.9999999999999996E-6</v>
      </c>
      <c r="AI61" s="155">
        <v>9.7164419188947298E-4</v>
      </c>
      <c r="AJ61" s="155">
        <v>4.2312980388999099E-4</v>
      </c>
    </row>
    <row r="62" spans="1:36">
      <c r="A62" s="3">
        <v>337</v>
      </c>
      <c r="B62" s="3">
        <v>1405</v>
      </c>
      <c r="C62" s="185" t="s">
        <v>406</v>
      </c>
      <c r="D62" s="3" t="s">
        <v>407</v>
      </c>
      <c r="E62" s="189" t="s">
        <v>269</v>
      </c>
      <c r="F62" s="185" t="s">
        <v>408</v>
      </c>
      <c r="G62" s="3" t="s">
        <v>409</v>
      </c>
      <c r="H62" s="3" t="s">
        <v>121</v>
      </c>
      <c r="I62" s="3" t="s">
        <v>410</v>
      </c>
      <c r="J62" s="3" t="s">
        <v>30</v>
      </c>
      <c r="K62" s="3" t="s">
        <v>80</v>
      </c>
      <c r="L62" s="3" t="s">
        <v>123</v>
      </c>
      <c r="M62" s="3" t="s">
        <v>31</v>
      </c>
      <c r="N62" s="3" t="s">
        <v>139</v>
      </c>
      <c r="O62" s="3" t="s">
        <v>125</v>
      </c>
      <c r="P62" s="3" t="s">
        <v>145</v>
      </c>
      <c r="Q62" s="3" t="s">
        <v>146</v>
      </c>
      <c r="R62" s="3" t="s">
        <v>128</v>
      </c>
      <c r="S62" s="3" t="s">
        <v>84</v>
      </c>
      <c r="T62" s="143">
        <v>1.1240000000000001</v>
      </c>
      <c r="U62" s="3" t="s">
        <v>411</v>
      </c>
      <c r="V62" s="155">
        <v>4.7199999999999999E-2</v>
      </c>
      <c r="W62" s="155">
        <v>6.4030000000000004E-2</v>
      </c>
      <c r="X62" s="5" t="s">
        <v>129</v>
      </c>
      <c r="Y62" s="5" t="s">
        <v>125</v>
      </c>
      <c r="Z62" s="143">
        <v>18000</v>
      </c>
      <c r="AA62" s="153">
        <v>3.19</v>
      </c>
      <c r="AB62" s="163">
        <v>31.187999999999999</v>
      </c>
      <c r="AD62" s="143">
        <v>17.908000000000001</v>
      </c>
      <c r="AG62" s="3" t="s">
        <v>36</v>
      </c>
      <c r="AH62" s="155">
        <v>5.5000000000000002E-5</v>
      </c>
      <c r="AI62" s="155">
        <v>5.4790599273238398E-3</v>
      </c>
      <c r="AJ62" s="155">
        <v>2.3860108174389898E-3</v>
      </c>
    </row>
    <row r="63" spans="1:36">
      <c r="A63" s="3">
        <v>337</v>
      </c>
      <c r="B63" s="3">
        <v>1405</v>
      </c>
      <c r="C63" s="185" t="s">
        <v>412</v>
      </c>
      <c r="D63" s="3" t="s">
        <v>413</v>
      </c>
      <c r="E63" s="189" t="s">
        <v>118</v>
      </c>
      <c r="F63" s="185" t="s">
        <v>414</v>
      </c>
      <c r="G63" s="3" t="s">
        <v>415</v>
      </c>
      <c r="H63" s="3" t="s">
        <v>121</v>
      </c>
      <c r="I63" s="3" t="s">
        <v>122</v>
      </c>
      <c r="J63" s="3" t="s">
        <v>30</v>
      </c>
      <c r="K63" s="3" t="s">
        <v>30</v>
      </c>
      <c r="L63" s="3" t="s">
        <v>123</v>
      </c>
      <c r="M63" s="3" t="s">
        <v>31</v>
      </c>
      <c r="N63" s="3" t="s">
        <v>124</v>
      </c>
      <c r="O63" s="3" t="s">
        <v>125</v>
      </c>
      <c r="P63" s="3" t="s">
        <v>178</v>
      </c>
      <c r="Q63" s="3" t="s">
        <v>178</v>
      </c>
      <c r="R63" s="3" t="s">
        <v>178</v>
      </c>
      <c r="S63" s="3" t="s">
        <v>34</v>
      </c>
      <c r="T63" s="143">
        <v>0.50700000000000001</v>
      </c>
      <c r="U63" s="3" t="s">
        <v>416</v>
      </c>
      <c r="V63" s="155">
        <v>5.6000000000000001E-2</v>
      </c>
      <c r="W63" s="155">
        <v>6.7129999999999995E-2</v>
      </c>
      <c r="X63" s="5" t="s">
        <v>129</v>
      </c>
      <c r="Y63" s="5" t="s">
        <v>125</v>
      </c>
      <c r="Z63" s="143">
        <v>13600</v>
      </c>
      <c r="AA63" s="153">
        <v>1</v>
      </c>
      <c r="AB63" s="163">
        <v>99.47</v>
      </c>
      <c r="AC63" s="143">
        <v>0.38100000000000001</v>
      </c>
      <c r="AD63" s="143">
        <v>13.909000000000001</v>
      </c>
      <c r="AG63" s="3" t="s">
        <v>36</v>
      </c>
      <c r="AH63" s="155">
        <v>1E-4</v>
      </c>
      <c r="AI63" s="155">
        <v>4.2554087173678904E-3</v>
      </c>
      <c r="AJ63" s="155">
        <v>1.8531374664527999E-3</v>
      </c>
    </row>
    <row r="64" spans="1:36">
      <c r="A64" s="3">
        <v>337</v>
      </c>
      <c r="B64" s="3">
        <v>1405</v>
      </c>
      <c r="C64" s="185" t="s">
        <v>417</v>
      </c>
      <c r="D64" s="3" t="s">
        <v>418</v>
      </c>
      <c r="E64" s="189" t="s">
        <v>118</v>
      </c>
      <c r="F64" s="185" t="s">
        <v>419</v>
      </c>
      <c r="G64" s="3" t="s">
        <v>420</v>
      </c>
      <c r="H64" s="3" t="s">
        <v>121</v>
      </c>
      <c r="I64" s="3" t="s">
        <v>122</v>
      </c>
      <c r="J64" s="3" t="s">
        <v>30</v>
      </c>
      <c r="K64" s="3" t="s">
        <v>30</v>
      </c>
      <c r="L64" s="3" t="s">
        <v>123</v>
      </c>
      <c r="M64" s="3" t="s">
        <v>31</v>
      </c>
      <c r="N64" s="3" t="s">
        <v>421</v>
      </c>
      <c r="O64" s="3" t="s">
        <v>125</v>
      </c>
      <c r="P64" s="3" t="s">
        <v>422</v>
      </c>
      <c r="Q64" s="3" t="s">
        <v>127</v>
      </c>
      <c r="R64" s="3" t="s">
        <v>128</v>
      </c>
      <c r="S64" s="3" t="s">
        <v>34</v>
      </c>
      <c r="T64" s="143">
        <v>3.2320000000000002</v>
      </c>
      <c r="U64" s="3" t="s">
        <v>423</v>
      </c>
      <c r="V64" s="155">
        <v>3.9399999999999998E-2</v>
      </c>
      <c r="W64" s="155">
        <v>4.3380000000000002E-2</v>
      </c>
      <c r="X64" s="5" t="s">
        <v>129</v>
      </c>
      <c r="Y64" s="5" t="s">
        <v>125</v>
      </c>
      <c r="Z64" s="143">
        <v>1173.9000000000001</v>
      </c>
      <c r="AA64" s="153">
        <v>1</v>
      </c>
      <c r="AB64" s="163">
        <v>98.89</v>
      </c>
      <c r="AC64" s="143">
        <v>0.115</v>
      </c>
      <c r="AD64" s="143">
        <v>1.276</v>
      </c>
      <c r="AG64" s="3" t="s">
        <v>36</v>
      </c>
      <c r="AH64" s="155">
        <v>9.0000000000000002E-6</v>
      </c>
      <c r="AI64" s="155">
        <v>3.9041681534340503E-4</v>
      </c>
      <c r="AJ64" s="155">
        <v>1.7001798795335301E-4</v>
      </c>
    </row>
    <row r="65" spans="1:36">
      <c r="A65" s="3">
        <v>337</v>
      </c>
      <c r="B65" s="3">
        <v>1405</v>
      </c>
      <c r="C65" s="185" t="s">
        <v>424</v>
      </c>
      <c r="D65" s="3" t="s">
        <v>425</v>
      </c>
      <c r="E65" s="189" t="s">
        <v>118</v>
      </c>
      <c r="F65" s="185" t="s">
        <v>426</v>
      </c>
      <c r="G65" s="3" t="s">
        <v>427</v>
      </c>
      <c r="H65" s="3" t="s">
        <v>121</v>
      </c>
      <c r="I65" s="3" t="s">
        <v>132</v>
      </c>
      <c r="J65" s="3" t="s">
        <v>30</v>
      </c>
      <c r="K65" s="3" t="s">
        <v>30</v>
      </c>
      <c r="L65" s="3" t="s">
        <v>123</v>
      </c>
      <c r="M65" s="3" t="s">
        <v>31</v>
      </c>
      <c r="N65" s="3" t="s">
        <v>316</v>
      </c>
      <c r="O65" s="3" t="s">
        <v>125</v>
      </c>
      <c r="P65" s="3" t="s">
        <v>145</v>
      </c>
      <c r="Q65" s="3" t="s">
        <v>146</v>
      </c>
      <c r="R65" s="3" t="s">
        <v>128</v>
      </c>
      <c r="S65" s="3" t="s">
        <v>34</v>
      </c>
      <c r="T65" s="143">
        <v>3.3780000000000001</v>
      </c>
      <c r="U65" s="3" t="s">
        <v>428</v>
      </c>
      <c r="V65" s="155">
        <v>2.5899999999999999E-2</v>
      </c>
      <c r="W65" s="155">
        <v>2.3769999999999999E-2</v>
      </c>
      <c r="X65" s="5" t="s">
        <v>129</v>
      </c>
      <c r="Y65" s="5" t="s">
        <v>125</v>
      </c>
      <c r="Z65" s="143">
        <v>10000</v>
      </c>
      <c r="AA65" s="153">
        <v>1</v>
      </c>
      <c r="AB65" s="163">
        <v>108.83</v>
      </c>
      <c r="AD65" s="143">
        <v>10.882999999999999</v>
      </c>
      <c r="AG65" s="3" t="s">
        <v>36</v>
      </c>
      <c r="AH65" s="155">
        <v>1.5E-5</v>
      </c>
      <c r="AI65" s="155">
        <v>3.3296818881331102E-3</v>
      </c>
      <c r="AJ65" s="155">
        <v>1.4500036701727999E-3</v>
      </c>
    </row>
    <row r="66" spans="1:36">
      <c r="A66" s="3">
        <v>337</v>
      </c>
      <c r="B66" s="3">
        <v>1405</v>
      </c>
      <c r="C66" s="185" t="s">
        <v>429</v>
      </c>
      <c r="D66" s="3" t="s">
        <v>430</v>
      </c>
      <c r="E66" s="189" t="s">
        <v>118</v>
      </c>
      <c r="F66" s="185" t="s">
        <v>431</v>
      </c>
      <c r="G66" s="3" t="s">
        <v>432</v>
      </c>
      <c r="H66" s="3" t="s">
        <v>121</v>
      </c>
      <c r="I66" s="3" t="s">
        <v>132</v>
      </c>
      <c r="J66" s="3" t="s">
        <v>30</v>
      </c>
      <c r="K66" s="3" t="s">
        <v>30</v>
      </c>
      <c r="L66" s="3" t="s">
        <v>123</v>
      </c>
      <c r="M66" s="3" t="s">
        <v>31</v>
      </c>
      <c r="N66" s="3" t="s">
        <v>171</v>
      </c>
      <c r="O66" s="3" t="s">
        <v>125</v>
      </c>
      <c r="P66" s="3" t="s">
        <v>178</v>
      </c>
      <c r="Q66" s="3" t="s">
        <v>178</v>
      </c>
      <c r="R66" s="3" t="s">
        <v>178</v>
      </c>
      <c r="S66" s="3" t="s">
        <v>34</v>
      </c>
      <c r="T66" s="143">
        <v>1.9019999999999999</v>
      </c>
      <c r="U66" s="3" t="s">
        <v>385</v>
      </c>
      <c r="V66" s="155">
        <v>4.4999999999999998E-2</v>
      </c>
      <c r="W66" s="155">
        <v>3.2640000000000002E-2</v>
      </c>
      <c r="X66" s="5" t="s">
        <v>129</v>
      </c>
      <c r="Y66" s="5" t="s">
        <v>125</v>
      </c>
      <c r="Z66" s="143">
        <v>16000</v>
      </c>
      <c r="AA66" s="153">
        <v>1</v>
      </c>
      <c r="AB66" s="163">
        <v>108.81</v>
      </c>
      <c r="AD66" s="143">
        <v>17.41</v>
      </c>
      <c r="AG66" s="3" t="s">
        <v>36</v>
      </c>
      <c r="AH66" s="155">
        <v>1.5999999999999999E-5</v>
      </c>
      <c r="AI66" s="155">
        <v>5.3265119727687396E-3</v>
      </c>
      <c r="AJ66" s="155">
        <v>2.31957951816966E-3</v>
      </c>
    </row>
    <row r="67" spans="1:36">
      <c r="A67" s="3">
        <v>337</v>
      </c>
      <c r="B67" s="3">
        <v>1405</v>
      </c>
      <c r="C67" s="185" t="s">
        <v>433</v>
      </c>
      <c r="D67" s="3" t="s">
        <v>434</v>
      </c>
      <c r="E67" s="189" t="s">
        <v>118</v>
      </c>
      <c r="F67" s="185" t="s">
        <v>435</v>
      </c>
      <c r="G67" s="3" t="s">
        <v>436</v>
      </c>
      <c r="H67" s="3" t="s">
        <v>121</v>
      </c>
      <c r="I67" s="3" t="s">
        <v>122</v>
      </c>
      <c r="J67" s="3" t="s">
        <v>30</v>
      </c>
      <c r="K67" s="3" t="s">
        <v>30</v>
      </c>
      <c r="L67" s="3" t="s">
        <v>123</v>
      </c>
      <c r="M67" s="3" t="s">
        <v>31</v>
      </c>
      <c r="N67" s="3" t="s">
        <v>124</v>
      </c>
      <c r="O67" s="3" t="s">
        <v>125</v>
      </c>
      <c r="P67" s="3" t="s">
        <v>260</v>
      </c>
      <c r="Q67" s="3" t="s">
        <v>146</v>
      </c>
      <c r="R67" s="3" t="s">
        <v>128</v>
      </c>
      <c r="S67" s="3" t="s">
        <v>34</v>
      </c>
      <c r="T67" s="143">
        <v>0.97599999999999998</v>
      </c>
      <c r="U67" s="3" t="s">
        <v>244</v>
      </c>
      <c r="V67" s="155">
        <v>3.95E-2</v>
      </c>
      <c r="W67" s="155">
        <v>5.0709999999999998E-2</v>
      </c>
      <c r="X67" s="5" t="s">
        <v>129</v>
      </c>
      <c r="Y67" s="5" t="s">
        <v>125</v>
      </c>
      <c r="Z67" s="143">
        <v>20300</v>
      </c>
      <c r="AA67" s="153">
        <v>1</v>
      </c>
      <c r="AB67" s="163">
        <v>99.02</v>
      </c>
      <c r="AD67" s="143">
        <v>20.100999999999999</v>
      </c>
      <c r="AG67" s="3" t="s">
        <v>36</v>
      </c>
      <c r="AH67" s="155">
        <v>3.4999999999999997E-5</v>
      </c>
      <c r="AI67" s="155">
        <v>6.1499710938414899E-3</v>
      </c>
      <c r="AJ67" s="155">
        <v>2.6781779632788398E-3</v>
      </c>
    </row>
    <row r="68" spans="1:36">
      <c r="A68" s="3">
        <v>337</v>
      </c>
      <c r="B68" s="3">
        <v>1405</v>
      </c>
      <c r="C68" s="185" t="s">
        <v>437</v>
      </c>
      <c r="D68" s="3" t="s">
        <v>438</v>
      </c>
      <c r="E68" s="189" t="s">
        <v>439</v>
      </c>
      <c r="F68" s="185" t="s">
        <v>440</v>
      </c>
      <c r="G68" s="3" t="s">
        <v>441</v>
      </c>
      <c r="H68" s="3" t="s">
        <v>121</v>
      </c>
      <c r="I68" s="3" t="s">
        <v>122</v>
      </c>
      <c r="J68" s="3" t="s">
        <v>30</v>
      </c>
      <c r="K68" s="3" t="s">
        <v>30</v>
      </c>
      <c r="L68" s="3" t="s">
        <v>123</v>
      </c>
      <c r="M68" s="3" t="s">
        <v>31</v>
      </c>
      <c r="N68" s="3" t="s">
        <v>377</v>
      </c>
      <c r="O68" s="3" t="s">
        <v>125</v>
      </c>
      <c r="P68" s="3" t="s">
        <v>165</v>
      </c>
      <c r="Q68" s="3" t="s">
        <v>146</v>
      </c>
      <c r="R68" s="3" t="s">
        <v>128</v>
      </c>
      <c r="S68" s="3" t="s">
        <v>34</v>
      </c>
      <c r="T68" s="143">
        <v>2.62</v>
      </c>
      <c r="U68" s="3" t="s">
        <v>442</v>
      </c>
      <c r="V68" s="155">
        <v>2.24E-2</v>
      </c>
      <c r="W68" s="155">
        <v>4.2799999999999998E-2</v>
      </c>
      <c r="X68" s="5" t="s">
        <v>129</v>
      </c>
      <c r="Y68" s="5" t="s">
        <v>125</v>
      </c>
      <c r="Z68" s="143">
        <v>44725.42</v>
      </c>
      <c r="AA68" s="153">
        <v>1</v>
      </c>
      <c r="AB68" s="163">
        <v>95.43</v>
      </c>
      <c r="AD68" s="143">
        <v>42.680999999999997</v>
      </c>
      <c r="AG68" s="3" t="s">
        <v>36</v>
      </c>
      <c r="AH68" s="155">
        <v>8.7999999999999998E-5</v>
      </c>
      <c r="AI68" s="155">
        <v>1.3058505189507999E-2</v>
      </c>
      <c r="AJ68" s="155">
        <v>5.6866935304662296E-3</v>
      </c>
    </row>
    <row r="69" spans="1:36">
      <c r="A69" s="3">
        <v>337</v>
      </c>
      <c r="B69" s="3">
        <v>1405</v>
      </c>
      <c r="C69" s="185" t="s">
        <v>443</v>
      </c>
      <c r="D69" s="3" t="s">
        <v>444</v>
      </c>
      <c r="E69" s="189" t="s">
        <v>118</v>
      </c>
      <c r="F69" s="185" t="s">
        <v>445</v>
      </c>
      <c r="G69" s="3" t="s">
        <v>446</v>
      </c>
      <c r="H69" s="3" t="s">
        <v>121</v>
      </c>
      <c r="I69" s="3" t="s">
        <v>132</v>
      </c>
      <c r="J69" s="3" t="s">
        <v>30</v>
      </c>
      <c r="K69" s="3" t="s">
        <v>30</v>
      </c>
      <c r="L69" s="3" t="s">
        <v>123</v>
      </c>
      <c r="M69" s="3" t="s">
        <v>31</v>
      </c>
      <c r="N69" s="3" t="s">
        <v>171</v>
      </c>
      <c r="O69" s="3" t="s">
        <v>125</v>
      </c>
      <c r="P69" s="3" t="s">
        <v>165</v>
      </c>
      <c r="Q69" s="3" t="s">
        <v>146</v>
      </c>
      <c r="R69" s="3" t="s">
        <v>128</v>
      </c>
      <c r="S69" s="3" t="s">
        <v>34</v>
      </c>
      <c r="T69" s="143">
        <v>1.2669999999999999</v>
      </c>
      <c r="U69" s="3" t="s">
        <v>447</v>
      </c>
      <c r="V69" s="155">
        <v>1.5800000000000002E-2</v>
      </c>
      <c r="W69" s="155">
        <v>2.6530000000000001E-2</v>
      </c>
      <c r="X69" s="5" t="s">
        <v>129</v>
      </c>
      <c r="Y69" s="5" t="s">
        <v>125</v>
      </c>
      <c r="Z69" s="143">
        <v>0.26</v>
      </c>
      <c r="AA69" s="153">
        <v>1</v>
      </c>
      <c r="AB69" s="163">
        <v>117.8</v>
      </c>
      <c r="AD69" s="143">
        <v>0</v>
      </c>
      <c r="AG69" s="3" t="s">
        <v>36</v>
      </c>
      <c r="AH69" s="155">
        <v>0</v>
      </c>
      <c r="AI69" s="155">
        <v>9.3707155076487101E-8</v>
      </c>
      <c r="AJ69" s="155">
        <v>4.0807417449280999E-8</v>
      </c>
    </row>
    <row r="70" spans="1:36">
      <c r="A70" s="3">
        <v>337</v>
      </c>
      <c r="B70" s="3">
        <v>1405</v>
      </c>
      <c r="C70" s="185" t="s">
        <v>443</v>
      </c>
      <c r="D70" s="3" t="s">
        <v>444</v>
      </c>
      <c r="E70" s="189" t="s">
        <v>118</v>
      </c>
      <c r="F70" s="185" t="s">
        <v>448</v>
      </c>
      <c r="G70" s="3" t="s">
        <v>449</v>
      </c>
      <c r="H70" s="3" t="s">
        <v>121</v>
      </c>
      <c r="I70" s="3" t="s">
        <v>132</v>
      </c>
      <c r="J70" s="3" t="s">
        <v>30</v>
      </c>
      <c r="K70" s="3" t="s">
        <v>30</v>
      </c>
      <c r="L70" s="3" t="s">
        <v>123</v>
      </c>
      <c r="M70" s="3" t="s">
        <v>31</v>
      </c>
      <c r="N70" s="3" t="s">
        <v>171</v>
      </c>
      <c r="O70" s="3" t="s">
        <v>125</v>
      </c>
      <c r="P70" s="3" t="s">
        <v>145</v>
      </c>
      <c r="Q70" s="3" t="s">
        <v>146</v>
      </c>
      <c r="R70" s="3" t="s">
        <v>128</v>
      </c>
      <c r="S70" s="3" t="s">
        <v>34</v>
      </c>
      <c r="T70" s="143">
        <v>2.984</v>
      </c>
      <c r="U70" s="3" t="s">
        <v>450</v>
      </c>
      <c r="V70" s="155">
        <v>2.4E-2</v>
      </c>
      <c r="W70" s="155">
        <v>2.5420000000000002E-2</v>
      </c>
      <c r="X70" s="5" t="s">
        <v>129</v>
      </c>
      <c r="Y70" s="5" t="s">
        <v>125</v>
      </c>
      <c r="Z70" s="143">
        <v>22894.74</v>
      </c>
      <c r="AA70" s="153">
        <v>1</v>
      </c>
      <c r="AB70" s="163">
        <v>119.77</v>
      </c>
      <c r="AD70" s="143">
        <v>27.420999999999999</v>
      </c>
      <c r="AG70" s="3" t="s">
        <v>36</v>
      </c>
      <c r="AH70" s="155">
        <v>2.1999999999999999E-5</v>
      </c>
      <c r="AI70" s="155">
        <v>8.3895348039385795E-3</v>
      </c>
      <c r="AJ70" s="155">
        <v>3.6534589986234301E-3</v>
      </c>
    </row>
    <row r="71" spans="1:36">
      <c r="A71" s="3">
        <v>337</v>
      </c>
      <c r="B71" s="3">
        <v>1405</v>
      </c>
      <c r="C71" s="185" t="s">
        <v>443</v>
      </c>
      <c r="D71" s="3" t="s">
        <v>444</v>
      </c>
      <c r="E71" s="189" t="s">
        <v>118</v>
      </c>
      <c r="F71" s="185" t="s">
        <v>451</v>
      </c>
      <c r="G71" s="3" t="s">
        <v>452</v>
      </c>
      <c r="H71" s="3" t="s">
        <v>121</v>
      </c>
      <c r="I71" s="3" t="s">
        <v>132</v>
      </c>
      <c r="J71" s="3" t="s">
        <v>30</v>
      </c>
      <c r="K71" s="3" t="s">
        <v>30</v>
      </c>
      <c r="L71" s="3" t="s">
        <v>123</v>
      </c>
      <c r="M71" s="3" t="s">
        <v>31</v>
      </c>
      <c r="N71" s="3" t="s">
        <v>171</v>
      </c>
      <c r="O71" s="3" t="s">
        <v>125</v>
      </c>
      <c r="P71" s="3" t="s">
        <v>165</v>
      </c>
      <c r="Q71" s="3" t="s">
        <v>146</v>
      </c>
      <c r="R71" s="3" t="s">
        <v>128</v>
      </c>
      <c r="S71" s="3" t="s">
        <v>34</v>
      </c>
      <c r="T71" s="143">
        <v>3.9</v>
      </c>
      <c r="U71" s="3" t="s">
        <v>453</v>
      </c>
      <c r="V71" s="155">
        <v>8.3999999999999995E-3</v>
      </c>
      <c r="W71" s="155">
        <v>2.4899999999999999E-2</v>
      </c>
      <c r="X71" s="5" t="s">
        <v>129</v>
      </c>
      <c r="Y71" s="5" t="s">
        <v>125</v>
      </c>
      <c r="Z71" s="143">
        <v>19824.18</v>
      </c>
      <c r="AA71" s="153">
        <v>1</v>
      </c>
      <c r="AB71" s="163">
        <v>110.04</v>
      </c>
      <c r="AD71" s="143">
        <v>21.815000000000001</v>
      </c>
      <c r="AG71" s="3" t="s">
        <v>36</v>
      </c>
      <c r="AH71" s="155">
        <v>2.6999999999999999E-5</v>
      </c>
      <c r="AI71" s="155">
        <v>6.6742109425376303E-3</v>
      </c>
      <c r="AJ71" s="155">
        <v>2.90647295667427E-3</v>
      </c>
    </row>
    <row r="72" spans="1:36">
      <c r="A72" s="3">
        <v>337</v>
      </c>
      <c r="B72" s="3">
        <v>1405</v>
      </c>
      <c r="C72" s="185" t="s">
        <v>454</v>
      </c>
      <c r="D72" s="3" t="s">
        <v>455</v>
      </c>
      <c r="E72" s="189" t="s">
        <v>118</v>
      </c>
      <c r="F72" s="185" t="s">
        <v>456</v>
      </c>
      <c r="G72" s="3" t="s">
        <v>457</v>
      </c>
      <c r="H72" s="3" t="s">
        <v>121</v>
      </c>
      <c r="I72" s="3" t="s">
        <v>122</v>
      </c>
      <c r="J72" s="3" t="s">
        <v>30</v>
      </c>
      <c r="K72" s="3" t="s">
        <v>30</v>
      </c>
      <c r="L72" s="3" t="s">
        <v>123</v>
      </c>
      <c r="M72" s="3" t="s">
        <v>31</v>
      </c>
      <c r="N72" s="3" t="s">
        <v>159</v>
      </c>
      <c r="O72" s="3" t="s">
        <v>125</v>
      </c>
      <c r="P72" s="3" t="s">
        <v>145</v>
      </c>
      <c r="Q72" s="3" t="s">
        <v>146</v>
      </c>
      <c r="R72" s="3" t="s">
        <v>128</v>
      </c>
      <c r="S72" s="3" t="s">
        <v>34</v>
      </c>
      <c r="T72" s="143">
        <v>8.2469999999999999</v>
      </c>
      <c r="U72" s="3" t="s">
        <v>458</v>
      </c>
      <c r="V72" s="155">
        <v>5.5100000000000003E-2</v>
      </c>
      <c r="W72" s="155">
        <v>4.7230000000000001E-2</v>
      </c>
      <c r="X72" s="5" t="s">
        <v>129</v>
      </c>
      <c r="Y72" s="5" t="s">
        <v>125</v>
      </c>
      <c r="Z72" s="143">
        <v>17000</v>
      </c>
      <c r="AA72" s="153">
        <v>1</v>
      </c>
      <c r="AB72" s="163">
        <v>108.41</v>
      </c>
      <c r="AD72" s="143">
        <v>18.43</v>
      </c>
      <c r="AG72" s="3" t="s">
        <v>36</v>
      </c>
      <c r="AH72" s="155">
        <v>3.4E-5</v>
      </c>
      <c r="AI72" s="155">
        <v>5.6386141958767603E-3</v>
      </c>
      <c r="AJ72" s="155">
        <v>2.4554932132852701E-3</v>
      </c>
    </row>
    <row r="73" spans="1:36">
      <c r="A73" s="3">
        <v>337</v>
      </c>
      <c r="B73" s="3">
        <v>1405</v>
      </c>
      <c r="C73" s="185" t="s">
        <v>459</v>
      </c>
      <c r="D73" s="3" t="s">
        <v>460</v>
      </c>
      <c r="E73" s="189" t="s">
        <v>118</v>
      </c>
      <c r="F73" s="185" t="s">
        <v>461</v>
      </c>
      <c r="G73" s="3" t="s">
        <v>462</v>
      </c>
      <c r="H73" s="3" t="s">
        <v>121</v>
      </c>
      <c r="I73" s="3" t="s">
        <v>132</v>
      </c>
      <c r="J73" s="3" t="s">
        <v>30</v>
      </c>
      <c r="K73" s="3" t="s">
        <v>30</v>
      </c>
      <c r="L73" s="3" t="s">
        <v>123</v>
      </c>
      <c r="M73" s="3" t="s">
        <v>31</v>
      </c>
      <c r="N73" s="3" t="s">
        <v>316</v>
      </c>
      <c r="O73" s="3" t="s">
        <v>125</v>
      </c>
      <c r="P73" s="3" t="s">
        <v>357</v>
      </c>
      <c r="Q73" s="3" t="s">
        <v>146</v>
      </c>
      <c r="R73" s="3" t="s">
        <v>128</v>
      </c>
      <c r="S73" s="3" t="s">
        <v>34</v>
      </c>
      <c r="T73" s="143">
        <v>1.8580000000000001</v>
      </c>
      <c r="U73" s="3" t="s">
        <v>52</v>
      </c>
      <c r="V73" s="155">
        <v>1.8599999999999998E-2</v>
      </c>
      <c r="W73" s="155">
        <v>2.3609999999999999E-2</v>
      </c>
      <c r="X73" s="5" t="s">
        <v>129</v>
      </c>
      <c r="Y73" s="5" t="s">
        <v>125</v>
      </c>
      <c r="Z73" s="143">
        <v>12800</v>
      </c>
      <c r="AA73" s="153">
        <v>1</v>
      </c>
      <c r="AB73" s="163">
        <v>105.58</v>
      </c>
      <c r="AD73" s="143">
        <v>13.513999999999999</v>
      </c>
      <c r="AG73" s="3" t="s">
        <v>36</v>
      </c>
      <c r="AH73" s="155">
        <v>5.0000000000000004E-6</v>
      </c>
      <c r="AI73" s="155">
        <v>4.1347165450596399E-3</v>
      </c>
      <c r="AJ73" s="155">
        <v>1.8005786639342101E-3</v>
      </c>
    </row>
    <row r="74" spans="1:36">
      <c r="A74" s="3">
        <v>337</v>
      </c>
      <c r="B74" s="3">
        <v>1405</v>
      </c>
      <c r="C74" s="185" t="s">
        <v>459</v>
      </c>
      <c r="D74" s="3" t="s">
        <v>460</v>
      </c>
      <c r="E74" s="189" t="s">
        <v>118</v>
      </c>
      <c r="F74" s="185" t="s">
        <v>463</v>
      </c>
      <c r="G74" s="3" t="s">
        <v>464</v>
      </c>
      <c r="H74" s="3" t="s">
        <v>121</v>
      </c>
      <c r="I74" s="3" t="s">
        <v>132</v>
      </c>
      <c r="J74" s="3" t="s">
        <v>30</v>
      </c>
      <c r="K74" s="3" t="s">
        <v>30</v>
      </c>
      <c r="L74" s="3" t="s">
        <v>123</v>
      </c>
      <c r="M74" s="3" t="s">
        <v>31</v>
      </c>
      <c r="N74" s="3" t="s">
        <v>316</v>
      </c>
      <c r="O74" s="3" t="s">
        <v>125</v>
      </c>
      <c r="P74" s="3" t="s">
        <v>357</v>
      </c>
      <c r="Q74" s="3" t="s">
        <v>146</v>
      </c>
      <c r="R74" s="3" t="s">
        <v>128</v>
      </c>
      <c r="S74" s="3" t="s">
        <v>34</v>
      </c>
      <c r="T74" s="143">
        <v>1.8979999999999999</v>
      </c>
      <c r="U74" s="3" t="s">
        <v>465</v>
      </c>
      <c r="V74" s="155">
        <v>1E-3</v>
      </c>
      <c r="W74" s="155">
        <v>2.3199999999999998E-2</v>
      </c>
      <c r="X74" s="5" t="s">
        <v>129</v>
      </c>
      <c r="Y74" s="5" t="s">
        <v>125</v>
      </c>
      <c r="Z74" s="143">
        <v>34986</v>
      </c>
      <c r="AA74" s="153">
        <v>1</v>
      </c>
      <c r="AB74" s="163">
        <v>110.39</v>
      </c>
      <c r="AD74" s="143">
        <v>38.621000000000002</v>
      </c>
      <c r="AG74" s="3" t="s">
        <v>36</v>
      </c>
      <c r="AH74" s="155">
        <v>1.1E-5</v>
      </c>
      <c r="AI74" s="155">
        <v>1.1816208340452701E-2</v>
      </c>
      <c r="AJ74" s="155">
        <v>5.14570041127541E-3</v>
      </c>
    </row>
    <row r="75" spans="1:36">
      <c r="A75" s="3">
        <v>337</v>
      </c>
      <c r="B75" s="3">
        <v>1405</v>
      </c>
      <c r="C75" s="185" t="s">
        <v>459</v>
      </c>
      <c r="D75" s="3" t="s">
        <v>460</v>
      </c>
      <c r="E75" s="189" t="s">
        <v>118</v>
      </c>
      <c r="F75" s="185" t="s">
        <v>466</v>
      </c>
      <c r="G75" s="3" t="s">
        <v>467</v>
      </c>
      <c r="H75" s="3" t="s">
        <v>121</v>
      </c>
      <c r="I75" s="3" t="s">
        <v>132</v>
      </c>
      <c r="J75" s="3" t="s">
        <v>30</v>
      </c>
      <c r="K75" s="3" t="s">
        <v>30</v>
      </c>
      <c r="L75" s="3" t="s">
        <v>123</v>
      </c>
      <c r="M75" s="3" t="s">
        <v>31</v>
      </c>
      <c r="N75" s="3" t="s">
        <v>316</v>
      </c>
      <c r="O75" s="3" t="s">
        <v>125</v>
      </c>
      <c r="P75" s="3" t="s">
        <v>145</v>
      </c>
      <c r="Q75" s="3" t="s">
        <v>146</v>
      </c>
      <c r="R75" s="3" t="s">
        <v>128</v>
      </c>
      <c r="S75" s="3" t="s">
        <v>34</v>
      </c>
      <c r="T75" s="143">
        <v>2.1909999999999998</v>
      </c>
      <c r="U75" s="3" t="s">
        <v>468</v>
      </c>
      <c r="V75" s="155">
        <v>1.4999999999999999E-2</v>
      </c>
      <c r="W75" s="155">
        <v>2.726E-2</v>
      </c>
      <c r="X75" s="5" t="s">
        <v>129</v>
      </c>
      <c r="Y75" s="5" t="s">
        <v>125</v>
      </c>
      <c r="Z75" s="143">
        <v>50000</v>
      </c>
      <c r="AA75" s="153">
        <v>1</v>
      </c>
      <c r="AB75" s="163">
        <v>112.16</v>
      </c>
      <c r="AD75" s="143">
        <v>56.08</v>
      </c>
      <c r="AG75" s="3" t="s">
        <v>36</v>
      </c>
      <c r="AH75" s="155">
        <v>3.6000000000000001E-5</v>
      </c>
      <c r="AI75" s="155">
        <v>1.71578204802449E-2</v>
      </c>
      <c r="AJ75" s="155">
        <v>7.4718557220702503E-3</v>
      </c>
    </row>
    <row r="76" spans="1:36">
      <c r="A76" s="3">
        <v>337</v>
      </c>
      <c r="B76" s="3">
        <v>1405</v>
      </c>
      <c r="C76" s="185" t="s">
        <v>459</v>
      </c>
      <c r="D76" s="3" t="s">
        <v>460</v>
      </c>
      <c r="E76" s="189" t="s">
        <v>118</v>
      </c>
      <c r="F76" s="185" t="s">
        <v>469</v>
      </c>
      <c r="G76" s="3" t="s">
        <v>470</v>
      </c>
      <c r="H76" s="3" t="s">
        <v>121</v>
      </c>
      <c r="I76" s="3" t="s">
        <v>132</v>
      </c>
      <c r="J76" s="3" t="s">
        <v>30</v>
      </c>
      <c r="K76" s="3" t="s">
        <v>30</v>
      </c>
      <c r="L76" s="3" t="s">
        <v>123</v>
      </c>
      <c r="M76" s="3" t="s">
        <v>31</v>
      </c>
      <c r="N76" s="3" t="s">
        <v>316</v>
      </c>
      <c r="O76" s="3" t="s">
        <v>125</v>
      </c>
      <c r="P76" s="3" t="s">
        <v>145</v>
      </c>
      <c r="Q76" s="3" t="s">
        <v>146</v>
      </c>
      <c r="R76" s="3" t="s">
        <v>128</v>
      </c>
      <c r="S76" s="3" t="s">
        <v>34</v>
      </c>
      <c r="T76" s="143">
        <v>4.7350000000000003</v>
      </c>
      <c r="U76" s="3" t="s">
        <v>471</v>
      </c>
      <c r="V76" s="155">
        <v>3.1E-2</v>
      </c>
      <c r="W76" s="155">
        <v>2.6349999999999998E-2</v>
      </c>
      <c r="X76" s="5" t="s">
        <v>129</v>
      </c>
      <c r="Y76" s="5" t="s">
        <v>125</v>
      </c>
      <c r="Z76" s="143">
        <v>21000</v>
      </c>
      <c r="AA76" s="153">
        <v>1</v>
      </c>
      <c r="AB76" s="163">
        <v>107.58</v>
      </c>
      <c r="AD76" s="143">
        <v>22.591999999999999</v>
      </c>
      <c r="AG76" s="3" t="s">
        <v>36</v>
      </c>
      <c r="AH76" s="155">
        <v>1.4E-5</v>
      </c>
      <c r="AI76" s="155">
        <v>6.9120194137945101E-3</v>
      </c>
      <c r="AJ76" s="155">
        <v>3.0100333470375702E-3</v>
      </c>
    </row>
    <row r="77" spans="1:36">
      <c r="A77" s="3">
        <v>337</v>
      </c>
      <c r="B77" s="3">
        <v>1405</v>
      </c>
      <c r="C77" s="185" t="s">
        <v>472</v>
      </c>
      <c r="D77" s="3" t="s">
        <v>473</v>
      </c>
      <c r="E77" s="189" t="s">
        <v>118</v>
      </c>
      <c r="F77" s="185" t="s">
        <v>474</v>
      </c>
      <c r="G77" s="3" t="s">
        <v>475</v>
      </c>
      <c r="H77" s="3" t="s">
        <v>121</v>
      </c>
      <c r="I77" s="3" t="s">
        <v>122</v>
      </c>
      <c r="J77" s="3" t="s">
        <v>30</v>
      </c>
      <c r="K77" s="3" t="s">
        <v>30</v>
      </c>
      <c r="L77" s="3" t="s">
        <v>123</v>
      </c>
      <c r="M77" s="3" t="s">
        <v>31</v>
      </c>
      <c r="N77" s="3" t="s">
        <v>124</v>
      </c>
      <c r="O77" s="3" t="s">
        <v>125</v>
      </c>
      <c r="P77" s="3" t="s">
        <v>178</v>
      </c>
      <c r="Q77" s="3" t="s">
        <v>178</v>
      </c>
      <c r="R77" s="3" t="s">
        <v>178</v>
      </c>
      <c r="S77" s="3" t="s">
        <v>34</v>
      </c>
      <c r="T77" s="143">
        <v>2.4369999999999998</v>
      </c>
      <c r="U77" s="3" t="s">
        <v>476</v>
      </c>
      <c r="V77" s="155">
        <v>8.1500000000000003E-2</v>
      </c>
      <c r="W77" s="155">
        <v>5.8470000000000001E-2</v>
      </c>
      <c r="X77" s="5" t="s">
        <v>129</v>
      </c>
      <c r="Y77" s="5" t="s">
        <v>125</v>
      </c>
      <c r="Z77" s="143">
        <v>10000</v>
      </c>
      <c r="AA77" s="153">
        <v>1</v>
      </c>
      <c r="AB77" s="163">
        <v>108</v>
      </c>
      <c r="AD77" s="143">
        <v>10.8</v>
      </c>
      <c r="AG77" s="3" t="s">
        <v>36</v>
      </c>
      <c r="AH77" s="155">
        <v>3.6000000000000001E-5</v>
      </c>
      <c r="AI77" s="155">
        <v>3.3042878242982299E-3</v>
      </c>
      <c r="AJ77" s="155">
        <v>1.43894511052708E-3</v>
      </c>
    </row>
    <row r="78" spans="1:36">
      <c r="A78" s="3">
        <v>337</v>
      </c>
      <c r="B78" s="3">
        <v>1405</v>
      </c>
      <c r="C78" s="185" t="s">
        <v>477</v>
      </c>
      <c r="D78" s="3" t="s">
        <v>478</v>
      </c>
      <c r="E78" s="189" t="s">
        <v>118</v>
      </c>
      <c r="F78" s="185" t="s">
        <v>479</v>
      </c>
      <c r="G78" s="3" t="s">
        <v>480</v>
      </c>
      <c r="H78" s="3" t="s">
        <v>121</v>
      </c>
      <c r="I78" s="3" t="s">
        <v>122</v>
      </c>
      <c r="J78" s="3" t="s">
        <v>30</v>
      </c>
      <c r="K78" s="3" t="s">
        <v>30</v>
      </c>
      <c r="L78" s="3" t="s">
        <v>123</v>
      </c>
      <c r="M78" s="3" t="s">
        <v>31</v>
      </c>
      <c r="N78" s="3" t="s">
        <v>139</v>
      </c>
      <c r="O78" s="3" t="s">
        <v>125</v>
      </c>
      <c r="P78" s="3" t="s">
        <v>153</v>
      </c>
      <c r="Q78" s="3" t="s">
        <v>146</v>
      </c>
      <c r="R78" s="3" t="s">
        <v>128</v>
      </c>
      <c r="S78" s="3" t="s">
        <v>34</v>
      </c>
      <c r="T78" s="143">
        <v>3.766</v>
      </c>
      <c r="U78" s="3" t="s">
        <v>481</v>
      </c>
      <c r="V78" s="155">
        <v>7.0699999999999999E-2</v>
      </c>
      <c r="W78" s="155">
        <v>6.3229999999999995E-2</v>
      </c>
      <c r="X78" s="5" t="s">
        <v>129</v>
      </c>
      <c r="Y78" s="5" t="s">
        <v>125</v>
      </c>
      <c r="Z78" s="143">
        <v>16000</v>
      </c>
      <c r="AA78" s="153">
        <v>1</v>
      </c>
      <c r="AB78" s="163">
        <v>104.35</v>
      </c>
      <c r="AD78" s="143">
        <v>16.696000000000002</v>
      </c>
      <c r="AG78" s="3" t="s">
        <v>36</v>
      </c>
      <c r="AH78" s="155">
        <v>1.5999999999999999E-5</v>
      </c>
      <c r="AI78" s="155">
        <v>5.1081842143039999E-3</v>
      </c>
      <c r="AJ78" s="155">
        <v>2.22450255234816E-3</v>
      </c>
    </row>
    <row r="79" spans="1:36">
      <c r="A79" s="3">
        <v>337</v>
      </c>
      <c r="B79" s="3">
        <v>1405</v>
      </c>
      <c r="C79" s="185" t="s">
        <v>482</v>
      </c>
      <c r="D79" s="3" t="s">
        <v>483</v>
      </c>
      <c r="E79" s="189" t="s">
        <v>118</v>
      </c>
      <c r="F79" s="185" t="s">
        <v>484</v>
      </c>
      <c r="G79" s="3" t="s">
        <v>485</v>
      </c>
      <c r="H79" s="3" t="s">
        <v>121</v>
      </c>
      <c r="I79" s="3" t="s">
        <v>132</v>
      </c>
      <c r="J79" s="3" t="s">
        <v>30</v>
      </c>
      <c r="K79" s="3" t="s">
        <v>30</v>
      </c>
      <c r="L79" s="3" t="s">
        <v>123</v>
      </c>
      <c r="M79" s="3" t="s">
        <v>31</v>
      </c>
      <c r="N79" s="3" t="s">
        <v>171</v>
      </c>
      <c r="O79" s="3" t="s">
        <v>125</v>
      </c>
      <c r="P79" s="3" t="s">
        <v>165</v>
      </c>
      <c r="Q79" s="3" t="s">
        <v>146</v>
      </c>
      <c r="R79" s="3" t="s">
        <v>128</v>
      </c>
      <c r="S79" s="3" t="s">
        <v>34</v>
      </c>
      <c r="T79" s="143">
        <v>4.9470000000000001</v>
      </c>
      <c r="U79" s="3" t="s">
        <v>486</v>
      </c>
      <c r="V79" s="155">
        <v>3.5000000000000001E-3</v>
      </c>
      <c r="W79" s="155">
        <v>2.5430000000000001E-2</v>
      </c>
      <c r="X79" s="5" t="s">
        <v>129</v>
      </c>
      <c r="Y79" s="5" t="s">
        <v>125</v>
      </c>
      <c r="Z79" s="143">
        <v>42631.58</v>
      </c>
      <c r="AA79" s="153">
        <v>1</v>
      </c>
      <c r="AB79" s="163">
        <v>103.5</v>
      </c>
      <c r="AD79" s="143">
        <v>44.124000000000002</v>
      </c>
      <c r="AG79" s="3" t="s">
        <v>36</v>
      </c>
      <c r="AH79" s="155">
        <v>1.2999999999999999E-5</v>
      </c>
      <c r="AI79" s="155">
        <v>1.34997551944404E-2</v>
      </c>
      <c r="AJ79" s="155">
        <v>5.8788482611917296E-3</v>
      </c>
    </row>
    <row r="80" spans="1:36">
      <c r="A80" s="3">
        <v>337</v>
      </c>
      <c r="B80" s="3">
        <v>1405</v>
      </c>
      <c r="C80" s="185" t="s">
        <v>482</v>
      </c>
      <c r="D80" s="3" t="s">
        <v>483</v>
      </c>
      <c r="E80" s="189" t="s">
        <v>118</v>
      </c>
      <c r="F80" s="185" t="s">
        <v>487</v>
      </c>
      <c r="G80" s="3" t="s">
        <v>488</v>
      </c>
      <c r="H80" s="3" t="s">
        <v>121</v>
      </c>
      <c r="I80" s="3" t="s">
        <v>132</v>
      </c>
      <c r="J80" s="3" t="s">
        <v>30</v>
      </c>
      <c r="K80" s="3" t="s">
        <v>30</v>
      </c>
      <c r="L80" s="3" t="s">
        <v>123</v>
      </c>
      <c r="M80" s="3" t="s">
        <v>31</v>
      </c>
      <c r="N80" s="3" t="s">
        <v>171</v>
      </c>
      <c r="O80" s="3" t="s">
        <v>125</v>
      </c>
      <c r="P80" s="3" t="s">
        <v>165</v>
      </c>
      <c r="Q80" s="3" t="s">
        <v>146</v>
      </c>
      <c r="R80" s="3" t="s">
        <v>128</v>
      </c>
      <c r="S80" s="3" t="s">
        <v>34</v>
      </c>
      <c r="T80" s="143">
        <v>2.6659999999999999</v>
      </c>
      <c r="U80" s="3" t="s">
        <v>489</v>
      </c>
      <c r="V80" s="155">
        <v>2.81E-2</v>
      </c>
      <c r="W80" s="155">
        <v>2.5430000000000001E-2</v>
      </c>
      <c r="X80" s="5" t="s">
        <v>129</v>
      </c>
      <c r="Y80" s="5" t="s">
        <v>125</v>
      </c>
      <c r="Z80" s="143">
        <v>47883.33</v>
      </c>
      <c r="AA80" s="153">
        <v>1</v>
      </c>
      <c r="AB80" s="163">
        <v>120.26</v>
      </c>
      <c r="AD80" s="143">
        <v>57.584000000000003</v>
      </c>
      <c r="AG80" s="3" t="s">
        <v>36</v>
      </c>
      <c r="AH80" s="155">
        <v>4.0000000000000003E-5</v>
      </c>
      <c r="AI80" s="155">
        <v>1.76181238850204E-2</v>
      </c>
      <c r="AJ80" s="155">
        <v>7.67230779188997E-3</v>
      </c>
    </row>
    <row r="81" spans="1:36">
      <c r="A81" s="3">
        <v>337</v>
      </c>
      <c r="B81" s="3">
        <v>1405</v>
      </c>
      <c r="C81" s="185" t="s">
        <v>490</v>
      </c>
      <c r="D81" s="3" t="s">
        <v>491</v>
      </c>
      <c r="E81" s="189" t="s">
        <v>118</v>
      </c>
      <c r="F81" s="185" t="s">
        <v>492</v>
      </c>
      <c r="G81" s="3" t="s">
        <v>493</v>
      </c>
      <c r="H81" s="3" t="s">
        <v>121</v>
      </c>
      <c r="I81" s="3" t="s">
        <v>122</v>
      </c>
      <c r="J81" s="3" t="s">
        <v>30</v>
      </c>
      <c r="K81" s="3" t="s">
        <v>30</v>
      </c>
      <c r="L81" s="3" t="s">
        <v>123</v>
      </c>
      <c r="M81" s="3" t="s">
        <v>31</v>
      </c>
      <c r="N81" s="3" t="s">
        <v>159</v>
      </c>
      <c r="O81" s="3" t="s">
        <v>125</v>
      </c>
      <c r="P81" s="3" t="s">
        <v>422</v>
      </c>
      <c r="Q81" s="3" t="s">
        <v>127</v>
      </c>
      <c r="R81" s="3" t="s">
        <v>128</v>
      </c>
      <c r="S81" s="3" t="s">
        <v>34</v>
      </c>
      <c r="T81" s="143">
        <v>7.3789999999999996</v>
      </c>
      <c r="U81" s="3" t="s">
        <v>494</v>
      </c>
      <c r="V81" s="155">
        <v>5.0200000000000002E-2</v>
      </c>
      <c r="W81" s="155">
        <v>4.6769999999999999E-2</v>
      </c>
      <c r="X81" s="5" t="s">
        <v>129</v>
      </c>
      <c r="Y81" s="5" t="s">
        <v>125</v>
      </c>
      <c r="Z81" s="143">
        <v>9000</v>
      </c>
      <c r="AA81" s="153">
        <v>1</v>
      </c>
      <c r="AB81" s="163">
        <v>102.89</v>
      </c>
      <c r="AD81" s="143">
        <v>9.26</v>
      </c>
      <c r="AG81" s="3" t="s">
        <v>36</v>
      </c>
      <c r="AH81" s="155">
        <v>3.1999999999999999E-5</v>
      </c>
      <c r="AI81" s="155">
        <v>2.83315145201704E-3</v>
      </c>
      <c r="AJ81" s="155">
        <v>1.2337755201844299E-3</v>
      </c>
    </row>
    <row r="82" spans="1:36">
      <c r="A82" s="3">
        <v>337</v>
      </c>
      <c r="B82" s="3">
        <v>1405</v>
      </c>
      <c r="C82" s="185" t="s">
        <v>490</v>
      </c>
      <c r="D82" s="3" t="s">
        <v>491</v>
      </c>
      <c r="E82" s="189" t="s">
        <v>118</v>
      </c>
      <c r="F82" s="185" t="s">
        <v>495</v>
      </c>
      <c r="G82" s="3" t="s">
        <v>496</v>
      </c>
      <c r="H82" s="3" t="s">
        <v>121</v>
      </c>
      <c r="I82" s="3" t="s">
        <v>122</v>
      </c>
      <c r="J82" s="3" t="s">
        <v>30</v>
      </c>
      <c r="K82" s="3" t="s">
        <v>30</v>
      </c>
      <c r="L82" s="3" t="s">
        <v>123</v>
      </c>
      <c r="M82" s="3" t="s">
        <v>31</v>
      </c>
      <c r="N82" s="3" t="s">
        <v>159</v>
      </c>
      <c r="O82" s="3" t="s">
        <v>125</v>
      </c>
      <c r="P82" s="3" t="s">
        <v>422</v>
      </c>
      <c r="Q82" s="3" t="s">
        <v>127</v>
      </c>
      <c r="R82" s="3" t="s">
        <v>128</v>
      </c>
      <c r="S82" s="3" t="s">
        <v>34</v>
      </c>
      <c r="T82" s="143">
        <v>8.0139999999999993</v>
      </c>
      <c r="U82" s="3" t="s">
        <v>497</v>
      </c>
      <c r="V82" s="155">
        <v>5.0200000000000002E-2</v>
      </c>
      <c r="W82" s="155">
        <v>4.7440000000000003E-2</v>
      </c>
      <c r="X82" s="5" t="s">
        <v>129</v>
      </c>
      <c r="Y82" s="5" t="s">
        <v>125</v>
      </c>
      <c r="Z82" s="143">
        <v>9000</v>
      </c>
      <c r="AA82" s="153">
        <v>1</v>
      </c>
      <c r="AB82" s="163">
        <v>102.61</v>
      </c>
      <c r="AD82" s="143">
        <v>9.2349999999999994</v>
      </c>
      <c r="AG82" s="3" t="s">
        <v>36</v>
      </c>
      <c r="AH82" s="155">
        <v>3.1999999999999999E-5</v>
      </c>
      <c r="AI82" s="155">
        <v>2.8254414470936799E-3</v>
      </c>
      <c r="AJ82" s="155">
        <v>1.2304179815932001E-3</v>
      </c>
    </row>
    <row r="83" spans="1:36">
      <c r="A83" s="3">
        <v>337</v>
      </c>
      <c r="B83" s="3">
        <v>1405</v>
      </c>
      <c r="C83" s="185" t="s">
        <v>498</v>
      </c>
      <c r="D83" s="3" t="s">
        <v>499</v>
      </c>
      <c r="E83" s="189" t="s">
        <v>118</v>
      </c>
      <c r="F83" s="185" t="s">
        <v>500</v>
      </c>
      <c r="G83" s="3" t="s">
        <v>501</v>
      </c>
      <c r="H83" s="3" t="s">
        <v>121</v>
      </c>
      <c r="I83" s="3" t="s">
        <v>122</v>
      </c>
      <c r="J83" s="3" t="s">
        <v>30</v>
      </c>
      <c r="K83" s="3" t="s">
        <v>30</v>
      </c>
      <c r="L83" s="3" t="s">
        <v>123</v>
      </c>
      <c r="M83" s="3" t="s">
        <v>31</v>
      </c>
      <c r="N83" s="3" t="s">
        <v>171</v>
      </c>
      <c r="O83" s="3" t="s">
        <v>125</v>
      </c>
      <c r="P83" s="3" t="s">
        <v>126</v>
      </c>
      <c r="Q83" s="3" t="s">
        <v>127</v>
      </c>
      <c r="R83" s="3" t="s">
        <v>128</v>
      </c>
      <c r="S83" s="3" t="s">
        <v>34</v>
      </c>
      <c r="T83" s="143">
        <v>2.2839999999999998</v>
      </c>
      <c r="U83" s="3" t="s">
        <v>199</v>
      </c>
      <c r="V83" s="155">
        <v>3.04E-2</v>
      </c>
      <c r="W83" s="155">
        <v>4.4609999999999997E-2</v>
      </c>
      <c r="X83" s="5" t="s">
        <v>129</v>
      </c>
      <c r="Y83" s="5" t="s">
        <v>125</v>
      </c>
      <c r="Z83" s="143">
        <v>24002.240000000002</v>
      </c>
      <c r="AA83" s="153">
        <v>1</v>
      </c>
      <c r="AB83" s="163">
        <v>96.97</v>
      </c>
      <c r="AD83" s="143">
        <v>23.274999999999999</v>
      </c>
      <c r="AG83" s="3" t="s">
        <v>36</v>
      </c>
      <c r="AH83" s="155">
        <v>7.7999999999999999E-5</v>
      </c>
      <c r="AI83" s="155">
        <v>7.1210376864288003E-3</v>
      </c>
      <c r="AJ83" s="155">
        <v>3.1010562352999701E-3</v>
      </c>
    </row>
    <row r="84" spans="1:36">
      <c r="A84" s="3">
        <v>337</v>
      </c>
      <c r="B84" s="3">
        <v>1405</v>
      </c>
      <c r="C84" s="185" t="s">
        <v>502</v>
      </c>
      <c r="D84" s="3" t="s">
        <v>503</v>
      </c>
      <c r="E84" s="189" t="s">
        <v>118</v>
      </c>
      <c r="F84" s="185" t="s">
        <v>504</v>
      </c>
      <c r="G84" s="3" t="s">
        <v>505</v>
      </c>
      <c r="H84" s="3" t="s">
        <v>121</v>
      </c>
      <c r="I84" s="3" t="s">
        <v>132</v>
      </c>
      <c r="J84" s="3" t="s">
        <v>30</v>
      </c>
      <c r="K84" s="3" t="s">
        <v>30</v>
      </c>
      <c r="L84" s="3" t="s">
        <v>123</v>
      </c>
      <c r="M84" s="3" t="s">
        <v>31</v>
      </c>
      <c r="N84" s="3" t="s">
        <v>171</v>
      </c>
      <c r="O84" s="3" t="s">
        <v>125</v>
      </c>
      <c r="P84" s="3" t="s">
        <v>153</v>
      </c>
      <c r="Q84" s="3" t="s">
        <v>146</v>
      </c>
      <c r="R84" s="3" t="s">
        <v>128</v>
      </c>
      <c r="S84" s="3" t="s">
        <v>34</v>
      </c>
      <c r="T84" s="143">
        <v>1.141</v>
      </c>
      <c r="U84" s="3" t="s">
        <v>506</v>
      </c>
      <c r="V84" s="155">
        <v>2.0500000000000001E-2</v>
      </c>
      <c r="W84" s="155">
        <v>2.8219999999999999E-2</v>
      </c>
      <c r="X84" s="5" t="s">
        <v>129</v>
      </c>
      <c r="Y84" s="5" t="s">
        <v>125</v>
      </c>
      <c r="Z84" s="143">
        <v>10845.14</v>
      </c>
      <c r="AA84" s="153">
        <v>1</v>
      </c>
      <c r="AB84" s="163">
        <v>119.3</v>
      </c>
      <c r="AD84" s="143">
        <v>12.938000000000001</v>
      </c>
      <c r="AG84" s="3" t="s">
        <v>36</v>
      </c>
      <c r="AH84" s="155">
        <v>2.1999999999999999E-5</v>
      </c>
      <c r="AI84" s="155">
        <v>3.9584915386470304E-3</v>
      </c>
      <c r="AJ84" s="155">
        <v>1.7238365261987201E-3</v>
      </c>
    </row>
    <row r="85" spans="1:36">
      <c r="A85" s="3">
        <v>337</v>
      </c>
      <c r="B85" s="3">
        <v>1405</v>
      </c>
      <c r="C85" s="185" t="s">
        <v>502</v>
      </c>
      <c r="D85" s="3" t="s">
        <v>503</v>
      </c>
      <c r="E85" s="189" t="s">
        <v>118</v>
      </c>
      <c r="F85" s="185" t="s">
        <v>507</v>
      </c>
      <c r="G85" s="3" t="s">
        <v>508</v>
      </c>
      <c r="H85" s="3" t="s">
        <v>121</v>
      </c>
      <c r="I85" s="3" t="s">
        <v>132</v>
      </c>
      <c r="J85" s="3" t="s">
        <v>30</v>
      </c>
      <c r="K85" s="3" t="s">
        <v>30</v>
      </c>
      <c r="L85" s="3" t="s">
        <v>123</v>
      </c>
      <c r="M85" s="3" t="s">
        <v>31</v>
      </c>
      <c r="N85" s="3" t="s">
        <v>171</v>
      </c>
      <c r="O85" s="3" t="s">
        <v>125</v>
      </c>
      <c r="P85" s="3" t="s">
        <v>153</v>
      </c>
      <c r="Q85" s="3" t="s">
        <v>146</v>
      </c>
      <c r="R85" s="3" t="s">
        <v>128</v>
      </c>
      <c r="S85" s="3" t="s">
        <v>34</v>
      </c>
      <c r="T85" s="143">
        <v>3.101</v>
      </c>
      <c r="U85" s="3" t="s">
        <v>509</v>
      </c>
      <c r="V85" s="155">
        <v>8.3999999999999995E-3</v>
      </c>
      <c r="W85" s="155">
        <v>2.613E-2</v>
      </c>
      <c r="X85" s="5" t="s">
        <v>129</v>
      </c>
      <c r="Y85" s="5" t="s">
        <v>125</v>
      </c>
      <c r="Z85" s="143">
        <v>30000</v>
      </c>
      <c r="AA85" s="153">
        <v>1</v>
      </c>
      <c r="AB85" s="163">
        <v>111.83</v>
      </c>
      <c r="AD85" s="143">
        <v>33.548999999999999</v>
      </c>
      <c r="AG85" s="3" t="s">
        <v>36</v>
      </c>
      <c r="AH85" s="155">
        <v>2.4000000000000001E-5</v>
      </c>
      <c r="AI85" s="155">
        <v>1.0264402983090899E-2</v>
      </c>
      <c r="AJ85" s="155">
        <v>4.4699231030623197E-3</v>
      </c>
    </row>
    <row r="86" spans="1:36">
      <c r="A86" s="3">
        <v>337</v>
      </c>
      <c r="B86" s="3">
        <v>1405</v>
      </c>
      <c r="C86" s="185" t="s">
        <v>502</v>
      </c>
      <c r="D86" s="3" t="s">
        <v>503</v>
      </c>
      <c r="E86" s="189" t="s">
        <v>118</v>
      </c>
      <c r="F86" s="185" t="s">
        <v>510</v>
      </c>
      <c r="G86" s="3" t="s">
        <v>511</v>
      </c>
      <c r="H86" s="3" t="s">
        <v>121</v>
      </c>
      <c r="I86" s="3" t="s">
        <v>132</v>
      </c>
      <c r="J86" s="3" t="s">
        <v>30</v>
      </c>
      <c r="K86" s="3" t="s">
        <v>30</v>
      </c>
      <c r="L86" s="3" t="s">
        <v>123</v>
      </c>
      <c r="M86" s="3" t="s">
        <v>31</v>
      </c>
      <c r="N86" s="3" t="s">
        <v>171</v>
      </c>
      <c r="O86" s="3" t="s">
        <v>125</v>
      </c>
      <c r="P86" s="3" t="s">
        <v>153</v>
      </c>
      <c r="Q86" s="3" t="s">
        <v>146</v>
      </c>
      <c r="R86" s="3" t="s">
        <v>128</v>
      </c>
      <c r="S86" s="3" t="s">
        <v>34</v>
      </c>
      <c r="T86" s="143">
        <v>4.8230000000000004</v>
      </c>
      <c r="U86" s="3" t="s">
        <v>512</v>
      </c>
      <c r="V86" s="155">
        <v>9.7000000000000003E-3</v>
      </c>
      <c r="W86" s="155">
        <v>2.7609999999999999E-2</v>
      </c>
      <c r="X86" s="5" t="s">
        <v>129</v>
      </c>
      <c r="Y86" s="5" t="s">
        <v>125</v>
      </c>
      <c r="Z86" s="143">
        <v>15058.82</v>
      </c>
      <c r="AA86" s="153">
        <v>1</v>
      </c>
      <c r="AB86" s="163">
        <v>107.07</v>
      </c>
      <c r="AD86" s="143">
        <v>16.123000000000001</v>
      </c>
      <c r="AG86" s="3" t="s">
        <v>36</v>
      </c>
      <c r="AH86" s="155">
        <v>2.5999999999999998E-5</v>
      </c>
      <c r="AI86" s="155">
        <v>4.9330198090186596E-3</v>
      </c>
      <c r="AJ86" s="155">
        <v>2.1482222832171702E-3</v>
      </c>
    </row>
    <row r="87" spans="1:36">
      <c r="A87" s="3">
        <v>337</v>
      </c>
      <c r="B87" s="3">
        <v>1405</v>
      </c>
      <c r="C87" s="185" t="s">
        <v>513</v>
      </c>
      <c r="D87" s="3" t="s">
        <v>514</v>
      </c>
      <c r="E87" s="189" t="s">
        <v>118</v>
      </c>
      <c r="F87" s="185" t="s">
        <v>515</v>
      </c>
      <c r="G87" s="3" t="s">
        <v>516</v>
      </c>
      <c r="H87" s="3" t="s">
        <v>121</v>
      </c>
      <c r="I87" s="3" t="s">
        <v>132</v>
      </c>
      <c r="J87" s="3" t="s">
        <v>30</v>
      </c>
      <c r="K87" s="3" t="s">
        <v>30</v>
      </c>
      <c r="L87" s="3" t="s">
        <v>123</v>
      </c>
      <c r="M87" s="3" t="s">
        <v>31</v>
      </c>
      <c r="N87" s="3" t="s">
        <v>316</v>
      </c>
      <c r="O87" s="3" t="s">
        <v>125</v>
      </c>
      <c r="P87" s="3" t="s">
        <v>357</v>
      </c>
      <c r="Q87" s="3" t="s">
        <v>146</v>
      </c>
      <c r="R87" s="3" t="s">
        <v>128</v>
      </c>
      <c r="S87" s="3" t="s">
        <v>34</v>
      </c>
      <c r="T87" s="143">
        <v>1.728</v>
      </c>
      <c r="U87" s="3" t="s">
        <v>517</v>
      </c>
      <c r="V87" s="155">
        <v>1.2200000000000001E-2</v>
      </c>
      <c r="W87" s="155">
        <v>2.3269999999999999E-2</v>
      </c>
      <c r="X87" s="5" t="s">
        <v>129</v>
      </c>
      <c r="Y87" s="5" t="s">
        <v>125</v>
      </c>
      <c r="Z87" s="143">
        <v>62943</v>
      </c>
      <c r="AA87" s="153">
        <v>1</v>
      </c>
      <c r="AB87" s="163">
        <v>117.28</v>
      </c>
      <c r="AD87" s="143">
        <v>73.819999999999993</v>
      </c>
      <c r="AG87" s="3" t="s">
        <v>36</v>
      </c>
      <c r="AH87" s="155">
        <v>2.0999999999999999E-5</v>
      </c>
      <c r="AI87" s="155">
        <v>2.2585281627952699E-2</v>
      </c>
      <c r="AJ87" s="155">
        <v>9.8353963990173605E-3</v>
      </c>
    </row>
    <row r="88" spans="1:36">
      <c r="A88" s="3">
        <v>337</v>
      </c>
      <c r="B88" s="3">
        <v>1405</v>
      </c>
      <c r="C88" s="185" t="s">
        <v>513</v>
      </c>
      <c r="D88" s="3" t="s">
        <v>514</v>
      </c>
      <c r="E88" s="189" t="s">
        <v>118</v>
      </c>
      <c r="F88" s="185" t="s">
        <v>518</v>
      </c>
      <c r="G88" s="3" t="s">
        <v>519</v>
      </c>
      <c r="H88" s="3" t="s">
        <v>121</v>
      </c>
      <c r="I88" s="3" t="s">
        <v>132</v>
      </c>
      <c r="J88" s="3" t="s">
        <v>30</v>
      </c>
      <c r="K88" s="3" t="s">
        <v>30</v>
      </c>
      <c r="L88" s="3" t="s">
        <v>123</v>
      </c>
      <c r="M88" s="3" t="s">
        <v>31</v>
      </c>
      <c r="N88" s="3" t="s">
        <v>316</v>
      </c>
      <c r="O88" s="3" t="s">
        <v>125</v>
      </c>
      <c r="P88" s="3" t="s">
        <v>357</v>
      </c>
      <c r="Q88" s="3" t="s">
        <v>146</v>
      </c>
      <c r="R88" s="3" t="s">
        <v>128</v>
      </c>
      <c r="S88" s="3" t="s">
        <v>34</v>
      </c>
      <c r="T88" s="143">
        <v>2.8050000000000002</v>
      </c>
      <c r="U88" s="3" t="s">
        <v>520</v>
      </c>
      <c r="V88" s="155">
        <v>1E-3</v>
      </c>
      <c r="W88" s="155">
        <v>2.1919999999999999E-2</v>
      </c>
      <c r="X88" s="5" t="s">
        <v>129</v>
      </c>
      <c r="Y88" s="5" t="s">
        <v>125</v>
      </c>
      <c r="Z88" s="143">
        <v>54000</v>
      </c>
      <c r="AA88" s="153">
        <v>1</v>
      </c>
      <c r="AB88" s="163">
        <v>108.71</v>
      </c>
      <c r="AD88" s="143">
        <v>58.703000000000003</v>
      </c>
      <c r="AG88" s="3" t="s">
        <v>36</v>
      </c>
      <c r="AH88" s="155">
        <v>1.5999999999999999E-5</v>
      </c>
      <c r="AI88" s="155">
        <v>1.7960456468972999E-2</v>
      </c>
      <c r="AJ88" s="155">
        <v>7.8213861482699498E-3</v>
      </c>
    </row>
    <row r="89" spans="1:36">
      <c r="A89" s="3">
        <v>337</v>
      </c>
      <c r="B89" s="3">
        <v>1405</v>
      </c>
      <c r="C89" s="185" t="s">
        <v>513</v>
      </c>
      <c r="D89" s="3" t="s">
        <v>514</v>
      </c>
      <c r="E89" s="189" t="s">
        <v>118</v>
      </c>
      <c r="F89" s="185" t="s">
        <v>521</v>
      </c>
      <c r="G89" s="3" t="s">
        <v>522</v>
      </c>
      <c r="H89" s="3" t="s">
        <v>121</v>
      </c>
      <c r="I89" s="3" t="s">
        <v>122</v>
      </c>
      <c r="J89" s="3" t="s">
        <v>30</v>
      </c>
      <c r="K89" s="3" t="s">
        <v>30</v>
      </c>
      <c r="L89" s="3" t="s">
        <v>123</v>
      </c>
      <c r="M89" s="3" t="s">
        <v>31</v>
      </c>
      <c r="N89" s="3" t="s">
        <v>316</v>
      </c>
      <c r="O89" s="3" t="s">
        <v>125</v>
      </c>
      <c r="P89" s="3" t="s">
        <v>357</v>
      </c>
      <c r="Q89" s="3" t="s">
        <v>146</v>
      </c>
      <c r="R89" s="3" t="s">
        <v>128</v>
      </c>
      <c r="S89" s="3" t="s">
        <v>34</v>
      </c>
      <c r="T89" s="143">
        <v>2.589</v>
      </c>
      <c r="U89" s="3" t="s">
        <v>523</v>
      </c>
      <c r="V89" s="155">
        <v>2.7400000000000001E-2</v>
      </c>
      <c r="W89" s="155">
        <v>4.1160000000000002E-2</v>
      </c>
      <c r="X89" s="5" t="s">
        <v>129</v>
      </c>
      <c r="Y89" s="5" t="s">
        <v>125</v>
      </c>
      <c r="Z89" s="143">
        <v>44238.09</v>
      </c>
      <c r="AA89" s="153">
        <v>1</v>
      </c>
      <c r="AB89" s="163">
        <v>98.49</v>
      </c>
      <c r="AD89" s="143">
        <v>43.57</v>
      </c>
      <c r="AG89" s="3" t="s">
        <v>36</v>
      </c>
      <c r="AH89" s="155">
        <v>1.4E-5</v>
      </c>
      <c r="AI89" s="155">
        <v>1.3330382767280999E-2</v>
      </c>
      <c r="AJ89" s="155">
        <v>5.8050902719127898E-3</v>
      </c>
    </row>
    <row r="90" spans="1:36">
      <c r="A90" s="3">
        <v>337</v>
      </c>
      <c r="B90" s="3">
        <v>1405</v>
      </c>
      <c r="C90" s="185" t="s">
        <v>513</v>
      </c>
      <c r="D90" s="3" t="s">
        <v>514</v>
      </c>
      <c r="E90" s="189" t="s">
        <v>118</v>
      </c>
      <c r="F90" s="185" t="s">
        <v>524</v>
      </c>
      <c r="G90" s="3" t="s">
        <v>525</v>
      </c>
      <c r="H90" s="3" t="s">
        <v>121</v>
      </c>
      <c r="I90" s="3" t="s">
        <v>132</v>
      </c>
      <c r="J90" s="3" t="s">
        <v>30</v>
      </c>
      <c r="K90" s="3" t="s">
        <v>30</v>
      </c>
      <c r="L90" s="3" t="s">
        <v>123</v>
      </c>
      <c r="M90" s="3" t="s">
        <v>31</v>
      </c>
      <c r="N90" s="3" t="s">
        <v>316</v>
      </c>
      <c r="O90" s="3" t="s">
        <v>125</v>
      </c>
      <c r="P90" s="3" t="s">
        <v>357</v>
      </c>
      <c r="Q90" s="3" t="s">
        <v>146</v>
      </c>
      <c r="R90" s="3" t="s">
        <v>128</v>
      </c>
      <c r="S90" s="3" t="s">
        <v>34</v>
      </c>
      <c r="T90" s="143">
        <v>2.7120000000000002</v>
      </c>
      <c r="U90" s="3" t="s">
        <v>523</v>
      </c>
      <c r="V90" s="155">
        <v>1E-3</v>
      </c>
      <c r="W90" s="155">
        <v>2.2249999999999999E-2</v>
      </c>
      <c r="X90" s="5" t="s">
        <v>129</v>
      </c>
      <c r="Y90" s="5" t="s">
        <v>125</v>
      </c>
      <c r="Z90" s="143">
        <v>42858.06</v>
      </c>
      <c r="AA90" s="153">
        <v>1</v>
      </c>
      <c r="AB90" s="163">
        <v>107.55</v>
      </c>
      <c r="AD90" s="143">
        <v>46.094000000000001</v>
      </c>
      <c r="AG90" s="3" t="s">
        <v>36</v>
      </c>
      <c r="AH90" s="155">
        <v>1.9000000000000001E-5</v>
      </c>
      <c r="AI90" s="155">
        <v>1.4102530180674699E-2</v>
      </c>
      <c r="AJ90" s="155">
        <v>6.1413435900827601E-3</v>
      </c>
    </row>
    <row r="91" spans="1:36">
      <c r="A91" s="3">
        <v>337</v>
      </c>
      <c r="B91" s="3">
        <v>1405</v>
      </c>
      <c r="C91" s="185" t="s">
        <v>526</v>
      </c>
      <c r="D91" s="3" t="s">
        <v>527</v>
      </c>
      <c r="E91" s="189" t="s">
        <v>118</v>
      </c>
      <c r="F91" s="185" t="s">
        <v>528</v>
      </c>
      <c r="G91" s="3" t="s">
        <v>529</v>
      </c>
      <c r="H91" s="3" t="s">
        <v>121</v>
      </c>
      <c r="I91" s="3" t="s">
        <v>132</v>
      </c>
      <c r="J91" s="3" t="s">
        <v>30</v>
      </c>
      <c r="K91" s="3" t="s">
        <v>30</v>
      </c>
      <c r="L91" s="3" t="s">
        <v>123</v>
      </c>
      <c r="M91" s="3" t="s">
        <v>31</v>
      </c>
      <c r="N91" s="3" t="s">
        <v>242</v>
      </c>
      <c r="O91" s="3" t="s">
        <v>125</v>
      </c>
      <c r="P91" s="3" t="s">
        <v>422</v>
      </c>
      <c r="Q91" s="3" t="s">
        <v>127</v>
      </c>
      <c r="R91" s="3" t="s">
        <v>128</v>
      </c>
      <c r="S91" s="3" t="s">
        <v>34</v>
      </c>
      <c r="T91" s="143">
        <v>2.5609999999999999</v>
      </c>
      <c r="U91" s="3" t="s">
        <v>530</v>
      </c>
      <c r="V91" s="155">
        <v>0.01</v>
      </c>
      <c r="W91" s="155">
        <v>2.7400000000000001E-2</v>
      </c>
      <c r="X91" s="5" t="s">
        <v>129</v>
      </c>
      <c r="Y91" s="5" t="s">
        <v>125</v>
      </c>
      <c r="Z91" s="143">
        <v>21889.32</v>
      </c>
      <c r="AA91" s="153">
        <v>1</v>
      </c>
      <c r="AB91" s="163">
        <v>110.57</v>
      </c>
      <c r="AD91" s="143">
        <v>24.202999999999999</v>
      </c>
      <c r="AG91" s="3" t="s">
        <v>36</v>
      </c>
      <c r="AH91" s="155">
        <v>1.2E-5</v>
      </c>
      <c r="AI91" s="155">
        <v>7.4049766677098203E-3</v>
      </c>
      <c r="AJ91" s="155">
        <v>3.2247054542929102E-3</v>
      </c>
    </row>
    <row r="92" spans="1:36">
      <c r="A92" s="3">
        <v>337</v>
      </c>
      <c r="B92" s="3">
        <v>1405</v>
      </c>
      <c r="C92" s="185" t="s">
        <v>526</v>
      </c>
      <c r="D92" s="3" t="s">
        <v>527</v>
      </c>
      <c r="E92" s="189" t="s">
        <v>118</v>
      </c>
      <c r="F92" s="185" t="s">
        <v>531</v>
      </c>
      <c r="G92" s="3" t="s">
        <v>532</v>
      </c>
      <c r="H92" s="3" t="s">
        <v>121</v>
      </c>
      <c r="I92" s="3" t="s">
        <v>132</v>
      </c>
      <c r="J92" s="3" t="s">
        <v>30</v>
      </c>
      <c r="K92" s="3" t="s">
        <v>30</v>
      </c>
      <c r="L92" s="3" t="s">
        <v>123</v>
      </c>
      <c r="M92" s="3" t="s">
        <v>31</v>
      </c>
      <c r="N92" s="3" t="s">
        <v>242</v>
      </c>
      <c r="O92" s="3" t="s">
        <v>125</v>
      </c>
      <c r="P92" s="3" t="s">
        <v>422</v>
      </c>
      <c r="Q92" s="3" t="s">
        <v>127</v>
      </c>
      <c r="R92" s="3" t="s">
        <v>128</v>
      </c>
      <c r="S92" s="3" t="s">
        <v>34</v>
      </c>
      <c r="T92" s="143">
        <v>0.73299999999999998</v>
      </c>
      <c r="U92" s="3" t="s">
        <v>46</v>
      </c>
      <c r="V92" s="155">
        <v>3.5400000000000001E-2</v>
      </c>
      <c r="W92" s="155">
        <v>3.209E-2</v>
      </c>
      <c r="X92" s="5" t="s">
        <v>129</v>
      </c>
      <c r="Y92" s="5" t="s">
        <v>125</v>
      </c>
      <c r="Z92" s="143">
        <v>17250</v>
      </c>
      <c r="AA92" s="153">
        <v>1</v>
      </c>
      <c r="AB92" s="163">
        <v>110.78</v>
      </c>
      <c r="AD92" s="143">
        <v>19.11</v>
      </c>
      <c r="AG92" s="3" t="s">
        <v>36</v>
      </c>
      <c r="AH92" s="155">
        <v>2.0999999999999999E-5</v>
      </c>
      <c r="AI92" s="155">
        <v>5.8466160548905702E-3</v>
      </c>
      <c r="AJ92" s="155">
        <v>2.54607347563637E-3</v>
      </c>
    </row>
    <row r="93" spans="1:36">
      <c r="A93" s="3">
        <v>337</v>
      </c>
      <c r="B93" s="3">
        <v>1405</v>
      </c>
      <c r="C93" s="185" t="s">
        <v>526</v>
      </c>
      <c r="D93" s="3" t="s">
        <v>527</v>
      </c>
      <c r="E93" s="189" t="s">
        <v>118</v>
      </c>
      <c r="F93" s="185" t="s">
        <v>533</v>
      </c>
      <c r="G93" s="3" t="s">
        <v>534</v>
      </c>
      <c r="H93" s="3" t="s">
        <v>121</v>
      </c>
      <c r="I93" s="3" t="s">
        <v>132</v>
      </c>
      <c r="J93" s="3" t="s">
        <v>30</v>
      </c>
      <c r="K93" s="3" t="s">
        <v>30</v>
      </c>
      <c r="L93" s="3" t="s">
        <v>123</v>
      </c>
      <c r="M93" s="3" t="s">
        <v>31</v>
      </c>
      <c r="N93" s="3" t="s">
        <v>242</v>
      </c>
      <c r="O93" s="3" t="s">
        <v>125</v>
      </c>
      <c r="P93" s="3" t="s">
        <v>422</v>
      </c>
      <c r="Q93" s="3" t="s">
        <v>127</v>
      </c>
      <c r="R93" s="3" t="s">
        <v>128</v>
      </c>
      <c r="S93" s="3" t="s">
        <v>34</v>
      </c>
      <c r="T93" s="143">
        <v>8.5000000000000006E-2</v>
      </c>
      <c r="U93" s="3" t="s">
        <v>535</v>
      </c>
      <c r="V93" s="155">
        <v>0.01</v>
      </c>
      <c r="W93" s="155">
        <v>7.775E-2</v>
      </c>
      <c r="X93" s="5" t="s">
        <v>129</v>
      </c>
      <c r="Y93" s="5" t="s">
        <v>125</v>
      </c>
      <c r="Z93" s="143">
        <v>3360</v>
      </c>
      <c r="AA93" s="153">
        <v>1</v>
      </c>
      <c r="AB93" s="163">
        <v>116.62</v>
      </c>
      <c r="AD93" s="143">
        <v>3.9180000000000001</v>
      </c>
      <c r="AG93" s="3" t="s">
        <v>36</v>
      </c>
      <c r="AH93" s="155">
        <v>9.8999999999999994E-5</v>
      </c>
      <c r="AI93" s="155">
        <v>1.1988543655500499E-3</v>
      </c>
      <c r="AJ93" s="155">
        <v>5.2207486734563398E-4</v>
      </c>
    </row>
    <row r="94" spans="1:36">
      <c r="A94" s="3">
        <v>337</v>
      </c>
      <c r="B94" s="3">
        <v>1405</v>
      </c>
      <c r="C94" s="185" t="s">
        <v>536</v>
      </c>
      <c r="D94" s="3" t="s">
        <v>537</v>
      </c>
      <c r="E94" s="189" t="s">
        <v>118</v>
      </c>
      <c r="F94" s="185" t="s">
        <v>538</v>
      </c>
      <c r="G94" s="3" t="s">
        <v>539</v>
      </c>
      <c r="H94" s="3" t="s">
        <v>121</v>
      </c>
      <c r="I94" s="3" t="s">
        <v>132</v>
      </c>
      <c r="J94" s="3" t="s">
        <v>30</v>
      </c>
      <c r="K94" s="3" t="s">
        <v>30</v>
      </c>
      <c r="L94" s="3" t="s">
        <v>123</v>
      </c>
      <c r="M94" s="3" t="s">
        <v>31</v>
      </c>
      <c r="N94" s="3" t="s">
        <v>171</v>
      </c>
      <c r="O94" s="3" t="s">
        <v>125</v>
      </c>
      <c r="P94" s="3" t="s">
        <v>165</v>
      </c>
      <c r="Q94" s="3" t="s">
        <v>146</v>
      </c>
      <c r="R94" s="3" t="s">
        <v>128</v>
      </c>
      <c r="S94" s="3" t="s">
        <v>34</v>
      </c>
      <c r="T94" s="143">
        <v>3.3069999999999999</v>
      </c>
      <c r="U94" s="3" t="s">
        <v>199</v>
      </c>
      <c r="V94" s="155">
        <v>1.43E-2</v>
      </c>
      <c r="W94" s="155">
        <v>2.4580000000000001E-2</v>
      </c>
      <c r="X94" s="5" t="s">
        <v>129</v>
      </c>
      <c r="Y94" s="5" t="s">
        <v>125</v>
      </c>
      <c r="Z94" s="143">
        <v>65436.76</v>
      </c>
      <c r="AA94" s="153">
        <v>1</v>
      </c>
      <c r="AB94" s="163">
        <v>114.1</v>
      </c>
      <c r="AC94" s="143">
        <v>1.425</v>
      </c>
      <c r="AD94" s="143">
        <v>76.088999999999999</v>
      </c>
      <c r="AG94" s="3" t="s">
        <v>36</v>
      </c>
      <c r="AH94" s="155">
        <v>3.4E-5</v>
      </c>
      <c r="AI94" s="155">
        <v>2.32795041656896E-2</v>
      </c>
      <c r="AJ94" s="155">
        <v>1.01377151373998E-2</v>
      </c>
    </row>
    <row r="95" spans="1:36">
      <c r="A95" s="3">
        <v>337</v>
      </c>
      <c r="B95" s="3">
        <v>1405</v>
      </c>
      <c r="C95" s="185" t="s">
        <v>536</v>
      </c>
      <c r="D95" s="3" t="s">
        <v>537</v>
      </c>
      <c r="E95" s="189" t="s">
        <v>118</v>
      </c>
      <c r="F95" s="185" t="s">
        <v>540</v>
      </c>
      <c r="G95" s="3" t="s">
        <v>541</v>
      </c>
      <c r="H95" s="3" t="s">
        <v>121</v>
      </c>
      <c r="I95" s="3" t="s">
        <v>132</v>
      </c>
      <c r="J95" s="3" t="s">
        <v>30</v>
      </c>
      <c r="K95" s="3" t="s">
        <v>30</v>
      </c>
      <c r="L95" s="3" t="s">
        <v>123</v>
      </c>
      <c r="M95" s="3" t="s">
        <v>31</v>
      </c>
      <c r="N95" s="3" t="s">
        <v>171</v>
      </c>
      <c r="O95" s="3" t="s">
        <v>125</v>
      </c>
      <c r="P95" s="3" t="s">
        <v>165</v>
      </c>
      <c r="Q95" s="3" t="s">
        <v>146</v>
      </c>
      <c r="R95" s="3" t="s">
        <v>128</v>
      </c>
      <c r="S95" s="3" t="s">
        <v>34</v>
      </c>
      <c r="T95" s="143">
        <v>5.32</v>
      </c>
      <c r="U95" s="3" t="s">
        <v>542</v>
      </c>
      <c r="V95" s="155">
        <v>3.61E-2</v>
      </c>
      <c r="W95" s="155">
        <v>2.6009999999999998E-2</v>
      </c>
      <c r="X95" s="5" t="s">
        <v>129</v>
      </c>
      <c r="Y95" s="5" t="s">
        <v>125</v>
      </c>
      <c r="Z95" s="143">
        <v>20464.29</v>
      </c>
      <c r="AA95" s="153">
        <v>1</v>
      </c>
      <c r="AB95" s="163">
        <v>114.15</v>
      </c>
      <c r="AC95" s="143">
        <v>0.872</v>
      </c>
      <c r="AD95" s="143">
        <v>24.231999999999999</v>
      </c>
      <c r="AG95" s="3" t="s">
        <v>36</v>
      </c>
      <c r="AH95" s="155">
        <v>7.9999999999999996E-6</v>
      </c>
      <c r="AI95" s="155">
        <v>7.41385416043465E-3</v>
      </c>
      <c r="AJ95" s="155">
        <v>3.2285714082985599E-3</v>
      </c>
    </row>
    <row r="96" spans="1:36">
      <c r="A96" s="3">
        <v>337</v>
      </c>
      <c r="B96" s="3">
        <v>1405</v>
      </c>
      <c r="C96" s="185" t="s">
        <v>536</v>
      </c>
      <c r="D96" s="3" t="s">
        <v>537</v>
      </c>
      <c r="E96" s="189" t="s">
        <v>118</v>
      </c>
      <c r="F96" s="185" t="s">
        <v>543</v>
      </c>
      <c r="G96" s="3" t="s">
        <v>544</v>
      </c>
      <c r="H96" s="3" t="s">
        <v>121</v>
      </c>
      <c r="I96" s="3" t="s">
        <v>132</v>
      </c>
      <c r="J96" s="3" t="s">
        <v>30</v>
      </c>
      <c r="K96" s="3" t="s">
        <v>30</v>
      </c>
      <c r="L96" s="3" t="s">
        <v>123</v>
      </c>
      <c r="M96" s="3" t="s">
        <v>31</v>
      </c>
      <c r="N96" s="3" t="s">
        <v>171</v>
      </c>
      <c r="O96" s="3" t="s">
        <v>125</v>
      </c>
      <c r="P96" s="3" t="s">
        <v>165</v>
      </c>
      <c r="Q96" s="3" t="s">
        <v>146</v>
      </c>
      <c r="R96" s="3" t="s">
        <v>128</v>
      </c>
      <c r="S96" s="3" t="s">
        <v>34</v>
      </c>
      <c r="T96" s="143">
        <v>3.1139999999999999</v>
      </c>
      <c r="U96" s="3" t="s">
        <v>545</v>
      </c>
      <c r="V96" s="155">
        <v>2.2499999999999999E-2</v>
      </c>
      <c r="W96" s="155">
        <v>2.5180000000000001E-2</v>
      </c>
      <c r="X96" s="5" t="s">
        <v>129</v>
      </c>
      <c r="Y96" s="5" t="s">
        <v>125</v>
      </c>
      <c r="Z96" s="143">
        <v>17419.13</v>
      </c>
      <c r="AA96" s="153">
        <v>1</v>
      </c>
      <c r="AB96" s="163">
        <v>118.56</v>
      </c>
      <c r="AC96" s="143">
        <v>1.988</v>
      </c>
      <c r="AD96" s="143">
        <v>22.64</v>
      </c>
      <c r="AG96" s="3" t="s">
        <v>36</v>
      </c>
      <c r="AH96" s="155">
        <v>1.1E-5</v>
      </c>
      <c r="AI96" s="155">
        <v>6.9268399181346002E-3</v>
      </c>
      <c r="AJ96" s="155">
        <v>3.01648735267803E-3</v>
      </c>
    </row>
    <row r="97" spans="1:36">
      <c r="A97" s="3">
        <v>337</v>
      </c>
      <c r="B97" s="3">
        <v>1405</v>
      </c>
      <c r="C97" s="185" t="s">
        <v>536</v>
      </c>
      <c r="D97" s="3" t="s">
        <v>537</v>
      </c>
      <c r="E97" s="189" t="s">
        <v>118</v>
      </c>
      <c r="F97" s="185" t="s">
        <v>546</v>
      </c>
      <c r="G97" s="3" t="s">
        <v>547</v>
      </c>
      <c r="H97" s="3" t="s">
        <v>121</v>
      </c>
      <c r="I97" s="3" t="s">
        <v>132</v>
      </c>
      <c r="J97" s="3" t="s">
        <v>30</v>
      </c>
      <c r="K97" s="3" t="s">
        <v>30</v>
      </c>
      <c r="L97" s="3" t="s">
        <v>123</v>
      </c>
      <c r="M97" s="3" t="s">
        <v>31</v>
      </c>
      <c r="N97" s="3" t="s">
        <v>171</v>
      </c>
      <c r="O97" s="3" t="s">
        <v>125</v>
      </c>
      <c r="P97" s="3" t="s">
        <v>165</v>
      </c>
      <c r="Q97" s="3" t="s">
        <v>146</v>
      </c>
      <c r="R97" s="3" t="s">
        <v>128</v>
      </c>
      <c r="S97" s="3" t="s">
        <v>34</v>
      </c>
      <c r="T97" s="143">
        <v>4.2519999999999998</v>
      </c>
      <c r="U97" s="3" t="s">
        <v>548</v>
      </c>
      <c r="V97" s="155">
        <v>2.5000000000000001E-3</v>
      </c>
      <c r="W97" s="155">
        <v>2.4879999999999999E-2</v>
      </c>
      <c r="X97" s="5" t="s">
        <v>129</v>
      </c>
      <c r="Y97" s="5" t="s">
        <v>125</v>
      </c>
      <c r="Z97" s="143">
        <v>41650</v>
      </c>
      <c r="AA97" s="153">
        <v>1</v>
      </c>
      <c r="AB97" s="163">
        <v>105.36</v>
      </c>
      <c r="AC97" s="143">
        <v>0.628</v>
      </c>
      <c r="AD97" s="143">
        <v>44.511000000000003</v>
      </c>
      <c r="AG97" s="3" t="s">
        <v>36</v>
      </c>
      <c r="AH97" s="155">
        <v>3.1999999999999999E-5</v>
      </c>
      <c r="AI97" s="155">
        <v>1.36181266246715E-2</v>
      </c>
      <c r="AJ97" s="155">
        <v>5.93039643127079E-3</v>
      </c>
    </row>
    <row r="98" spans="1:36">
      <c r="A98" s="3">
        <v>337</v>
      </c>
      <c r="B98" s="3">
        <v>1405</v>
      </c>
      <c r="C98" s="185" t="s">
        <v>536</v>
      </c>
      <c r="D98" s="3" t="s">
        <v>537</v>
      </c>
      <c r="E98" s="189" t="s">
        <v>118</v>
      </c>
      <c r="F98" s="185" t="s">
        <v>549</v>
      </c>
      <c r="G98" s="3" t="s">
        <v>550</v>
      </c>
      <c r="H98" s="3" t="s">
        <v>121</v>
      </c>
      <c r="I98" s="3" t="s">
        <v>132</v>
      </c>
      <c r="J98" s="3" t="s">
        <v>30</v>
      </c>
      <c r="K98" s="3" t="s">
        <v>30</v>
      </c>
      <c r="L98" s="3" t="s">
        <v>123</v>
      </c>
      <c r="M98" s="3" t="s">
        <v>31</v>
      </c>
      <c r="N98" s="3" t="s">
        <v>171</v>
      </c>
      <c r="O98" s="3" t="s">
        <v>125</v>
      </c>
      <c r="P98" s="3" t="s">
        <v>165</v>
      </c>
      <c r="Q98" s="3" t="s">
        <v>146</v>
      </c>
      <c r="R98" s="3" t="s">
        <v>128</v>
      </c>
      <c r="S98" s="3" t="s">
        <v>34</v>
      </c>
      <c r="T98" s="143">
        <v>7.51</v>
      </c>
      <c r="U98" s="3" t="s">
        <v>551</v>
      </c>
      <c r="V98" s="155">
        <v>2.9499999999999998E-2</v>
      </c>
      <c r="W98" s="155">
        <v>2.683E-2</v>
      </c>
      <c r="X98" s="5" t="s">
        <v>129</v>
      </c>
      <c r="Y98" s="5" t="s">
        <v>125</v>
      </c>
      <c r="Z98" s="143">
        <v>13000</v>
      </c>
      <c r="AA98" s="153">
        <v>1</v>
      </c>
      <c r="AB98" s="163">
        <v>101.78</v>
      </c>
      <c r="AD98" s="143">
        <v>13.231</v>
      </c>
      <c r="AG98" s="3" t="s">
        <v>36</v>
      </c>
      <c r="AH98" s="155">
        <v>2.9E-5</v>
      </c>
      <c r="AI98" s="155">
        <v>4.0481809183721797E-3</v>
      </c>
      <c r="AJ98" s="155">
        <v>1.76289429031741E-3</v>
      </c>
    </row>
    <row r="99" spans="1:36">
      <c r="A99" s="3">
        <v>337</v>
      </c>
      <c r="B99" s="3">
        <v>1405</v>
      </c>
      <c r="C99" s="185" t="s">
        <v>552</v>
      </c>
      <c r="D99" s="3" t="s">
        <v>553</v>
      </c>
      <c r="E99" s="189" t="s">
        <v>118</v>
      </c>
      <c r="F99" s="185" t="s">
        <v>554</v>
      </c>
      <c r="G99" s="3" t="s">
        <v>555</v>
      </c>
      <c r="H99" s="3" t="s">
        <v>121</v>
      </c>
      <c r="I99" s="3" t="s">
        <v>122</v>
      </c>
      <c r="J99" s="3" t="s">
        <v>30</v>
      </c>
      <c r="K99" s="3" t="s">
        <v>30</v>
      </c>
      <c r="L99" s="3" t="s">
        <v>123</v>
      </c>
      <c r="M99" s="3" t="s">
        <v>31</v>
      </c>
      <c r="N99" s="3" t="s">
        <v>159</v>
      </c>
      <c r="O99" s="3" t="s">
        <v>125</v>
      </c>
      <c r="P99" s="3" t="s">
        <v>310</v>
      </c>
      <c r="Q99" s="3" t="s">
        <v>127</v>
      </c>
      <c r="R99" s="3" t="s">
        <v>128</v>
      </c>
      <c r="S99" s="3" t="s">
        <v>34</v>
      </c>
      <c r="T99" s="143">
        <v>5.766</v>
      </c>
      <c r="U99" s="3" t="s">
        <v>556</v>
      </c>
      <c r="V99" s="155">
        <v>5.0200000000000002E-2</v>
      </c>
      <c r="W99" s="155">
        <v>4.2610000000000002E-2</v>
      </c>
      <c r="X99" s="5" t="s">
        <v>129</v>
      </c>
      <c r="Y99" s="5" t="s">
        <v>125</v>
      </c>
      <c r="Z99" s="143">
        <v>16000</v>
      </c>
      <c r="AA99" s="153">
        <v>1</v>
      </c>
      <c r="AB99" s="163">
        <v>105.93</v>
      </c>
      <c r="AD99" s="143">
        <v>16.949000000000002</v>
      </c>
      <c r="AG99" s="3" t="s">
        <v>36</v>
      </c>
      <c r="AH99" s="155">
        <v>4.0000000000000003E-5</v>
      </c>
      <c r="AI99" s="155">
        <v>5.1855290255986902E-3</v>
      </c>
      <c r="AJ99" s="155">
        <v>2.2581845267871702E-3</v>
      </c>
    </row>
    <row r="100" spans="1:36">
      <c r="A100" s="3">
        <v>337</v>
      </c>
      <c r="B100" s="3">
        <v>1405</v>
      </c>
      <c r="C100" s="185" t="s">
        <v>557</v>
      </c>
      <c r="D100" s="3" t="s">
        <v>558</v>
      </c>
      <c r="E100" s="189" t="s">
        <v>118</v>
      </c>
      <c r="F100" s="185" t="s">
        <v>559</v>
      </c>
      <c r="G100" s="3" t="s">
        <v>560</v>
      </c>
      <c r="H100" s="3" t="s">
        <v>121</v>
      </c>
      <c r="I100" s="3" t="s">
        <v>122</v>
      </c>
      <c r="J100" s="3" t="s">
        <v>30</v>
      </c>
      <c r="K100" s="3" t="s">
        <v>30</v>
      </c>
      <c r="L100" s="3" t="s">
        <v>123</v>
      </c>
      <c r="M100" s="3" t="s">
        <v>31</v>
      </c>
      <c r="N100" s="3" t="s">
        <v>242</v>
      </c>
      <c r="O100" s="3" t="s">
        <v>125</v>
      </c>
      <c r="P100" s="3" t="s">
        <v>243</v>
      </c>
      <c r="Q100" s="3" t="s">
        <v>127</v>
      </c>
      <c r="R100" s="3" t="s">
        <v>128</v>
      </c>
      <c r="S100" s="3" t="s">
        <v>34</v>
      </c>
      <c r="T100" s="143">
        <v>0.72899999999999998</v>
      </c>
      <c r="U100" s="3" t="s">
        <v>561</v>
      </c>
      <c r="V100" s="155">
        <v>0.1115</v>
      </c>
      <c r="W100" s="155">
        <v>6.1030000000000001E-2</v>
      </c>
      <c r="X100" s="5" t="s">
        <v>129</v>
      </c>
      <c r="Y100" s="5" t="s">
        <v>125</v>
      </c>
      <c r="Z100" s="143">
        <v>7820</v>
      </c>
      <c r="AA100" s="153">
        <v>1</v>
      </c>
      <c r="AB100" s="163">
        <v>102.14</v>
      </c>
      <c r="AD100" s="143">
        <v>7.9870000000000001</v>
      </c>
      <c r="AG100" s="3" t="s">
        <v>36</v>
      </c>
      <c r="AH100" s="155">
        <v>6.3999999999999997E-5</v>
      </c>
      <c r="AI100" s="155">
        <v>2.44374969859563E-3</v>
      </c>
      <c r="AJ100" s="155">
        <v>1.06419956950725E-3</v>
      </c>
    </row>
    <row r="101" spans="1:36">
      <c r="A101" s="3">
        <v>337</v>
      </c>
      <c r="B101" s="3">
        <v>1405</v>
      </c>
      <c r="C101" s="185" t="s">
        <v>557</v>
      </c>
      <c r="D101" s="3" t="s">
        <v>558</v>
      </c>
      <c r="E101" s="189" t="s">
        <v>118</v>
      </c>
      <c r="F101" s="185" t="s">
        <v>562</v>
      </c>
      <c r="G101" s="3" t="s">
        <v>563</v>
      </c>
      <c r="H101" s="3" t="s">
        <v>121</v>
      </c>
      <c r="I101" s="3" t="s">
        <v>122</v>
      </c>
      <c r="J101" s="3" t="s">
        <v>30</v>
      </c>
      <c r="K101" s="3" t="s">
        <v>30</v>
      </c>
      <c r="L101" s="3" t="s">
        <v>123</v>
      </c>
      <c r="M101" s="3" t="s">
        <v>31</v>
      </c>
      <c r="N101" s="3" t="s">
        <v>242</v>
      </c>
      <c r="O101" s="3" t="s">
        <v>125</v>
      </c>
      <c r="P101" s="3" t="s">
        <v>243</v>
      </c>
      <c r="Q101" s="3" t="s">
        <v>127</v>
      </c>
      <c r="R101" s="3" t="s">
        <v>128</v>
      </c>
      <c r="S101" s="3" t="s">
        <v>34</v>
      </c>
      <c r="T101" s="143">
        <v>2.6909999999999998</v>
      </c>
      <c r="U101" s="3" t="s">
        <v>564</v>
      </c>
      <c r="V101" s="155">
        <v>6.4000000000000001E-2</v>
      </c>
      <c r="W101" s="155">
        <v>5.3670000000000002E-2</v>
      </c>
      <c r="X101" s="5" t="s">
        <v>129</v>
      </c>
      <c r="Y101" s="5" t="s">
        <v>125</v>
      </c>
      <c r="Z101" s="143">
        <v>10000</v>
      </c>
      <c r="AA101" s="153">
        <v>1</v>
      </c>
      <c r="AB101" s="163">
        <v>103.48</v>
      </c>
      <c r="AD101" s="143">
        <v>10.348000000000001</v>
      </c>
      <c r="AG101" s="3" t="s">
        <v>36</v>
      </c>
      <c r="AH101" s="155">
        <v>2.9E-5</v>
      </c>
      <c r="AI101" s="155">
        <v>3.1659972597998199E-3</v>
      </c>
      <c r="AJ101" s="155">
        <v>1.3787225929383601E-3</v>
      </c>
    </row>
    <row r="102" spans="1:36">
      <c r="A102" s="3">
        <v>337</v>
      </c>
      <c r="B102" s="3">
        <v>1405</v>
      </c>
      <c r="C102" s="185" t="s">
        <v>565</v>
      </c>
      <c r="D102" s="3" t="s">
        <v>566</v>
      </c>
      <c r="E102" s="189" t="s">
        <v>118</v>
      </c>
      <c r="F102" s="185" t="s">
        <v>567</v>
      </c>
      <c r="G102" s="3" t="s">
        <v>568</v>
      </c>
      <c r="H102" s="3" t="s">
        <v>121</v>
      </c>
      <c r="I102" s="3" t="s">
        <v>132</v>
      </c>
      <c r="J102" s="3" t="s">
        <v>30</v>
      </c>
      <c r="K102" s="3" t="s">
        <v>30</v>
      </c>
      <c r="L102" s="3" t="s">
        <v>123</v>
      </c>
      <c r="M102" s="3" t="s">
        <v>31</v>
      </c>
      <c r="N102" s="3" t="s">
        <v>124</v>
      </c>
      <c r="O102" s="3" t="s">
        <v>125</v>
      </c>
      <c r="P102" s="3" t="s">
        <v>325</v>
      </c>
      <c r="Q102" s="3" t="s">
        <v>127</v>
      </c>
      <c r="R102" s="3" t="s">
        <v>128</v>
      </c>
      <c r="S102" s="3" t="s">
        <v>34</v>
      </c>
      <c r="T102" s="143">
        <v>3.0939999999999999</v>
      </c>
      <c r="U102" s="3" t="s">
        <v>569</v>
      </c>
      <c r="V102" s="155">
        <v>2.07E-2</v>
      </c>
      <c r="W102" s="155">
        <v>3.3739999999999999E-2</v>
      </c>
      <c r="X102" s="5" t="s">
        <v>129</v>
      </c>
      <c r="Y102" s="5" t="s">
        <v>125</v>
      </c>
      <c r="Z102" s="143">
        <v>24889.599999999999</v>
      </c>
      <c r="AA102" s="153">
        <v>1</v>
      </c>
      <c r="AB102" s="163">
        <v>110.69</v>
      </c>
      <c r="AD102" s="143">
        <v>27.55</v>
      </c>
      <c r="AG102" s="3" t="s">
        <v>36</v>
      </c>
      <c r="AH102" s="155">
        <v>6.0000000000000002E-5</v>
      </c>
      <c r="AI102" s="155">
        <v>8.4290847250200803E-3</v>
      </c>
      <c r="AJ102" s="155">
        <v>3.6706821246306298E-3</v>
      </c>
    </row>
    <row r="103" spans="1:36">
      <c r="A103" s="3">
        <v>337</v>
      </c>
      <c r="B103" s="3">
        <v>1405</v>
      </c>
      <c r="C103" s="185" t="s">
        <v>570</v>
      </c>
      <c r="D103" s="3" t="s">
        <v>571</v>
      </c>
      <c r="E103" s="189" t="s">
        <v>439</v>
      </c>
      <c r="F103" s="185" t="s">
        <v>572</v>
      </c>
      <c r="G103" s="3" t="s">
        <v>573</v>
      </c>
      <c r="H103" s="3" t="s">
        <v>121</v>
      </c>
      <c r="I103" s="3" t="s">
        <v>410</v>
      </c>
      <c r="J103" s="3" t="s">
        <v>30</v>
      </c>
      <c r="K103" s="3" t="s">
        <v>30</v>
      </c>
      <c r="L103" s="3" t="s">
        <v>123</v>
      </c>
      <c r="M103" s="3" t="s">
        <v>31</v>
      </c>
      <c r="N103" s="3" t="s">
        <v>377</v>
      </c>
      <c r="O103" s="3" t="s">
        <v>125</v>
      </c>
      <c r="P103" s="3" t="s">
        <v>574</v>
      </c>
      <c r="Q103" s="3" t="s">
        <v>146</v>
      </c>
      <c r="R103" s="3" t="s">
        <v>128</v>
      </c>
      <c r="S103" s="3" t="s">
        <v>34</v>
      </c>
      <c r="T103" s="143">
        <v>4.5460000000000003</v>
      </c>
      <c r="U103" s="3" t="s">
        <v>575</v>
      </c>
      <c r="V103" s="155">
        <v>7.9500000000000001E-2</v>
      </c>
      <c r="W103" s="155">
        <v>7.0550000000000002E-2</v>
      </c>
      <c r="X103" s="5" t="s">
        <v>129</v>
      </c>
      <c r="Y103" s="5" t="s">
        <v>125</v>
      </c>
      <c r="Z103" s="143">
        <v>11000</v>
      </c>
      <c r="AA103" s="153">
        <v>1</v>
      </c>
      <c r="AB103" s="163">
        <v>103.03</v>
      </c>
      <c r="AD103" s="143">
        <v>11.333</v>
      </c>
      <c r="AG103" s="3" t="s">
        <v>36</v>
      </c>
      <c r="AH103" s="155">
        <v>0</v>
      </c>
      <c r="AI103" s="155">
        <v>3.4674523332517701E-3</v>
      </c>
      <c r="AJ103" s="155">
        <v>1.5099996871422801E-3</v>
      </c>
    </row>
    <row r="104" spans="1:36">
      <c r="A104" s="3">
        <v>337</v>
      </c>
      <c r="B104" s="3">
        <v>1405</v>
      </c>
      <c r="C104" s="185" t="s">
        <v>570</v>
      </c>
      <c r="D104" s="3" t="s">
        <v>571</v>
      </c>
      <c r="E104" s="189" t="s">
        <v>439</v>
      </c>
      <c r="F104" s="185" t="s">
        <v>576</v>
      </c>
      <c r="G104" s="3" t="s">
        <v>577</v>
      </c>
      <c r="H104" s="3" t="s">
        <v>121</v>
      </c>
      <c r="I104" s="3" t="s">
        <v>122</v>
      </c>
      <c r="J104" s="3" t="s">
        <v>30</v>
      </c>
      <c r="K104" s="3" t="s">
        <v>30</v>
      </c>
      <c r="L104" s="3" t="s">
        <v>123</v>
      </c>
      <c r="M104" s="3" t="s">
        <v>31</v>
      </c>
      <c r="N104" s="3" t="s">
        <v>377</v>
      </c>
      <c r="O104" s="3" t="s">
        <v>125</v>
      </c>
      <c r="P104" s="3" t="s">
        <v>260</v>
      </c>
      <c r="Q104" s="3" t="s">
        <v>146</v>
      </c>
      <c r="R104" s="3" t="s">
        <v>128</v>
      </c>
      <c r="S104" s="3" t="s">
        <v>34</v>
      </c>
      <c r="T104" s="143">
        <v>1.2529999999999999</v>
      </c>
      <c r="U104" s="3" t="s">
        <v>578</v>
      </c>
      <c r="V104" s="155">
        <v>5.2499999999999998E-2</v>
      </c>
      <c r="W104" s="155">
        <v>4.9090000000000002E-2</v>
      </c>
      <c r="X104" s="5" t="s">
        <v>129</v>
      </c>
      <c r="Y104" s="5" t="s">
        <v>125</v>
      </c>
      <c r="Z104" s="143">
        <v>34000</v>
      </c>
      <c r="AA104" s="153">
        <v>1</v>
      </c>
      <c r="AB104" s="163">
        <v>102.93</v>
      </c>
      <c r="AD104" s="143">
        <v>34.996000000000002</v>
      </c>
      <c r="AG104" s="3" t="s">
        <v>36</v>
      </c>
      <c r="AH104" s="155">
        <v>1.03E-4</v>
      </c>
      <c r="AI104" s="155">
        <v>1.07071775515468E-2</v>
      </c>
      <c r="AJ104" s="155">
        <v>4.66274174787295E-3</v>
      </c>
    </row>
    <row r="105" spans="1:36">
      <c r="A105" s="3">
        <v>337</v>
      </c>
      <c r="B105" s="3">
        <v>1405</v>
      </c>
      <c r="C105" s="185" t="s">
        <v>570</v>
      </c>
      <c r="D105" s="3" t="s">
        <v>571</v>
      </c>
      <c r="E105" s="189" t="s">
        <v>439</v>
      </c>
      <c r="F105" s="185" t="s">
        <v>579</v>
      </c>
      <c r="G105" s="3" t="s">
        <v>580</v>
      </c>
      <c r="H105" s="3" t="s">
        <v>121</v>
      </c>
      <c r="I105" s="3" t="s">
        <v>122</v>
      </c>
      <c r="J105" s="3" t="s">
        <v>30</v>
      </c>
      <c r="K105" s="3" t="s">
        <v>80</v>
      </c>
      <c r="L105" s="3" t="s">
        <v>123</v>
      </c>
      <c r="M105" s="3" t="s">
        <v>31</v>
      </c>
      <c r="N105" s="3" t="s">
        <v>377</v>
      </c>
      <c r="O105" s="3" t="s">
        <v>125</v>
      </c>
      <c r="P105" s="3" t="s">
        <v>260</v>
      </c>
      <c r="Q105" s="3" t="s">
        <v>146</v>
      </c>
      <c r="R105" s="3" t="s">
        <v>128</v>
      </c>
      <c r="S105" s="3" t="s">
        <v>34</v>
      </c>
      <c r="T105" s="143">
        <v>2.121</v>
      </c>
      <c r="U105" s="3" t="s">
        <v>581</v>
      </c>
      <c r="V105" s="155">
        <v>6.5000000000000002E-2</v>
      </c>
      <c r="W105" s="155">
        <v>4.8140000000000002E-2</v>
      </c>
      <c r="X105" s="5" t="s">
        <v>129</v>
      </c>
      <c r="Y105" s="5" t="s">
        <v>125</v>
      </c>
      <c r="Z105" s="143">
        <v>21000</v>
      </c>
      <c r="AA105" s="153">
        <v>1</v>
      </c>
      <c r="AB105" s="163">
        <v>103.66</v>
      </c>
      <c r="AD105" s="143">
        <v>21.768999999999998</v>
      </c>
      <c r="AG105" s="3" t="s">
        <v>36</v>
      </c>
      <c r="AH105" s="155">
        <v>4.1999999999999998E-5</v>
      </c>
      <c r="AI105" s="155">
        <v>6.6601592529646697E-3</v>
      </c>
      <c r="AJ105" s="155">
        <v>2.9003537530573899E-3</v>
      </c>
    </row>
    <row r="106" spans="1:36">
      <c r="A106" s="3">
        <v>337</v>
      </c>
      <c r="B106" s="3">
        <v>1405</v>
      </c>
      <c r="C106" s="185" t="s">
        <v>570</v>
      </c>
      <c r="D106" s="3" t="s">
        <v>571</v>
      </c>
      <c r="E106" s="189" t="s">
        <v>439</v>
      </c>
      <c r="F106" s="185" t="s">
        <v>582</v>
      </c>
      <c r="G106" s="3" t="s">
        <v>583</v>
      </c>
      <c r="H106" s="3" t="s">
        <v>121</v>
      </c>
      <c r="I106" s="3" t="s">
        <v>122</v>
      </c>
      <c r="J106" s="3" t="s">
        <v>30</v>
      </c>
      <c r="K106" s="3" t="s">
        <v>30</v>
      </c>
      <c r="L106" s="3" t="s">
        <v>123</v>
      </c>
      <c r="M106" s="3" t="s">
        <v>31</v>
      </c>
      <c r="N106" s="3" t="s">
        <v>377</v>
      </c>
      <c r="O106" s="3" t="s">
        <v>125</v>
      </c>
      <c r="P106" s="3" t="s">
        <v>260</v>
      </c>
      <c r="Q106" s="3" t="s">
        <v>146</v>
      </c>
      <c r="R106" s="3" t="s">
        <v>128</v>
      </c>
      <c r="S106" s="3" t="s">
        <v>34</v>
      </c>
      <c r="T106" s="143">
        <v>2.722</v>
      </c>
      <c r="U106" s="3" t="s">
        <v>193</v>
      </c>
      <c r="V106" s="155">
        <v>6.7000000000000004E-2</v>
      </c>
      <c r="W106" s="155">
        <v>4.811E-2</v>
      </c>
      <c r="X106" s="5" t="s">
        <v>129</v>
      </c>
      <c r="Y106" s="5" t="s">
        <v>125</v>
      </c>
      <c r="Z106" s="143">
        <v>17000</v>
      </c>
      <c r="AA106" s="153">
        <v>1</v>
      </c>
      <c r="AB106" s="163">
        <v>107.03</v>
      </c>
      <c r="AD106" s="143">
        <v>18.195</v>
      </c>
      <c r="AG106" s="3" t="s">
        <v>36</v>
      </c>
      <c r="AH106" s="155">
        <v>1.9000000000000001E-5</v>
      </c>
      <c r="AI106" s="155">
        <v>5.56683772147117E-3</v>
      </c>
      <c r="AJ106" s="155">
        <v>2.4242361278288202E-3</v>
      </c>
    </row>
    <row r="107" spans="1:36">
      <c r="A107" s="3">
        <v>337</v>
      </c>
      <c r="B107" s="3">
        <v>1405</v>
      </c>
      <c r="C107" s="185" t="s">
        <v>584</v>
      </c>
      <c r="D107" s="3" t="s">
        <v>585</v>
      </c>
      <c r="E107" s="189" t="s">
        <v>118</v>
      </c>
      <c r="F107" s="185" t="s">
        <v>586</v>
      </c>
      <c r="G107" s="3" t="s">
        <v>587</v>
      </c>
      <c r="H107" s="3" t="s">
        <v>121</v>
      </c>
      <c r="I107" s="3" t="s">
        <v>132</v>
      </c>
      <c r="J107" s="3" t="s">
        <v>30</v>
      </c>
      <c r="K107" s="3" t="s">
        <v>30</v>
      </c>
      <c r="L107" s="3" t="s">
        <v>123</v>
      </c>
      <c r="M107" s="3" t="s">
        <v>31</v>
      </c>
      <c r="N107" s="3" t="s">
        <v>228</v>
      </c>
      <c r="O107" s="3" t="s">
        <v>125</v>
      </c>
      <c r="P107" s="3" t="s">
        <v>243</v>
      </c>
      <c r="Q107" s="3" t="s">
        <v>127</v>
      </c>
      <c r="R107" s="3" t="s">
        <v>128</v>
      </c>
      <c r="S107" s="3" t="s">
        <v>34</v>
      </c>
      <c r="T107" s="143">
        <v>1.7809999999999999</v>
      </c>
      <c r="U107" s="3" t="s">
        <v>385</v>
      </c>
      <c r="V107" s="155">
        <v>1.4800000000000001E-2</v>
      </c>
      <c r="W107" s="155">
        <v>3.4369999999999998E-2</v>
      </c>
      <c r="X107" s="5" t="s">
        <v>129</v>
      </c>
      <c r="Y107" s="5" t="s">
        <v>125</v>
      </c>
      <c r="Z107" s="143">
        <v>20460</v>
      </c>
      <c r="AA107" s="153">
        <v>1</v>
      </c>
      <c r="AB107" s="163">
        <v>111.89</v>
      </c>
      <c r="AD107" s="143">
        <v>22.893000000000001</v>
      </c>
      <c r="AG107" s="3" t="s">
        <v>36</v>
      </c>
      <c r="AH107" s="155">
        <v>7.4999999999999993E-5</v>
      </c>
      <c r="AI107" s="155">
        <v>7.0040787082949196E-3</v>
      </c>
      <c r="AJ107" s="155">
        <v>3.0501231572308001E-3</v>
      </c>
    </row>
    <row r="108" spans="1:36">
      <c r="A108" s="3">
        <v>337</v>
      </c>
      <c r="B108" s="3">
        <v>1405</v>
      </c>
      <c r="C108" s="185" t="s">
        <v>588</v>
      </c>
      <c r="D108" s="3" t="s">
        <v>589</v>
      </c>
      <c r="E108" s="189" t="s">
        <v>118</v>
      </c>
      <c r="F108" s="185" t="s">
        <v>590</v>
      </c>
      <c r="G108" s="3" t="s">
        <v>591</v>
      </c>
      <c r="H108" s="3" t="s">
        <v>121</v>
      </c>
      <c r="I108" s="3" t="s">
        <v>122</v>
      </c>
      <c r="J108" s="3" t="s">
        <v>30</v>
      </c>
      <c r="K108" s="3" t="s">
        <v>30</v>
      </c>
      <c r="L108" s="3" t="s">
        <v>123</v>
      </c>
      <c r="M108" s="3" t="s">
        <v>31</v>
      </c>
      <c r="N108" s="3" t="s">
        <v>171</v>
      </c>
      <c r="O108" s="3" t="s">
        <v>125</v>
      </c>
      <c r="P108" s="3" t="s">
        <v>198</v>
      </c>
      <c r="Q108" s="3" t="s">
        <v>146</v>
      </c>
      <c r="R108" s="3" t="s">
        <v>128</v>
      </c>
      <c r="S108" s="3" t="s">
        <v>34</v>
      </c>
      <c r="T108" s="143">
        <v>1.9059999999999999</v>
      </c>
      <c r="U108" s="3" t="s">
        <v>199</v>
      </c>
      <c r="V108" s="155">
        <v>3.95E-2</v>
      </c>
      <c r="W108" s="155">
        <v>4.7699999999999999E-2</v>
      </c>
      <c r="X108" s="5" t="s">
        <v>129</v>
      </c>
      <c r="Y108" s="5" t="s">
        <v>125</v>
      </c>
      <c r="Z108" s="143">
        <v>24729.24</v>
      </c>
      <c r="AA108" s="153">
        <v>1</v>
      </c>
      <c r="AB108" s="163">
        <v>98.6</v>
      </c>
      <c r="AD108" s="143">
        <v>24.382999999999999</v>
      </c>
      <c r="AG108" s="3" t="s">
        <v>36</v>
      </c>
      <c r="AH108" s="155">
        <v>2.0999999999999999E-5</v>
      </c>
      <c r="AI108" s="155">
        <v>7.46005104289284E-3</v>
      </c>
      <c r="AJ108" s="155">
        <v>3.2486891406722199E-3</v>
      </c>
    </row>
    <row r="109" spans="1:36">
      <c r="A109" s="3">
        <v>337</v>
      </c>
      <c r="B109" s="3">
        <v>1405</v>
      </c>
      <c r="C109" s="185" t="s">
        <v>588</v>
      </c>
      <c r="D109" s="3" t="s">
        <v>589</v>
      </c>
      <c r="E109" s="189" t="s">
        <v>118</v>
      </c>
      <c r="F109" s="185" t="s">
        <v>592</v>
      </c>
      <c r="G109" s="3" t="s">
        <v>593</v>
      </c>
      <c r="H109" s="3" t="s">
        <v>121</v>
      </c>
      <c r="I109" s="3" t="s">
        <v>132</v>
      </c>
      <c r="J109" s="3" t="s">
        <v>30</v>
      </c>
      <c r="K109" s="3" t="s">
        <v>30</v>
      </c>
      <c r="L109" s="3" t="s">
        <v>123</v>
      </c>
      <c r="M109" s="3" t="s">
        <v>31</v>
      </c>
      <c r="N109" s="3" t="s">
        <v>171</v>
      </c>
      <c r="O109" s="3" t="s">
        <v>125</v>
      </c>
      <c r="P109" s="3" t="s">
        <v>198</v>
      </c>
      <c r="Q109" s="3" t="s">
        <v>146</v>
      </c>
      <c r="R109" s="3" t="s">
        <v>128</v>
      </c>
      <c r="S109" s="3" t="s">
        <v>34</v>
      </c>
      <c r="T109" s="143">
        <v>3.1629999999999998</v>
      </c>
      <c r="U109" s="3" t="s">
        <v>199</v>
      </c>
      <c r="V109" s="155">
        <v>3.6200000000000003E-2</v>
      </c>
      <c r="W109" s="155">
        <v>2.5850000000000001E-2</v>
      </c>
      <c r="X109" s="5" t="s">
        <v>129</v>
      </c>
      <c r="Y109" s="5" t="s">
        <v>125</v>
      </c>
      <c r="Z109" s="143">
        <v>10920</v>
      </c>
      <c r="AA109" s="153">
        <v>1</v>
      </c>
      <c r="AB109" s="163">
        <v>112.39</v>
      </c>
      <c r="AD109" s="143">
        <v>12.273</v>
      </c>
      <c r="AG109" s="3" t="s">
        <v>36</v>
      </c>
      <c r="AH109" s="155">
        <v>6.0000000000000002E-6</v>
      </c>
      <c r="AI109" s="155">
        <v>3.7549522977924298E-3</v>
      </c>
      <c r="AJ109" s="155">
        <v>1.63519963649607E-3</v>
      </c>
    </row>
    <row r="110" spans="1:36">
      <c r="A110" s="3">
        <v>337</v>
      </c>
      <c r="B110" s="3">
        <v>1405</v>
      </c>
      <c r="C110" s="185" t="s">
        <v>594</v>
      </c>
      <c r="D110" s="3" t="s">
        <v>595</v>
      </c>
      <c r="E110" s="189" t="s">
        <v>269</v>
      </c>
      <c r="F110" s="185" t="s">
        <v>596</v>
      </c>
      <c r="G110" s="3" t="s">
        <v>597</v>
      </c>
      <c r="H110" s="3" t="s">
        <v>121</v>
      </c>
      <c r="I110" s="3" t="s">
        <v>122</v>
      </c>
      <c r="J110" s="3" t="s">
        <v>30</v>
      </c>
      <c r="K110" s="3" t="s">
        <v>80</v>
      </c>
      <c r="L110" s="3" t="s">
        <v>123</v>
      </c>
      <c r="M110" s="3" t="s">
        <v>31</v>
      </c>
      <c r="N110" s="3" t="s">
        <v>139</v>
      </c>
      <c r="O110" s="3" t="s">
        <v>125</v>
      </c>
      <c r="P110" s="3" t="s">
        <v>145</v>
      </c>
      <c r="Q110" s="3" t="s">
        <v>146</v>
      </c>
      <c r="R110" s="3" t="s">
        <v>128</v>
      </c>
      <c r="S110" s="3" t="s">
        <v>34</v>
      </c>
      <c r="T110" s="143">
        <v>3.173</v>
      </c>
      <c r="U110" s="3" t="s">
        <v>598</v>
      </c>
      <c r="V110" s="155">
        <v>4.4999999999999998E-2</v>
      </c>
      <c r="W110" s="155">
        <v>5.1920000000000001E-2</v>
      </c>
      <c r="X110" s="5" t="s">
        <v>129</v>
      </c>
      <c r="Y110" s="5" t="s">
        <v>125</v>
      </c>
      <c r="Z110" s="143">
        <v>17596.599999999999</v>
      </c>
      <c r="AA110" s="153">
        <v>1</v>
      </c>
      <c r="AB110" s="163">
        <v>99</v>
      </c>
      <c r="AD110" s="143">
        <v>17.420999999999999</v>
      </c>
      <c r="AG110" s="3" t="s">
        <v>36</v>
      </c>
      <c r="AH110" s="155">
        <v>2.3E-5</v>
      </c>
      <c r="AI110" s="155">
        <v>5.3298878534959E-3</v>
      </c>
      <c r="AJ110" s="155">
        <v>2.3210496404242401E-3</v>
      </c>
    </row>
    <row r="111" spans="1:36">
      <c r="A111" s="3">
        <v>337</v>
      </c>
      <c r="B111" s="3">
        <v>1405</v>
      </c>
      <c r="C111" s="185" t="s">
        <v>594</v>
      </c>
      <c r="D111" s="3" t="s">
        <v>595</v>
      </c>
      <c r="E111" s="189" t="s">
        <v>269</v>
      </c>
      <c r="F111" s="185" t="s">
        <v>599</v>
      </c>
      <c r="G111" s="3" t="s">
        <v>600</v>
      </c>
      <c r="H111" s="3" t="s">
        <v>121</v>
      </c>
      <c r="I111" s="3" t="s">
        <v>122</v>
      </c>
      <c r="J111" s="3" t="s">
        <v>30</v>
      </c>
      <c r="K111" s="3" t="s">
        <v>30</v>
      </c>
      <c r="L111" s="3" t="s">
        <v>123</v>
      </c>
      <c r="M111" s="3" t="s">
        <v>31</v>
      </c>
      <c r="N111" s="3" t="s">
        <v>139</v>
      </c>
      <c r="O111" s="3" t="s">
        <v>125</v>
      </c>
      <c r="P111" s="3" t="s">
        <v>165</v>
      </c>
      <c r="Q111" s="3" t="s">
        <v>146</v>
      </c>
      <c r="R111" s="3" t="s">
        <v>128</v>
      </c>
      <c r="S111" s="3" t="s">
        <v>34</v>
      </c>
      <c r="T111" s="143">
        <v>1.419</v>
      </c>
      <c r="U111" s="3" t="s">
        <v>244</v>
      </c>
      <c r="V111" s="155">
        <v>6.3500000000000001E-2</v>
      </c>
      <c r="W111" s="155">
        <v>5.0569999999999997E-2</v>
      </c>
      <c r="X111" s="5" t="s">
        <v>129</v>
      </c>
      <c r="Y111" s="5" t="s">
        <v>125</v>
      </c>
      <c r="Z111" s="143">
        <v>9700</v>
      </c>
      <c r="AA111" s="153">
        <v>1</v>
      </c>
      <c r="AB111" s="163">
        <v>101.93</v>
      </c>
      <c r="AD111" s="143">
        <v>9.8870000000000005</v>
      </c>
      <c r="AG111" s="3" t="s">
        <v>36</v>
      </c>
      <c r="AH111" s="155">
        <v>2.4000000000000001E-5</v>
      </c>
      <c r="AI111" s="155">
        <v>3.02501737215553E-3</v>
      </c>
      <c r="AJ111" s="155">
        <v>1.31732893391245E-3</v>
      </c>
    </row>
    <row r="112" spans="1:36">
      <c r="A112" s="3">
        <v>337</v>
      </c>
      <c r="B112" s="3">
        <v>1405</v>
      </c>
      <c r="C112" s="185" t="s">
        <v>594</v>
      </c>
      <c r="D112" s="3" t="s">
        <v>595</v>
      </c>
      <c r="E112" s="189" t="s">
        <v>269</v>
      </c>
      <c r="F112" s="185" t="s">
        <v>601</v>
      </c>
      <c r="G112" s="3" t="s">
        <v>602</v>
      </c>
      <c r="H112" s="3" t="s">
        <v>121</v>
      </c>
      <c r="I112" s="3" t="s">
        <v>122</v>
      </c>
      <c r="J112" s="3" t="s">
        <v>30</v>
      </c>
      <c r="K112" s="3" t="s">
        <v>30</v>
      </c>
      <c r="L112" s="3" t="s">
        <v>123</v>
      </c>
      <c r="M112" s="3" t="s">
        <v>31</v>
      </c>
      <c r="N112" s="3" t="s">
        <v>139</v>
      </c>
      <c r="O112" s="3" t="s">
        <v>125</v>
      </c>
      <c r="P112" s="3" t="s">
        <v>165</v>
      </c>
      <c r="Q112" s="3" t="s">
        <v>146</v>
      </c>
      <c r="R112" s="3" t="s">
        <v>128</v>
      </c>
      <c r="S112" s="3" t="s">
        <v>34</v>
      </c>
      <c r="T112" s="143">
        <v>2.992</v>
      </c>
      <c r="U112" s="3" t="s">
        <v>603</v>
      </c>
      <c r="V112" s="155">
        <v>6.25E-2</v>
      </c>
      <c r="W112" s="155">
        <v>4.9709999999999997E-2</v>
      </c>
      <c r="X112" s="5" t="s">
        <v>129</v>
      </c>
      <c r="Y112" s="5" t="s">
        <v>125</v>
      </c>
      <c r="Z112" s="143">
        <v>10000</v>
      </c>
      <c r="AA112" s="153">
        <v>1</v>
      </c>
      <c r="AB112" s="163">
        <v>105.34</v>
      </c>
      <c r="AD112" s="143">
        <v>10.534000000000001</v>
      </c>
      <c r="AG112" s="3" t="s">
        <v>36</v>
      </c>
      <c r="AH112" s="155">
        <v>1.8E-5</v>
      </c>
      <c r="AI112" s="155">
        <v>3.2229044389960699E-3</v>
      </c>
      <c r="AJ112" s="155">
        <v>1.40350442539743E-3</v>
      </c>
    </row>
    <row r="113" spans="1:36">
      <c r="A113" s="3">
        <v>337</v>
      </c>
      <c r="B113" s="3">
        <v>1405</v>
      </c>
      <c r="C113" s="185" t="s">
        <v>604</v>
      </c>
      <c r="D113" s="3" t="s">
        <v>605</v>
      </c>
      <c r="E113" s="189" t="s">
        <v>118</v>
      </c>
      <c r="F113" s="185" t="s">
        <v>606</v>
      </c>
      <c r="G113" s="3" t="s">
        <v>607</v>
      </c>
      <c r="H113" s="3" t="s">
        <v>121</v>
      </c>
      <c r="I113" s="3" t="s">
        <v>132</v>
      </c>
      <c r="J113" s="3" t="s">
        <v>30</v>
      </c>
      <c r="K113" s="3" t="s">
        <v>30</v>
      </c>
      <c r="L113" s="3" t="s">
        <v>123</v>
      </c>
      <c r="M113" s="3" t="s">
        <v>31</v>
      </c>
      <c r="N113" s="3" t="s">
        <v>228</v>
      </c>
      <c r="O113" s="3" t="s">
        <v>125</v>
      </c>
      <c r="P113" s="3" t="s">
        <v>178</v>
      </c>
      <c r="Q113" s="3" t="s">
        <v>178</v>
      </c>
      <c r="R113" s="3" t="s">
        <v>178</v>
      </c>
      <c r="S113" s="3" t="s">
        <v>34</v>
      </c>
      <c r="T113" s="143">
        <v>1.639</v>
      </c>
      <c r="U113" s="3" t="s">
        <v>385</v>
      </c>
      <c r="V113" s="155">
        <v>2.3E-2</v>
      </c>
      <c r="W113" s="155">
        <v>2.5600000000000001E-2</v>
      </c>
      <c r="X113" s="5" t="s">
        <v>129</v>
      </c>
      <c r="Y113" s="5" t="s">
        <v>125</v>
      </c>
      <c r="Z113" s="143">
        <v>0.4</v>
      </c>
      <c r="AA113" s="153">
        <v>1</v>
      </c>
      <c r="AB113" s="163">
        <v>114.4</v>
      </c>
      <c r="AD113" s="143">
        <v>0</v>
      </c>
      <c r="AG113" s="3" t="s">
        <v>36</v>
      </c>
      <c r="AH113" s="155">
        <v>0</v>
      </c>
      <c r="AI113" s="155">
        <v>1.40003898925821E-7</v>
      </c>
      <c r="AJ113" s="155">
        <v>6.0968637275666001E-8</v>
      </c>
    </row>
    <row r="114" spans="1:36">
      <c r="A114" s="3">
        <v>337</v>
      </c>
      <c r="B114" s="3">
        <v>1405</v>
      </c>
      <c r="C114" s="185" t="s">
        <v>608</v>
      </c>
      <c r="D114" s="3" t="s">
        <v>609</v>
      </c>
      <c r="E114" s="189" t="s">
        <v>269</v>
      </c>
      <c r="F114" s="185" t="s">
        <v>610</v>
      </c>
      <c r="G114" s="3" t="s">
        <v>611</v>
      </c>
      <c r="H114" s="3" t="s">
        <v>121</v>
      </c>
      <c r="I114" s="3" t="s">
        <v>122</v>
      </c>
      <c r="J114" s="3" t="s">
        <v>30</v>
      </c>
      <c r="K114" s="3" t="s">
        <v>138</v>
      </c>
      <c r="L114" s="3" t="s">
        <v>123</v>
      </c>
      <c r="M114" s="3" t="s">
        <v>31</v>
      </c>
      <c r="N114" s="3" t="s">
        <v>139</v>
      </c>
      <c r="O114" s="3" t="s">
        <v>125</v>
      </c>
      <c r="P114" s="3" t="s">
        <v>145</v>
      </c>
      <c r="Q114" s="3" t="s">
        <v>146</v>
      </c>
      <c r="R114" s="3" t="s">
        <v>128</v>
      </c>
      <c r="S114" s="3" t="s">
        <v>34</v>
      </c>
      <c r="T114" s="143">
        <v>0.56399999999999995</v>
      </c>
      <c r="U114" s="3" t="s">
        <v>61</v>
      </c>
      <c r="V114" s="155">
        <v>5.7000000000000002E-2</v>
      </c>
      <c r="W114" s="155">
        <v>5.9990000000000002E-2</v>
      </c>
      <c r="X114" s="5" t="s">
        <v>129</v>
      </c>
      <c r="Y114" s="5" t="s">
        <v>125</v>
      </c>
      <c r="Z114" s="143">
        <v>19273.28</v>
      </c>
      <c r="AA114" s="153">
        <v>1</v>
      </c>
      <c r="AB114" s="163">
        <v>102.28</v>
      </c>
      <c r="AD114" s="143">
        <v>19.713000000000001</v>
      </c>
      <c r="AG114" s="3" t="s">
        <v>36</v>
      </c>
      <c r="AH114" s="155">
        <v>7.7999999999999999E-5</v>
      </c>
      <c r="AI114" s="155">
        <v>6.0311546506929201E-3</v>
      </c>
      <c r="AJ114" s="155">
        <v>2.6264359998029001E-3</v>
      </c>
    </row>
    <row r="115" spans="1:36">
      <c r="A115" s="3">
        <v>337</v>
      </c>
      <c r="B115" s="3">
        <v>1405</v>
      </c>
      <c r="C115" s="185" t="s">
        <v>612</v>
      </c>
      <c r="D115" s="3" t="s">
        <v>613</v>
      </c>
      <c r="E115" s="189" t="s">
        <v>269</v>
      </c>
      <c r="F115" s="185" t="s">
        <v>614</v>
      </c>
      <c r="G115" s="3" t="s">
        <v>615</v>
      </c>
      <c r="H115" s="3" t="s">
        <v>121</v>
      </c>
      <c r="I115" s="3" t="s">
        <v>410</v>
      </c>
      <c r="J115" s="3" t="s">
        <v>30</v>
      </c>
      <c r="K115" s="3" t="s">
        <v>80</v>
      </c>
      <c r="L115" s="3" t="s">
        <v>123</v>
      </c>
      <c r="M115" s="3" t="s">
        <v>31</v>
      </c>
      <c r="N115" s="3" t="s">
        <v>242</v>
      </c>
      <c r="O115" s="3" t="s">
        <v>125</v>
      </c>
      <c r="P115" s="3" t="s">
        <v>422</v>
      </c>
      <c r="Q115" s="3" t="s">
        <v>127</v>
      </c>
      <c r="R115" s="3" t="s">
        <v>128</v>
      </c>
      <c r="S115" s="3" t="s">
        <v>34</v>
      </c>
      <c r="T115" s="143">
        <v>0.64900000000000002</v>
      </c>
      <c r="U115" s="3" t="s">
        <v>616</v>
      </c>
      <c r="V115" s="155">
        <v>7.2720000000000007E-2</v>
      </c>
      <c r="W115" s="155">
        <v>9.1420000000000001E-2</v>
      </c>
      <c r="X115" s="5" t="s">
        <v>129</v>
      </c>
      <c r="Y115" s="5" t="s">
        <v>125</v>
      </c>
      <c r="Z115" s="143">
        <v>18000</v>
      </c>
      <c r="AA115" s="153">
        <v>1</v>
      </c>
      <c r="AB115" s="163">
        <v>87</v>
      </c>
      <c r="AD115" s="143">
        <v>15.66</v>
      </c>
      <c r="AG115" s="3" t="s">
        <v>36</v>
      </c>
      <c r="AH115" s="155">
        <v>4.3000000000000002E-5</v>
      </c>
      <c r="AI115" s="155">
        <v>4.7912173452324298E-3</v>
      </c>
      <c r="AJ115" s="155">
        <v>2.08647041026427E-3</v>
      </c>
    </row>
    <row r="116" spans="1:36">
      <c r="A116" s="3">
        <v>337</v>
      </c>
      <c r="B116" s="3">
        <v>1405</v>
      </c>
      <c r="C116" s="185" t="s">
        <v>617</v>
      </c>
      <c r="D116" s="3" t="s">
        <v>618</v>
      </c>
      <c r="E116" s="189" t="s">
        <v>269</v>
      </c>
      <c r="F116" s="185" t="s">
        <v>619</v>
      </c>
      <c r="G116" s="3" t="s">
        <v>620</v>
      </c>
      <c r="H116" s="3" t="s">
        <v>121</v>
      </c>
      <c r="I116" s="3" t="s">
        <v>122</v>
      </c>
      <c r="J116" s="3" t="s">
        <v>30</v>
      </c>
      <c r="K116" s="3" t="s">
        <v>80</v>
      </c>
      <c r="L116" s="3" t="s">
        <v>123</v>
      </c>
      <c r="M116" s="3" t="s">
        <v>31</v>
      </c>
      <c r="N116" s="3" t="s">
        <v>139</v>
      </c>
      <c r="O116" s="3" t="s">
        <v>125</v>
      </c>
      <c r="P116" s="3" t="s">
        <v>165</v>
      </c>
      <c r="Q116" s="3" t="s">
        <v>146</v>
      </c>
      <c r="R116" s="3" t="s">
        <v>128</v>
      </c>
      <c r="S116" s="3" t="s">
        <v>34</v>
      </c>
      <c r="T116" s="143">
        <v>3.5720000000000001</v>
      </c>
      <c r="U116" s="3" t="s">
        <v>621</v>
      </c>
      <c r="V116" s="155">
        <v>6.7400000000000002E-2</v>
      </c>
      <c r="W116" s="155">
        <v>5.586E-2</v>
      </c>
      <c r="X116" s="5" t="s">
        <v>129</v>
      </c>
      <c r="Y116" s="5" t="s">
        <v>125</v>
      </c>
      <c r="Z116" s="143">
        <v>31000</v>
      </c>
      <c r="AA116" s="153">
        <v>1</v>
      </c>
      <c r="AB116" s="163">
        <v>104.35</v>
      </c>
      <c r="AD116" s="143">
        <v>32.348999999999997</v>
      </c>
      <c r="AG116" s="3" t="s">
        <v>36</v>
      </c>
      <c r="AH116" s="155">
        <v>5.5000000000000002E-5</v>
      </c>
      <c r="AI116" s="155">
        <v>9.8971069152139993E-3</v>
      </c>
      <c r="AJ116" s="155">
        <v>4.3099736951745602E-3</v>
      </c>
    </row>
    <row r="117" spans="1:36">
      <c r="A117" s="3">
        <v>337</v>
      </c>
      <c r="B117" s="3">
        <v>1405</v>
      </c>
      <c r="C117" s="185" t="s">
        <v>622</v>
      </c>
      <c r="D117" s="3" t="s">
        <v>623</v>
      </c>
      <c r="E117" s="189" t="s">
        <v>269</v>
      </c>
      <c r="F117" s="185" t="s">
        <v>624</v>
      </c>
      <c r="G117" s="3" t="s">
        <v>625</v>
      </c>
      <c r="H117" s="3" t="s">
        <v>121</v>
      </c>
      <c r="I117" s="3" t="s">
        <v>122</v>
      </c>
      <c r="J117" s="3" t="s">
        <v>30</v>
      </c>
      <c r="K117" s="3" t="s">
        <v>80</v>
      </c>
      <c r="L117" s="3" t="s">
        <v>123</v>
      </c>
      <c r="M117" s="3" t="s">
        <v>31</v>
      </c>
      <c r="N117" s="3" t="s">
        <v>139</v>
      </c>
      <c r="O117" s="3" t="s">
        <v>125</v>
      </c>
      <c r="P117" s="3" t="s">
        <v>198</v>
      </c>
      <c r="Q117" s="3" t="s">
        <v>146</v>
      </c>
      <c r="R117" s="3" t="s">
        <v>128</v>
      </c>
      <c r="S117" s="3" t="s">
        <v>34</v>
      </c>
      <c r="T117" s="143">
        <v>1.177</v>
      </c>
      <c r="U117" s="3" t="s">
        <v>317</v>
      </c>
      <c r="V117" s="155">
        <v>5.1499999999999997E-2</v>
      </c>
      <c r="W117" s="155">
        <v>6.4750000000000002E-2</v>
      </c>
      <c r="X117" s="5" t="s">
        <v>129</v>
      </c>
      <c r="Y117" s="5" t="s">
        <v>125</v>
      </c>
      <c r="Z117" s="143">
        <v>0.49</v>
      </c>
      <c r="AA117" s="153">
        <v>1</v>
      </c>
      <c r="AB117" s="163">
        <v>101.3</v>
      </c>
      <c r="AD117" s="143">
        <v>0</v>
      </c>
      <c r="AG117" s="3" t="s">
        <v>36</v>
      </c>
      <c r="AH117" s="155">
        <v>0</v>
      </c>
      <c r="AI117" s="155">
        <v>1.5186568030989899E-7</v>
      </c>
      <c r="AJ117" s="155">
        <v>6.6134183751141397E-8</v>
      </c>
    </row>
    <row r="118" spans="1:36">
      <c r="A118" s="3">
        <v>337</v>
      </c>
      <c r="B118" s="3">
        <v>1405</v>
      </c>
      <c r="C118" s="185" t="s">
        <v>626</v>
      </c>
      <c r="D118" s="3" t="s">
        <v>627</v>
      </c>
      <c r="E118" s="189" t="s">
        <v>118</v>
      </c>
      <c r="F118" s="185" t="s">
        <v>628</v>
      </c>
      <c r="G118" s="3" t="s">
        <v>629</v>
      </c>
      <c r="H118" s="3" t="s">
        <v>121</v>
      </c>
      <c r="I118" s="3" t="s">
        <v>132</v>
      </c>
      <c r="J118" s="3" t="s">
        <v>30</v>
      </c>
      <c r="K118" s="3" t="s">
        <v>30</v>
      </c>
      <c r="L118" s="3" t="s">
        <v>123</v>
      </c>
      <c r="M118" s="3" t="s">
        <v>31</v>
      </c>
      <c r="N118" s="3" t="s">
        <v>171</v>
      </c>
      <c r="O118" s="3" t="s">
        <v>125</v>
      </c>
      <c r="P118" s="3" t="s">
        <v>630</v>
      </c>
      <c r="Q118" s="3" t="s">
        <v>146</v>
      </c>
      <c r="R118" s="3" t="s">
        <v>128</v>
      </c>
      <c r="S118" s="3" t="s">
        <v>34</v>
      </c>
      <c r="T118" s="143">
        <v>2.4470000000000001</v>
      </c>
      <c r="U118" s="3" t="s">
        <v>631</v>
      </c>
      <c r="V118" s="155">
        <v>1.34E-2</v>
      </c>
      <c r="W118" s="155">
        <v>2.5499999999999998E-2</v>
      </c>
      <c r="X118" s="5" t="s">
        <v>129</v>
      </c>
      <c r="Y118" s="5" t="s">
        <v>125</v>
      </c>
      <c r="Z118" s="143">
        <v>31500</v>
      </c>
      <c r="AA118" s="153">
        <v>1</v>
      </c>
      <c r="AB118" s="163">
        <v>116.05</v>
      </c>
      <c r="AC118" s="143">
        <v>4.4619999999999997</v>
      </c>
      <c r="AD118" s="143">
        <v>41.018000000000001</v>
      </c>
      <c r="AG118" s="3" t="s">
        <v>36</v>
      </c>
      <c r="AH118" s="155">
        <v>1.5999999999999999E-5</v>
      </c>
      <c r="AI118" s="155">
        <v>1.25495627756541E-2</v>
      </c>
      <c r="AJ118" s="155">
        <v>5.4650602355185004E-3</v>
      </c>
    </row>
    <row r="119" spans="1:36">
      <c r="A119" s="3">
        <v>337</v>
      </c>
      <c r="B119" s="3">
        <v>1405</v>
      </c>
      <c r="C119" s="185" t="s">
        <v>626</v>
      </c>
      <c r="D119" s="3" t="s">
        <v>627</v>
      </c>
      <c r="E119" s="189" t="s">
        <v>118</v>
      </c>
      <c r="F119" s="185" t="s">
        <v>632</v>
      </c>
      <c r="G119" s="3" t="s">
        <v>633</v>
      </c>
      <c r="H119" s="3" t="s">
        <v>121</v>
      </c>
      <c r="I119" s="3" t="s">
        <v>132</v>
      </c>
      <c r="J119" s="3" t="s">
        <v>30</v>
      </c>
      <c r="K119" s="3" t="s">
        <v>30</v>
      </c>
      <c r="L119" s="3" t="s">
        <v>123</v>
      </c>
      <c r="M119" s="3" t="s">
        <v>31</v>
      </c>
      <c r="N119" s="3" t="s">
        <v>171</v>
      </c>
      <c r="O119" s="3" t="s">
        <v>125</v>
      </c>
      <c r="P119" s="3" t="s">
        <v>82</v>
      </c>
      <c r="Q119" s="3" t="s">
        <v>127</v>
      </c>
      <c r="R119" s="3" t="s">
        <v>128</v>
      </c>
      <c r="S119" s="3" t="s">
        <v>34</v>
      </c>
      <c r="T119" s="143">
        <v>1.47</v>
      </c>
      <c r="U119" s="3" t="s">
        <v>179</v>
      </c>
      <c r="V119" s="155">
        <v>1.77E-2</v>
      </c>
      <c r="W119" s="155">
        <v>2.5729999999999999E-2</v>
      </c>
      <c r="X119" s="5" t="s">
        <v>129</v>
      </c>
      <c r="Y119" s="5" t="s">
        <v>125</v>
      </c>
      <c r="Z119" s="143">
        <v>59952.31</v>
      </c>
      <c r="AA119" s="153">
        <v>1</v>
      </c>
      <c r="AB119" s="163">
        <v>116.62</v>
      </c>
      <c r="AD119" s="143">
        <v>69.915999999999997</v>
      </c>
      <c r="AG119" s="3" t="s">
        <v>36</v>
      </c>
      <c r="AH119" s="155">
        <v>2.5000000000000001E-5</v>
      </c>
      <c r="AI119" s="155">
        <v>2.1391097788187499E-2</v>
      </c>
      <c r="AJ119" s="155">
        <v>9.3153554435459404E-3</v>
      </c>
    </row>
    <row r="120" spans="1:36">
      <c r="A120" s="3">
        <v>337</v>
      </c>
      <c r="B120" s="3">
        <v>1405</v>
      </c>
      <c r="C120" s="185" t="s">
        <v>626</v>
      </c>
      <c r="D120" s="3" t="s">
        <v>627</v>
      </c>
      <c r="E120" s="189" t="s">
        <v>118</v>
      </c>
      <c r="F120" s="185" t="s">
        <v>634</v>
      </c>
      <c r="G120" s="3" t="s">
        <v>635</v>
      </c>
      <c r="H120" s="3" t="s">
        <v>121</v>
      </c>
      <c r="I120" s="3" t="s">
        <v>132</v>
      </c>
      <c r="J120" s="3" t="s">
        <v>30</v>
      </c>
      <c r="K120" s="3" t="s">
        <v>30</v>
      </c>
      <c r="L120" s="3" t="s">
        <v>123</v>
      </c>
      <c r="M120" s="3" t="s">
        <v>31</v>
      </c>
      <c r="N120" s="3" t="s">
        <v>171</v>
      </c>
      <c r="O120" s="3" t="s">
        <v>125</v>
      </c>
      <c r="P120" s="3" t="s">
        <v>630</v>
      </c>
      <c r="Q120" s="3" t="s">
        <v>146</v>
      </c>
      <c r="R120" s="3" t="s">
        <v>128</v>
      </c>
      <c r="S120" s="3" t="s">
        <v>34</v>
      </c>
      <c r="T120" s="143">
        <v>5.97</v>
      </c>
      <c r="U120" s="3" t="s">
        <v>636</v>
      </c>
      <c r="V120" s="155">
        <v>8.9999999999999993E-3</v>
      </c>
      <c r="W120" s="155">
        <v>2.4170000000000001E-2</v>
      </c>
      <c r="X120" s="5" t="s">
        <v>129</v>
      </c>
      <c r="Y120" s="5" t="s">
        <v>125</v>
      </c>
      <c r="Z120" s="143">
        <v>26233.47</v>
      </c>
      <c r="AA120" s="153">
        <v>1</v>
      </c>
      <c r="AB120" s="163">
        <v>106.24</v>
      </c>
      <c r="AC120" s="143">
        <v>0.13700000000000001</v>
      </c>
      <c r="AD120" s="143">
        <v>28.007999999999999</v>
      </c>
      <c r="AG120" s="3" t="s">
        <v>36</v>
      </c>
      <c r="AH120" s="155">
        <v>1.0000000000000001E-5</v>
      </c>
      <c r="AI120" s="155">
        <v>8.5690030453388806E-3</v>
      </c>
      <c r="AJ120" s="155">
        <v>3.7316134942938198E-3</v>
      </c>
    </row>
    <row r="121" spans="1:36">
      <c r="A121" s="3">
        <v>337</v>
      </c>
      <c r="B121" s="3">
        <v>1405</v>
      </c>
      <c r="C121" s="185" t="s">
        <v>626</v>
      </c>
      <c r="D121" s="3" t="s">
        <v>627</v>
      </c>
      <c r="E121" s="189" t="s">
        <v>118</v>
      </c>
      <c r="F121" s="185" t="s">
        <v>637</v>
      </c>
      <c r="G121" s="3" t="s">
        <v>638</v>
      </c>
      <c r="H121" s="3" t="s">
        <v>121</v>
      </c>
      <c r="I121" s="3" t="s">
        <v>132</v>
      </c>
      <c r="J121" s="3" t="s">
        <v>30</v>
      </c>
      <c r="K121" s="3" t="s">
        <v>30</v>
      </c>
      <c r="L121" s="3" t="s">
        <v>123</v>
      </c>
      <c r="M121" s="3" t="s">
        <v>31</v>
      </c>
      <c r="N121" s="3" t="s">
        <v>171</v>
      </c>
      <c r="O121" s="3" t="s">
        <v>125</v>
      </c>
      <c r="P121" s="3" t="s">
        <v>630</v>
      </c>
      <c r="Q121" s="3" t="s">
        <v>146</v>
      </c>
      <c r="R121" s="3" t="s">
        <v>128</v>
      </c>
      <c r="S121" s="3" t="s">
        <v>34</v>
      </c>
      <c r="T121" s="143">
        <v>9.4939999999999998</v>
      </c>
      <c r="U121" s="3" t="s">
        <v>639</v>
      </c>
      <c r="V121" s="155">
        <v>1.6899999999999998E-2</v>
      </c>
      <c r="W121" s="155">
        <v>2.7279999999999999E-2</v>
      </c>
      <c r="X121" s="5" t="s">
        <v>129</v>
      </c>
      <c r="Y121" s="5" t="s">
        <v>125</v>
      </c>
      <c r="Z121" s="143">
        <v>30000</v>
      </c>
      <c r="AA121" s="153">
        <v>1</v>
      </c>
      <c r="AB121" s="163">
        <v>105.51</v>
      </c>
      <c r="AC121" s="143">
        <v>0.29499999999999998</v>
      </c>
      <c r="AD121" s="143">
        <v>31.948</v>
      </c>
      <c r="AG121" s="3" t="s">
        <v>36</v>
      </c>
      <c r="AH121" s="155">
        <v>6.9999999999999999E-6</v>
      </c>
      <c r="AI121" s="155">
        <v>9.7744444083142194E-3</v>
      </c>
      <c r="AJ121" s="155">
        <v>4.2565568550159997E-3</v>
      </c>
    </row>
    <row r="122" spans="1:36">
      <c r="A122" s="3">
        <v>337</v>
      </c>
      <c r="B122" s="3">
        <v>1405</v>
      </c>
      <c r="C122" s="185" t="s">
        <v>640</v>
      </c>
      <c r="D122" s="3" t="s">
        <v>641</v>
      </c>
      <c r="E122" s="189" t="s">
        <v>118</v>
      </c>
      <c r="F122" s="185" t="s">
        <v>642</v>
      </c>
      <c r="G122" s="3" t="s">
        <v>643</v>
      </c>
      <c r="H122" s="3" t="s">
        <v>121</v>
      </c>
      <c r="I122" s="3" t="s">
        <v>122</v>
      </c>
      <c r="J122" s="3" t="s">
        <v>30</v>
      </c>
      <c r="K122" s="3" t="s">
        <v>30</v>
      </c>
      <c r="L122" s="3" t="s">
        <v>123</v>
      </c>
      <c r="M122" s="3" t="s">
        <v>31</v>
      </c>
      <c r="N122" s="3" t="s">
        <v>124</v>
      </c>
      <c r="O122" s="3" t="s">
        <v>125</v>
      </c>
      <c r="P122" s="3" t="s">
        <v>243</v>
      </c>
      <c r="Q122" s="3" t="s">
        <v>127</v>
      </c>
      <c r="R122" s="3" t="s">
        <v>128</v>
      </c>
      <c r="S122" s="3" t="s">
        <v>34</v>
      </c>
      <c r="T122" s="143">
        <v>0.91300000000000003</v>
      </c>
      <c r="U122" s="3" t="s">
        <v>35</v>
      </c>
      <c r="V122" s="155">
        <v>0.06</v>
      </c>
      <c r="W122" s="155">
        <v>4.8739999999999999E-2</v>
      </c>
      <c r="X122" s="5" t="s">
        <v>129</v>
      </c>
      <c r="Y122" s="5" t="s">
        <v>125</v>
      </c>
      <c r="Z122" s="143">
        <v>9200</v>
      </c>
      <c r="AA122" s="153">
        <v>1</v>
      </c>
      <c r="AB122" s="163">
        <v>101.59</v>
      </c>
      <c r="AD122" s="143">
        <v>9.3460000000000001</v>
      </c>
      <c r="AG122" s="3" t="s">
        <v>36</v>
      </c>
      <c r="AH122" s="155">
        <v>5.3999999999999998E-5</v>
      </c>
      <c r="AI122" s="155">
        <v>2.8595184450446302E-3</v>
      </c>
      <c r="AJ122" s="155">
        <v>1.2452577692237999E-3</v>
      </c>
    </row>
    <row r="123" spans="1:36">
      <c r="A123" s="3">
        <v>337</v>
      </c>
      <c r="B123" s="3">
        <v>1405</v>
      </c>
      <c r="C123" s="185" t="s">
        <v>644</v>
      </c>
      <c r="D123" s="3" t="s">
        <v>645</v>
      </c>
      <c r="E123" s="189" t="s">
        <v>118</v>
      </c>
      <c r="F123" s="185" t="s">
        <v>646</v>
      </c>
      <c r="G123" s="3" t="s">
        <v>647</v>
      </c>
      <c r="H123" s="3" t="s">
        <v>121</v>
      </c>
      <c r="I123" s="3" t="s">
        <v>132</v>
      </c>
      <c r="J123" s="3" t="s">
        <v>30</v>
      </c>
      <c r="K123" s="3" t="s">
        <v>30</v>
      </c>
      <c r="L123" s="3" t="s">
        <v>123</v>
      </c>
      <c r="M123" s="3" t="s">
        <v>31</v>
      </c>
      <c r="N123" s="3" t="s">
        <v>316</v>
      </c>
      <c r="O123" s="3" t="s">
        <v>125</v>
      </c>
      <c r="P123" s="3" t="s">
        <v>357</v>
      </c>
      <c r="Q123" s="3" t="s">
        <v>146</v>
      </c>
      <c r="R123" s="3" t="s">
        <v>128</v>
      </c>
      <c r="S123" s="3" t="s">
        <v>34</v>
      </c>
      <c r="T123" s="143">
        <v>3.3740000000000001</v>
      </c>
      <c r="U123" s="3" t="s">
        <v>648</v>
      </c>
      <c r="V123" s="155">
        <v>1E-3</v>
      </c>
      <c r="W123" s="155">
        <v>2.1420000000000002E-2</v>
      </c>
      <c r="X123" s="5" t="s">
        <v>129</v>
      </c>
      <c r="Y123" s="5" t="s">
        <v>125</v>
      </c>
      <c r="Z123" s="143">
        <v>10275.6</v>
      </c>
      <c r="AA123" s="153">
        <v>1</v>
      </c>
      <c r="AB123" s="163">
        <v>107.43</v>
      </c>
      <c r="AD123" s="143">
        <v>11.039</v>
      </c>
      <c r="AG123" s="3" t="s">
        <v>36</v>
      </c>
      <c r="AH123" s="155">
        <v>1.2E-5</v>
      </c>
      <c r="AI123" s="155">
        <v>3.3774340728642302E-3</v>
      </c>
      <c r="AJ123" s="155">
        <v>1.4707987026849601E-3</v>
      </c>
    </row>
    <row r="124" spans="1:36">
      <c r="A124" s="3">
        <v>337</v>
      </c>
      <c r="B124" s="3">
        <v>1405</v>
      </c>
      <c r="C124" s="185" t="s">
        <v>644</v>
      </c>
      <c r="D124" s="3" t="s">
        <v>645</v>
      </c>
      <c r="E124" s="189" t="s">
        <v>118</v>
      </c>
      <c r="F124" s="185" t="s">
        <v>649</v>
      </c>
      <c r="G124" s="3" t="s">
        <v>650</v>
      </c>
      <c r="H124" s="3" t="s">
        <v>121</v>
      </c>
      <c r="I124" s="3" t="s">
        <v>132</v>
      </c>
      <c r="J124" s="3" t="s">
        <v>30</v>
      </c>
      <c r="K124" s="3" t="s">
        <v>30</v>
      </c>
      <c r="L124" s="3" t="s">
        <v>123</v>
      </c>
      <c r="M124" s="3" t="s">
        <v>31</v>
      </c>
      <c r="N124" s="3" t="s">
        <v>316</v>
      </c>
      <c r="O124" s="3" t="s">
        <v>125</v>
      </c>
      <c r="P124" s="3" t="s">
        <v>357</v>
      </c>
      <c r="Q124" s="3" t="s">
        <v>146</v>
      </c>
      <c r="R124" s="3" t="s">
        <v>128</v>
      </c>
      <c r="S124" s="3" t="s">
        <v>34</v>
      </c>
      <c r="T124" s="143">
        <v>2.8460000000000001</v>
      </c>
      <c r="U124" s="3" t="s">
        <v>651</v>
      </c>
      <c r="V124" s="155">
        <v>1.7500000000000002E-2</v>
      </c>
      <c r="W124" s="155">
        <v>2.1700000000000001E-2</v>
      </c>
      <c r="X124" s="5" t="s">
        <v>129</v>
      </c>
      <c r="Y124" s="5" t="s">
        <v>125</v>
      </c>
      <c r="Z124" s="143">
        <v>0.19</v>
      </c>
      <c r="AA124" s="153">
        <v>1</v>
      </c>
      <c r="AB124" s="163">
        <v>116.05</v>
      </c>
      <c r="AD124" s="143">
        <v>0</v>
      </c>
      <c r="AG124" s="3" t="s">
        <v>36</v>
      </c>
      <c r="AH124" s="155">
        <v>0</v>
      </c>
      <c r="AI124" s="155">
        <v>6.7461013316540506E-8</v>
      </c>
      <c r="AJ124" s="155">
        <v>2.9377796494969299E-8</v>
      </c>
    </row>
    <row r="125" spans="1:36">
      <c r="A125" s="3">
        <v>337</v>
      </c>
      <c r="B125" s="3">
        <v>1405</v>
      </c>
      <c r="C125" s="185" t="s">
        <v>644</v>
      </c>
      <c r="D125" s="3" t="s">
        <v>645</v>
      </c>
      <c r="E125" s="189" t="s">
        <v>118</v>
      </c>
      <c r="F125" s="185" t="s">
        <v>652</v>
      </c>
      <c r="G125" s="3" t="s">
        <v>653</v>
      </c>
      <c r="H125" s="3" t="s">
        <v>121</v>
      </c>
      <c r="I125" s="3" t="s">
        <v>132</v>
      </c>
      <c r="J125" s="3" t="s">
        <v>30</v>
      </c>
      <c r="K125" s="3" t="s">
        <v>30</v>
      </c>
      <c r="L125" s="3" t="s">
        <v>123</v>
      </c>
      <c r="M125" s="3" t="s">
        <v>31</v>
      </c>
      <c r="N125" s="3" t="s">
        <v>316</v>
      </c>
      <c r="O125" s="3" t="s">
        <v>125</v>
      </c>
      <c r="P125" s="3" t="s">
        <v>145</v>
      </c>
      <c r="Q125" s="3" t="s">
        <v>146</v>
      </c>
      <c r="R125" s="3" t="s">
        <v>128</v>
      </c>
      <c r="S125" s="3" t="s">
        <v>34</v>
      </c>
      <c r="T125" s="143">
        <v>9.8170000000000002</v>
      </c>
      <c r="U125" s="3" t="s">
        <v>654</v>
      </c>
      <c r="V125" s="155">
        <v>3.1899999999999998E-2</v>
      </c>
      <c r="W125" s="155">
        <v>3.014E-2</v>
      </c>
      <c r="X125" s="5" t="s">
        <v>129</v>
      </c>
      <c r="Y125" s="5" t="s">
        <v>125</v>
      </c>
      <c r="Z125" s="143">
        <v>11000</v>
      </c>
      <c r="AA125" s="153">
        <v>1</v>
      </c>
      <c r="AB125" s="163">
        <v>102.94</v>
      </c>
      <c r="AD125" s="143">
        <v>11.323</v>
      </c>
      <c r="AG125" s="3" t="s">
        <v>36</v>
      </c>
      <c r="AH125" s="155">
        <v>1.2E-5</v>
      </c>
      <c r="AI125" s="155">
        <v>3.4644234027461601E-3</v>
      </c>
      <c r="AJ125" s="155">
        <v>1.50868065412429E-3</v>
      </c>
    </row>
    <row r="126" spans="1:36">
      <c r="A126" s="3">
        <v>337</v>
      </c>
      <c r="B126" s="3">
        <v>1405</v>
      </c>
      <c r="C126" s="185" t="s">
        <v>644</v>
      </c>
      <c r="D126" s="3" t="s">
        <v>645</v>
      </c>
      <c r="E126" s="189" t="s">
        <v>118</v>
      </c>
      <c r="F126" s="185" t="s">
        <v>655</v>
      </c>
      <c r="G126" s="3" t="s">
        <v>656</v>
      </c>
      <c r="H126" s="3" t="s">
        <v>121</v>
      </c>
      <c r="I126" s="3" t="s">
        <v>132</v>
      </c>
      <c r="J126" s="3" t="s">
        <v>30</v>
      </c>
      <c r="K126" s="3" t="s">
        <v>30</v>
      </c>
      <c r="L126" s="3" t="s">
        <v>123</v>
      </c>
      <c r="M126" s="3" t="s">
        <v>31</v>
      </c>
      <c r="N126" s="3" t="s">
        <v>316</v>
      </c>
      <c r="O126" s="3" t="s">
        <v>125</v>
      </c>
      <c r="P126" s="3" t="s">
        <v>145</v>
      </c>
      <c r="Q126" s="3" t="s">
        <v>146</v>
      </c>
      <c r="R126" s="3" t="s">
        <v>128</v>
      </c>
      <c r="S126" s="3" t="s">
        <v>34</v>
      </c>
      <c r="T126" s="143">
        <v>6.2679999999999998</v>
      </c>
      <c r="U126" s="3" t="s">
        <v>657</v>
      </c>
      <c r="V126" s="155">
        <v>3.4500000000000003E-2</v>
      </c>
      <c r="W126" s="155">
        <v>2.657E-2</v>
      </c>
      <c r="X126" s="5" t="s">
        <v>129</v>
      </c>
      <c r="Y126" s="5" t="s">
        <v>125</v>
      </c>
      <c r="Z126" s="143">
        <v>21000</v>
      </c>
      <c r="AA126" s="153">
        <v>1</v>
      </c>
      <c r="AB126" s="163">
        <v>107.34</v>
      </c>
      <c r="AD126" s="143">
        <v>22.541</v>
      </c>
      <c r="AG126" s="3" t="s">
        <v>36</v>
      </c>
      <c r="AH126" s="155">
        <v>1.4E-5</v>
      </c>
      <c r="AI126" s="155">
        <v>6.8965994039477804E-3</v>
      </c>
      <c r="AJ126" s="155">
        <v>3.0033182698551101E-3</v>
      </c>
    </row>
    <row r="127" spans="1:36">
      <c r="A127" s="3">
        <v>337</v>
      </c>
      <c r="B127" s="3">
        <v>1405</v>
      </c>
      <c r="C127" s="185" t="s">
        <v>658</v>
      </c>
      <c r="D127" s="3" t="s">
        <v>659</v>
      </c>
      <c r="E127" s="189" t="s">
        <v>118</v>
      </c>
      <c r="F127" s="185" t="s">
        <v>660</v>
      </c>
      <c r="G127" s="3" t="s">
        <v>661</v>
      </c>
      <c r="H127" s="3" t="s">
        <v>121</v>
      </c>
      <c r="I127" s="3" t="s">
        <v>122</v>
      </c>
      <c r="J127" s="3" t="s">
        <v>30</v>
      </c>
      <c r="K127" s="3" t="s">
        <v>30</v>
      </c>
      <c r="L127" s="3" t="s">
        <v>123</v>
      </c>
      <c r="M127" s="3" t="s">
        <v>31</v>
      </c>
      <c r="N127" s="3" t="s">
        <v>662</v>
      </c>
      <c r="O127" s="3" t="s">
        <v>125</v>
      </c>
      <c r="P127" s="3" t="s">
        <v>145</v>
      </c>
      <c r="Q127" s="3" t="s">
        <v>146</v>
      </c>
      <c r="R127" s="3" t="s">
        <v>128</v>
      </c>
      <c r="S127" s="3" t="s">
        <v>34</v>
      </c>
      <c r="T127" s="143">
        <v>0.90900000000000003</v>
      </c>
      <c r="U127" s="3" t="s">
        <v>663</v>
      </c>
      <c r="V127" s="155">
        <v>2.29E-2</v>
      </c>
      <c r="W127" s="155">
        <v>4.4609999999999997E-2</v>
      </c>
      <c r="X127" s="5" t="s">
        <v>129</v>
      </c>
      <c r="Y127" s="5" t="s">
        <v>125</v>
      </c>
      <c r="Z127" s="143">
        <v>0.26</v>
      </c>
      <c r="AA127" s="153">
        <v>1</v>
      </c>
      <c r="AB127" s="163">
        <v>98.31</v>
      </c>
      <c r="AD127" s="143">
        <v>0</v>
      </c>
      <c r="AG127" s="3" t="s">
        <v>36</v>
      </c>
      <c r="AH127" s="155">
        <v>0</v>
      </c>
      <c r="AI127" s="155">
        <v>7.8203314223849397E-8</v>
      </c>
      <c r="AJ127" s="155">
        <v>3.40558336964246E-8</v>
      </c>
    </row>
    <row r="128" spans="1:36">
      <c r="A128" s="3">
        <v>337</v>
      </c>
      <c r="B128" s="3">
        <v>1405</v>
      </c>
      <c r="C128" s="185" t="s">
        <v>664</v>
      </c>
      <c r="D128" s="3" t="s">
        <v>665</v>
      </c>
      <c r="E128" s="189" t="s">
        <v>118</v>
      </c>
      <c r="F128" s="185" t="s">
        <v>666</v>
      </c>
      <c r="G128" s="3" t="s">
        <v>667</v>
      </c>
      <c r="H128" s="3" t="s">
        <v>121</v>
      </c>
      <c r="I128" s="3" t="s">
        <v>122</v>
      </c>
      <c r="J128" s="3" t="s">
        <v>30</v>
      </c>
      <c r="K128" s="3" t="s">
        <v>30</v>
      </c>
      <c r="L128" s="3" t="s">
        <v>123</v>
      </c>
      <c r="M128" s="3" t="s">
        <v>31</v>
      </c>
      <c r="N128" s="3" t="s">
        <v>159</v>
      </c>
      <c r="O128" s="3" t="s">
        <v>125</v>
      </c>
      <c r="P128" s="3" t="s">
        <v>165</v>
      </c>
      <c r="Q128" s="3" t="s">
        <v>146</v>
      </c>
      <c r="R128" s="3" t="s">
        <v>128</v>
      </c>
      <c r="S128" s="3" t="s">
        <v>34</v>
      </c>
      <c r="T128" s="143">
        <v>5.0960000000000001</v>
      </c>
      <c r="U128" s="3" t="s">
        <v>668</v>
      </c>
      <c r="V128" s="155">
        <v>5.1499999999999997E-2</v>
      </c>
      <c r="W128" s="155">
        <v>4.2450000000000002E-2</v>
      </c>
      <c r="X128" s="5" t="s">
        <v>129</v>
      </c>
      <c r="Y128" s="5" t="s">
        <v>125</v>
      </c>
      <c r="Z128" s="143">
        <v>15000</v>
      </c>
      <c r="AA128" s="153">
        <v>1</v>
      </c>
      <c r="AB128" s="163">
        <v>105.7</v>
      </c>
      <c r="AD128" s="143">
        <v>15.855</v>
      </c>
      <c r="AG128" s="3" t="s">
        <v>36</v>
      </c>
      <c r="AH128" s="155">
        <v>1.5E-5</v>
      </c>
      <c r="AI128" s="155">
        <v>4.8508780976155904E-3</v>
      </c>
      <c r="AJ128" s="155">
        <v>2.1124513636487799E-3</v>
      </c>
    </row>
    <row r="129" spans="1:36">
      <c r="A129" s="3">
        <v>337</v>
      </c>
      <c r="B129" s="3">
        <v>1405</v>
      </c>
      <c r="C129" s="185" t="s">
        <v>664</v>
      </c>
      <c r="D129" s="3" t="s">
        <v>665</v>
      </c>
      <c r="E129" s="189" t="s">
        <v>118</v>
      </c>
      <c r="F129" s="185" t="s">
        <v>669</v>
      </c>
      <c r="G129" s="3" t="s">
        <v>670</v>
      </c>
      <c r="H129" s="3" t="s">
        <v>121</v>
      </c>
      <c r="I129" s="3" t="s">
        <v>132</v>
      </c>
      <c r="J129" s="3" t="s">
        <v>30</v>
      </c>
      <c r="K129" s="3" t="s">
        <v>30</v>
      </c>
      <c r="L129" s="3" t="s">
        <v>123</v>
      </c>
      <c r="M129" s="3" t="s">
        <v>31</v>
      </c>
      <c r="N129" s="3" t="s">
        <v>159</v>
      </c>
      <c r="O129" s="3" t="s">
        <v>125</v>
      </c>
      <c r="P129" s="3" t="s">
        <v>145</v>
      </c>
      <c r="Q129" s="3" t="s">
        <v>146</v>
      </c>
      <c r="R129" s="3" t="s">
        <v>128</v>
      </c>
      <c r="S129" s="3" t="s">
        <v>34</v>
      </c>
      <c r="T129" s="143">
        <v>5.7039999999999997</v>
      </c>
      <c r="U129" s="3" t="s">
        <v>671</v>
      </c>
      <c r="V129" s="155">
        <v>2.0899999999999998E-2</v>
      </c>
      <c r="W129" s="155">
        <v>2.4760000000000001E-2</v>
      </c>
      <c r="X129" s="5" t="s">
        <v>129</v>
      </c>
      <c r="Y129" s="5" t="s">
        <v>125</v>
      </c>
      <c r="Z129" s="143">
        <v>50000</v>
      </c>
      <c r="AA129" s="153">
        <v>1</v>
      </c>
      <c r="AB129" s="163">
        <v>114.75</v>
      </c>
      <c r="AD129" s="143">
        <v>57.375</v>
      </c>
      <c r="AG129" s="3" t="s">
        <v>36</v>
      </c>
      <c r="AH129" s="155">
        <v>3.1999999999999999E-5</v>
      </c>
      <c r="AI129" s="155">
        <v>1.7554029066584299E-2</v>
      </c>
      <c r="AJ129" s="155">
        <v>7.64439589967512E-3</v>
      </c>
    </row>
    <row r="130" spans="1:36">
      <c r="A130" s="3">
        <v>337</v>
      </c>
      <c r="B130" s="3">
        <v>1405</v>
      </c>
      <c r="C130" s="185" t="s">
        <v>672</v>
      </c>
      <c r="D130" s="3" t="s">
        <v>673</v>
      </c>
      <c r="E130" s="189" t="s">
        <v>118</v>
      </c>
      <c r="F130" s="185" t="s">
        <v>674</v>
      </c>
      <c r="G130" s="3" t="s">
        <v>675</v>
      </c>
      <c r="H130" s="3" t="s">
        <v>121</v>
      </c>
      <c r="I130" s="3" t="s">
        <v>122</v>
      </c>
      <c r="J130" s="3" t="s">
        <v>30</v>
      </c>
      <c r="K130" s="3" t="s">
        <v>30</v>
      </c>
      <c r="L130" s="3" t="s">
        <v>123</v>
      </c>
      <c r="M130" s="3" t="s">
        <v>31</v>
      </c>
      <c r="N130" s="3" t="s">
        <v>139</v>
      </c>
      <c r="O130" s="3" t="s">
        <v>125</v>
      </c>
      <c r="P130" s="3" t="s">
        <v>126</v>
      </c>
      <c r="Q130" s="3" t="s">
        <v>127</v>
      </c>
      <c r="R130" s="3" t="s">
        <v>128</v>
      </c>
      <c r="S130" s="3" t="s">
        <v>34</v>
      </c>
      <c r="T130" s="143">
        <v>5.3339999999999996</v>
      </c>
      <c r="U130" s="3" t="s">
        <v>676</v>
      </c>
      <c r="V130" s="155">
        <v>5.5899999999999998E-2</v>
      </c>
      <c r="W130" s="155">
        <v>4.7629999999999999E-2</v>
      </c>
      <c r="X130" s="5" t="s">
        <v>129</v>
      </c>
      <c r="Y130" s="5" t="s">
        <v>125</v>
      </c>
      <c r="Z130" s="143">
        <v>33000</v>
      </c>
      <c r="AA130" s="153">
        <v>1</v>
      </c>
      <c r="AB130" s="163">
        <v>106.13</v>
      </c>
      <c r="AD130" s="143">
        <v>35.023000000000003</v>
      </c>
      <c r="AG130" s="3" t="s">
        <v>36</v>
      </c>
      <c r="AH130" s="155">
        <v>7.7000000000000001E-5</v>
      </c>
      <c r="AI130" s="155">
        <v>1.07153464853347E-2</v>
      </c>
      <c r="AJ130" s="155">
        <v>4.6662991399517503E-3</v>
      </c>
    </row>
    <row r="131" spans="1:36">
      <c r="A131" s="3">
        <v>337</v>
      </c>
      <c r="B131" s="3">
        <v>1405</v>
      </c>
      <c r="C131" s="185" t="s">
        <v>672</v>
      </c>
      <c r="D131" s="3" t="s">
        <v>673</v>
      </c>
      <c r="E131" s="189" t="s">
        <v>118</v>
      </c>
      <c r="F131" s="185" t="s">
        <v>677</v>
      </c>
      <c r="G131" s="3" t="s">
        <v>678</v>
      </c>
      <c r="H131" s="3" t="s">
        <v>121</v>
      </c>
      <c r="I131" s="3" t="s">
        <v>122</v>
      </c>
      <c r="J131" s="3" t="s">
        <v>30</v>
      </c>
      <c r="K131" s="3" t="s">
        <v>30</v>
      </c>
      <c r="L131" s="3" t="s">
        <v>123</v>
      </c>
      <c r="M131" s="3" t="s">
        <v>31</v>
      </c>
      <c r="N131" s="3" t="s">
        <v>139</v>
      </c>
      <c r="O131" s="3" t="s">
        <v>125</v>
      </c>
      <c r="P131" s="3" t="s">
        <v>126</v>
      </c>
      <c r="Q131" s="3" t="s">
        <v>127</v>
      </c>
      <c r="R131" s="3" t="s">
        <v>128</v>
      </c>
      <c r="S131" s="3" t="s">
        <v>34</v>
      </c>
      <c r="T131" s="143">
        <v>1.1319999999999999</v>
      </c>
      <c r="U131" s="3" t="s">
        <v>506</v>
      </c>
      <c r="V131" s="155">
        <v>2.6499999999999999E-2</v>
      </c>
      <c r="W131" s="155">
        <v>4.7169999999999997E-2</v>
      </c>
      <c r="X131" s="5" t="s">
        <v>129</v>
      </c>
      <c r="Y131" s="5" t="s">
        <v>125</v>
      </c>
      <c r="Z131" s="143">
        <v>24808</v>
      </c>
      <c r="AA131" s="153">
        <v>1</v>
      </c>
      <c r="AB131" s="163">
        <v>98.66</v>
      </c>
      <c r="AD131" s="143">
        <v>24.475999999999999</v>
      </c>
      <c r="AG131" s="3" t="s">
        <v>36</v>
      </c>
      <c r="AH131" s="155">
        <v>6.0999999999999999E-5</v>
      </c>
      <c r="AI131" s="155">
        <v>7.4883645551634204E-3</v>
      </c>
      <c r="AJ131" s="155">
        <v>3.26101905628793E-3</v>
      </c>
    </row>
    <row r="132" spans="1:36">
      <c r="A132" s="3">
        <v>337</v>
      </c>
      <c r="B132" s="3">
        <v>1405</v>
      </c>
      <c r="C132" s="185" t="s">
        <v>679</v>
      </c>
      <c r="D132" s="3" t="s">
        <v>680</v>
      </c>
      <c r="E132" s="189" t="s">
        <v>118</v>
      </c>
      <c r="F132" s="185" t="s">
        <v>681</v>
      </c>
      <c r="G132" s="3" t="s">
        <v>682</v>
      </c>
      <c r="H132" s="3" t="s">
        <v>121</v>
      </c>
      <c r="I132" s="3" t="s">
        <v>122</v>
      </c>
      <c r="J132" s="3" t="s">
        <v>30</v>
      </c>
      <c r="K132" s="3" t="s">
        <v>30</v>
      </c>
      <c r="L132" s="3" t="s">
        <v>123</v>
      </c>
      <c r="M132" s="3" t="s">
        <v>31</v>
      </c>
      <c r="N132" s="3" t="s">
        <v>177</v>
      </c>
      <c r="O132" s="3" t="s">
        <v>125</v>
      </c>
      <c r="P132" s="3" t="s">
        <v>126</v>
      </c>
      <c r="Q132" s="3" t="s">
        <v>127</v>
      </c>
      <c r="R132" s="3" t="s">
        <v>128</v>
      </c>
      <c r="S132" s="3" t="s">
        <v>34</v>
      </c>
      <c r="T132" s="143">
        <v>3.5139999999999998</v>
      </c>
      <c r="U132" s="3" t="s">
        <v>683</v>
      </c>
      <c r="V132" s="155">
        <v>6.3299999999999995E-2</v>
      </c>
      <c r="W132" s="155">
        <v>4.7239999999999997E-2</v>
      </c>
      <c r="X132" s="5" t="s">
        <v>129</v>
      </c>
      <c r="Y132" s="5" t="s">
        <v>125</v>
      </c>
      <c r="Z132" s="143">
        <v>16000</v>
      </c>
      <c r="AA132" s="153">
        <v>1</v>
      </c>
      <c r="AB132" s="163">
        <v>108.04</v>
      </c>
      <c r="AD132" s="143">
        <v>17.286000000000001</v>
      </c>
      <c r="AG132" s="3" t="s">
        <v>36</v>
      </c>
      <c r="AH132" s="155">
        <v>2.4000000000000001E-5</v>
      </c>
      <c r="AI132" s="155">
        <v>5.2888186153656402E-3</v>
      </c>
      <c r="AJ132" s="155">
        <v>2.3031648850569799E-3</v>
      </c>
    </row>
    <row r="133" spans="1:36">
      <c r="A133" s="3">
        <v>337</v>
      </c>
      <c r="B133" s="3">
        <v>1405</v>
      </c>
      <c r="C133" s="185" t="s">
        <v>679</v>
      </c>
      <c r="D133" s="3" t="s">
        <v>680</v>
      </c>
      <c r="E133" s="189" t="s">
        <v>118</v>
      </c>
      <c r="F133" s="185" t="s">
        <v>684</v>
      </c>
      <c r="G133" s="3" t="s">
        <v>685</v>
      </c>
      <c r="H133" s="3" t="s">
        <v>121</v>
      </c>
      <c r="I133" s="3" t="s">
        <v>132</v>
      </c>
      <c r="J133" s="3" t="s">
        <v>30</v>
      </c>
      <c r="K133" s="3" t="s">
        <v>30</v>
      </c>
      <c r="L133" s="3" t="s">
        <v>123</v>
      </c>
      <c r="M133" s="3" t="s">
        <v>31</v>
      </c>
      <c r="N133" s="3" t="s">
        <v>177</v>
      </c>
      <c r="O133" s="3" t="s">
        <v>125</v>
      </c>
      <c r="P133" s="3" t="s">
        <v>126</v>
      </c>
      <c r="Q133" s="3" t="s">
        <v>127</v>
      </c>
      <c r="R133" s="3" t="s">
        <v>128</v>
      </c>
      <c r="S133" s="3" t="s">
        <v>34</v>
      </c>
      <c r="T133" s="143">
        <v>3.2549999999999999</v>
      </c>
      <c r="U133" s="3" t="s">
        <v>296</v>
      </c>
      <c r="V133" s="155">
        <v>3.2500000000000001E-2</v>
      </c>
      <c r="W133" s="155">
        <v>2.648E-2</v>
      </c>
      <c r="X133" s="5" t="s">
        <v>129</v>
      </c>
      <c r="Y133" s="5" t="s">
        <v>125</v>
      </c>
      <c r="Z133" s="143">
        <v>13680</v>
      </c>
      <c r="AA133" s="153">
        <v>1</v>
      </c>
      <c r="AB133" s="163">
        <v>113.5</v>
      </c>
      <c r="AD133" s="143">
        <v>15.526999999999999</v>
      </c>
      <c r="AG133" s="3" t="s">
        <v>36</v>
      </c>
      <c r="AH133" s="155">
        <v>4.1E-5</v>
      </c>
      <c r="AI133" s="155">
        <v>4.7504644620660801E-3</v>
      </c>
      <c r="AJ133" s="155">
        <v>2.06872342056777E-3</v>
      </c>
    </row>
    <row r="134" spans="1:36">
      <c r="A134" s="3">
        <v>337</v>
      </c>
      <c r="B134" s="3">
        <v>1405</v>
      </c>
      <c r="C134" s="185" t="s">
        <v>686</v>
      </c>
      <c r="D134" s="3" t="s">
        <v>687</v>
      </c>
      <c r="E134" s="189" t="s">
        <v>118</v>
      </c>
      <c r="F134" s="185" t="s">
        <v>688</v>
      </c>
      <c r="G134" s="3" t="s">
        <v>689</v>
      </c>
      <c r="H134" s="3" t="s">
        <v>121</v>
      </c>
      <c r="I134" s="3" t="s">
        <v>132</v>
      </c>
      <c r="J134" s="3" t="s">
        <v>30</v>
      </c>
      <c r="K134" s="3" t="s">
        <v>30</v>
      </c>
      <c r="L134" s="3" t="s">
        <v>123</v>
      </c>
      <c r="M134" s="3" t="s">
        <v>31</v>
      </c>
      <c r="N134" s="3" t="s">
        <v>209</v>
      </c>
      <c r="O134" s="3" t="s">
        <v>125</v>
      </c>
      <c r="P134" s="3" t="s">
        <v>178</v>
      </c>
      <c r="Q134" s="3" t="s">
        <v>178</v>
      </c>
      <c r="R134" s="3" t="s">
        <v>178</v>
      </c>
      <c r="S134" s="3" t="s">
        <v>34</v>
      </c>
      <c r="T134" s="143">
        <v>6.3710000000000004</v>
      </c>
      <c r="U134" s="3" t="s">
        <v>690</v>
      </c>
      <c r="V134" s="155">
        <v>4.1000000000000002E-2</v>
      </c>
      <c r="W134" s="155">
        <v>3.5310000000000001E-2</v>
      </c>
      <c r="X134" s="5" t="s">
        <v>129</v>
      </c>
      <c r="Y134" s="5" t="s">
        <v>125</v>
      </c>
      <c r="Z134" s="143">
        <v>13000</v>
      </c>
      <c r="AA134" s="153">
        <v>1</v>
      </c>
      <c r="AB134" s="163">
        <v>104.62</v>
      </c>
      <c r="AD134" s="143">
        <v>13.601000000000001</v>
      </c>
      <c r="AG134" s="3" t="s">
        <v>36</v>
      </c>
      <c r="AH134" s="155">
        <v>4.6E-5</v>
      </c>
      <c r="AI134" s="155">
        <v>4.1611386095509696E-3</v>
      </c>
      <c r="AJ134" s="155">
        <v>1.8120848953920999E-3</v>
      </c>
    </row>
    <row r="135" spans="1:36">
      <c r="A135" s="3">
        <v>337</v>
      </c>
      <c r="B135" s="3">
        <v>1405</v>
      </c>
      <c r="C135" s="185" t="s">
        <v>691</v>
      </c>
      <c r="D135" s="3" t="s">
        <v>692</v>
      </c>
      <c r="E135" s="189" t="s">
        <v>118</v>
      </c>
      <c r="F135" s="185" t="s">
        <v>693</v>
      </c>
      <c r="G135" s="3" t="s">
        <v>694</v>
      </c>
      <c r="H135" s="3" t="s">
        <v>121</v>
      </c>
      <c r="I135" s="3" t="s">
        <v>122</v>
      </c>
      <c r="J135" s="3" t="s">
        <v>30</v>
      </c>
      <c r="K135" s="3" t="s">
        <v>30</v>
      </c>
      <c r="L135" s="3" t="s">
        <v>123</v>
      </c>
      <c r="M135" s="3" t="s">
        <v>31</v>
      </c>
      <c r="N135" s="3" t="s">
        <v>695</v>
      </c>
      <c r="O135" s="3" t="s">
        <v>125</v>
      </c>
      <c r="P135" s="3" t="s">
        <v>145</v>
      </c>
      <c r="Q135" s="3" t="s">
        <v>146</v>
      </c>
      <c r="R135" s="3" t="s">
        <v>128</v>
      </c>
      <c r="S135" s="3" t="s">
        <v>34</v>
      </c>
      <c r="T135" s="143">
        <v>3.18</v>
      </c>
      <c r="U135" s="3" t="s">
        <v>696</v>
      </c>
      <c r="V135" s="155">
        <v>5.04E-2</v>
      </c>
      <c r="W135" s="155">
        <v>4.478E-2</v>
      </c>
      <c r="X135" s="5" t="s">
        <v>129</v>
      </c>
      <c r="Y135" s="5" t="s">
        <v>125</v>
      </c>
      <c r="Z135" s="143">
        <v>15000</v>
      </c>
      <c r="AA135" s="153">
        <v>1</v>
      </c>
      <c r="AB135" s="163">
        <v>104.07</v>
      </c>
      <c r="AD135" s="143">
        <v>15.61</v>
      </c>
      <c r="AG135" s="3" t="s">
        <v>36</v>
      </c>
      <c r="AH135" s="155">
        <v>3.0000000000000001E-5</v>
      </c>
      <c r="AI135" s="155">
        <v>4.7760726927044E-3</v>
      </c>
      <c r="AJ135" s="155">
        <v>2.0798752451743501E-3</v>
      </c>
    </row>
    <row r="136" spans="1:36">
      <c r="A136" s="3">
        <v>337</v>
      </c>
      <c r="B136" s="3">
        <v>1405</v>
      </c>
      <c r="C136" s="185" t="s">
        <v>697</v>
      </c>
      <c r="D136" s="3" t="s">
        <v>698</v>
      </c>
      <c r="E136" s="189" t="s">
        <v>118</v>
      </c>
      <c r="F136" s="185" t="s">
        <v>699</v>
      </c>
      <c r="G136" s="3" t="s">
        <v>700</v>
      </c>
      <c r="H136" s="3" t="s">
        <v>121</v>
      </c>
      <c r="I136" s="3" t="s">
        <v>122</v>
      </c>
      <c r="J136" s="3" t="s">
        <v>30</v>
      </c>
      <c r="K136" s="3" t="s">
        <v>30</v>
      </c>
      <c r="L136" s="3" t="s">
        <v>123</v>
      </c>
      <c r="M136" s="3" t="s">
        <v>31</v>
      </c>
      <c r="N136" s="3" t="s">
        <v>124</v>
      </c>
      <c r="O136" s="3" t="s">
        <v>125</v>
      </c>
      <c r="P136" s="3" t="s">
        <v>198</v>
      </c>
      <c r="Q136" s="3" t="s">
        <v>146</v>
      </c>
      <c r="R136" s="3" t="s">
        <v>128</v>
      </c>
      <c r="S136" s="3" t="s">
        <v>34</v>
      </c>
      <c r="T136" s="143">
        <v>2.266</v>
      </c>
      <c r="U136" s="3" t="s">
        <v>564</v>
      </c>
      <c r="V136" s="155">
        <v>5.3400000000000003E-2</v>
      </c>
      <c r="W136" s="155">
        <v>4.7079999999999997E-2</v>
      </c>
      <c r="X136" s="5" t="s">
        <v>129</v>
      </c>
      <c r="Y136" s="5" t="s">
        <v>125</v>
      </c>
      <c r="Z136" s="143">
        <v>16800</v>
      </c>
      <c r="AA136" s="153">
        <v>1</v>
      </c>
      <c r="AB136" s="163">
        <v>101.99</v>
      </c>
      <c r="AD136" s="143">
        <v>17.134</v>
      </c>
      <c r="AG136" s="3" t="s">
        <v>36</v>
      </c>
      <c r="AH136" s="155">
        <v>3.0000000000000001E-5</v>
      </c>
      <c r="AI136" s="155">
        <v>5.2422893475582997E-3</v>
      </c>
      <c r="AJ136" s="155">
        <v>2.28290240613022E-3</v>
      </c>
    </row>
    <row r="137" spans="1:36">
      <c r="A137" s="3">
        <v>337</v>
      </c>
      <c r="B137" s="3">
        <v>1405</v>
      </c>
      <c r="C137" s="185" t="s">
        <v>701</v>
      </c>
      <c r="D137" s="3" t="s">
        <v>702</v>
      </c>
      <c r="E137" s="189" t="s">
        <v>118</v>
      </c>
      <c r="F137" s="185" t="s">
        <v>703</v>
      </c>
      <c r="G137" s="3" t="s">
        <v>704</v>
      </c>
      <c r="H137" s="3" t="s">
        <v>121</v>
      </c>
      <c r="I137" s="3" t="s">
        <v>132</v>
      </c>
      <c r="J137" s="3" t="s">
        <v>30</v>
      </c>
      <c r="K137" s="3" t="s">
        <v>30</v>
      </c>
      <c r="L137" s="3" t="s">
        <v>123</v>
      </c>
      <c r="M137" s="3" t="s">
        <v>31</v>
      </c>
      <c r="N137" s="3" t="s">
        <v>171</v>
      </c>
      <c r="O137" s="3" t="s">
        <v>125</v>
      </c>
      <c r="P137" s="3" t="s">
        <v>165</v>
      </c>
      <c r="Q137" s="3" t="s">
        <v>146</v>
      </c>
      <c r="R137" s="3" t="s">
        <v>128</v>
      </c>
      <c r="S137" s="3" t="s">
        <v>34</v>
      </c>
      <c r="T137" s="143">
        <v>5.5910000000000002</v>
      </c>
      <c r="U137" s="3" t="s">
        <v>705</v>
      </c>
      <c r="V137" s="155">
        <v>2.5000000000000001E-2</v>
      </c>
      <c r="W137" s="155">
        <v>2.528E-2</v>
      </c>
      <c r="X137" s="5" t="s">
        <v>129</v>
      </c>
      <c r="Y137" s="5" t="s">
        <v>125</v>
      </c>
      <c r="Z137" s="143">
        <v>43450</v>
      </c>
      <c r="AA137" s="153">
        <v>1</v>
      </c>
      <c r="AB137" s="163">
        <v>118.69</v>
      </c>
      <c r="AD137" s="143">
        <v>51.570999999999998</v>
      </c>
      <c r="AG137" s="3" t="s">
        <v>36</v>
      </c>
      <c r="AH137" s="155">
        <v>3.1999999999999999E-5</v>
      </c>
      <c r="AI137" s="155">
        <v>1.5778220652848E-2</v>
      </c>
      <c r="AJ137" s="155">
        <v>6.8710701574718099E-3</v>
      </c>
    </row>
    <row r="138" spans="1:36">
      <c r="A138" s="3">
        <v>337</v>
      </c>
      <c r="B138" s="3">
        <v>1405</v>
      </c>
      <c r="C138" s="185" t="s">
        <v>706</v>
      </c>
      <c r="D138" s="3" t="s">
        <v>707</v>
      </c>
      <c r="E138" s="189" t="s">
        <v>118</v>
      </c>
      <c r="F138" s="185" t="s">
        <v>708</v>
      </c>
      <c r="G138" s="3" t="s">
        <v>709</v>
      </c>
      <c r="H138" s="3" t="s">
        <v>121</v>
      </c>
      <c r="I138" s="3" t="s">
        <v>122</v>
      </c>
      <c r="J138" s="3" t="s">
        <v>30</v>
      </c>
      <c r="K138" s="3" t="s">
        <v>30</v>
      </c>
      <c r="L138" s="3" t="s">
        <v>123</v>
      </c>
      <c r="M138" s="3" t="s">
        <v>31</v>
      </c>
      <c r="N138" s="3" t="s">
        <v>124</v>
      </c>
      <c r="O138" s="3" t="s">
        <v>125</v>
      </c>
      <c r="P138" s="3" t="s">
        <v>126</v>
      </c>
      <c r="Q138" s="3" t="s">
        <v>127</v>
      </c>
      <c r="R138" s="3" t="s">
        <v>128</v>
      </c>
      <c r="S138" s="3" t="s">
        <v>34</v>
      </c>
      <c r="T138" s="143">
        <v>3.4670000000000001</v>
      </c>
      <c r="U138" s="3" t="s">
        <v>98</v>
      </c>
      <c r="V138" s="155">
        <v>5.8200000000000002E-2</v>
      </c>
      <c r="W138" s="155">
        <v>4.4850000000000001E-2</v>
      </c>
      <c r="X138" s="5" t="s">
        <v>129</v>
      </c>
      <c r="Y138" s="5" t="s">
        <v>125</v>
      </c>
      <c r="Z138" s="143">
        <v>14250</v>
      </c>
      <c r="AA138" s="153">
        <v>1</v>
      </c>
      <c r="AB138" s="163">
        <v>105.79</v>
      </c>
      <c r="AD138" s="143">
        <v>15.074999999999999</v>
      </c>
      <c r="AG138" s="3" t="s">
        <v>36</v>
      </c>
      <c r="AH138" s="155">
        <v>8.6000000000000003E-5</v>
      </c>
      <c r="AI138" s="155">
        <v>4.6122580345261703E-3</v>
      </c>
      <c r="AJ138" s="155">
        <v>2.0085375427851002E-3</v>
      </c>
    </row>
    <row r="139" spans="1:36">
      <c r="A139" s="3">
        <v>337</v>
      </c>
      <c r="B139" s="3">
        <v>1405</v>
      </c>
      <c r="C139" s="185" t="s">
        <v>710</v>
      </c>
      <c r="D139" s="3" t="s">
        <v>711</v>
      </c>
      <c r="E139" s="189" t="s">
        <v>118</v>
      </c>
      <c r="F139" s="185" t="s">
        <v>712</v>
      </c>
      <c r="G139" s="3" t="s">
        <v>713</v>
      </c>
      <c r="H139" s="3" t="s">
        <v>121</v>
      </c>
      <c r="I139" s="3" t="s">
        <v>122</v>
      </c>
      <c r="J139" s="3" t="s">
        <v>30</v>
      </c>
      <c r="K139" s="3" t="s">
        <v>30</v>
      </c>
      <c r="L139" s="3" t="s">
        <v>123</v>
      </c>
      <c r="M139" s="3" t="s">
        <v>31</v>
      </c>
      <c r="N139" s="3" t="s">
        <v>421</v>
      </c>
      <c r="O139" s="3" t="s">
        <v>125</v>
      </c>
      <c r="P139" s="3" t="s">
        <v>165</v>
      </c>
      <c r="Q139" s="3" t="s">
        <v>146</v>
      </c>
      <c r="R139" s="3" t="s">
        <v>128</v>
      </c>
      <c r="S139" s="3" t="s">
        <v>34</v>
      </c>
      <c r="T139" s="143">
        <v>2.4590000000000001</v>
      </c>
      <c r="U139" s="3" t="s">
        <v>714</v>
      </c>
      <c r="V139" s="155">
        <v>3.5200000000000002E-2</v>
      </c>
      <c r="W139" s="155">
        <v>4.2880000000000001E-2</v>
      </c>
      <c r="X139" s="5" t="s">
        <v>129</v>
      </c>
      <c r="Y139" s="5" t="s">
        <v>125</v>
      </c>
      <c r="Z139" s="143">
        <v>28568.62</v>
      </c>
      <c r="AA139" s="153">
        <v>1</v>
      </c>
      <c r="AB139" s="163">
        <v>99.52</v>
      </c>
      <c r="AD139" s="143">
        <v>28.431000000000001</v>
      </c>
      <c r="AG139" s="3" t="s">
        <v>36</v>
      </c>
      <c r="AH139" s="155">
        <v>4.1E-5</v>
      </c>
      <c r="AI139" s="155">
        <v>8.6986878051418907E-3</v>
      </c>
      <c r="AJ139" s="155">
        <v>3.7880883720741998E-3</v>
      </c>
    </row>
    <row r="140" spans="1:36">
      <c r="A140" s="3">
        <v>337</v>
      </c>
      <c r="B140" s="3">
        <v>1405</v>
      </c>
      <c r="C140" s="185" t="s">
        <v>715</v>
      </c>
      <c r="D140" s="3" t="s">
        <v>716</v>
      </c>
      <c r="E140" s="189" t="s">
        <v>118</v>
      </c>
      <c r="F140" s="185" t="s">
        <v>717</v>
      </c>
      <c r="G140" s="3" t="s">
        <v>718</v>
      </c>
      <c r="H140" s="3" t="s">
        <v>121</v>
      </c>
      <c r="I140" s="3" t="s">
        <v>122</v>
      </c>
      <c r="J140" s="3" t="s">
        <v>30</v>
      </c>
      <c r="K140" s="3" t="s">
        <v>30</v>
      </c>
      <c r="L140" s="3" t="s">
        <v>123</v>
      </c>
      <c r="M140" s="3" t="s">
        <v>31</v>
      </c>
      <c r="N140" s="3" t="s">
        <v>171</v>
      </c>
      <c r="O140" s="3" t="s">
        <v>125</v>
      </c>
      <c r="P140" s="3" t="s">
        <v>126</v>
      </c>
      <c r="Q140" s="3" t="s">
        <v>127</v>
      </c>
      <c r="R140" s="3" t="s">
        <v>128</v>
      </c>
      <c r="S140" s="3" t="s">
        <v>34</v>
      </c>
      <c r="T140" s="143">
        <v>2.6360000000000001</v>
      </c>
      <c r="U140" s="3" t="s">
        <v>719</v>
      </c>
      <c r="V140" s="155">
        <v>4.1000000000000002E-2</v>
      </c>
      <c r="W140" s="155">
        <v>4.8129999999999999E-2</v>
      </c>
      <c r="X140" s="5" t="s">
        <v>129</v>
      </c>
      <c r="Y140" s="5" t="s">
        <v>125</v>
      </c>
      <c r="Z140" s="143">
        <v>54365.09</v>
      </c>
      <c r="AA140" s="153">
        <v>1</v>
      </c>
      <c r="AB140" s="163">
        <v>98.99</v>
      </c>
      <c r="AD140" s="143">
        <v>53.816000000000003</v>
      </c>
      <c r="AG140" s="3" t="s">
        <v>36</v>
      </c>
      <c r="AH140" s="155">
        <v>1.01E-4</v>
      </c>
      <c r="AI140" s="155">
        <v>1.6465144640170699E-2</v>
      </c>
      <c r="AJ140" s="155">
        <v>7.1702105367066797E-3</v>
      </c>
    </row>
    <row r="141" spans="1:36">
      <c r="A141" s="3">
        <v>337</v>
      </c>
      <c r="B141" s="3">
        <v>1405</v>
      </c>
      <c r="C141" s="185" t="s">
        <v>720</v>
      </c>
      <c r="D141" s="3" t="s">
        <v>721</v>
      </c>
      <c r="E141" s="189" t="s">
        <v>118</v>
      </c>
      <c r="F141" s="185" t="s">
        <v>722</v>
      </c>
      <c r="G141" s="3" t="s">
        <v>723</v>
      </c>
      <c r="H141" s="3" t="s">
        <v>121</v>
      </c>
      <c r="I141" s="3" t="s">
        <v>122</v>
      </c>
      <c r="J141" s="3" t="s">
        <v>30</v>
      </c>
      <c r="K141" s="3" t="s">
        <v>30</v>
      </c>
      <c r="L141" s="3" t="s">
        <v>123</v>
      </c>
      <c r="M141" s="3" t="s">
        <v>31</v>
      </c>
      <c r="N141" s="3" t="s">
        <v>724</v>
      </c>
      <c r="O141" s="3" t="s">
        <v>125</v>
      </c>
      <c r="P141" s="3" t="s">
        <v>153</v>
      </c>
      <c r="Q141" s="3" t="s">
        <v>146</v>
      </c>
      <c r="R141" s="3" t="s">
        <v>128</v>
      </c>
      <c r="S141" s="3" t="s">
        <v>34</v>
      </c>
      <c r="T141" s="143">
        <v>2.403</v>
      </c>
      <c r="U141" s="3" t="s">
        <v>631</v>
      </c>
      <c r="V141" s="155">
        <v>2.6200000000000001E-2</v>
      </c>
      <c r="W141" s="155">
        <v>4.4229999999999998E-2</v>
      </c>
      <c r="X141" s="5" t="s">
        <v>129</v>
      </c>
      <c r="Y141" s="5" t="s">
        <v>125</v>
      </c>
      <c r="Z141" s="143">
        <v>13948.08</v>
      </c>
      <c r="AA141" s="153">
        <v>1</v>
      </c>
      <c r="AB141" s="163">
        <v>95.89</v>
      </c>
      <c r="AC141" s="143">
        <v>0.183</v>
      </c>
      <c r="AD141" s="143">
        <v>13.558</v>
      </c>
      <c r="AG141" s="3" t="s">
        <v>36</v>
      </c>
      <c r="AH141" s="155">
        <v>3.8999999999999999E-5</v>
      </c>
      <c r="AI141" s="155">
        <v>4.1479624289751799E-3</v>
      </c>
      <c r="AJ141" s="155">
        <v>1.8063469568034699E-3</v>
      </c>
    </row>
    <row r="142" spans="1:36">
      <c r="A142" s="3">
        <v>337</v>
      </c>
      <c r="B142" s="3">
        <v>1405</v>
      </c>
      <c r="C142" s="185" t="s">
        <v>725</v>
      </c>
      <c r="D142" s="3" t="s">
        <v>726</v>
      </c>
      <c r="E142" s="189" t="s">
        <v>727</v>
      </c>
      <c r="F142" s="185" t="s">
        <v>728</v>
      </c>
      <c r="G142" s="3" t="s">
        <v>729</v>
      </c>
      <c r="H142" s="3" t="s">
        <v>121</v>
      </c>
      <c r="I142" s="3" t="s">
        <v>410</v>
      </c>
      <c r="J142" s="3" t="s">
        <v>79</v>
      </c>
      <c r="K142" s="3" t="s">
        <v>138</v>
      </c>
      <c r="L142" s="3" t="s">
        <v>123</v>
      </c>
      <c r="M142" s="3" t="s">
        <v>730</v>
      </c>
      <c r="N142" s="3" t="s">
        <v>377</v>
      </c>
      <c r="O142" s="3" t="s">
        <v>125</v>
      </c>
      <c r="P142" s="3" t="s">
        <v>731</v>
      </c>
      <c r="Q142" s="3" t="s">
        <v>732</v>
      </c>
      <c r="R142" s="3" t="s">
        <v>128</v>
      </c>
      <c r="S142" s="3" t="s">
        <v>84</v>
      </c>
      <c r="T142" s="143">
        <v>2.1080000000000001</v>
      </c>
      <c r="U142" s="3" t="s">
        <v>733</v>
      </c>
      <c r="V142" s="155">
        <v>5.3749999999999999E-2</v>
      </c>
      <c r="W142" s="155">
        <v>6.0979999999999999E-2</v>
      </c>
      <c r="X142" s="5" t="s">
        <v>129</v>
      </c>
      <c r="Y142" s="5" t="s">
        <v>125</v>
      </c>
      <c r="Z142" s="143">
        <v>4000</v>
      </c>
      <c r="AA142" s="153">
        <v>3.19</v>
      </c>
      <c r="AB142" s="163">
        <v>100.083</v>
      </c>
      <c r="AD142" s="143">
        <v>12.771000000000001</v>
      </c>
      <c r="AG142" s="3" t="s">
        <v>36</v>
      </c>
      <c r="AH142" s="155">
        <v>6.0000000000000002E-6</v>
      </c>
      <c r="AI142" s="155">
        <v>3.9071834445738004E-3</v>
      </c>
      <c r="AJ142" s="155">
        <v>1.70149297290586E-3</v>
      </c>
    </row>
    <row r="143" spans="1:36">
      <c r="A143" s="3">
        <v>337</v>
      </c>
      <c r="B143" s="3">
        <v>1405</v>
      </c>
      <c r="C143" s="185" t="s">
        <v>725</v>
      </c>
      <c r="D143" s="3" t="s">
        <v>726</v>
      </c>
      <c r="E143" s="189" t="s">
        <v>727</v>
      </c>
      <c r="F143" s="185" t="s">
        <v>734</v>
      </c>
      <c r="G143" s="3" t="s">
        <v>735</v>
      </c>
      <c r="H143" s="3" t="s">
        <v>121</v>
      </c>
      <c r="I143" s="3" t="s">
        <v>410</v>
      </c>
      <c r="J143" s="3" t="s">
        <v>79</v>
      </c>
      <c r="K143" s="3" t="s">
        <v>138</v>
      </c>
      <c r="L143" s="3" t="s">
        <v>123</v>
      </c>
      <c r="M143" s="3" t="s">
        <v>730</v>
      </c>
      <c r="N143" s="3" t="s">
        <v>377</v>
      </c>
      <c r="O143" s="3" t="s">
        <v>125</v>
      </c>
      <c r="P143" s="3" t="s">
        <v>731</v>
      </c>
      <c r="Q143" s="3" t="s">
        <v>732</v>
      </c>
      <c r="R143" s="3" t="s">
        <v>128</v>
      </c>
      <c r="S143" s="3" t="s">
        <v>84</v>
      </c>
      <c r="T143" s="143">
        <v>4.5019999999999998</v>
      </c>
      <c r="U143" s="3" t="s">
        <v>736</v>
      </c>
      <c r="V143" s="155">
        <v>5.8749999999999997E-2</v>
      </c>
      <c r="W143" s="155">
        <v>6.6460000000000005E-2</v>
      </c>
      <c r="X143" s="5" t="s">
        <v>129</v>
      </c>
      <c r="Y143" s="5" t="s">
        <v>125</v>
      </c>
      <c r="Z143" s="143">
        <v>4000</v>
      </c>
      <c r="AA143" s="153">
        <v>3.19</v>
      </c>
      <c r="AB143" s="163">
        <v>98.430999999999997</v>
      </c>
      <c r="AD143" s="143">
        <v>12.56</v>
      </c>
      <c r="AG143" s="3" t="s">
        <v>36</v>
      </c>
      <c r="AH143" s="155">
        <v>6.0000000000000002E-6</v>
      </c>
      <c r="AI143" s="155">
        <v>3.8427057258765798E-3</v>
      </c>
      <c r="AJ143" s="155">
        <v>1.6734143359980701E-3</v>
      </c>
    </row>
    <row r="144" spans="1:36">
      <c r="A144" s="3">
        <v>337</v>
      </c>
      <c r="B144" s="3">
        <v>1405</v>
      </c>
      <c r="C144" s="185" t="s">
        <v>459</v>
      </c>
      <c r="D144" s="3" t="s">
        <v>460</v>
      </c>
      <c r="E144" s="189" t="s">
        <v>118</v>
      </c>
      <c r="F144" s="185" t="s">
        <v>737</v>
      </c>
      <c r="G144" s="3" t="s">
        <v>738</v>
      </c>
      <c r="H144" s="3" t="s">
        <v>121</v>
      </c>
      <c r="I144" s="3" t="s">
        <v>410</v>
      </c>
      <c r="J144" s="3" t="s">
        <v>79</v>
      </c>
      <c r="K144" s="3" t="s">
        <v>30</v>
      </c>
      <c r="L144" s="3" t="s">
        <v>123</v>
      </c>
      <c r="M144" s="3" t="s">
        <v>730</v>
      </c>
      <c r="N144" s="3" t="s">
        <v>316</v>
      </c>
      <c r="O144" s="3" t="s">
        <v>125</v>
      </c>
      <c r="P144" s="3" t="s">
        <v>739</v>
      </c>
      <c r="Q144" s="3" t="s">
        <v>732</v>
      </c>
      <c r="R144" s="3" t="s">
        <v>128</v>
      </c>
      <c r="S144" s="3" t="s">
        <v>84</v>
      </c>
      <c r="T144" s="143">
        <v>4.4489999999999998</v>
      </c>
      <c r="U144" s="3" t="s">
        <v>740</v>
      </c>
      <c r="V144" s="155">
        <v>3.2750000000000001E-2</v>
      </c>
      <c r="W144" s="155">
        <v>5.3740000000000003E-2</v>
      </c>
      <c r="X144" s="5" t="s">
        <v>129</v>
      </c>
      <c r="Y144" s="5" t="s">
        <v>125</v>
      </c>
      <c r="Z144" s="143">
        <v>3000</v>
      </c>
      <c r="AA144" s="153">
        <v>3.19</v>
      </c>
      <c r="AB144" s="163">
        <v>101.229</v>
      </c>
      <c r="AD144" s="143">
        <v>9.6880000000000006</v>
      </c>
      <c r="AG144" s="3" t="s">
        <v>36</v>
      </c>
      <c r="AH144" s="155">
        <v>3.9999999999999998E-6</v>
      </c>
      <c r="AI144" s="155">
        <v>2.9639567154022398E-3</v>
      </c>
      <c r="AJ144" s="155">
        <v>1.29073835277887E-3</v>
      </c>
    </row>
    <row r="145" spans="1:36">
      <c r="A145" s="3">
        <v>337</v>
      </c>
      <c r="B145" s="3">
        <v>1405</v>
      </c>
      <c r="C145" s="185" t="s">
        <v>741</v>
      </c>
      <c r="D145" s="3" t="s">
        <v>742</v>
      </c>
      <c r="E145" s="189" t="s">
        <v>118</v>
      </c>
      <c r="F145" s="185" t="s">
        <v>743</v>
      </c>
      <c r="G145" s="3" t="s">
        <v>744</v>
      </c>
      <c r="H145" s="3" t="s">
        <v>121</v>
      </c>
      <c r="I145" s="3" t="s">
        <v>410</v>
      </c>
      <c r="J145" s="3" t="s">
        <v>79</v>
      </c>
      <c r="K145" s="3" t="s">
        <v>30</v>
      </c>
      <c r="L145" s="3" t="s">
        <v>123</v>
      </c>
      <c r="M145" s="3" t="s">
        <v>730</v>
      </c>
      <c r="N145" s="3" t="s">
        <v>377</v>
      </c>
      <c r="O145" s="3" t="s">
        <v>125</v>
      </c>
      <c r="P145" s="3" t="s">
        <v>731</v>
      </c>
      <c r="Q145" s="3" t="s">
        <v>732</v>
      </c>
      <c r="R145" s="3" t="s">
        <v>128</v>
      </c>
      <c r="S145" s="3" t="s">
        <v>84</v>
      </c>
      <c r="T145" s="143">
        <v>1.44</v>
      </c>
      <c r="U145" s="3" t="s">
        <v>244</v>
      </c>
      <c r="V145" s="155">
        <v>6.5000000000000002E-2</v>
      </c>
      <c r="W145" s="155">
        <v>6.1420000000000002E-2</v>
      </c>
      <c r="X145" s="5" t="s">
        <v>129</v>
      </c>
      <c r="Y145" s="5" t="s">
        <v>125</v>
      </c>
      <c r="Z145" s="143">
        <v>2000</v>
      </c>
      <c r="AA145" s="153">
        <v>3.19</v>
      </c>
      <c r="AB145" s="163">
        <v>100.851</v>
      </c>
      <c r="AD145" s="143">
        <v>6.4340000000000002</v>
      </c>
      <c r="AG145" s="3" t="s">
        <v>36</v>
      </c>
      <c r="AH145" s="155">
        <v>3.0000000000000001E-6</v>
      </c>
      <c r="AI145" s="155">
        <v>1.9685946208672701E-3</v>
      </c>
      <c r="AJ145" s="155">
        <v>8.5727992079760501E-4</v>
      </c>
    </row>
    <row r="146" spans="1:36">
      <c r="A146" s="3">
        <v>337</v>
      </c>
      <c r="B146" s="3">
        <v>1405</v>
      </c>
      <c r="C146" s="185" t="s">
        <v>745</v>
      </c>
      <c r="D146" s="3" t="s">
        <v>746</v>
      </c>
      <c r="E146" s="189" t="s">
        <v>118</v>
      </c>
      <c r="F146" s="185" t="s">
        <v>747</v>
      </c>
      <c r="G146" s="3" t="s">
        <v>748</v>
      </c>
      <c r="H146" s="3" t="s">
        <v>121</v>
      </c>
      <c r="I146" s="3" t="s">
        <v>410</v>
      </c>
      <c r="J146" s="3" t="s">
        <v>79</v>
      </c>
      <c r="K146" s="3" t="s">
        <v>30</v>
      </c>
      <c r="L146" s="3" t="s">
        <v>123</v>
      </c>
      <c r="M146" s="3" t="s">
        <v>730</v>
      </c>
      <c r="N146" s="3" t="s">
        <v>316</v>
      </c>
      <c r="O146" s="3" t="s">
        <v>125</v>
      </c>
      <c r="P146" s="3" t="s">
        <v>739</v>
      </c>
      <c r="Q146" s="3" t="s">
        <v>732</v>
      </c>
      <c r="R146" s="3" t="s">
        <v>128</v>
      </c>
      <c r="S146" s="3" t="s">
        <v>84</v>
      </c>
      <c r="T146" s="143">
        <v>0.25600000000000001</v>
      </c>
      <c r="U146" s="3" t="s">
        <v>749</v>
      </c>
      <c r="V146" s="155">
        <v>3.0769999999999999E-2</v>
      </c>
      <c r="W146" s="155">
        <v>5.9290000000000002E-2</v>
      </c>
      <c r="X146" s="5" t="s">
        <v>129</v>
      </c>
      <c r="Y146" s="5" t="s">
        <v>125</v>
      </c>
      <c r="Z146" s="143">
        <v>3000</v>
      </c>
      <c r="AA146" s="153">
        <v>3.19</v>
      </c>
      <c r="AB146" s="163">
        <v>99.954999999999998</v>
      </c>
      <c r="AD146" s="143">
        <v>9.5660000000000007</v>
      </c>
      <c r="AG146" s="3" t="s">
        <v>36</v>
      </c>
      <c r="AH146" s="155">
        <v>5.0000000000000004E-6</v>
      </c>
      <c r="AI146" s="155">
        <v>2.9266485706498798E-3</v>
      </c>
      <c r="AJ146" s="155">
        <v>1.2744914713542299E-3</v>
      </c>
    </row>
    <row r="147" spans="1:36">
      <c r="A147" s="3">
        <v>337</v>
      </c>
      <c r="B147" s="3">
        <v>1405</v>
      </c>
      <c r="C147" s="185" t="s">
        <v>750</v>
      </c>
      <c r="D147" s="3" t="s">
        <v>751</v>
      </c>
      <c r="E147" s="189" t="s">
        <v>118</v>
      </c>
      <c r="F147" s="185" t="s">
        <v>752</v>
      </c>
      <c r="G147" s="3" t="s">
        <v>753</v>
      </c>
      <c r="H147" s="3" t="s">
        <v>121</v>
      </c>
      <c r="I147" s="3" t="s">
        <v>410</v>
      </c>
      <c r="J147" s="3" t="s">
        <v>79</v>
      </c>
      <c r="K147" s="3" t="s">
        <v>80</v>
      </c>
      <c r="L147" s="3" t="s">
        <v>123</v>
      </c>
      <c r="M147" s="3" t="s">
        <v>730</v>
      </c>
      <c r="N147" s="3" t="s">
        <v>754</v>
      </c>
      <c r="O147" s="3" t="s">
        <v>125</v>
      </c>
      <c r="P147" s="3" t="s">
        <v>731</v>
      </c>
      <c r="Q147" s="3" t="s">
        <v>732</v>
      </c>
      <c r="R147" s="3" t="s">
        <v>128</v>
      </c>
      <c r="S147" s="3" t="s">
        <v>755</v>
      </c>
      <c r="T147" s="143">
        <v>3.778</v>
      </c>
      <c r="U147" s="3" t="s">
        <v>756</v>
      </c>
      <c r="V147" s="155">
        <v>4.3749999999999997E-2</v>
      </c>
      <c r="W147" s="155">
        <v>3.7679999999999998E-2</v>
      </c>
      <c r="X147" s="5" t="s">
        <v>129</v>
      </c>
      <c r="Y147" s="5" t="s">
        <v>125</v>
      </c>
      <c r="Z147" s="143">
        <v>15000</v>
      </c>
      <c r="AA147" s="153">
        <v>3.7454999999999998</v>
      </c>
      <c r="AB147" s="163">
        <v>103.566</v>
      </c>
      <c r="AD147" s="143">
        <v>58.186</v>
      </c>
      <c r="AG147" s="3" t="s">
        <v>36</v>
      </c>
      <c r="AH147" s="155">
        <v>1.0000000000000001E-5</v>
      </c>
      <c r="AI147" s="155">
        <v>1.7802078043480499E-2</v>
      </c>
      <c r="AJ147" s="155">
        <v>7.7524158063706798E-3</v>
      </c>
    </row>
    <row r="148" spans="1:36">
      <c r="A148" s="3">
        <v>337</v>
      </c>
      <c r="B148" s="3">
        <v>1405</v>
      </c>
      <c r="C148" s="185" t="s">
        <v>750</v>
      </c>
      <c r="D148" s="3" t="s">
        <v>751</v>
      </c>
      <c r="E148" s="189" t="s">
        <v>118</v>
      </c>
      <c r="F148" s="185" t="s">
        <v>757</v>
      </c>
      <c r="G148" s="3" t="s">
        <v>758</v>
      </c>
      <c r="H148" s="3" t="s">
        <v>121</v>
      </c>
      <c r="I148" s="3" t="s">
        <v>410</v>
      </c>
      <c r="J148" s="3" t="s">
        <v>79</v>
      </c>
      <c r="K148" s="3" t="s">
        <v>80</v>
      </c>
      <c r="L148" s="3" t="s">
        <v>123</v>
      </c>
      <c r="M148" s="3" t="s">
        <v>730</v>
      </c>
      <c r="N148" s="3" t="s">
        <v>754</v>
      </c>
      <c r="O148" s="3" t="s">
        <v>125</v>
      </c>
      <c r="P148" s="3" t="s">
        <v>731</v>
      </c>
      <c r="Q148" s="3" t="s">
        <v>732</v>
      </c>
      <c r="R148" s="3" t="s">
        <v>128</v>
      </c>
      <c r="S148" s="3" t="s">
        <v>84</v>
      </c>
      <c r="T148" s="143">
        <v>2.8879999999999999</v>
      </c>
      <c r="U148" s="3" t="s">
        <v>759</v>
      </c>
      <c r="V148" s="155">
        <v>5.1249999999999997E-2</v>
      </c>
      <c r="W148" s="155">
        <v>4.8779999999999997E-2</v>
      </c>
      <c r="X148" s="5" t="s">
        <v>129</v>
      </c>
      <c r="Y148" s="5" t="s">
        <v>125</v>
      </c>
      <c r="Z148" s="143">
        <v>13000</v>
      </c>
      <c r="AA148" s="153">
        <v>3.19</v>
      </c>
      <c r="AB148" s="163">
        <v>102.399</v>
      </c>
      <c r="AD148" s="143">
        <v>42.465000000000003</v>
      </c>
      <c r="AG148" s="3" t="s">
        <v>36</v>
      </c>
      <c r="AH148" s="155">
        <v>1.2999999999999999E-5</v>
      </c>
      <c r="AI148" s="155">
        <v>1.2992176772855199E-2</v>
      </c>
      <c r="AJ148" s="155">
        <v>5.6578089550579601E-3</v>
      </c>
    </row>
    <row r="149" spans="1:36">
      <c r="A149" s="3">
        <v>337</v>
      </c>
      <c r="B149" s="3">
        <v>1477</v>
      </c>
      <c r="C149" s="185" t="s">
        <v>148</v>
      </c>
      <c r="D149" s="3" t="s">
        <v>149</v>
      </c>
      <c r="E149" s="189" t="s">
        <v>118</v>
      </c>
      <c r="F149" s="185" t="s">
        <v>150</v>
      </c>
      <c r="G149" s="3" t="s">
        <v>151</v>
      </c>
      <c r="H149" s="3" t="s">
        <v>121</v>
      </c>
      <c r="I149" s="3" t="s">
        <v>132</v>
      </c>
      <c r="J149" s="3" t="s">
        <v>30</v>
      </c>
      <c r="K149" s="3" t="s">
        <v>30</v>
      </c>
      <c r="L149" s="3" t="s">
        <v>123</v>
      </c>
      <c r="M149" s="3" t="s">
        <v>31</v>
      </c>
      <c r="N149" s="3" t="s">
        <v>152</v>
      </c>
      <c r="O149" s="3" t="s">
        <v>125</v>
      </c>
      <c r="P149" s="3" t="s">
        <v>153</v>
      </c>
      <c r="Q149" s="3" t="s">
        <v>146</v>
      </c>
      <c r="R149" s="3" t="s">
        <v>128</v>
      </c>
      <c r="S149" s="3" t="s">
        <v>34</v>
      </c>
      <c r="T149" s="143">
        <v>2.1619999999999999</v>
      </c>
      <c r="U149" s="3" t="s">
        <v>154</v>
      </c>
      <c r="V149" s="155">
        <v>2.75E-2</v>
      </c>
      <c r="W149" s="155">
        <v>2.4850000000000001E-2</v>
      </c>
      <c r="X149" s="5" t="s">
        <v>129</v>
      </c>
      <c r="Y149" s="5" t="s">
        <v>125</v>
      </c>
      <c r="Z149" s="143">
        <v>0.35</v>
      </c>
      <c r="AA149" s="153">
        <v>1</v>
      </c>
      <c r="AB149" s="163">
        <v>118.88</v>
      </c>
      <c r="AD149" s="143">
        <v>0</v>
      </c>
      <c r="AG149" s="3" t="s">
        <v>36</v>
      </c>
      <c r="AH149" s="155">
        <v>0</v>
      </c>
      <c r="AI149" s="155">
        <v>4.4576737097151998E-6</v>
      </c>
      <c r="AJ149" s="155">
        <v>1.6741686735296501E-8</v>
      </c>
    </row>
    <row r="150" spans="1:36">
      <c r="A150" s="3">
        <v>337</v>
      </c>
      <c r="B150" s="3">
        <v>1477</v>
      </c>
      <c r="C150" s="185" t="s">
        <v>760</v>
      </c>
      <c r="D150" s="3" t="s">
        <v>761</v>
      </c>
      <c r="E150" s="189" t="s">
        <v>118</v>
      </c>
      <c r="F150" s="185" t="s">
        <v>762</v>
      </c>
      <c r="G150" s="3" t="s">
        <v>763</v>
      </c>
      <c r="H150" s="3" t="s">
        <v>121</v>
      </c>
      <c r="I150" s="3" t="s">
        <v>122</v>
      </c>
      <c r="J150" s="3" t="s">
        <v>30</v>
      </c>
      <c r="K150" s="3" t="s">
        <v>30</v>
      </c>
      <c r="L150" s="3" t="s">
        <v>123</v>
      </c>
      <c r="M150" s="3" t="s">
        <v>31</v>
      </c>
      <c r="N150" s="3" t="s">
        <v>228</v>
      </c>
      <c r="O150" s="3" t="s">
        <v>125</v>
      </c>
      <c r="P150" s="3" t="s">
        <v>178</v>
      </c>
      <c r="Q150" s="3" t="s">
        <v>178</v>
      </c>
      <c r="R150" s="3" t="s">
        <v>178</v>
      </c>
      <c r="S150" s="3" t="s">
        <v>34</v>
      </c>
      <c r="T150" s="143">
        <v>2.3109999999999999</v>
      </c>
      <c r="U150" s="3" t="s">
        <v>70</v>
      </c>
      <c r="V150" s="155">
        <v>5.5E-2</v>
      </c>
      <c r="W150" s="155">
        <v>5.5239999999999997E-2</v>
      </c>
      <c r="X150" s="5" t="s">
        <v>129</v>
      </c>
      <c r="Y150" s="5" t="s">
        <v>125</v>
      </c>
      <c r="Z150" s="143">
        <v>17000</v>
      </c>
      <c r="AA150" s="153">
        <v>1</v>
      </c>
      <c r="AB150" s="163">
        <v>101.5</v>
      </c>
      <c r="AD150" s="143">
        <v>17.254999999999999</v>
      </c>
      <c r="AG150" s="3" t="s">
        <v>36</v>
      </c>
      <c r="AH150" s="155">
        <v>5.1999999999999997E-5</v>
      </c>
      <c r="AI150" s="155">
        <v>0.18486146861453501</v>
      </c>
      <c r="AJ150" s="155">
        <v>6.9428428335305899E-4</v>
      </c>
    </row>
    <row r="151" spans="1:36">
      <c r="A151" s="3">
        <v>337</v>
      </c>
      <c r="B151" s="3">
        <v>1477</v>
      </c>
      <c r="C151" s="185" t="s">
        <v>230</v>
      </c>
      <c r="D151" s="3" t="s">
        <v>231</v>
      </c>
      <c r="E151" s="189" t="s">
        <v>118</v>
      </c>
      <c r="F151" s="185" t="s">
        <v>235</v>
      </c>
      <c r="G151" s="3" t="s">
        <v>236</v>
      </c>
      <c r="H151" s="3" t="s">
        <v>121</v>
      </c>
      <c r="I151" s="3" t="s">
        <v>176</v>
      </c>
      <c r="J151" s="3" t="s">
        <v>30</v>
      </c>
      <c r="K151" s="3" t="s">
        <v>30</v>
      </c>
      <c r="L151" s="3" t="s">
        <v>123</v>
      </c>
      <c r="M151" s="3" t="s">
        <v>31</v>
      </c>
      <c r="N151" s="3" t="s">
        <v>228</v>
      </c>
      <c r="O151" s="3" t="s">
        <v>125</v>
      </c>
      <c r="P151" s="3" t="s">
        <v>198</v>
      </c>
      <c r="Q151" s="3" t="s">
        <v>146</v>
      </c>
      <c r="R151" s="3" t="s">
        <v>128</v>
      </c>
      <c r="S151" s="3" t="s">
        <v>34</v>
      </c>
      <c r="T151" s="143">
        <v>1.577</v>
      </c>
      <c r="U151" s="3" t="s">
        <v>237</v>
      </c>
      <c r="V151" s="155">
        <v>1.25E-3</v>
      </c>
      <c r="W151" s="155">
        <v>4.8980000000000003E-2</v>
      </c>
      <c r="X151" s="5" t="s">
        <v>129</v>
      </c>
      <c r="Y151" s="5" t="s">
        <v>125</v>
      </c>
      <c r="Z151" s="143">
        <v>4000</v>
      </c>
      <c r="AA151" s="153">
        <v>1</v>
      </c>
      <c r="AB151" s="163">
        <v>93.2</v>
      </c>
      <c r="AD151" s="143">
        <v>3.7280000000000002</v>
      </c>
      <c r="AG151" s="3" t="s">
        <v>36</v>
      </c>
      <c r="AH151" s="155">
        <v>6.9999999999999999E-6</v>
      </c>
      <c r="AI151" s="155">
        <v>3.99399336421319E-2</v>
      </c>
      <c r="AJ151" s="155">
        <v>1.50002422969586E-4</v>
      </c>
    </row>
    <row r="152" spans="1:36">
      <c r="A152" s="3">
        <v>337</v>
      </c>
      <c r="B152" s="3">
        <v>1477</v>
      </c>
      <c r="C152" s="185" t="s">
        <v>238</v>
      </c>
      <c r="D152" s="3" t="s">
        <v>239</v>
      </c>
      <c r="E152" s="189" t="s">
        <v>118</v>
      </c>
      <c r="F152" s="185" t="s">
        <v>240</v>
      </c>
      <c r="G152" s="3" t="s">
        <v>241</v>
      </c>
      <c r="H152" s="3" t="s">
        <v>121</v>
      </c>
      <c r="I152" s="3" t="s">
        <v>132</v>
      </c>
      <c r="J152" s="3" t="s">
        <v>30</v>
      </c>
      <c r="K152" s="3" t="s">
        <v>30</v>
      </c>
      <c r="L152" s="3" t="s">
        <v>123</v>
      </c>
      <c r="M152" s="3" t="s">
        <v>31</v>
      </c>
      <c r="N152" s="3" t="s">
        <v>242</v>
      </c>
      <c r="O152" s="3" t="s">
        <v>125</v>
      </c>
      <c r="P152" s="3" t="s">
        <v>243</v>
      </c>
      <c r="Q152" s="3" t="s">
        <v>127</v>
      </c>
      <c r="R152" s="3" t="s">
        <v>128</v>
      </c>
      <c r="S152" s="3" t="s">
        <v>34</v>
      </c>
      <c r="T152" s="143">
        <v>0.98599999999999999</v>
      </c>
      <c r="U152" s="3" t="s">
        <v>244</v>
      </c>
      <c r="V152" s="155">
        <v>1.2500000000000001E-2</v>
      </c>
      <c r="W152" s="155">
        <v>4.011E-2</v>
      </c>
      <c r="X152" s="5" t="s">
        <v>129</v>
      </c>
      <c r="Y152" s="5" t="s">
        <v>125</v>
      </c>
      <c r="Z152" s="143">
        <v>0.16</v>
      </c>
      <c r="AA152" s="153">
        <v>1</v>
      </c>
      <c r="AB152" s="163">
        <v>108.77</v>
      </c>
      <c r="AD152" s="143">
        <v>0</v>
      </c>
      <c r="AG152" s="3" t="s">
        <v>36</v>
      </c>
      <c r="AH152" s="155">
        <v>0</v>
      </c>
      <c r="AI152" s="155">
        <v>1.86449209538828E-6</v>
      </c>
      <c r="AJ152" s="155">
        <v>7.0024736250651707E-9</v>
      </c>
    </row>
    <row r="153" spans="1:36">
      <c r="A153" s="3">
        <v>337</v>
      </c>
      <c r="B153" s="3">
        <v>1477</v>
      </c>
      <c r="C153" s="185" t="s">
        <v>267</v>
      </c>
      <c r="D153" s="3" t="s">
        <v>268</v>
      </c>
      <c r="E153" s="189" t="s">
        <v>269</v>
      </c>
      <c r="F153" s="185" t="s">
        <v>270</v>
      </c>
      <c r="G153" s="3" t="s">
        <v>271</v>
      </c>
      <c r="H153" s="3" t="s">
        <v>121</v>
      </c>
      <c r="I153" s="3" t="s">
        <v>122</v>
      </c>
      <c r="J153" s="3" t="s">
        <v>30</v>
      </c>
      <c r="K153" s="3" t="s">
        <v>30</v>
      </c>
      <c r="L153" s="3" t="s">
        <v>123</v>
      </c>
      <c r="M153" s="3" t="s">
        <v>31</v>
      </c>
      <c r="N153" s="3" t="s">
        <v>139</v>
      </c>
      <c r="O153" s="3" t="s">
        <v>125</v>
      </c>
      <c r="P153" s="3" t="s">
        <v>243</v>
      </c>
      <c r="Q153" s="3" t="s">
        <v>127</v>
      </c>
      <c r="R153" s="3" t="s">
        <v>128</v>
      </c>
      <c r="S153" s="3" t="s">
        <v>34</v>
      </c>
      <c r="T153" s="143">
        <v>0.24399999999999999</v>
      </c>
      <c r="U153" s="3" t="s">
        <v>272</v>
      </c>
      <c r="V153" s="155">
        <v>7.0000000000000007E-2</v>
      </c>
      <c r="W153" s="155">
        <v>7.0709999999999995E-2</v>
      </c>
      <c r="X153" s="5" t="s">
        <v>129</v>
      </c>
      <c r="Y153" s="5" t="s">
        <v>125</v>
      </c>
      <c r="Z153" s="143">
        <v>0.37</v>
      </c>
      <c r="AA153" s="153">
        <v>1</v>
      </c>
      <c r="AB153" s="163">
        <v>101.79</v>
      </c>
      <c r="AD153" s="143">
        <v>0</v>
      </c>
      <c r="AG153" s="3" t="s">
        <v>36</v>
      </c>
      <c r="AH153" s="155">
        <v>0</v>
      </c>
      <c r="AI153" s="155">
        <v>4.0349510804990997E-6</v>
      </c>
      <c r="AJ153" s="155">
        <v>1.5154067206565001E-8</v>
      </c>
    </row>
    <row r="154" spans="1:36">
      <c r="A154" s="3">
        <v>337</v>
      </c>
      <c r="B154" s="3">
        <v>1477</v>
      </c>
      <c r="C154" s="185" t="s">
        <v>349</v>
      </c>
      <c r="D154" s="3" t="s">
        <v>350</v>
      </c>
      <c r="E154" s="189" t="s">
        <v>118</v>
      </c>
      <c r="F154" s="185" t="s">
        <v>351</v>
      </c>
      <c r="G154" s="3" t="s">
        <v>352</v>
      </c>
      <c r="H154" s="3" t="s">
        <v>121</v>
      </c>
      <c r="I154" s="3" t="s">
        <v>176</v>
      </c>
      <c r="J154" s="3" t="s">
        <v>30</v>
      </c>
      <c r="K154" s="3" t="s">
        <v>30</v>
      </c>
      <c r="L154" s="3" t="s">
        <v>123</v>
      </c>
      <c r="M154" s="3" t="s">
        <v>31</v>
      </c>
      <c r="N154" s="3" t="s">
        <v>124</v>
      </c>
      <c r="O154" s="3" t="s">
        <v>125</v>
      </c>
      <c r="P154" s="3" t="s">
        <v>178</v>
      </c>
      <c r="Q154" s="3" t="s">
        <v>178</v>
      </c>
      <c r="R154" s="3" t="s">
        <v>178</v>
      </c>
      <c r="S154" s="3" t="s">
        <v>34</v>
      </c>
      <c r="T154" s="143">
        <v>2.5609999999999999</v>
      </c>
      <c r="U154" s="3" t="s">
        <v>154</v>
      </c>
      <c r="V154" s="155">
        <v>7.0000000000000007E-2</v>
      </c>
      <c r="W154" s="155">
        <v>1E-4</v>
      </c>
      <c r="X154" s="5" t="s">
        <v>129</v>
      </c>
      <c r="Y154" s="5" t="s">
        <v>125</v>
      </c>
      <c r="Z154" s="143">
        <v>18000</v>
      </c>
      <c r="AA154" s="153">
        <v>1</v>
      </c>
      <c r="AB154" s="163">
        <v>150.6</v>
      </c>
      <c r="AD154" s="143">
        <v>27.108000000000001</v>
      </c>
      <c r="AG154" s="3" t="s">
        <v>36</v>
      </c>
      <c r="AH154" s="155">
        <v>3.6099999999999999E-4</v>
      </c>
      <c r="AI154" s="155">
        <v>0.29042159902653197</v>
      </c>
      <c r="AJ154" s="155">
        <v>1.09073650264472E-3</v>
      </c>
    </row>
    <row r="155" spans="1:36">
      <c r="A155" s="3">
        <v>337</v>
      </c>
      <c r="B155" s="3">
        <v>1477</v>
      </c>
      <c r="C155" s="185" t="s">
        <v>608</v>
      </c>
      <c r="D155" s="3" t="s">
        <v>609</v>
      </c>
      <c r="E155" s="189" t="s">
        <v>269</v>
      </c>
      <c r="F155" s="185" t="s">
        <v>610</v>
      </c>
      <c r="G155" s="3" t="s">
        <v>611</v>
      </c>
      <c r="H155" s="3" t="s">
        <v>121</v>
      </c>
      <c r="I155" s="3" t="s">
        <v>122</v>
      </c>
      <c r="J155" s="3" t="s">
        <v>30</v>
      </c>
      <c r="K155" s="3" t="s">
        <v>138</v>
      </c>
      <c r="L155" s="3" t="s">
        <v>123</v>
      </c>
      <c r="M155" s="3" t="s">
        <v>31</v>
      </c>
      <c r="N155" s="3" t="s">
        <v>139</v>
      </c>
      <c r="O155" s="3" t="s">
        <v>125</v>
      </c>
      <c r="P155" s="3" t="s">
        <v>145</v>
      </c>
      <c r="Q155" s="3" t="s">
        <v>146</v>
      </c>
      <c r="R155" s="3" t="s">
        <v>128</v>
      </c>
      <c r="S155" s="3" t="s">
        <v>34</v>
      </c>
      <c r="T155" s="143">
        <v>0.56399999999999995</v>
      </c>
      <c r="U155" s="3" t="s">
        <v>61</v>
      </c>
      <c r="V155" s="155">
        <v>5.7000000000000002E-2</v>
      </c>
      <c r="W155" s="155">
        <v>5.9990000000000002E-2</v>
      </c>
      <c r="X155" s="5" t="s">
        <v>129</v>
      </c>
      <c r="Y155" s="5" t="s">
        <v>125</v>
      </c>
      <c r="Z155" s="143">
        <v>0.09</v>
      </c>
      <c r="AA155" s="153">
        <v>1</v>
      </c>
      <c r="AB155" s="163">
        <v>102.28</v>
      </c>
      <c r="AD155" s="143">
        <v>0</v>
      </c>
      <c r="AG155" s="3" t="s">
        <v>36</v>
      </c>
      <c r="AH155" s="155">
        <v>0</v>
      </c>
      <c r="AI155" s="155">
        <v>9.86199241315861E-7</v>
      </c>
      <c r="AJ155" s="155">
        <v>3.7038688409861405E-9</v>
      </c>
    </row>
    <row r="156" spans="1:36">
      <c r="A156" s="3">
        <v>337</v>
      </c>
      <c r="B156" s="3">
        <v>1477</v>
      </c>
      <c r="C156" s="185" t="s">
        <v>640</v>
      </c>
      <c r="D156" s="3" t="s">
        <v>641</v>
      </c>
      <c r="E156" s="189" t="s">
        <v>118</v>
      </c>
      <c r="F156" s="185" t="s">
        <v>642</v>
      </c>
      <c r="G156" s="3" t="s">
        <v>643</v>
      </c>
      <c r="H156" s="3" t="s">
        <v>121</v>
      </c>
      <c r="I156" s="3" t="s">
        <v>122</v>
      </c>
      <c r="J156" s="3" t="s">
        <v>30</v>
      </c>
      <c r="K156" s="3" t="s">
        <v>30</v>
      </c>
      <c r="L156" s="3" t="s">
        <v>123</v>
      </c>
      <c r="M156" s="3" t="s">
        <v>31</v>
      </c>
      <c r="N156" s="3" t="s">
        <v>124</v>
      </c>
      <c r="O156" s="3" t="s">
        <v>125</v>
      </c>
      <c r="P156" s="3" t="s">
        <v>243</v>
      </c>
      <c r="Q156" s="3" t="s">
        <v>127</v>
      </c>
      <c r="R156" s="3" t="s">
        <v>128</v>
      </c>
      <c r="S156" s="3" t="s">
        <v>34</v>
      </c>
      <c r="T156" s="143">
        <v>0.91300000000000003</v>
      </c>
      <c r="U156" s="3" t="s">
        <v>35</v>
      </c>
      <c r="V156" s="155">
        <v>0.06</v>
      </c>
      <c r="W156" s="155">
        <v>4.8739999999999999E-2</v>
      </c>
      <c r="X156" s="5" t="s">
        <v>129</v>
      </c>
      <c r="Y156" s="5" t="s">
        <v>125</v>
      </c>
      <c r="Z156" s="143">
        <v>0.6</v>
      </c>
      <c r="AA156" s="153">
        <v>1</v>
      </c>
      <c r="AB156" s="163">
        <v>101.59</v>
      </c>
      <c r="AD156" s="143">
        <v>1E-3</v>
      </c>
      <c r="AG156" s="3" t="s">
        <v>36</v>
      </c>
      <c r="AH156" s="155">
        <v>0</v>
      </c>
      <c r="AI156" s="155">
        <v>6.5303077125067298E-6</v>
      </c>
      <c r="AJ156" s="155">
        <v>2.45258789959446E-8</v>
      </c>
    </row>
    <row r="157" spans="1:36">
      <c r="A157" s="3">
        <v>337</v>
      </c>
      <c r="B157" s="3">
        <v>1477</v>
      </c>
      <c r="C157" s="185" t="s">
        <v>459</v>
      </c>
      <c r="D157" s="3" t="s">
        <v>460</v>
      </c>
      <c r="E157" s="189" t="s">
        <v>118</v>
      </c>
      <c r="F157" s="185" t="s">
        <v>737</v>
      </c>
      <c r="G157" s="3" t="s">
        <v>738</v>
      </c>
      <c r="H157" s="3" t="s">
        <v>121</v>
      </c>
      <c r="I157" s="3" t="s">
        <v>410</v>
      </c>
      <c r="J157" s="3" t="s">
        <v>79</v>
      </c>
      <c r="K157" s="3" t="s">
        <v>30</v>
      </c>
      <c r="L157" s="3" t="s">
        <v>123</v>
      </c>
      <c r="M157" s="3" t="s">
        <v>730</v>
      </c>
      <c r="N157" s="3" t="s">
        <v>316</v>
      </c>
      <c r="O157" s="3" t="s">
        <v>125</v>
      </c>
      <c r="P157" s="3" t="s">
        <v>739</v>
      </c>
      <c r="Q157" s="3" t="s">
        <v>732</v>
      </c>
      <c r="R157" s="3" t="s">
        <v>128</v>
      </c>
      <c r="S157" s="3" t="s">
        <v>84</v>
      </c>
      <c r="T157" s="143">
        <v>4.4489999999999998</v>
      </c>
      <c r="U157" s="3" t="s">
        <v>740</v>
      </c>
      <c r="V157" s="155">
        <v>3.2750000000000001E-2</v>
      </c>
      <c r="W157" s="155">
        <v>5.3740000000000003E-2</v>
      </c>
      <c r="X157" s="5" t="s">
        <v>129</v>
      </c>
      <c r="Y157" s="5" t="s">
        <v>125</v>
      </c>
      <c r="Z157" s="143">
        <v>2000</v>
      </c>
      <c r="AA157" s="153">
        <v>3.19</v>
      </c>
      <c r="AB157" s="163">
        <v>101.229</v>
      </c>
      <c r="AD157" s="143">
        <v>6.4580000000000002</v>
      </c>
      <c r="AG157" s="3" t="s">
        <v>36</v>
      </c>
      <c r="AH157" s="155">
        <v>3.0000000000000001E-6</v>
      </c>
      <c r="AI157" s="155">
        <v>6.9192324156443497E-2</v>
      </c>
      <c r="AJ157" s="155">
        <v>2.5986563641695399E-4</v>
      </c>
    </row>
    <row r="158" spans="1:36">
      <c r="A158" s="3">
        <v>337</v>
      </c>
      <c r="B158" s="3">
        <v>1477</v>
      </c>
      <c r="C158" s="185" t="s">
        <v>741</v>
      </c>
      <c r="D158" s="3" t="s">
        <v>742</v>
      </c>
      <c r="E158" s="189" t="s">
        <v>118</v>
      </c>
      <c r="F158" s="185" t="s">
        <v>743</v>
      </c>
      <c r="G158" s="3" t="s">
        <v>744</v>
      </c>
      <c r="H158" s="3" t="s">
        <v>121</v>
      </c>
      <c r="I158" s="3" t="s">
        <v>410</v>
      </c>
      <c r="J158" s="3" t="s">
        <v>79</v>
      </c>
      <c r="K158" s="3" t="s">
        <v>30</v>
      </c>
      <c r="L158" s="3" t="s">
        <v>123</v>
      </c>
      <c r="M158" s="3" t="s">
        <v>730</v>
      </c>
      <c r="N158" s="3" t="s">
        <v>377</v>
      </c>
      <c r="O158" s="3" t="s">
        <v>125</v>
      </c>
      <c r="P158" s="3" t="s">
        <v>731</v>
      </c>
      <c r="Q158" s="3" t="s">
        <v>732</v>
      </c>
      <c r="R158" s="3" t="s">
        <v>128</v>
      </c>
      <c r="S158" s="3" t="s">
        <v>84</v>
      </c>
      <c r="T158" s="143">
        <v>1.44</v>
      </c>
      <c r="U158" s="3" t="s">
        <v>244</v>
      </c>
      <c r="V158" s="155">
        <v>6.5000000000000002E-2</v>
      </c>
      <c r="W158" s="155">
        <v>6.1420000000000002E-2</v>
      </c>
      <c r="X158" s="5" t="s">
        <v>129</v>
      </c>
      <c r="Y158" s="5" t="s">
        <v>125</v>
      </c>
      <c r="Z158" s="143">
        <v>1000</v>
      </c>
      <c r="AA158" s="153">
        <v>3.19</v>
      </c>
      <c r="AB158" s="163">
        <v>100.851</v>
      </c>
      <c r="AD158" s="143">
        <v>3.2170000000000001</v>
      </c>
      <c r="AG158" s="3" t="s">
        <v>36</v>
      </c>
      <c r="AH158" s="155">
        <v>1.9999999999999999E-6</v>
      </c>
      <c r="AI158" s="155">
        <v>3.4467010710342097E-2</v>
      </c>
      <c r="AJ158" s="155">
        <v>1.2944776437024701E-4</v>
      </c>
    </row>
    <row r="159" spans="1:36">
      <c r="A159" s="3">
        <v>337</v>
      </c>
      <c r="B159" s="3">
        <v>1477</v>
      </c>
      <c r="C159" s="185" t="s">
        <v>745</v>
      </c>
      <c r="D159" s="3" t="s">
        <v>746</v>
      </c>
      <c r="E159" s="189" t="s">
        <v>118</v>
      </c>
      <c r="F159" s="185" t="s">
        <v>747</v>
      </c>
      <c r="G159" s="3" t="s">
        <v>748</v>
      </c>
      <c r="H159" s="3" t="s">
        <v>121</v>
      </c>
      <c r="I159" s="3" t="s">
        <v>410</v>
      </c>
      <c r="J159" s="3" t="s">
        <v>79</v>
      </c>
      <c r="K159" s="3" t="s">
        <v>30</v>
      </c>
      <c r="L159" s="3" t="s">
        <v>123</v>
      </c>
      <c r="M159" s="3" t="s">
        <v>730</v>
      </c>
      <c r="N159" s="3" t="s">
        <v>316</v>
      </c>
      <c r="O159" s="3" t="s">
        <v>125</v>
      </c>
      <c r="P159" s="3" t="s">
        <v>739</v>
      </c>
      <c r="Q159" s="3" t="s">
        <v>732</v>
      </c>
      <c r="R159" s="3" t="s">
        <v>128</v>
      </c>
      <c r="S159" s="3" t="s">
        <v>84</v>
      </c>
      <c r="T159" s="143">
        <v>0.25600000000000001</v>
      </c>
      <c r="U159" s="3" t="s">
        <v>749</v>
      </c>
      <c r="V159" s="155">
        <v>3.0769999999999999E-2</v>
      </c>
      <c r="W159" s="155">
        <v>5.9290000000000002E-2</v>
      </c>
      <c r="X159" s="5" t="s">
        <v>129</v>
      </c>
      <c r="Y159" s="5" t="s">
        <v>125</v>
      </c>
      <c r="Z159" s="143">
        <v>2000</v>
      </c>
      <c r="AA159" s="153">
        <v>3.19</v>
      </c>
      <c r="AB159" s="163">
        <v>99.954999999999998</v>
      </c>
      <c r="AD159" s="143">
        <v>6.3769999999999998</v>
      </c>
      <c r="AG159" s="3" t="s">
        <v>36</v>
      </c>
      <c r="AH159" s="155">
        <v>3.0000000000000001E-6</v>
      </c>
      <c r="AI159" s="155">
        <v>6.8321381192949407E-2</v>
      </c>
      <c r="AJ159" s="155">
        <v>2.5659463561953098E-4</v>
      </c>
    </row>
    <row r="160" spans="1:36">
      <c r="A160" s="3">
        <v>337</v>
      </c>
      <c r="B160" s="3">
        <v>1477</v>
      </c>
      <c r="C160" s="185" t="s">
        <v>750</v>
      </c>
      <c r="D160" s="3" t="s">
        <v>751</v>
      </c>
      <c r="E160" s="189" t="s">
        <v>118</v>
      </c>
      <c r="F160" s="185" t="s">
        <v>752</v>
      </c>
      <c r="G160" s="3" t="s">
        <v>753</v>
      </c>
      <c r="H160" s="3" t="s">
        <v>121</v>
      </c>
      <c r="I160" s="3" t="s">
        <v>410</v>
      </c>
      <c r="J160" s="3" t="s">
        <v>79</v>
      </c>
      <c r="K160" s="3" t="s">
        <v>80</v>
      </c>
      <c r="L160" s="3" t="s">
        <v>123</v>
      </c>
      <c r="M160" s="3" t="s">
        <v>730</v>
      </c>
      <c r="N160" s="3" t="s">
        <v>754</v>
      </c>
      <c r="O160" s="3" t="s">
        <v>125</v>
      </c>
      <c r="P160" s="3" t="s">
        <v>731</v>
      </c>
      <c r="Q160" s="3" t="s">
        <v>732</v>
      </c>
      <c r="R160" s="3" t="s">
        <v>128</v>
      </c>
      <c r="S160" s="3" t="s">
        <v>755</v>
      </c>
      <c r="T160" s="143">
        <v>3.778</v>
      </c>
      <c r="U160" s="3" t="s">
        <v>756</v>
      </c>
      <c r="V160" s="155">
        <v>4.3749999999999997E-2</v>
      </c>
      <c r="W160" s="155">
        <v>3.7679999999999998E-2</v>
      </c>
      <c r="X160" s="5" t="s">
        <v>129</v>
      </c>
      <c r="Y160" s="5" t="s">
        <v>125</v>
      </c>
      <c r="Z160" s="143">
        <v>5000</v>
      </c>
      <c r="AA160" s="153">
        <v>3.7454999999999998</v>
      </c>
      <c r="AB160" s="163">
        <v>103.566</v>
      </c>
      <c r="AD160" s="143">
        <v>19.395</v>
      </c>
      <c r="AG160" s="3" t="s">
        <v>36</v>
      </c>
      <c r="AH160" s="155">
        <v>3.0000000000000001E-6</v>
      </c>
      <c r="AI160" s="155">
        <v>0.207791016016177</v>
      </c>
      <c r="AJ160" s="155">
        <v>7.8040079267579999E-4</v>
      </c>
    </row>
    <row r="161" spans="1:36">
      <c r="A161" s="3">
        <v>337</v>
      </c>
      <c r="B161" s="3">
        <v>1477</v>
      </c>
      <c r="C161" s="185" t="s">
        <v>750</v>
      </c>
      <c r="D161" s="3" t="s">
        <v>751</v>
      </c>
      <c r="E161" s="189" t="s">
        <v>118</v>
      </c>
      <c r="F161" s="185" t="s">
        <v>757</v>
      </c>
      <c r="G161" s="3" t="s">
        <v>758</v>
      </c>
      <c r="H161" s="3" t="s">
        <v>121</v>
      </c>
      <c r="I161" s="3" t="s">
        <v>410</v>
      </c>
      <c r="J161" s="3" t="s">
        <v>79</v>
      </c>
      <c r="K161" s="3" t="s">
        <v>80</v>
      </c>
      <c r="L161" s="3" t="s">
        <v>123</v>
      </c>
      <c r="M161" s="3" t="s">
        <v>730</v>
      </c>
      <c r="N161" s="3" t="s">
        <v>754</v>
      </c>
      <c r="O161" s="3" t="s">
        <v>125</v>
      </c>
      <c r="P161" s="3" t="s">
        <v>731</v>
      </c>
      <c r="Q161" s="3" t="s">
        <v>732</v>
      </c>
      <c r="R161" s="3" t="s">
        <v>128</v>
      </c>
      <c r="S161" s="3" t="s">
        <v>84</v>
      </c>
      <c r="T161" s="143">
        <v>2.8879999999999999</v>
      </c>
      <c r="U161" s="3" t="s">
        <v>759</v>
      </c>
      <c r="V161" s="155">
        <v>5.1249999999999997E-2</v>
      </c>
      <c r="W161" s="155">
        <v>4.8779999999999997E-2</v>
      </c>
      <c r="X161" s="5" t="s">
        <v>129</v>
      </c>
      <c r="Y161" s="5" t="s">
        <v>125</v>
      </c>
      <c r="Z161" s="143">
        <v>3000</v>
      </c>
      <c r="AA161" s="153">
        <v>3.19</v>
      </c>
      <c r="AB161" s="163">
        <v>102.399</v>
      </c>
      <c r="AD161" s="143">
        <v>9.8000000000000007</v>
      </c>
      <c r="AG161" s="3" t="s">
        <v>36</v>
      </c>
      <c r="AH161" s="155">
        <v>3.0000000000000001E-6</v>
      </c>
      <c r="AI161" s="155">
        <v>0.104987393017049</v>
      </c>
      <c r="AJ161" s="155">
        <v>3.9430118925397599E-4</v>
      </c>
    </row>
    <row r="162" spans="1:36">
      <c r="A162" s="3">
        <v>337</v>
      </c>
      <c r="B162" s="3">
        <v>9962</v>
      </c>
      <c r="C162" s="185" t="s">
        <v>116</v>
      </c>
      <c r="D162" s="3" t="s">
        <v>117</v>
      </c>
      <c r="E162" s="189" t="s">
        <v>118</v>
      </c>
      <c r="F162" s="185" t="s">
        <v>119</v>
      </c>
      <c r="G162" s="3" t="s">
        <v>120</v>
      </c>
      <c r="H162" s="3" t="s">
        <v>121</v>
      </c>
      <c r="I162" s="3" t="s">
        <v>122</v>
      </c>
      <c r="J162" s="3" t="s">
        <v>30</v>
      </c>
      <c r="K162" s="3" t="s">
        <v>30</v>
      </c>
      <c r="L162" s="3" t="s">
        <v>123</v>
      </c>
      <c r="M162" s="3" t="s">
        <v>31</v>
      </c>
      <c r="N162" s="3" t="s">
        <v>124</v>
      </c>
      <c r="O162" s="3" t="s">
        <v>125</v>
      </c>
      <c r="P162" s="3" t="s">
        <v>126</v>
      </c>
      <c r="Q162" s="3" t="s">
        <v>127</v>
      </c>
      <c r="R162" s="3" t="s">
        <v>128</v>
      </c>
      <c r="S162" s="3" t="s">
        <v>34</v>
      </c>
      <c r="T162" s="143">
        <v>0.97099999999999997</v>
      </c>
      <c r="U162" s="3" t="s">
        <v>91</v>
      </c>
      <c r="V162" s="155">
        <v>3.5000000000000003E-2</v>
      </c>
      <c r="W162" s="155">
        <v>4.8559999999999999E-2</v>
      </c>
      <c r="X162" s="5" t="s">
        <v>129</v>
      </c>
      <c r="Y162" s="5" t="s">
        <v>125</v>
      </c>
      <c r="Z162" s="143">
        <v>16910</v>
      </c>
      <c r="AA162" s="153">
        <v>1</v>
      </c>
      <c r="AB162" s="163">
        <v>99.65</v>
      </c>
      <c r="AD162" s="143">
        <v>16.850999999999999</v>
      </c>
      <c r="AG162" s="3" t="s">
        <v>36</v>
      </c>
      <c r="AH162" s="155">
        <v>1.5200000000000001E-4</v>
      </c>
      <c r="AI162" s="155">
        <v>2.37677832664265E-3</v>
      </c>
      <c r="AJ162" s="155">
        <v>3.3585886873528002E-4</v>
      </c>
    </row>
    <row r="163" spans="1:36">
      <c r="A163" s="3">
        <v>337</v>
      </c>
      <c r="B163" s="3">
        <v>9962</v>
      </c>
      <c r="C163" s="185" t="s">
        <v>116</v>
      </c>
      <c r="D163" s="3" t="s">
        <v>117</v>
      </c>
      <c r="E163" s="189" t="s">
        <v>118</v>
      </c>
      <c r="F163" s="185" t="s">
        <v>130</v>
      </c>
      <c r="G163" s="3" t="s">
        <v>131</v>
      </c>
      <c r="H163" s="3" t="s">
        <v>121</v>
      </c>
      <c r="I163" s="3" t="s">
        <v>132</v>
      </c>
      <c r="J163" s="3" t="s">
        <v>30</v>
      </c>
      <c r="K163" s="3" t="s">
        <v>30</v>
      </c>
      <c r="L163" s="3" t="s">
        <v>123</v>
      </c>
      <c r="M163" s="3" t="s">
        <v>31</v>
      </c>
      <c r="N163" s="3" t="s">
        <v>124</v>
      </c>
      <c r="O163" s="3" t="s">
        <v>125</v>
      </c>
      <c r="P163" s="3" t="s">
        <v>126</v>
      </c>
      <c r="Q163" s="3" t="s">
        <v>127</v>
      </c>
      <c r="R163" s="3" t="s">
        <v>128</v>
      </c>
      <c r="S163" s="3" t="s">
        <v>34</v>
      </c>
      <c r="T163" s="143">
        <v>1.657</v>
      </c>
      <c r="U163" s="3" t="s">
        <v>133</v>
      </c>
      <c r="V163" s="155">
        <v>3.85E-2</v>
      </c>
      <c r="W163" s="155">
        <v>2.962E-2</v>
      </c>
      <c r="X163" s="5" t="s">
        <v>129</v>
      </c>
      <c r="Y163" s="5" t="s">
        <v>125</v>
      </c>
      <c r="Z163" s="143">
        <v>43000</v>
      </c>
      <c r="AA163" s="153">
        <v>1</v>
      </c>
      <c r="AB163" s="163">
        <v>112.15</v>
      </c>
      <c r="AD163" s="143">
        <v>48.223999999999997</v>
      </c>
      <c r="AG163" s="3" t="s">
        <v>36</v>
      </c>
      <c r="AH163" s="155">
        <v>1.4300000000000001E-4</v>
      </c>
      <c r="AI163" s="155">
        <v>6.8019823618726098E-3</v>
      </c>
      <c r="AJ163" s="155">
        <v>9.6117760567215795E-4</v>
      </c>
    </row>
    <row r="164" spans="1:36">
      <c r="A164" s="3">
        <v>337</v>
      </c>
      <c r="B164" s="3">
        <v>9962</v>
      </c>
      <c r="C164" s="185" t="s">
        <v>134</v>
      </c>
      <c r="D164" s="3" t="s">
        <v>135</v>
      </c>
      <c r="E164" s="189" t="s">
        <v>118</v>
      </c>
      <c r="F164" s="185" t="s">
        <v>136</v>
      </c>
      <c r="G164" s="3" t="s">
        <v>137</v>
      </c>
      <c r="H164" s="3" t="s">
        <v>121</v>
      </c>
      <c r="I164" s="3" t="s">
        <v>132</v>
      </c>
      <c r="J164" s="3" t="s">
        <v>30</v>
      </c>
      <c r="K164" s="3" t="s">
        <v>138</v>
      </c>
      <c r="L164" s="3" t="s">
        <v>123</v>
      </c>
      <c r="M164" s="3" t="s">
        <v>31</v>
      </c>
      <c r="N164" s="3" t="s">
        <v>139</v>
      </c>
      <c r="O164" s="3" t="s">
        <v>125</v>
      </c>
      <c r="P164" s="3" t="s">
        <v>126</v>
      </c>
      <c r="Q164" s="3" t="s">
        <v>127</v>
      </c>
      <c r="R164" s="3" t="s">
        <v>128</v>
      </c>
      <c r="S164" s="3" t="s">
        <v>34</v>
      </c>
      <c r="T164" s="143">
        <v>2.1539999999999999</v>
      </c>
      <c r="U164" s="3" t="s">
        <v>70</v>
      </c>
      <c r="V164" s="155">
        <v>2.4500000000000001E-2</v>
      </c>
      <c r="W164" s="155">
        <v>2.9590000000000002E-2</v>
      </c>
      <c r="X164" s="5" t="s">
        <v>129</v>
      </c>
      <c r="Y164" s="5" t="s">
        <v>125</v>
      </c>
      <c r="Z164" s="143">
        <v>10956.52</v>
      </c>
      <c r="AA164" s="153">
        <v>1</v>
      </c>
      <c r="AB164" s="163">
        <v>117.22</v>
      </c>
      <c r="AD164" s="143">
        <v>12.843</v>
      </c>
      <c r="AG164" s="3" t="s">
        <v>36</v>
      </c>
      <c r="AH164" s="155">
        <v>2.3E-5</v>
      </c>
      <c r="AI164" s="155">
        <v>1.8115157771280701E-3</v>
      </c>
      <c r="AJ164" s="155">
        <v>2.5598249225949801E-4</v>
      </c>
    </row>
    <row r="165" spans="1:36">
      <c r="A165" s="3">
        <v>337</v>
      </c>
      <c r="B165" s="3">
        <v>9962</v>
      </c>
      <c r="C165" s="185" t="s">
        <v>148</v>
      </c>
      <c r="D165" s="3" t="s">
        <v>149</v>
      </c>
      <c r="E165" s="189" t="s">
        <v>118</v>
      </c>
      <c r="F165" s="185" t="s">
        <v>150</v>
      </c>
      <c r="G165" s="3" t="s">
        <v>151</v>
      </c>
      <c r="H165" s="3" t="s">
        <v>121</v>
      </c>
      <c r="I165" s="3" t="s">
        <v>132</v>
      </c>
      <c r="J165" s="3" t="s">
        <v>30</v>
      </c>
      <c r="K165" s="3" t="s">
        <v>30</v>
      </c>
      <c r="L165" s="3" t="s">
        <v>123</v>
      </c>
      <c r="M165" s="3" t="s">
        <v>31</v>
      </c>
      <c r="N165" s="3" t="s">
        <v>152</v>
      </c>
      <c r="O165" s="3" t="s">
        <v>125</v>
      </c>
      <c r="P165" s="3" t="s">
        <v>153</v>
      </c>
      <c r="Q165" s="3" t="s">
        <v>146</v>
      </c>
      <c r="R165" s="3" t="s">
        <v>128</v>
      </c>
      <c r="S165" s="3" t="s">
        <v>34</v>
      </c>
      <c r="T165" s="143">
        <v>2.1619999999999999</v>
      </c>
      <c r="U165" s="3" t="s">
        <v>154</v>
      </c>
      <c r="V165" s="155">
        <v>2.75E-2</v>
      </c>
      <c r="W165" s="155">
        <v>2.4850000000000001E-2</v>
      </c>
      <c r="X165" s="5" t="s">
        <v>129</v>
      </c>
      <c r="Y165" s="5" t="s">
        <v>125</v>
      </c>
      <c r="Z165" s="143">
        <v>36746.26</v>
      </c>
      <c r="AA165" s="153">
        <v>1</v>
      </c>
      <c r="AB165" s="163">
        <v>118.88</v>
      </c>
      <c r="AD165" s="143">
        <v>43.683999999999997</v>
      </c>
      <c r="AG165" s="3" t="s">
        <v>36</v>
      </c>
      <c r="AH165" s="155">
        <v>8.2999999999999998E-5</v>
      </c>
      <c r="AI165" s="155">
        <v>6.16154618177549E-3</v>
      </c>
      <c r="AJ165" s="155">
        <v>8.7067855974371498E-4</v>
      </c>
    </row>
    <row r="166" spans="1:36">
      <c r="A166" s="3">
        <v>337</v>
      </c>
      <c r="B166" s="3">
        <v>9962</v>
      </c>
      <c r="C166" s="185" t="s">
        <v>155</v>
      </c>
      <c r="D166" s="3" t="s">
        <v>156</v>
      </c>
      <c r="E166" s="189" t="s">
        <v>118</v>
      </c>
      <c r="F166" s="185" t="s">
        <v>157</v>
      </c>
      <c r="G166" s="3" t="s">
        <v>158</v>
      </c>
      <c r="H166" s="3" t="s">
        <v>121</v>
      </c>
      <c r="I166" s="3" t="s">
        <v>122</v>
      </c>
      <c r="J166" s="3" t="s">
        <v>30</v>
      </c>
      <c r="K166" s="3" t="s">
        <v>30</v>
      </c>
      <c r="L166" s="3" t="s">
        <v>123</v>
      </c>
      <c r="M166" s="3" t="s">
        <v>31</v>
      </c>
      <c r="N166" s="3" t="s">
        <v>159</v>
      </c>
      <c r="O166" s="3" t="s">
        <v>125</v>
      </c>
      <c r="P166" s="3" t="s">
        <v>126</v>
      </c>
      <c r="Q166" s="3" t="s">
        <v>127</v>
      </c>
      <c r="R166" s="3" t="s">
        <v>128</v>
      </c>
      <c r="S166" s="3" t="s">
        <v>34</v>
      </c>
      <c r="T166" s="143">
        <v>5.7190000000000003</v>
      </c>
      <c r="U166" s="3" t="s">
        <v>160</v>
      </c>
      <c r="V166" s="155">
        <v>5.1299999999999998E-2</v>
      </c>
      <c r="W166" s="155">
        <v>4.5629999999999997E-2</v>
      </c>
      <c r="X166" s="5" t="s">
        <v>129</v>
      </c>
      <c r="Y166" s="5" t="s">
        <v>125</v>
      </c>
      <c r="Z166" s="143">
        <v>50000</v>
      </c>
      <c r="AA166" s="153">
        <v>1</v>
      </c>
      <c r="AB166" s="163">
        <v>104.92</v>
      </c>
      <c r="AD166" s="143">
        <v>52.46</v>
      </c>
      <c r="AG166" s="3" t="s">
        <v>36</v>
      </c>
      <c r="AH166" s="155">
        <v>1.47E-4</v>
      </c>
      <c r="AI166" s="155">
        <v>7.3993923151890999E-3</v>
      </c>
      <c r="AJ166" s="155">
        <v>1.04559668205085E-3</v>
      </c>
    </row>
    <row r="167" spans="1:36">
      <c r="A167" s="3">
        <v>337</v>
      </c>
      <c r="B167" s="3">
        <v>9962</v>
      </c>
      <c r="C167" s="185" t="s">
        <v>161</v>
      </c>
      <c r="D167" s="3" t="s">
        <v>162</v>
      </c>
      <c r="E167" s="189" t="s">
        <v>118</v>
      </c>
      <c r="F167" s="185" t="s">
        <v>163</v>
      </c>
      <c r="G167" s="3" t="s">
        <v>164</v>
      </c>
      <c r="H167" s="3" t="s">
        <v>121</v>
      </c>
      <c r="I167" s="3" t="s">
        <v>122</v>
      </c>
      <c r="J167" s="3" t="s">
        <v>30</v>
      </c>
      <c r="K167" s="3" t="s">
        <v>30</v>
      </c>
      <c r="L167" s="3" t="s">
        <v>123</v>
      </c>
      <c r="M167" s="3" t="s">
        <v>31</v>
      </c>
      <c r="N167" s="3" t="s">
        <v>144</v>
      </c>
      <c r="O167" s="3" t="s">
        <v>125</v>
      </c>
      <c r="P167" s="3" t="s">
        <v>165</v>
      </c>
      <c r="Q167" s="3" t="s">
        <v>146</v>
      </c>
      <c r="R167" s="3" t="s">
        <v>128</v>
      </c>
      <c r="S167" s="3" t="s">
        <v>34</v>
      </c>
      <c r="T167" s="143">
        <v>7.1239999999999997</v>
      </c>
      <c r="U167" s="3" t="s">
        <v>166</v>
      </c>
      <c r="V167" s="155">
        <v>2.4E-2</v>
      </c>
      <c r="W167" s="155">
        <v>4.3560000000000001E-2</v>
      </c>
      <c r="X167" s="5" t="s">
        <v>129</v>
      </c>
      <c r="Y167" s="5" t="s">
        <v>125</v>
      </c>
      <c r="Z167" s="143">
        <v>74382.98</v>
      </c>
      <c r="AA167" s="153">
        <v>1</v>
      </c>
      <c r="AB167" s="163">
        <v>87.37</v>
      </c>
      <c r="AD167" s="143">
        <v>64.988</v>
      </c>
      <c r="AG167" s="3" t="s">
        <v>36</v>
      </c>
      <c r="AH167" s="155">
        <v>4.8000000000000001E-5</v>
      </c>
      <c r="AI167" s="155">
        <v>9.1665028357412505E-3</v>
      </c>
      <c r="AJ167" s="155">
        <v>1.29530433619343E-3</v>
      </c>
    </row>
    <row r="168" spans="1:36">
      <c r="A168" s="3">
        <v>337</v>
      </c>
      <c r="B168" s="3">
        <v>9962</v>
      </c>
      <c r="C168" s="185" t="s">
        <v>167</v>
      </c>
      <c r="D168" s="3" t="s">
        <v>168</v>
      </c>
      <c r="E168" s="189" t="s">
        <v>118</v>
      </c>
      <c r="F168" s="185" t="s">
        <v>169</v>
      </c>
      <c r="G168" s="3" t="s">
        <v>170</v>
      </c>
      <c r="H168" s="3" t="s">
        <v>121</v>
      </c>
      <c r="I168" s="3" t="s">
        <v>132</v>
      </c>
      <c r="J168" s="3" t="s">
        <v>30</v>
      </c>
      <c r="K168" s="3" t="s">
        <v>30</v>
      </c>
      <c r="L168" s="3" t="s">
        <v>123</v>
      </c>
      <c r="M168" s="3" t="s">
        <v>31</v>
      </c>
      <c r="N168" s="3" t="s">
        <v>171</v>
      </c>
      <c r="O168" s="3" t="s">
        <v>125</v>
      </c>
      <c r="P168" s="3" t="s">
        <v>165</v>
      </c>
      <c r="Q168" s="3" t="s">
        <v>146</v>
      </c>
      <c r="R168" s="3" t="s">
        <v>128</v>
      </c>
      <c r="S168" s="3" t="s">
        <v>34</v>
      </c>
      <c r="T168" s="143">
        <v>1.5149999999999999</v>
      </c>
      <c r="U168" s="3" t="s">
        <v>104</v>
      </c>
      <c r="V168" s="155">
        <v>2.3400000000000001E-2</v>
      </c>
      <c r="W168" s="155">
        <v>2.6200000000000001E-2</v>
      </c>
      <c r="X168" s="5" t="s">
        <v>129</v>
      </c>
      <c r="Y168" s="5" t="s">
        <v>125</v>
      </c>
      <c r="Z168" s="143">
        <v>28481.48</v>
      </c>
      <c r="AA168" s="153">
        <v>1</v>
      </c>
      <c r="AB168" s="163">
        <v>119.52</v>
      </c>
      <c r="AD168" s="143">
        <v>34.040999999999997</v>
      </c>
      <c r="AG168" s="3" t="s">
        <v>36</v>
      </c>
      <c r="AH168" s="155">
        <v>1.7E-5</v>
      </c>
      <c r="AI168" s="155">
        <v>4.8014333586030499E-3</v>
      </c>
      <c r="AJ168" s="155">
        <v>6.7848312063925598E-4</v>
      </c>
    </row>
    <row r="169" spans="1:36">
      <c r="A169" s="3">
        <v>337</v>
      </c>
      <c r="B169" s="3">
        <v>9962</v>
      </c>
      <c r="C169" s="185" t="s">
        <v>172</v>
      </c>
      <c r="D169" s="3" t="s">
        <v>173</v>
      </c>
      <c r="E169" s="189" t="s">
        <v>118</v>
      </c>
      <c r="F169" s="185" t="s">
        <v>174</v>
      </c>
      <c r="G169" s="3" t="s">
        <v>175</v>
      </c>
      <c r="H169" s="3" t="s">
        <v>121</v>
      </c>
      <c r="I169" s="3" t="s">
        <v>176</v>
      </c>
      <c r="J169" s="3" t="s">
        <v>30</v>
      </c>
      <c r="K169" s="3" t="s">
        <v>30</v>
      </c>
      <c r="L169" s="3" t="s">
        <v>123</v>
      </c>
      <c r="M169" s="3" t="s">
        <v>31</v>
      </c>
      <c r="N169" s="3" t="s">
        <v>177</v>
      </c>
      <c r="O169" s="3" t="s">
        <v>125</v>
      </c>
      <c r="P169" s="3" t="s">
        <v>178</v>
      </c>
      <c r="Q169" s="3" t="s">
        <v>178</v>
      </c>
      <c r="R169" s="3" t="s">
        <v>178</v>
      </c>
      <c r="S169" s="3" t="s">
        <v>34</v>
      </c>
      <c r="T169" s="143">
        <v>2.39</v>
      </c>
      <c r="U169" s="3" t="s">
        <v>179</v>
      </c>
      <c r="V169" s="155">
        <v>4.8500000000000001E-2</v>
      </c>
      <c r="W169" s="155">
        <v>-1.5900000000000001E-2</v>
      </c>
      <c r="X169" s="5" t="s">
        <v>129</v>
      </c>
      <c r="Y169" s="5" t="s">
        <v>125</v>
      </c>
      <c r="Z169" s="143">
        <v>33000</v>
      </c>
      <c r="AA169" s="153">
        <v>1</v>
      </c>
      <c r="AB169" s="163">
        <v>116.5</v>
      </c>
      <c r="AD169" s="143">
        <v>38.445</v>
      </c>
      <c r="AG169" s="3" t="s">
        <v>36</v>
      </c>
      <c r="AH169" s="155">
        <v>1.1E-4</v>
      </c>
      <c r="AI169" s="155">
        <v>5.4226007921739398E-3</v>
      </c>
      <c r="AJ169" s="155">
        <v>7.6625932980261299E-4</v>
      </c>
    </row>
    <row r="170" spans="1:36">
      <c r="A170" s="3">
        <v>337</v>
      </c>
      <c r="B170" s="3">
        <v>9962</v>
      </c>
      <c r="C170" s="185" t="s">
        <v>180</v>
      </c>
      <c r="D170" s="3" t="s">
        <v>181</v>
      </c>
      <c r="E170" s="189" t="s">
        <v>118</v>
      </c>
      <c r="F170" s="185" t="s">
        <v>182</v>
      </c>
      <c r="G170" s="3" t="s">
        <v>183</v>
      </c>
      <c r="H170" s="3" t="s">
        <v>121</v>
      </c>
      <c r="I170" s="3" t="s">
        <v>132</v>
      </c>
      <c r="J170" s="3" t="s">
        <v>30</v>
      </c>
      <c r="K170" s="3" t="s">
        <v>30</v>
      </c>
      <c r="L170" s="3" t="s">
        <v>123</v>
      </c>
      <c r="M170" s="3" t="s">
        <v>31</v>
      </c>
      <c r="N170" s="3" t="s">
        <v>184</v>
      </c>
      <c r="O170" s="3" t="s">
        <v>125</v>
      </c>
      <c r="P170" s="3" t="s">
        <v>153</v>
      </c>
      <c r="Q170" s="3" t="s">
        <v>146</v>
      </c>
      <c r="R170" s="3" t="s">
        <v>128</v>
      </c>
      <c r="S170" s="3" t="s">
        <v>34</v>
      </c>
      <c r="T170" s="143">
        <v>1.2150000000000001</v>
      </c>
      <c r="U170" s="3" t="s">
        <v>185</v>
      </c>
      <c r="V170" s="155">
        <v>3.2000000000000001E-2</v>
      </c>
      <c r="W170" s="155">
        <v>2.9610000000000001E-2</v>
      </c>
      <c r="X170" s="5" t="s">
        <v>129</v>
      </c>
      <c r="Y170" s="5" t="s">
        <v>125</v>
      </c>
      <c r="Z170" s="143">
        <v>12000</v>
      </c>
      <c r="AA170" s="153">
        <v>1</v>
      </c>
      <c r="AB170" s="163">
        <v>110.32</v>
      </c>
      <c r="AD170" s="143">
        <v>13.238</v>
      </c>
      <c r="AG170" s="3" t="s">
        <v>36</v>
      </c>
      <c r="AH170" s="155">
        <v>2.1999999999999999E-5</v>
      </c>
      <c r="AI170" s="155">
        <v>1.86725343548226E-3</v>
      </c>
      <c r="AJ170" s="155">
        <v>2.6385869454178499E-4</v>
      </c>
    </row>
    <row r="171" spans="1:36">
      <c r="A171" s="3">
        <v>337</v>
      </c>
      <c r="B171" s="3">
        <v>9962</v>
      </c>
      <c r="C171" s="185" t="s">
        <v>180</v>
      </c>
      <c r="D171" s="3" t="s">
        <v>181</v>
      </c>
      <c r="E171" s="189" t="s">
        <v>118</v>
      </c>
      <c r="F171" s="185" t="s">
        <v>186</v>
      </c>
      <c r="G171" s="3" t="s">
        <v>187</v>
      </c>
      <c r="H171" s="3" t="s">
        <v>121</v>
      </c>
      <c r="I171" s="3" t="s">
        <v>122</v>
      </c>
      <c r="J171" s="3" t="s">
        <v>30</v>
      </c>
      <c r="K171" s="3" t="s">
        <v>30</v>
      </c>
      <c r="L171" s="3" t="s">
        <v>123</v>
      </c>
      <c r="M171" s="3" t="s">
        <v>31</v>
      </c>
      <c r="N171" s="3" t="s">
        <v>184</v>
      </c>
      <c r="O171" s="3" t="s">
        <v>125</v>
      </c>
      <c r="P171" s="3" t="s">
        <v>153</v>
      </c>
      <c r="Q171" s="3" t="s">
        <v>146</v>
      </c>
      <c r="R171" s="3" t="s">
        <v>128</v>
      </c>
      <c r="S171" s="3" t="s">
        <v>34</v>
      </c>
      <c r="T171" s="143">
        <v>1.2909999999999999</v>
      </c>
      <c r="U171" s="3" t="s">
        <v>188</v>
      </c>
      <c r="V171" s="155">
        <v>5.7000000000000002E-2</v>
      </c>
      <c r="W171" s="155">
        <v>4.7969999999999999E-2</v>
      </c>
      <c r="X171" s="5" t="s">
        <v>129</v>
      </c>
      <c r="Y171" s="5" t="s">
        <v>125</v>
      </c>
      <c r="Z171" s="143">
        <v>11500</v>
      </c>
      <c r="AA171" s="153">
        <v>1</v>
      </c>
      <c r="AB171" s="163">
        <v>101.45</v>
      </c>
      <c r="AD171" s="143">
        <v>11.667</v>
      </c>
      <c r="AG171" s="3" t="s">
        <v>36</v>
      </c>
      <c r="AH171" s="155">
        <v>1.8E-5</v>
      </c>
      <c r="AI171" s="155">
        <v>1.64557491981E-3</v>
      </c>
      <c r="AJ171" s="155">
        <v>2.32533646403294E-4</v>
      </c>
    </row>
    <row r="172" spans="1:36">
      <c r="A172" s="3">
        <v>337</v>
      </c>
      <c r="B172" s="3">
        <v>9962</v>
      </c>
      <c r="C172" s="185" t="s">
        <v>189</v>
      </c>
      <c r="D172" s="3" t="s">
        <v>190</v>
      </c>
      <c r="E172" s="189" t="s">
        <v>118</v>
      </c>
      <c r="F172" s="185" t="s">
        <v>191</v>
      </c>
      <c r="G172" s="3" t="s">
        <v>192</v>
      </c>
      <c r="H172" s="3" t="s">
        <v>121</v>
      </c>
      <c r="I172" s="3" t="s">
        <v>132</v>
      </c>
      <c r="J172" s="3" t="s">
        <v>30</v>
      </c>
      <c r="K172" s="3" t="s">
        <v>30</v>
      </c>
      <c r="L172" s="3" t="s">
        <v>123</v>
      </c>
      <c r="M172" s="3" t="s">
        <v>31</v>
      </c>
      <c r="N172" s="3" t="s">
        <v>184</v>
      </c>
      <c r="O172" s="3" t="s">
        <v>125</v>
      </c>
      <c r="P172" s="3" t="s">
        <v>153</v>
      </c>
      <c r="Q172" s="3" t="s">
        <v>146</v>
      </c>
      <c r="R172" s="3" t="s">
        <v>128</v>
      </c>
      <c r="S172" s="3" t="s">
        <v>34</v>
      </c>
      <c r="T172" s="143">
        <v>2.1589999999999998</v>
      </c>
      <c r="U172" s="3" t="s">
        <v>193</v>
      </c>
      <c r="V172" s="155">
        <v>3.2300000000000002E-2</v>
      </c>
      <c r="W172" s="155">
        <v>2.5850000000000001E-2</v>
      </c>
      <c r="X172" s="5" t="s">
        <v>129</v>
      </c>
      <c r="Y172" s="5" t="s">
        <v>125</v>
      </c>
      <c r="Z172" s="143">
        <v>14280</v>
      </c>
      <c r="AA172" s="153">
        <v>1</v>
      </c>
      <c r="AB172" s="163">
        <v>111.83</v>
      </c>
      <c r="AD172" s="143">
        <v>15.968999999999999</v>
      </c>
      <c r="AG172" s="3" t="s">
        <v>36</v>
      </c>
      <c r="AH172" s="155">
        <v>3.4E-5</v>
      </c>
      <c r="AI172" s="155">
        <v>2.2524455448792399E-3</v>
      </c>
      <c r="AJ172" s="155">
        <v>3.1828959567280001E-4</v>
      </c>
    </row>
    <row r="173" spans="1:36">
      <c r="A173" s="3">
        <v>337</v>
      </c>
      <c r="B173" s="3">
        <v>9962</v>
      </c>
      <c r="C173" s="185" t="s">
        <v>194</v>
      </c>
      <c r="D173" s="3" t="s">
        <v>195</v>
      </c>
      <c r="E173" s="189" t="s">
        <v>118</v>
      </c>
      <c r="F173" s="185" t="s">
        <v>196</v>
      </c>
      <c r="G173" s="3" t="s">
        <v>197</v>
      </c>
      <c r="H173" s="3" t="s">
        <v>121</v>
      </c>
      <c r="I173" s="3" t="s">
        <v>132</v>
      </c>
      <c r="J173" s="3" t="s">
        <v>30</v>
      </c>
      <c r="K173" s="3" t="s">
        <v>30</v>
      </c>
      <c r="L173" s="3" t="s">
        <v>123</v>
      </c>
      <c r="M173" s="3" t="s">
        <v>31</v>
      </c>
      <c r="N173" s="3" t="s">
        <v>171</v>
      </c>
      <c r="O173" s="3" t="s">
        <v>125</v>
      </c>
      <c r="P173" s="3" t="s">
        <v>198</v>
      </c>
      <c r="Q173" s="3" t="s">
        <v>146</v>
      </c>
      <c r="R173" s="3" t="s">
        <v>128</v>
      </c>
      <c r="S173" s="3" t="s">
        <v>34</v>
      </c>
      <c r="T173" s="143">
        <v>1.944</v>
      </c>
      <c r="U173" s="3" t="s">
        <v>199</v>
      </c>
      <c r="V173" s="155">
        <v>2.4899999999999999E-2</v>
      </c>
      <c r="W173" s="155">
        <v>2.8840000000000001E-2</v>
      </c>
      <c r="X173" s="5" t="s">
        <v>129</v>
      </c>
      <c r="Y173" s="5" t="s">
        <v>125</v>
      </c>
      <c r="Z173" s="143">
        <v>29400</v>
      </c>
      <c r="AA173" s="153">
        <v>1</v>
      </c>
      <c r="AB173" s="163">
        <v>109.55</v>
      </c>
      <c r="AD173" s="143">
        <v>32.207999999999998</v>
      </c>
      <c r="AG173" s="3" t="s">
        <v>36</v>
      </c>
      <c r="AH173" s="155">
        <v>1.8000000000000001E-4</v>
      </c>
      <c r="AI173" s="155">
        <v>4.5428404092625998E-3</v>
      </c>
      <c r="AJ173" s="155">
        <v>6.41941750981496E-4</v>
      </c>
    </row>
    <row r="174" spans="1:36">
      <c r="A174" s="3">
        <v>337</v>
      </c>
      <c r="B174" s="3">
        <v>9962</v>
      </c>
      <c r="C174" s="185" t="s">
        <v>760</v>
      </c>
      <c r="D174" s="3" t="s">
        <v>761</v>
      </c>
      <c r="E174" s="189" t="s">
        <v>118</v>
      </c>
      <c r="F174" s="185" t="s">
        <v>762</v>
      </c>
      <c r="G174" s="3" t="s">
        <v>763</v>
      </c>
      <c r="H174" s="3" t="s">
        <v>121</v>
      </c>
      <c r="I174" s="3" t="s">
        <v>122</v>
      </c>
      <c r="J174" s="3" t="s">
        <v>30</v>
      </c>
      <c r="K174" s="3" t="s">
        <v>30</v>
      </c>
      <c r="L174" s="3" t="s">
        <v>123</v>
      </c>
      <c r="M174" s="3" t="s">
        <v>31</v>
      </c>
      <c r="N174" s="3" t="s">
        <v>228</v>
      </c>
      <c r="O174" s="3" t="s">
        <v>125</v>
      </c>
      <c r="P174" s="3" t="s">
        <v>178</v>
      </c>
      <c r="Q174" s="3" t="s">
        <v>178</v>
      </c>
      <c r="R174" s="3" t="s">
        <v>178</v>
      </c>
      <c r="S174" s="3" t="s">
        <v>34</v>
      </c>
      <c r="T174" s="143">
        <v>2.3109999999999999</v>
      </c>
      <c r="U174" s="3" t="s">
        <v>70</v>
      </c>
      <c r="V174" s="155">
        <v>5.5E-2</v>
      </c>
      <c r="W174" s="155">
        <v>5.5239999999999997E-2</v>
      </c>
      <c r="X174" s="5" t="s">
        <v>129</v>
      </c>
      <c r="Y174" s="5" t="s">
        <v>125</v>
      </c>
      <c r="Z174" s="143">
        <v>26000</v>
      </c>
      <c r="AA174" s="153">
        <v>1</v>
      </c>
      <c r="AB174" s="163">
        <v>101.5</v>
      </c>
      <c r="AD174" s="143">
        <v>26.39</v>
      </c>
      <c r="AG174" s="3" t="s">
        <v>36</v>
      </c>
      <c r="AH174" s="155">
        <v>7.8999999999999996E-5</v>
      </c>
      <c r="AI174" s="155">
        <v>3.7222638810110601E-3</v>
      </c>
      <c r="AJ174" s="155">
        <v>5.2598735111174298E-4</v>
      </c>
    </row>
    <row r="175" spans="1:36">
      <c r="A175" s="3">
        <v>337</v>
      </c>
      <c r="B175" s="3">
        <v>9962</v>
      </c>
      <c r="C175" s="185" t="s">
        <v>200</v>
      </c>
      <c r="D175" s="3" t="s">
        <v>201</v>
      </c>
      <c r="E175" s="189" t="s">
        <v>118</v>
      </c>
      <c r="F175" s="185" t="s">
        <v>764</v>
      </c>
      <c r="G175" s="3" t="s">
        <v>765</v>
      </c>
      <c r="H175" s="3" t="s">
        <v>121</v>
      </c>
      <c r="I175" s="3" t="s">
        <v>122</v>
      </c>
      <c r="J175" s="3" t="s">
        <v>30</v>
      </c>
      <c r="K175" s="3" t="s">
        <v>30</v>
      </c>
      <c r="L175" s="3" t="s">
        <v>123</v>
      </c>
      <c r="M175" s="3" t="s">
        <v>31</v>
      </c>
      <c r="N175" s="3" t="s">
        <v>171</v>
      </c>
      <c r="O175" s="3" t="s">
        <v>125</v>
      </c>
      <c r="P175" s="3" t="s">
        <v>145</v>
      </c>
      <c r="Q175" s="3" t="s">
        <v>146</v>
      </c>
      <c r="R175" s="3" t="s">
        <v>128</v>
      </c>
      <c r="S175" s="3" t="s">
        <v>34</v>
      </c>
      <c r="T175" s="143">
        <v>5.4930000000000003</v>
      </c>
      <c r="U175" s="3" t="s">
        <v>766</v>
      </c>
      <c r="V175" s="155">
        <v>4.9399999999999999E-2</v>
      </c>
      <c r="W175" s="155">
        <v>4.648E-2</v>
      </c>
      <c r="X175" s="5" t="s">
        <v>129</v>
      </c>
      <c r="Y175" s="5" t="s">
        <v>125</v>
      </c>
      <c r="Z175" s="143">
        <v>62318</v>
      </c>
      <c r="AA175" s="153">
        <v>1</v>
      </c>
      <c r="AB175" s="163">
        <v>105.72</v>
      </c>
      <c r="AD175" s="143">
        <v>65.882999999999996</v>
      </c>
      <c r="AG175" s="3" t="s">
        <v>36</v>
      </c>
      <c r="AH175" s="155">
        <v>3.3000000000000003E-5</v>
      </c>
      <c r="AI175" s="155">
        <v>9.2926253753526002E-3</v>
      </c>
      <c r="AJ175" s="155">
        <v>1.31312651716885E-3</v>
      </c>
    </row>
    <row r="176" spans="1:36">
      <c r="A176" s="3">
        <v>337</v>
      </c>
      <c r="B176" s="3">
        <v>9962</v>
      </c>
      <c r="C176" s="185" t="s">
        <v>211</v>
      </c>
      <c r="D176" s="3" t="s">
        <v>212</v>
      </c>
      <c r="E176" s="189" t="s">
        <v>118</v>
      </c>
      <c r="F176" s="185" t="s">
        <v>213</v>
      </c>
      <c r="G176" s="3" t="s">
        <v>214</v>
      </c>
      <c r="H176" s="3" t="s">
        <v>121</v>
      </c>
      <c r="I176" s="3" t="s">
        <v>122</v>
      </c>
      <c r="J176" s="3" t="s">
        <v>30</v>
      </c>
      <c r="K176" s="3" t="s">
        <v>30</v>
      </c>
      <c r="L176" s="3" t="s">
        <v>123</v>
      </c>
      <c r="M176" s="3" t="s">
        <v>31</v>
      </c>
      <c r="N176" s="3" t="s">
        <v>209</v>
      </c>
      <c r="O176" s="3" t="s">
        <v>125</v>
      </c>
      <c r="P176" s="3" t="s">
        <v>153</v>
      </c>
      <c r="Q176" s="3" t="s">
        <v>146</v>
      </c>
      <c r="R176" s="3" t="s">
        <v>128</v>
      </c>
      <c r="S176" s="3" t="s">
        <v>34</v>
      </c>
      <c r="T176" s="143">
        <v>2.3180000000000001</v>
      </c>
      <c r="U176" s="3" t="s">
        <v>215</v>
      </c>
      <c r="V176" s="155">
        <v>0.04</v>
      </c>
      <c r="W176" s="155">
        <v>4.5150000000000003E-2</v>
      </c>
      <c r="X176" s="5" t="s">
        <v>129</v>
      </c>
      <c r="Y176" s="5" t="s">
        <v>125</v>
      </c>
      <c r="Z176" s="143">
        <v>17250</v>
      </c>
      <c r="AA176" s="153">
        <v>1</v>
      </c>
      <c r="AB176" s="163">
        <v>100.82</v>
      </c>
      <c r="AD176" s="143">
        <v>17.390999999999998</v>
      </c>
      <c r="AG176" s="3" t="s">
        <v>36</v>
      </c>
      <c r="AH176" s="155">
        <v>3.0000000000000001E-5</v>
      </c>
      <c r="AI176" s="155">
        <v>2.4530339588256901E-3</v>
      </c>
      <c r="AJ176" s="155">
        <v>3.4663443416037601E-4</v>
      </c>
    </row>
    <row r="177" spans="1:36">
      <c r="A177" s="3">
        <v>337</v>
      </c>
      <c r="B177" s="3">
        <v>9962</v>
      </c>
      <c r="C177" s="185" t="s">
        <v>211</v>
      </c>
      <c r="D177" s="3" t="s">
        <v>212</v>
      </c>
      <c r="E177" s="189" t="s">
        <v>118</v>
      </c>
      <c r="F177" s="185" t="s">
        <v>216</v>
      </c>
      <c r="G177" s="3" t="s">
        <v>217</v>
      </c>
      <c r="H177" s="3" t="s">
        <v>121</v>
      </c>
      <c r="I177" s="3" t="s">
        <v>122</v>
      </c>
      <c r="J177" s="3" t="s">
        <v>30</v>
      </c>
      <c r="K177" s="3" t="s">
        <v>30</v>
      </c>
      <c r="L177" s="3" t="s">
        <v>123</v>
      </c>
      <c r="M177" s="3" t="s">
        <v>31</v>
      </c>
      <c r="N177" s="3" t="s">
        <v>209</v>
      </c>
      <c r="O177" s="3" t="s">
        <v>125</v>
      </c>
      <c r="P177" s="3" t="s">
        <v>153</v>
      </c>
      <c r="Q177" s="3" t="s">
        <v>146</v>
      </c>
      <c r="R177" s="3" t="s">
        <v>128</v>
      </c>
      <c r="S177" s="3" t="s">
        <v>34</v>
      </c>
      <c r="T177" s="143">
        <v>4.8570000000000002</v>
      </c>
      <c r="U177" s="3" t="s">
        <v>218</v>
      </c>
      <c r="V177" s="155">
        <v>2.07E-2</v>
      </c>
      <c r="W177" s="155">
        <v>4.6010000000000002E-2</v>
      </c>
      <c r="X177" s="5" t="s">
        <v>129</v>
      </c>
      <c r="Y177" s="5" t="s">
        <v>125</v>
      </c>
      <c r="Z177" s="143">
        <v>60855.03</v>
      </c>
      <c r="AA177" s="153">
        <v>1</v>
      </c>
      <c r="AB177" s="163">
        <v>88.72</v>
      </c>
      <c r="AD177" s="143">
        <v>53.991</v>
      </c>
      <c r="AG177" s="3" t="s">
        <v>36</v>
      </c>
      <c r="AH177" s="155">
        <v>9.2E-5</v>
      </c>
      <c r="AI177" s="155">
        <v>7.6152783473391701E-3</v>
      </c>
      <c r="AJ177" s="155">
        <v>1.0761032033031301E-3</v>
      </c>
    </row>
    <row r="178" spans="1:36">
      <c r="A178" s="3">
        <v>337</v>
      </c>
      <c r="B178" s="3">
        <v>9962</v>
      </c>
      <c r="C178" s="185" t="s">
        <v>219</v>
      </c>
      <c r="D178" s="3" t="s">
        <v>220</v>
      </c>
      <c r="E178" s="189" t="s">
        <v>118</v>
      </c>
      <c r="F178" s="185" t="s">
        <v>767</v>
      </c>
      <c r="G178" s="3" t="s">
        <v>768</v>
      </c>
      <c r="H178" s="3" t="s">
        <v>121</v>
      </c>
      <c r="I178" s="3" t="s">
        <v>122</v>
      </c>
      <c r="J178" s="3" t="s">
        <v>30</v>
      </c>
      <c r="K178" s="3" t="s">
        <v>30</v>
      </c>
      <c r="L178" s="3" t="s">
        <v>123</v>
      </c>
      <c r="M178" s="3" t="s">
        <v>31</v>
      </c>
      <c r="N178" s="3" t="s">
        <v>171</v>
      </c>
      <c r="O178" s="3" t="s">
        <v>125</v>
      </c>
      <c r="P178" s="3" t="s">
        <v>165</v>
      </c>
      <c r="Q178" s="3" t="s">
        <v>146</v>
      </c>
      <c r="R178" s="3" t="s">
        <v>128</v>
      </c>
      <c r="S178" s="3" t="s">
        <v>34</v>
      </c>
      <c r="T178" s="143">
        <v>4.2869999999999999</v>
      </c>
      <c r="U178" s="3" t="s">
        <v>769</v>
      </c>
      <c r="V178" s="155">
        <v>2.4400000000000002E-2</v>
      </c>
      <c r="W178" s="155">
        <v>4.3729999999999998E-2</v>
      </c>
      <c r="X178" s="5" t="s">
        <v>129</v>
      </c>
      <c r="Y178" s="5" t="s">
        <v>125</v>
      </c>
      <c r="Z178" s="143">
        <v>69404</v>
      </c>
      <c r="AA178" s="153">
        <v>1</v>
      </c>
      <c r="AB178" s="163">
        <v>92.24</v>
      </c>
      <c r="AC178" s="143">
        <v>1.6930000000000001</v>
      </c>
      <c r="AD178" s="143">
        <v>65.712000000000003</v>
      </c>
      <c r="AG178" s="3" t="s">
        <v>36</v>
      </c>
      <c r="AH178" s="155">
        <v>5.7000000000000003E-5</v>
      </c>
      <c r="AI178" s="155">
        <v>9.2685230467437693E-3</v>
      </c>
      <c r="AJ178" s="155">
        <v>1.30972065439667E-3</v>
      </c>
    </row>
    <row r="179" spans="1:36">
      <c r="A179" s="3">
        <v>337</v>
      </c>
      <c r="B179" s="3">
        <v>9962</v>
      </c>
      <c r="C179" s="185" t="s">
        <v>224</v>
      </c>
      <c r="D179" s="3" t="s">
        <v>225</v>
      </c>
      <c r="E179" s="189" t="s">
        <v>118</v>
      </c>
      <c r="F179" s="185" t="s">
        <v>226</v>
      </c>
      <c r="G179" s="3" t="s">
        <v>227</v>
      </c>
      <c r="H179" s="3" t="s">
        <v>121</v>
      </c>
      <c r="I179" s="3" t="s">
        <v>122</v>
      </c>
      <c r="J179" s="3" t="s">
        <v>30</v>
      </c>
      <c r="K179" s="3" t="s">
        <v>80</v>
      </c>
      <c r="L179" s="3" t="s">
        <v>123</v>
      </c>
      <c r="M179" s="3" t="s">
        <v>31</v>
      </c>
      <c r="N179" s="3" t="s">
        <v>228</v>
      </c>
      <c r="O179" s="3" t="s">
        <v>125</v>
      </c>
      <c r="P179" s="3" t="s">
        <v>198</v>
      </c>
      <c r="Q179" s="3" t="s">
        <v>146</v>
      </c>
      <c r="R179" s="3" t="s">
        <v>128</v>
      </c>
      <c r="S179" s="3" t="s">
        <v>34</v>
      </c>
      <c r="T179" s="143">
        <v>0.65700000000000003</v>
      </c>
      <c r="U179" s="3" t="s">
        <v>229</v>
      </c>
      <c r="V179" s="155">
        <v>3.4500000000000003E-2</v>
      </c>
      <c r="W179" s="155">
        <v>4.8649999999999999E-2</v>
      </c>
      <c r="X179" s="5" t="s">
        <v>129</v>
      </c>
      <c r="Y179" s="5" t="s">
        <v>125</v>
      </c>
      <c r="Z179" s="143">
        <v>24869.55</v>
      </c>
      <c r="AA179" s="153">
        <v>1</v>
      </c>
      <c r="AB179" s="163">
        <v>100.27</v>
      </c>
      <c r="AD179" s="143">
        <v>24.937000000000001</v>
      </c>
      <c r="AG179" s="3" t="s">
        <v>36</v>
      </c>
      <c r="AH179" s="155">
        <v>4.5000000000000003E-5</v>
      </c>
      <c r="AI179" s="155">
        <v>3.5172781158315301E-3</v>
      </c>
      <c r="AJ179" s="155">
        <v>4.9702112972361602E-4</v>
      </c>
    </row>
    <row r="180" spans="1:36">
      <c r="A180" s="3">
        <v>337</v>
      </c>
      <c r="B180" s="3">
        <v>9962</v>
      </c>
      <c r="C180" s="185" t="s">
        <v>224</v>
      </c>
      <c r="D180" s="3" t="s">
        <v>225</v>
      </c>
      <c r="E180" s="189" t="s">
        <v>118</v>
      </c>
      <c r="F180" s="185" t="s">
        <v>770</v>
      </c>
      <c r="G180" s="3" t="s">
        <v>771</v>
      </c>
      <c r="H180" s="3" t="s">
        <v>121</v>
      </c>
      <c r="I180" s="3" t="s">
        <v>122</v>
      </c>
      <c r="J180" s="3" t="s">
        <v>30</v>
      </c>
      <c r="K180" s="3" t="s">
        <v>80</v>
      </c>
      <c r="L180" s="3" t="s">
        <v>123</v>
      </c>
      <c r="M180" s="3" t="s">
        <v>31</v>
      </c>
      <c r="N180" s="3" t="s">
        <v>228</v>
      </c>
      <c r="O180" s="3" t="s">
        <v>125</v>
      </c>
      <c r="P180" s="3" t="s">
        <v>198</v>
      </c>
      <c r="Q180" s="3" t="s">
        <v>146</v>
      </c>
      <c r="R180" s="3" t="s">
        <v>128</v>
      </c>
      <c r="S180" s="3" t="s">
        <v>34</v>
      </c>
      <c r="T180" s="143">
        <v>2.5739999999999998</v>
      </c>
      <c r="U180" s="3" t="s">
        <v>772</v>
      </c>
      <c r="V180" s="155">
        <v>1.4999999999999999E-2</v>
      </c>
      <c r="W180" s="155">
        <v>4.546E-2</v>
      </c>
      <c r="X180" s="5" t="s">
        <v>129</v>
      </c>
      <c r="Y180" s="5" t="s">
        <v>125</v>
      </c>
      <c r="Z180" s="143">
        <v>31000</v>
      </c>
      <c r="AA180" s="153">
        <v>1</v>
      </c>
      <c r="AB180" s="163">
        <v>93.1</v>
      </c>
      <c r="AD180" s="143">
        <v>28.861000000000001</v>
      </c>
      <c r="AG180" s="3" t="s">
        <v>36</v>
      </c>
      <c r="AH180" s="155">
        <v>2.5999999999999998E-5</v>
      </c>
      <c r="AI180" s="155">
        <v>4.07079415952483E-3</v>
      </c>
      <c r="AJ180" s="155">
        <v>5.7523762563228603E-4</v>
      </c>
    </row>
    <row r="181" spans="1:36">
      <c r="A181" s="3">
        <v>337</v>
      </c>
      <c r="B181" s="3">
        <v>9962</v>
      </c>
      <c r="C181" s="185" t="s">
        <v>230</v>
      </c>
      <c r="D181" s="3" t="s">
        <v>231</v>
      </c>
      <c r="E181" s="189" t="s">
        <v>118</v>
      </c>
      <c r="F181" s="185" t="s">
        <v>232</v>
      </c>
      <c r="G181" s="3" t="s">
        <v>233</v>
      </c>
      <c r="H181" s="3" t="s">
        <v>121</v>
      </c>
      <c r="I181" s="3" t="s">
        <v>122</v>
      </c>
      <c r="J181" s="3" t="s">
        <v>30</v>
      </c>
      <c r="K181" s="3" t="s">
        <v>30</v>
      </c>
      <c r="L181" s="3" t="s">
        <v>123</v>
      </c>
      <c r="M181" s="3" t="s">
        <v>31</v>
      </c>
      <c r="N181" s="3" t="s">
        <v>228</v>
      </c>
      <c r="O181" s="3" t="s">
        <v>125</v>
      </c>
      <c r="P181" s="3" t="s">
        <v>198</v>
      </c>
      <c r="Q181" s="3" t="s">
        <v>146</v>
      </c>
      <c r="R181" s="3" t="s">
        <v>128</v>
      </c>
      <c r="S181" s="3" t="s">
        <v>34</v>
      </c>
      <c r="T181" s="143">
        <v>2.2010000000000001</v>
      </c>
      <c r="U181" s="3" t="s">
        <v>234</v>
      </c>
      <c r="V181" s="155">
        <v>2.0500000000000001E-2</v>
      </c>
      <c r="W181" s="155">
        <v>4.6739999999999997E-2</v>
      </c>
      <c r="X181" s="5" t="s">
        <v>129</v>
      </c>
      <c r="Y181" s="5" t="s">
        <v>125</v>
      </c>
      <c r="Z181" s="143">
        <v>50000.01</v>
      </c>
      <c r="AA181" s="153">
        <v>1</v>
      </c>
      <c r="AB181" s="163">
        <v>95.33</v>
      </c>
      <c r="AD181" s="143">
        <v>47.664999999999999</v>
      </c>
      <c r="AG181" s="3" t="s">
        <v>36</v>
      </c>
      <c r="AH181" s="155">
        <v>5.7000000000000003E-5</v>
      </c>
      <c r="AI181" s="155">
        <v>6.7230671986636603E-3</v>
      </c>
      <c r="AJ181" s="155">
        <v>9.5002622603177899E-4</v>
      </c>
    </row>
    <row r="182" spans="1:36">
      <c r="A182" s="3">
        <v>337</v>
      </c>
      <c r="B182" s="3">
        <v>9962</v>
      </c>
      <c r="C182" s="185" t="s">
        <v>230</v>
      </c>
      <c r="D182" s="3" t="s">
        <v>231</v>
      </c>
      <c r="E182" s="189" t="s">
        <v>118</v>
      </c>
      <c r="F182" s="185" t="s">
        <v>235</v>
      </c>
      <c r="G182" s="3" t="s">
        <v>236</v>
      </c>
      <c r="H182" s="3" t="s">
        <v>121</v>
      </c>
      <c r="I182" s="3" t="s">
        <v>176</v>
      </c>
      <c r="J182" s="3" t="s">
        <v>30</v>
      </c>
      <c r="K182" s="3" t="s">
        <v>30</v>
      </c>
      <c r="L182" s="3" t="s">
        <v>123</v>
      </c>
      <c r="M182" s="3" t="s">
        <v>31</v>
      </c>
      <c r="N182" s="3" t="s">
        <v>228</v>
      </c>
      <c r="O182" s="3" t="s">
        <v>125</v>
      </c>
      <c r="P182" s="3" t="s">
        <v>198</v>
      </c>
      <c r="Q182" s="3" t="s">
        <v>146</v>
      </c>
      <c r="R182" s="3" t="s">
        <v>128</v>
      </c>
      <c r="S182" s="3" t="s">
        <v>34</v>
      </c>
      <c r="T182" s="143">
        <v>1.577</v>
      </c>
      <c r="U182" s="3" t="s">
        <v>237</v>
      </c>
      <c r="V182" s="155">
        <v>1.25E-3</v>
      </c>
      <c r="W182" s="155">
        <v>4.8980000000000003E-2</v>
      </c>
      <c r="X182" s="5" t="s">
        <v>129</v>
      </c>
      <c r="Y182" s="5" t="s">
        <v>125</v>
      </c>
      <c r="Z182" s="143">
        <v>9000</v>
      </c>
      <c r="AA182" s="153">
        <v>1</v>
      </c>
      <c r="AB182" s="163">
        <v>93.2</v>
      </c>
      <c r="AD182" s="143">
        <v>8.3879999999999999</v>
      </c>
      <c r="AG182" s="3" t="s">
        <v>36</v>
      </c>
      <c r="AH182" s="155">
        <v>1.5999999999999999E-5</v>
      </c>
      <c r="AI182" s="155">
        <v>1.1831129001106801E-3</v>
      </c>
      <c r="AJ182" s="155">
        <v>1.6718385377511601E-4</v>
      </c>
    </row>
    <row r="183" spans="1:36">
      <c r="A183" s="3">
        <v>337</v>
      </c>
      <c r="B183" s="3">
        <v>9962</v>
      </c>
      <c r="C183" s="185" t="s">
        <v>238</v>
      </c>
      <c r="D183" s="3" t="s">
        <v>239</v>
      </c>
      <c r="E183" s="189" t="s">
        <v>118</v>
      </c>
      <c r="F183" s="185" t="s">
        <v>240</v>
      </c>
      <c r="G183" s="3" t="s">
        <v>241</v>
      </c>
      <c r="H183" s="3" t="s">
        <v>121</v>
      </c>
      <c r="I183" s="3" t="s">
        <v>132</v>
      </c>
      <c r="J183" s="3" t="s">
        <v>30</v>
      </c>
      <c r="K183" s="3" t="s">
        <v>30</v>
      </c>
      <c r="L183" s="3" t="s">
        <v>123</v>
      </c>
      <c r="M183" s="3" t="s">
        <v>31</v>
      </c>
      <c r="N183" s="3" t="s">
        <v>242</v>
      </c>
      <c r="O183" s="3" t="s">
        <v>125</v>
      </c>
      <c r="P183" s="3" t="s">
        <v>243</v>
      </c>
      <c r="Q183" s="3" t="s">
        <v>127</v>
      </c>
      <c r="R183" s="3" t="s">
        <v>128</v>
      </c>
      <c r="S183" s="3" t="s">
        <v>34</v>
      </c>
      <c r="T183" s="143">
        <v>0.98599999999999999</v>
      </c>
      <c r="U183" s="3" t="s">
        <v>244</v>
      </c>
      <c r="V183" s="155">
        <v>1.2500000000000001E-2</v>
      </c>
      <c r="W183" s="155">
        <v>4.011E-2</v>
      </c>
      <c r="X183" s="5" t="s">
        <v>129</v>
      </c>
      <c r="Y183" s="5" t="s">
        <v>125</v>
      </c>
      <c r="Z183" s="143">
        <v>7666.66</v>
      </c>
      <c r="AA183" s="153">
        <v>1</v>
      </c>
      <c r="AB183" s="163">
        <v>108.77</v>
      </c>
      <c r="AD183" s="143">
        <v>8.3390000000000004</v>
      </c>
      <c r="AG183" s="3" t="s">
        <v>36</v>
      </c>
      <c r="AH183" s="155">
        <v>8.2999999999999998E-5</v>
      </c>
      <c r="AI183" s="155">
        <v>1.17620521363539E-3</v>
      </c>
      <c r="AJ183" s="155">
        <v>1.6620773928468799E-4</v>
      </c>
    </row>
    <row r="184" spans="1:36">
      <c r="A184" s="3">
        <v>337</v>
      </c>
      <c r="B184" s="3">
        <v>9962</v>
      </c>
      <c r="C184" s="185" t="s">
        <v>245</v>
      </c>
      <c r="D184" s="3" t="s">
        <v>246</v>
      </c>
      <c r="E184" s="189" t="s">
        <v>118</v>
      </c>
      <c r="F184" s="185" t="s">
        <v>247</v>
      </c>
      <c r="G184" s="3" t="s">
        <v>248</v>
      </c>
      <c r="H184" s="3" t="s">
        <v>121</v>
      </c>
      <c r="I184" s="3" t="s">
        <v>132</v>
      </c>
      <c r="J184" s="3" t="s">
        <v>30</v>
      </c>
      <c r="K184" s="3" t="s">
        <v>30</v>
      </c>
      <c r="L184" s="3" t="s">
        <v>123</v>
      </c>
      <c r="M184" s="3" t="s">
        <v>31</v>
      </c>
      <c r="N184" s="3" t="s">
        <v>139</v>
      </c>
      <c r="O184" s="3" t="s">
        <v>125</v>
      </c>
      <c r="P184" s="3" t="s">
        <v>153</v>
      </c>
      <c r="Q184" s="3" t="s">
        <v>146</v>
      </c>
      <c r="R184" s="3" t="s">
        <v>128</v>
      </c>
      <c r="S184" s="3" t="s">
        <v>34</v>
      </c>
      <c r="T184" s="143">
        <v>2.9510000000000001</v>
      </c>
      <c r="U184" s="3" t="s">
        <v>199</v>
      </c>
      <c r="V184" s="155">
        <v>1.09E-2</v>
      </c>
      <c r="W184" s="155">
        <v>2.7E-2</v>
      </c>
      <c r="X184" s="5" t="s">
        <v>129</v>
      </c>
      <c r="Y184" s="5" t="s">
        <v>125</v>
      </c>
      <c r="Z184" s="143">
        <v>31000</v>
      </c>
      <c r="AA184" s="153">
        <v>1</v>
      </c>
      <c r="AB184" s="163">
        <v>111.03</v>
      </c>
      <c r="AD184" s="143">
        <v>34.418999999999997</v>
      </c>
      <c r="AG184" s="3" t="s">
        <v>36</v>
      </c>
      <c r="AH184" s="155">
        <v>4.3999999999999999E-5</v>
      </c>
      <c r="AI184" s="155">
        <v>4.8547827661873499E-3</v>
      </c>
      <c r="AJ184" s="155">
        <v>6.8602184289959895E-4</v>
      </c>
    </row>
    <row r="185" spans="1:36">
      <c r="A185" s="3">
        <v>337</v>
      </c>
      <c r="B185" s="3">
        <v>9962</v>
      </c>
      <c r="C185" s="185" t="s">
        <v>245</v>
      </c>
      <c r="D185" s="3" t="s">
        <v>246</v>
      </c>
      <c r="E185" s="189" t="s">
        <v>118</v>
      </c>
      <c r="F185" s="185" t="s">
        <v>249</v>
      </c>
      <c r="G185" s="3" t="s">
        <v>250</v>
      </c>
      <c r="H185" s="3" t="s">
        <v>121</v>
      </c>
      <c r="I185" s="3" t="s">
        <v>132</v>
      </c>
      <c r="J185" s="3" t="s">
        <v>30</v>
      </c>
      <c r="K185" s="3" t="s">
        <v>30</v>
      </c>
      <c r="L185" s="3" t="s">
        <v>123</v>
      </c>
      <c r="M185" s="3" t="s">
        <v>31</v>
      </c>
      <c r="N185" s="3" t="s">
        <v>139</v>
      </c>
      <c r="O185" s="3" t="s">
        <v>125</v>
      </c>
      <c r="P185" s="3" t="s">
        <v>153</v>
      </c>
      <c r="Q185" s="3" t="s">
        <v>146</v>
      </c>
      <c r="R185" s="3" t="s">
        <v>128</v>
      </c>
      <c r="S185" s="3" t="s">
        <v>34</v>
      </c>
      <c r="T185" s="143">
        <v>6.2389999999999999</v>
      </c>
      <c r="U185" s="3" t="s">
        <v>251</v>
      </c>
      <c r="V185" s="155">
        <v>4.02E-2</v>
      </c>
      <c r="W185" s="155">
        <v>2.759E-2</v>
      </c>
      <c r="X185" s="5" t="s">
        <v>129</v>
      </c>
      <c r="Y185" s="5" t="s">
        <v>125</v>
      </c>
      <c r="Z185" s="143">
        <v>50000</v>
      </c>
      <c r="AA185" s="153">
        <v>1</v>
      </c>
      <c r="AB185" s="163">
        <v>112.72</v>
      </c>
      <c r="AD185" s="143">
        <v>56.36</v>
      </c>
      <c r="AG185" s="3" t="s">
        <v>36</v>
      </c>
      <c r="AH185" s="155">
        <v>6.2000000000000003E-5</v>
      </c>
      <c r="AI185" s="155">
        <v>7.9494805734666007E-3</v>
      </c>
      <c r="AJ185" s="155">
        <v>1.12332880290481E-3</v>
      </c>
    </row>
    <row r="186" spans="1:36">
      <c r="A186" s="3">
        <v>337</v>
      </c>
      <c r="B186" s="3">
        <v>9962</v>
      </c>
      <c r="C186" s="185" t="s">
        <v>252</v>
      </c>
      <c r="D186" s="3" t="s">
        <v>253</v>
      </c>
      <c r="E186" s="189" t="s">
        <v>118</v>
      </c>
      <c r="F186" s="185" t="s">
        <v>254</v>
      </c>
      <c r="G186" s="3" t="s">
        <v>255</v>
      </c>
      <c r="H186" s="3" t="s">
        <v>121</v>
      </c>
      <c r="I186" s="3" t="s">
        <v>122</v>
      </c>
      <c r="J186" s="3" t="s">
        <v>30</v>
      </c>
      <c r="K186" s="3" t="s">
        <v>30</v>
      </c>
      <c r="L186" s="3" t="s">
        <v>123</v>
      </c>
      <c r="M186" s="3" t="s">
        <v>31</v>
      </c>
      <c r="N186" s="3" t="s">
        <v>124</v>
      </c>
      <c r="O186" s="3" t="s">
        <v>125</v>
      </c>
      <c r="P186" s="3" t="s">
        <v>178</v>
      </c>
      <c r="Q186" s="3" t="s">
        <v>178</v>
      </c>
      <c r="R186" s="3" t="s">
        <v>178</v>
      </c>
      <c r="S186" s="3" t="s">
        <v>34</v>
      </c>
      <c r="T186" s="143">
        <v>0.97299999999999998</v>
      </c>
      <c r="U186" s="3" t="s">
        <v>244</v>
      </c>
      <c r="V186" s="155">
        <v>8.5000000000000006E-2</v>
      </c>
      <c r="W186" s="155">
        <v>5.5739999999999998E-2</v>
      </c>
      <c r="X186" s="5" t="s">
        <v>129</v>
      </c>
      <c r="Y186" s="5" t="s">
        <v>125</v>
      </c>
      <c r="Z186" s="143">
        <v>24000</v>
      </c>
      <c r="AA186" s="153">
        <v>1</v>
      </c>
      <c r="AB186" s="163">
        <v>102.9</v>
      </c>
      <c r="AD186" s="143">
        <v>24.696000000000002</v>
      </c>
      <c r="AG186" s="3" t="s">
        <v>36</v>
      </c>
      <c r="AH186" s="155">
        <v>1.85E-4</v>
      </c>
      <c r="AI186" s="155">
        <v>3.4833281093387398E-3</v>
      </c>
      <c r="AJ186" s="155">
        <v>4.9222370682287298E-4</v>
      </c>
    </row>
    <row r="187" spans="1:36">
      <c r="A187" s="3">
        <v>337</v>
      </c>
      <c r="B187" s="3">
        <v>9962</v>
      </c>
      <c r="C187" s="185" t="s">
        <v>256</v>
      </c>
      <c r="D187" s="3" t="s">
        <v>257</v>
      </c>
      <c r="E187" s="189" t="s">
        <v>118</v>
      </c>
      <c r="F187" s="185" t="s">
        <v>258</v>
      </c>
      <c r="G187" s="3" t="s">
        <v>259</v>
      </c>
      <c r="H187" s="3" t="s">
        <v>121</v>
      </c>
      <c r="I187" s="3" t="s">
        <v>132</v>
      </c>
      <c r="J187" s="3" t="s">
        <v>30</v>
      </c>
      <c r="K187" s="3" t="s">
        <v>30</v>
      </c>
      <c r="L187" s="3" t="s">
        <v>123</v>
      </c>
      <c r="M187" s="3" t="s">
        <v>31</v>
      </c>
      <c r="N187" s="3" t="s">
        <v>209</v>
      </c>
      <c r="O187" s="3" t="s">
        <v>125</v>
      </c>
      <c r="P187" s="3" t="s">
        <v>260</v>
      </c>
      <c r="Q187" s="3" t="s">
        <v>146</v>
      </c>
      <c r="R187" s="3" t="s">
        <v>128</v>
      </c>
      <c r="S187" s="3" t="s">
        <v>34</v>
      </c>
      <c r="T187" s="143">
        <v>1.7310000000000001</v>
      </c>
      <c r="U187" s="3" t="s">
        <v>261</v>
      </c>
      <c r="V187" s="155">
        <v>2.8799999999999999E-2</v>
      </c>
      <c r="W187" s="155">
        <v>2.7604500000000001</v>
      </c>
      <c r="X187" s="5" t="s">
        <v>129</v>
      </c>
      <c r="Y187" s="5" t="s">
        <v>125</v>
      </c>
      <c r="Z187" s="143">
        <v>37333.339999999997</v>
      </c>
      <c r="AA187" s="153">
        <v>1</v>
      </c>
      <c r="AB187" s="163">
        <v>119.09</v>
      </c>
      <c r="AD187" s="143">
        <v>44.46</v>
      </c>
      <c r="AG187" s="3" t="s">
        <v>36</v>
      </c>
      <c r="AH187" s="155">
        <v>1.64E-4</v>
      </c>
      <c r="AI187" s="155">
        <v>6.2710448770650698E-3</v>
      </c>
      <c r="AJ187" s="155">
        <v>8.8615165099320298E-4</v>
      </c>
    </row>
    <row r="188" spans="1:36">
      <c r="A188" s="3">
        <v>337</v>
      </c>
      <c r="B188" s="3">
        <v>9962</v>
      </c>
      <c r="C188" s="185" t="s">
        <v>262</v>
      </c>
      <c r="D188" s="3" t="s">
        <v>263</v>
      </c>
      <c r="E188" s="189" t="s">
        <v>118</v>
      </c>
      <c r="F188" s="185" t="s">
        <v>264</v>
      </c>
      <c r="G188" s="3" t="s">
        <v>265</v>
      </c>
      <c r="H188" s="3" t="s">
        <v>121</v>
      </c>
      <c r="I188" s="3" t="s">
        <v>122</v>
      </c>
      <c r="J188" s="3" t="s">
        <v>30</v>
      </c>
      <c r="K188" s="3" t="s">
        <v>30</v>
      </c>
      <c r="L188" s="3" t="s">
        <v>123</v>
      </c>
      <c r="M188" s="3" t="s">
        <v>31</v>
      </c>
      <c r="N188" s="3" t="s">
        <v>209</v>
      </c>
      <c r="O188" s="3" t="s">
        <v>125</v>
      </c>
      <c r="P188" s="3" t="s">
        <v>165</v>
      </c>
      <c r="Q188" s="3" t="s">
        <v>146</v>
      </c>
      <c r="R188" s="3" t="s">
        <v>128</v>
      </c>
      <c r="S188" s="3" t="s">
        <v>34</v>
      </c>
      <c r="T188" s="143">
        <v>5.5049999999999999</v>
      </c>
      <c r="U188" s="3" t="s">
        <v>266</v>
      </c>
      <c r="V188" s="155">
        <v>5.3100000000000001E-2</v>
      </c>
      <c r="W188" s="155">
        <v>4.4269999999999997E-2</v>
      </c>
      <c r="X188" s="5" t="s">
        <v>129</v>
      </c>
      <c r="Y188" s="5" t="s">
        <v>125</v>
      </c>
      <c r="Z188" s="143">
        <v>16000</v>
      </c>
      <c r="AA188" s="153">
        <v>1</v>
      </c>
      <c r="AB188" s="163">
        <v>107.51</v>
      </c>
      <c r="AD188" s="143">
        <v>17.202000000000002</v>
      </c>
      <c r="AG188" s="3" t="s">
        <v>36</v>
      </c>
      <c r="AH188" s="155">
        <v>5.0000000000000002E-5</v>
      </c>
      <c r="AI188" s="155">
        <v>2.4262559445092798E-3</v>
      </c>
      <c r="AJ188" s="155">
        <v>3.4285047437983198E-4</v>
      </c>
    </row>
    <row r="189" spans="1:36">
      <c r="A189" s="3">
        <v>337</v>
      </c>
      <c r="B189" s="3">
        <v>9962</v>
      </c>
      <c r="C189" s="185" t="s">
        <v>267</v>
      </c>
      <c r="D189" s="3" t="s">
        <v>268</v>
      </c>
      <c r="E189" s="189" t="s">
        <v>269</v>
      </c>
      <c r="F189" s="185" t="s">
        <v>270</v>
      </c>
      <c r="G189" s="3" t="s">
        <v>271</v>
      </c>
      <c r="H189" s="3" t="s">
        <v>121</v>
      </c>
      <c r="I189" s="3" t="s">
        <v>122</v>
      </c>
      <c r="J189" s="3" t="s">
        <v>30</v>
      </c>
      <c r="K189" s="3" t="s">
        <v>30</v>
      </c>
      <c r="L189" s="3" t="s">
        <v>123</v>
      </c>
      <c r="M189" s="3" t="s">
        <v>31</v>
      </c>
      <c r="N189" s="3" t="s">
        <v>139</v>
      </c>
      <c r="O189" s="3" t="s">
        <v>125</v>
      </c>
      <c r="P189" s="3" t="s">
        <v>243</v>
      </c>
      <c r="Q189" s="3" t="s">
        <v>127</v>
      </c>
      <c r="R189" s="3" t="s">
        <v>128</v>
      </c>
      <c r="S189" s="3" t="s">
        <v>34</v>
      </c>
      <c r="T189" s="143">
        <v>0.24399999999999999</v>
      </c>
      <c r="U189" s="3" t="s">
        <v>272</v>
      </c>
      <c r="V189" s="155">
        <v>7.0000000000000007E-2</v>
      </c>
      <c r="W189" s="155">
        <v>7.0709999999999995E-2</v>
      </c>
      <c r="X189" s="5" t="s">
        <v>129</v>
      </c>
      <c r="Y189" s="5" t="s">
        <v>125</v>
      </c>
      <c r="Z189" s="143">
        <v>0.08</v>
      </c>
      <c r="AA189" s="153">
        <v>1</v>
      </c>
      <c r="AB189" s="163">
        <v>101.79</v>
      </c>
      <c r="AD189" s="143">
        <v>0</v>
      </c>
      <c r="AG189" s="3" t="s">
        <v>36</v>
      </c>
      <c r="AH189" s="155">
        <v>0</v>
      </c>
      <c r="AI189" s="155">
        <v>1.14858428328341E-8</v>
      </c>
      <c r="AJ189" s="155">
        <v>1.6230466834305202E-9</v>
      </c>
    </row>
    <row r="190" spans="1:36">
      <c r="A190" s="3">
        <v>337</v>
      </c>
      <c r="B190" s="3">
        <v>9962</v>
      </c>
      <c r="C190" s="185" t="s">
        <v>167</v>
      </c>
      <c r="D190" s="3" t="s">
        <v>168</v>
      </c>
      <c r="E190" s="189" t="s">
        <v>118</v>
      </c>
      <c r="F190" s="185" t="s">
        <v>278</v>
      </c>
      <c r="G190" s="3" t="s">
        <v>279</v>
      </c>
      <c r="H190" s="3" t="s">
        <v>121</v>
      </c>
      <c r="I190" s="3" t="s">
        <v>132</v>
      </c>
      <c r="J190" s="3" t="s">
        <v>30</v>
      </c>
      <c r="K190" s="3" t="s">
        <v>30</v>
      </c>
      <c r="L190" s="3" t="s">
        <v>123</v>
      </c>
      <c r="M190" s="3" t="s">
        <v>31</v>
      </c>
      <c r="N190" s="3" t="s">
        <v>171</v>
      </c>
      <c r="O190" s="3" t="s">
        <v>125</v>
      </c>
      <c r="P190" s="3" t="s">
        <v>165</v>
      </c>
      <c r="Q190" s="3" t="s">
        <v>146</v>
      </c>
      <c r="R190" s="3" t="s">
        <v>128</v>
      </c>
      <c r="S190" s="3" t="s">
        <v>34</v>
      </c>
      <c r="T190" s="143">
        <v>4.6390000000000002</v>
      </c>
      <c r="U190" s="3" t="s">
        <v>280</v>
      </c>
      <c r="V190" s="155">
        <v>6.4999999999999997E-3</v>
      </c>
      <c r="W190" s="155">
        <v>2.487E-2</v>
      </c>
      <c r="X190" s="5" t="s">
        <v>129</v>
      </c>
      <c r="Y190" s="5" t="s">
        <v>125</v>
      </c>
      <c r="Z190" s="143">
        <v>81215.08</v>
      </c>
      <c r="AA190" s="153">
        <v>1</v>
      </c>
      <c r="AB190" s="163">
        <v>107.91</v>
      </c>
      <c r="AD190" s="143">
        <v>87.638999999999996</v>
      </c>
      <c r="AG190" s="3" t="s">
        <v>36</v>
      </c>
      <c r="AH190" s="155">
        <v>3.8999999999999999E-5</v>
      </c>
      <c r="AI190" s="155">
        <v>1.23613566511796E-2</v>
      </c>
      <c r="AJ190" s="155">
        <v>1.74676418678177E-3</v>
      </c>
    </row>
    <row r="191" spans="1:36">
      <c r="A191" s="3">
        <v>337</v>
      </c>
      <c r="B191" s="3">
        <v>9962</v>
      </c>
      <c r="C191" s="185" t="s">
        <v>167</v>
      </c>
      <c r="D191" s="3" t="s">
        <v>168</v>
      </c>
      <c r="E191" s="189" t="s">
        <v>118</v>
      </c>
      <c r="F191" s="185" t="s">
        <v>281</v>
      </c>
      <c r="G191" s="3" t="s">
        <v>282</v>
      </c>
      <c r="H191" s="3" t="s">
        <v>121</v>
      </c>
      <c r="I191" s="3" t="s">
        <v>132</v>
      </c>
      <c r="J191" s="3" t="s">
        <v>30</v>
      </c>
      <c r="K191" s="3" t="s">
        <v>30</v>
      </c>
      <c r="L191" s="3" t="s">
        <v>123</v>
      </c>
      <c r="M191" s="3" t="s">
        <v>31</v>
      </c>
      <c r="N191" s="3" t="s">
        <v>171</v>
      </c>
      <c r="O191" s="3" t="s">
        <v>125</v>
      </c>
      <c r="P191" s="3" t="s">
        <v>165</v>
      </c>
      <c r="Q191" s="3" t="s">
        <v>146</v>
      </c>
      <c r="R191" s="3" t="s">
        <v>128</v>
      </c>
      <c r="S191" s="3" t="s">
        <v>34</v>
      </c>
      <c r="T191" s="143">
        <v>6.8630000000000004</v>
      </c>
      <c r="U191" s="3" t="s">
        <v>283</v>
      </c>
      <c r="V191" s="155">
        <v>3.5999999999999997E-2</v>
      </c>
      <c r="W191" s="155">
        <v>2.5940000000000001E-2</v>
      </c>
      <c r="X191" s="5" t="s">
        <v>129</v>
      </c>
      <c r="Y191" s="5" t="s">
        <v>125</v>
      </c>
      <c r="Z191" s="143">
        <v>67000</v>
      </c>
      <c r="AA191" s="153">
        <v>1</v>
      </c>
      <c r="AB191" s="163">
        <v>110.2</v>
      </c>
      <c r="AD191" s="143">
        <v>73.834000000000003</v>
      </c>
      <c r="AG191" s="3" t="s">
        <v>36</v>
      </c>
      <c r="AH191" s="155">
        <v>7.7000000000000001E-5</v>
      </c>
      <c r="AI191" s="155">
        <v>1.04141580670925E-2</v>
      </c>
      <c r="AJ191" s="155">
        <v>1.4716085669565901E-3</v>
      </c>
    </row>
    <row r="192" spans="1:36">
      <c r="A192" s="3">
        <v>337</v>
      </c>
      <c r="B192" s="3">
        <v>9962</v>
      </c>
      <c r="C192" s="185" t="s">
        <v>284</v>
      </c>
      <c r="D192" s="3" t="s">
        <v>285</v>
      </c>
      <c r="E192" s="189" t="s">
        <v>118</v>
      </c>
      <c r="F192" s="185" t="s">
        <v>286</v>
      </c>
      <c r="G192" s="3" t="s">
        <v>287</v>
      </c>
      <c r="H192" s="3" t="s">
        <v>121</v>
      </c>
      <c r="I192" s="3" t="s">
        <v>132</v>
      </c>
      <c r="J192" s="3" t="s">
        <v>30</v>
      </c>
      <c r="K192" s="3" t="s">
        <v>30</v>
      </c>
      <c r="L192" s="3" t="s">
        <v>123</v>
      </c>
      <c r="M192" s="3" t="s">
        <v>31</v>
      </c>
      <c r="N192" s="3" t="s">
        <v>171</v>
      </c>
      <c r="O192" s="3" t="s">
        <v>125</v>
      </c>
      <c r="P192" s="3" t="s">
        <v>198</v>
      </c>
      <c r="Q192" s="3" t="s">
        <v>146</v>
      </c>
      <c r="R192" s="3" t="s">
        <v>128</v>
      </c>
      <c r="S192" s="3" t="s">
        <v>34</v>
      </c>
      <c r="T192" s="143">
        <v>5.1769999999999996</v>
      </c>
      <c r="U192" s="3" t="s">
        <v>288</v>
      </c>
      <c r="V192" s="155">
        <v>3.6799999999999999E-2</v>
      </c>
      <c r="W192" s="155">
        <v>2.8209999999999999E-2</v>
      </c>
      <c r="X192" s="5" t="s">
        <v>129</v>
      </c>
      <c r="Y192" s="5" t="s">
        <v>125</v>
      </c>
      <c r="Z192" s="143">
        <v>67000</v>
      </c>
      <c r="AA192" s="153">
        <v>1</v>
      </c>
      <c r="AB192" s="163">
        <v>110.69</v>
      </c>
      <c r="AD192" s="143">
        <v>74.162000000000006</v>
      </c>
      <c r="AG192" s="3" t="s">
        <v>36</v>
      </c>
      <c r="AH192" s="155">
        <v>1.02E-4</v>
      </c>
      <c r="AI192" s="155">
        <v>1.0460464214577799E-2</v>
      </c>
      <c r="AJ192" s="155">
        <v>1.4781520170274499E-3</v>
      </c>
    </row>
    <row r="193" spans="1:36">
      <c r="A193" s="3">
        <v>337</v>
      </c>
      <c r="B193" s="3">
        <v>9962</v>
      </c>
      <c r="C193" s="185" t="s">
        <v>292</v>
      </c>
      <c r="D193" s="3" t="s">
        <v>293</v>
      </c>
      <c r="E193" s="189" t="s">
        <v>118</v>
      </c>
      <c r="F193" s="185" t="s">
        <v>294</v>
      </c>
      <c r="G193" s="3" t="s">
        <v>295</v>
      </c>
      <c r="H193" s="3" t="s">
        <v>121</v>
      </c>
      <c r="I193" s="3" t="s">
        <v>132</v>
      </c>
      <c r="J193" s="3" t="s">
        <v>30</v>
      </c>
      <c r="K193" s="3" t="s">
        <v>30</v>
      </c>
      <c r="L193" s="3" t="s">
        <v>123</v>
      </c>
      <c r="M193" s="3" t="s">
        <v>31</v>
      </c>
      <c r="N193" s="3" t="s">
        <v>124</v>
      </c>
      <c r="O193" s="3" t="s">
        <v>125</v>
      </c>
      <c r="P193" s="3" t="s">
        <v>198</v>
      </c>
      <c r="Q193" s="3" t="s">
        <v>146</v>
      </c>
      <c r="R193" s="3" t="s">
        <v>128</v>
      </c>
      <c r="S193" s="3" t="s">
        <v>34</v>
      </c>
      <c r="T193" s="143">
        <v>4.7859999999999996</v>
      </c>
      <c r="U193" s="3" t="s">
        <v>296</v>
      </c>
      <c r="V193" s="155">
        <v>4.0800000000000003E-2</v>
      </c>
      <c r="W193" s="155">
        <v>2.878E-2</v>
      </c>
      <c r="X193" s="5" t="s">
        <v>129</v>
      </c>
      <c r="Y193" s="5" t="s">
        <v>125</v>
      </c>
      <c r="Z193" s="143">
        <v>57000</v>
      </c>
      <c r="AA193" s="153">
        <v>1</v>
      </c>
      <c r="AB193" s="163">
        <v>112.75</v>
      </c>
      <c r="AD193" s="143">
        <v>64.266999999999996</v>
      </c>
      <c r="AG193" s="3" t="s">
        <v>36</v>
      </c>
      <c r="AH193" s="155">
        <v>6.8999999999999997E-5</v>
      </c>
      <c r="AI193" s="155">
        <v>9.0648197791920598E-3</v>
      </c>
      <c r="AJ193" s="155">
        <v>1.2809356607644501E-3</v>
      </c>
    </row>
    <row r="194" spans="1:36">
      <c r="A194" s="3">
        <v>337</v>
      </c>
      <c r="B194" s="3">
        <v>9962</v>
      </c>
      <c r="C194" s="185" t="s">
        <v>297</v>
      </c>
      <c r="D194" s="3" t="s">
        <v>298</v>
      </c>
      <c r="E194" s="189" t="s">
        <v>118</v>
      </c>
      <c r="F194" s="185" t="s">
        <v>299</v>
      </c>
      <c r="G194" s="3" t="s">
        <v>300</v>
      </c>
      <c r="H194" s="3" t="s">
        <v>121</v>
      </c>
      <c r="I194" s="3" t="s">
        <v>122</v>
      </c>
      <c r="J194" s="3" t="s">
        <v>30</v>
      </c>
      <c r="K194" s="3" t="s">
        <v>30</v>
      </c>
      <c r="L194" s="3" t="s">
        <v>123</v>
      </c>
      <c r="M194" s="3" t="s">
        <v>31</v>
      </c>
      <c r="N194" s="3" t="s">
        <v>301</v>
      </c>
      <c r="O194" s="3" t="s">
        <v>125</v>
      </c>
      <c r="P194" s="3" t="s">
        <v>165</v>
      </c>
      <c r="Q194" s="3" t="s">
        <v>146</v>
      </c>
      <c r="R194" s="3" t="s">
        <v>128</v>
      </c>
      <c r="S194" s="3" t="s">
        <v>34</v>
      </c>
      <c r="T194" s="143">
        <v>7.0430000000000001</v>
      </c>
      <c r="U194" s="3" t="s">
        <v>302</v>
      </c>
      <c r="V194" s="155">
        <v>2.7900000000000001E-2</v>
      </c>
      <c r="W194" s="155">
        <v>4.4069999999999998E-2</v>
      </c>
      <c r="X194" s="5" t="s">
        <v>129</v>
      </c>
      <c r="Y194" s="5" t="s">
        <v>125</v>
      </c>
      <c r="Z194" s="143">
        <v>67000</v>
      </c>
      <c r="AA194" s="153">
        <v>1</v>
      </c>
      <c r="AB194" s="163">
        <v>89.85</v>
      </c>
      <c r="AD194" s="143">
        <v>60.198999999999998</v>
      </c>
      <c r="AG194" s="3" t="s">
        <v>36</v>
      </c>
      <c r="AH194" s="155">
        <v>2.9E-5</v>
      </c>
      <c r="AI194" s="155">
        <v>8.4910354113272302E-3</v>
      </c>
      <c r="AJ194" s="155">
        <v>1.19985507931987E-3</v>
      </c>
    </row>
    <row r="195" spans="1:36">
      <c r="A195" s="3">
        <v>337</v>
      </c>
      <c r="B195" s="3">
        <v>9962</v>
      </c>
      <c r="C195" s="185" t="s">
        <v>303</v>
      </c>
      <c r="D195" s="3" t="s">
        <v>304</v>
      </c>
      <c r="E195" s="189" t="s">
        <v>118</v>
      </c>
      <c r="F195" s="185" t="s">
        <v>305</v>
      </c>
      <c r="G195" s="3" t="s">
        <v>306</v>
      </c>
      <c r="H195" s="3" t="s">
        <v>121</v>
      </c>
      <c r="I195" s="3" t="s">
        <v>132</v>
      </c>
      <c r="J195" s="3" t="s">
        <v>30</v>
      </c>
      <c r="K195" s="3" t="s">
        <v>30</v>
      </c>
      <c r="L195" s="3" t="s">
        <v>123</v>
      </c>
      <c r="M195" s="3" t="s">
        <v>31</v>
      </c>
      <c r="N195" s="3" t="s">
        <v>171</v>
      </c>
      <c r="O195" s="3" t="s">
        <v>125</v>
      </c>
      <c r="P195" s="3" t="s">
        <v>145</v>
      </c>
      <c r="Q195" s="3" t="s">
        <v>146</v>
      </c>
      <c r="R195" s="3" t="s">
        <v>128</v>
      </c>
      <c r="S195" s="3" t="s">
        <v>34</v>
      </c>
      <c r="T195" s="143">
        <v>4.4950000000000001</v>
      </c>
      <c r="U195" s="3" t="s">
        <v>307</v>
      </c>
      <c r="V195" s="155">
        <v>1.8700000000000001E-2</v>
      </c>
      <c r="W195" s="155">
        <v>2.6079999999999999E-2</v>
      </c>
      <c r="X195" s="5" t="s">
        <v>129</v>
      </c>
      <c r="Y195" s="5" t="s">
        <v>125</v>
      </c>
      <c r="Z195" s="143">
        <v>57272.73</v>
      </c>
      <c r="AA195" s="153">
        <v>1</v>
      </c>
      <c r="AB195" s="163">
        <v>109.95</v>
      </c>
      <c r="AD195" s="143">
        <v>62.970999999999997</v>
      </c>
      <c r="AG195" s="3" t="s">
        <v>36</v>
      </c>
      <c r="AH195" s="155">
        <v>5.8999999999999998E-5</v>
      </c>
      <c r="AI195" s="155">
        <v>8.8820024086155996E-3</v>
      </c>
      <c r="AJ195" s="155">
        <v>1.25510202092573E-3</v>
      </c>
    </row>
    <row r="196" spans="1:36">
      <c r="A196" s="3">
        <v>337</v>
      </c>
      <c r="B196" s="3">
        <v>9962</v>
      </c>
      <c r="C196" s="185" t="s">
        <v>303</v>
      </c>
      <c r="D196" s="3" t="s">
        <v>304</v>
      </c>
      <c r="E196" s="189" t="s">
        <v>118</v>
      </c>
      <c r="F196" s="185" t="s">
        <v>308</v>
      </c>
      <c r="G196" s="3" t="s">
        <v>309</v>
      </c>
      <c r="H196" s="3" t="s">
        <v>121</v>
      </c>
      <c r="I196" s="3" t="s">
        <v>132</v>
      </c>
      <c r="J196" s="3" t="s">
        <v>30</v>
      </c>
      <c r="K196" s="3" t="s">
        <v>30</v>
      </c>
      <c r="L196" s="3" t="s">
        <v>123</v>
      </c>
      <c r="M196" s="3" t="s">
        <v>31</v>
      </c>
      <c r="N196" s="3" t="s">
        <v>171</v>
      </c>
      <c r="O196" s="3" t="s">
        <v>125</v>
      </c>
      <c r="P196" s="3" t="s">
        <v>310</v>
      </c>
      <c r="Q196" s="3" t="s">
        <v>127</v>
      </c>
      <c r="R196" s="3" t="s">
        <v>128</v>
      </c>
      <c r="S196" s="3" t="s">
        <v>34</v>
      </c>
      <c r="T196" s="143">
        <v>6.7759999999999998</v>
      </c>
      <c r="U196" s="3" t="s">
        <v>311</v>
      </c>
      <c r="V196" s="155">
        <v>3.0599999999999999E-2</v>
      </c>
      <c r="W196" s="155">
        <v>2.7029999999999998E-2</v>
      </c>
      <c r="X196" s="5" t="s">
        <v>129</v>
      </c>
      <c r="Y196" s="5" t="s">
        <v>125</v>
      </c>
      <c r="Z196" s="143">
        <v>60000</v>
      </c>
      <c r="AA196" s="153">
        <v>1</v>
      </c>
      <c r="AB196" s="163">
        <v>104.26</v>
      </c>
      <c r="AD196" s="143">
        <v>62.555999999999997</v>
      </c>
      <c r="AG196" s="3" t="s">
        <v>36</v>
      </c>
      <c r="AH196" s="155">
        <v>5.5000000000000002E-5</v>
      </c>
      <c r="AI196" s="155">
        <v>8.8234156627710596E-3</v>
      </c>
      <c r="AJ196" s="155">
        <v>1.2468232184973901E-3</v>
      </c>
    </row>
    <row r="197" spans="1:36">
      <c r="A197" s="3">
        <v>337</v>
      </c>
      <c r="B197" s="3">
        <v>9962</v>
      </c>
      <c r="C197" s="185" t="s">
        <v>312</v>
      </c>
      <c r="D197" s="3" t="s">
        <v>313</v>
      </c>
      <c r="E197" s="189" t="s">
        <v>118</v>
      </c>
      <c r="F197" s="185" t="s">
        <v>314</v>
      </c>
      <c r="G197" s="3" t="s">
        <v>315</v>
      </c>
      <c r="H197" s="3" t="s">
        <v>121</v>
      </c>
      <c r="I197" s="3" t="s">
        <v>132</v>
      </c>
      <c r="J197" s="3" t="s">
        <v>30</v>
      </c>
      <c r="K197" s="3" t="s">
        <v>30</v>
      </c>
      <c r="L197" s="3" t="s">
        <v>123</v>
      </c>
      <c r="M197" s="3" t="s">
        <v>31</v>
      </c>
      <c r="N197" s="3" t="s">
        <v>316</v>
      </c>
      <c r="O197" s="3" t="s">
        <v>125</v>
      </c>
      <c r="P197" s="3" t="s">
        <v>145</v>
      </c>
      <c r="Q197" s="3" t="s">
        <v>146</v>
      </c>
      <c r="R197" s="3" t="s">
        <v>128</v>
      </c>
      <c r="S197" s="3" t="s">
        <v>34</v>
      </c>
      <c r="T197" s="143">
        <v>2.214</v>
      </c>
      <c r="U197" s="3" t="s">
        <v>317</v>
      </c>
      <c r="V197" s="155">
        <v>1.09E-2</v>
      </c>
      <c r="W197" s="155">
        <v>2.5430000000000001E-2</v>
      </c>
      <c r="X197" s="5" t="s">
        <v>129</v>
      </c>
      <c r="Y197" s="5" t="s">
        <v>125</v>
      </c>
      <c r="Z197" s="143">
        <v>50000</v>
      </c>
      <c r="AA197" s="153">
        <v>1</v>
      </c>
      <c r="AB197" s="163">
        <v>111.21</v>
      </c>
      <c r="AD197" s="143">
        <v>55.604999999999997</v>
      </c>
      <c r="AG197" s="3" t="s">
        <v>36</v>
      </c>
      <c r="AH197" s="155">
        <v>5.5000000000000002E-5</v>
      </c>
      <c r="AI197" s="155">
        <v>7.8429891285949297E-3</v>
      </c>
      <c r="AJ197" s="155">
        <v>1.10828066156E-3</v>
      </c>
    </row>
    <row r="198" spans="1:36">
      <c r="A198" s="3">
        <v>337</v>
      </c>
      <c r="B198" s="3">
        <v>9962</v>
      </c>
      <c r="C198" s="185" t="s">
        <v>321</v>
      </c>
      <c r="D198" s="3" t="s">
        <v>322</v>
      </c>
      <c r="E198" s="189" t="s">
        <v>118</v>
      </c>
      <c r="F198" s="185" t="s">
        <v>323</v>
      </c>
      <c r="G198" s="3" t="s">
        <v>324</v>
      </c>
      <c r="H198" s="3" t="s">
        <v>121</v>
      </c>
      <c r="I198" s="3" t="s">
        <v>122</v>
      </c>
      <c r="J198" s="3" t="s">
        <v>30</v>
      </c>
      <c r="K198" s="3" t="s">
        <v>30</v>
      </c>
      <c r="L198" s="3" t="s">
        <v>123</v>
      </c>
      <c r="M198" s="3" t="s">
        <v>31</v>
      </c>
      <c r="N198" s="3" t="s">
        <v>152</v>
      </c>
      <c r="O198" s="3" t="s">
        <v>125</v>
      </c>
      <c r="P198" s="3" t="s">
        <v>325</v>
      </c>
      <c r="Q198" s="3" t="s">
        <v>127</v>
      </c>
      <c r="R198" s="3" t="s">
        <v>128</v>
      </c>
      <c r="S198" s="3" t="s">
        <v>34</v>
      </c>
      <c r="T198" s="143">
        <v>2.3479999999999999</v>
      </c>
      <c r="U198" s="3" t="s">
        <v>326</v>
      </c>
      <c r="V198" s="155">
        <v>7.2499999999999995E-2</v>
      </c>
      <c r="W198" s="155">
        <v>5.8560000000000001E-2</v>
      </c>
      <c r="X198" s="5" t="s">
        <v>129</v>
      </c>
      <c r="Y198" s="5" t="s">
        <v>125</v>
      </c>
      <c r="Z198" s="143">
        <v>86400</v>
      </c>
      <c r="AA198" s="153">
        <v>1</v>
      </c>
      <c r="AB198" s="163">
        <v>105.31</v>
      </c>
      <c r="AD198" s="143">
        <v>90.988</v>
      </c>
      <c r="AG198" s="3" t="s">
        <v>36</v>
      </c>
      <c r="AH198" s="155">
        <v>1.35E-4</v>
      </c>
      <c r="AI198" s="155">
        <v>1.28336775461619E-2</v>
      </c>
      <c r="AJ198" s="155">
        <v>1.81350712182566E-3</v>
      </c>
    </row>
    <row r="199" spans="1:36">
      <c r="A199" s="3">
        <v>337</v>
      </c>
      <c r="B199" s="3">
        <v>9962</v>
      </c>
      <c r="C199" s="185" t="s">
        <v>332</v>
      </c>
      <c r="D199" s="3" t="s">
        <v>333</v>
      </c>
      <c r="E199" s="189" t="s">
        <v>118</v>
      </c>
      <c r="F199" s="185" t="s">
        <v>337</v>
      </c>
      <c r="G199" s="3" t="s">
        <v>338</v>
      </c>
      <c r="H199" s="3" t="s">
        <v>121</v>
      </c>
      <c r="I199" s="3" t="s">
        <v>132</v>
      </c>
      <c r="J199" s="3" t="s">
        <v>30</v>
      </c>
      <c r="K199" s="3" t="s">
        <v>30</v>
      </c>
      <c r="L199" s="3" t="s">
        <v>123</v>
      </c>
      <c r="M199" s="3" t="s">
        <v>31</v>
      </c>
      <c r="N199" s="3" t="s">
        <v>171</v>
      </c>
      <c r="O199" s="3" t="s">
        <v>125</v>
      </c>
      <c r="P199" s="3" t="s">
        <v>165</v>
      </c>
      <c r="Q199" s="3" t="s">
        <v>146</v>
      </c>
      <c r="R199" s="3" t="s">
        <v>128</v>
      </c>
      <c r="S199" s="3" t="s">
        <v>34</v>
      </c>
      <c r="T199" s="143">
        <v>3.524</v>
      </c>
      <c r="U199" s="3" t="s">
        <v>339</v>
      </c>
      <c r="V199" s="155">
        <v>5.0000000000000001E-3</v>
      </c>
      <c r="W199" s="155">
        <v>2.462E-2</v>
      </c>
      <c r="X199" s="5" t="s">
        <v>129</v>
      </c>
      <c r="Y199" s="5" t="s">
        <v>125</v>
      </c>
      <c r="Z199" s="143">
        <v>30859.49</v>
      </c>
      <c r="AA199" s="153">
        <v>1</v>
      </c>
      <c r="AB199" s="163">
        <v>109.85</v>
      </c>
      <c r="AD199" s="143">
        <v>33.899000000000001</v>
      </c>
      <c r="AG199" s="3" t="s">
        <v>36</v>
      </c>
      <c r="AH199" s="155">
        <v>2.3E-5</v>
      </c>
      <c r="AI199" s="155">
        <v>4.7814164746966398E-3</v>
      </c>
      <c r="AJ199" s="155">
        <v>6.7565456573825803E-4</v>
      </c>
    </row>
    <row r="200" spans="1:36">
      <c r="A200" s="3">
        <v>337</v>
      </c>
      <c r="B200" s="3">
        <v>9962</v>
      </c>
      <c r="C200" s="185" t="s">
        <v>332</v>
      </c>
      <c r="D200" s="3" t="s">
        <v>333</v>
      </c>
      <c r="E200" s="189" t="s">
        <v>118</v>
      </c>
      <c r="F200" s="185" t="s">
        <v>340</v>
      </c>
      <c r="G200" s="3" t="s">
        <v>341</v>
      </c>
      <c r="H200" s="3" t="s">
        <v>121</v>
      </c>
      <c r="I200" s="3" t="s">
        <v>132</v>
      </c>
      <c r="J200" s="3" t="s">
        <v>30</v>
      </c>
      <c r="K200" s="3" t="s">
        <v>30</v>
      </c>
      <c r="L200" s="3" t="s">
        <v>123</v>
      </c>
      <c r="M200" s="3" t="s">
        <v>31</v>
      </c>
      <c r="N200" s="3" t="s">
        <v>171</v>
      </c>
      <c r="O200" s="3" t="s">
        <v>125</v>
      </c>
      <c r="P200" s="3" t="s">
        <v>165</v>
      </c>
      <c r="Q200" s="3" t="s">
        <v>146</v>
      </c>
      <c r="R200" s="3" t="s">
        <v>128</v>
      </c>
      <c r="S200" s="3" t="s">
        <v>34</v>
      </c>
      <c r="T200" s="143">
        <v>2.6179999999999999</v>
      </c>
      <c r="U200" s="3" t="s">
        <v>70</v>
      </c>
      <c r="V200" s="155">
        <v>3.3399999999999999E-2</v>
      </c>
      <c r="W200" s="155">
        <v>2.5579999999999999E-2</v>
      </c>
      <c r="X200" s="5" t="s">
        <v>129</v>
      </c>
      <c r="Y200" s="5" t="s">
        <v>125</v>
      </c>
      <c r="Z200" s="143">
        <v>100000</v>
      </c>
      <c r="AA200" s="153">
        <v>1</v>
      </c>
      <c r="AB200" s="163">
        <v>106.94</v>
      </c>
      <c r="AD200" s="143">
        <v>106.94</v>
      </c>
      <c r="AG200" s="3" t="s">
        <v>36</v>
      </c>
      <c r="AH200" s="155">
        <v>9.2999999999999997E-5</v>
      </c>
      <c r="AI200" s="155">
        <v>1.50837021385117E-2</v>
      </c>
      <c r="AJ200" s="155">
        <v>2.13145461644145E-3</v>
      </c>
    </row>
    <row r="201" spans="1:36">
      <c r="A201" s="3">
        <v>337</v>
      </c>
      <c r="B201" s="3">
        <v>9962</v>
      </c>
      <c r="C201" s="185" t="s">
        <v>342</v>
      </c>
      <c r="D201" s="3" t="s">
        <v>343</v>
      </c>
      <c r="E201" s="189" t="s">
        <v>118</v>
      </c>
      <c r="F201" s="185" t="s">
        <v>344</v>
      </c>
      <c r="G201" s="3" t="s">
        <v>345</v>
      </c>
      <c r="H201" s="3" t="s">
        <v>121</v>
      </c>
      <c r="I201" s="3" t="s">
        <v>122</v>
      </c>
      <c r="J201" s="3" t="s">
        <v>30</v>
      </c>
      <c r="K201" s="3" t="s">
        <v>30</v>
      </c>
      <c r="L201" s="3" t="s">
        <v>123</v>
      </c>
      <c r="M201" s="3" t="s">
        <v>31</v>
      </c>
      <c r="N201" s="3" t="s">
        <v>124</v>
      </c>
      <c r="O201" s="3" t="s">
        <v>125</v>
      </c>
      <c r="P201" s="3" t="s">
        <v>178</v>
      </c>
      <c r="Q201" s="3" t="s">
        <v>178</v>
      </c>
      <c r="R201" s="3" t="s">
        <v>178</v>
      </c>
      <c r="S201" s="3" t="s">
        <v>34</v>
      </c>
      <c r="T201" s="143">
        <v>1.9E-2</v>
      </c>
      <c r="U201" s="3" t="s">
        <v>346</v>
      </c>
      <c r="V201" s="155">
        <v>3.8699999999999998E-2</v>
      </c>
      <c r="W201" s="155">
        <v>1E-4</v>
      </c>
      <c r="X201" s="5" t="s">
        <v>129</v>
      </c>
      <c r="Y201" s="5" t="s">
        <v>125</v>
      </c>
      <c r="Z201" s="143">
        <v>22716.93</v>
      </c>
      <c r="AA201" s="153">
        <v>1</v>
      </c>
      <c r="AB201" s="163">
        <v>100.16</v>
      </c>
      <c r="AD201" s="143">
        <v>22.753</v>
      </c>
      <c r="AG201" s="3" t="s">
        <v>36</v>
      </c>
      <c r="AH201" s="155">
        <v>6.7999999999999999E-5</v>
      </c>
      <c r="AI201" s="155">
        <v>3.2093104008828698E-3</v>
      </c>
      <c r="AJ201" s="155">
        <v>4.5350268831484002E-4</v>
      </c>
    </row>
    <row r="202" spans="1:36">
      <c r="A202" s="3">
        <v>337</v>
      </c>
      <c r="B202" s="3">
        <v>9962</v>
      </c>
      <c r="C202" s="185" t="s">
        <v>342</v>
      </c>
      <c r="D202" s="3" t="s">
        <v>343</v>
      </c>
      <c r="E202" s="189" t="s">
        <v>118</v>
      </c>
      <c r="F202" s="185" t="s">
        <v>347</v>
      </c>
      <c r="G202" s="3" t="s">
        <v>348</v>
      </c>
      <c r="H202" s="3" t="s">
        <v>121</v>
      </c>
      <c r="I202" s="3" t="s">
        <v>122</v>
      </c>
      <c r="J202" s="3" t="s">
        <v>30</v>
      </c>
      <c r="K202" s="3" t="s">
        <v>30</v>
      </c>
      <c r="L202" s="3" t="s">
        <v>123</v>
      </c>
      <c r="M202" s="3" t="s">
        <v>31</v>
      </c>
      <c r="N202" s="3" t="s">
        <v>124</v>
      </c>
      <c r="O202" s="3" t="s">
        <v>125</v>
      </c>
      <c r="P202" s="3" t="s">
        <v>178</v>
      </c>
      <c r="Q202" s="3" t="s">
        <v>178</v>
      </c>
      <c r="R202" s="3" t="s">
        <v>178</v>
      </c>
      <c r="S202" s="3" t="s">
        <v>34</v>
      </c>
      <c r="T202" s="143">
        <v>0.96699999999999997</v>
      </c>
      <c r="U202" s="3" t="s">
        <v>244</v>
      </c>
      <c r="V202" s="155">
        <v>6.25E-2</v>
      </c>
      <c r="W202" s="155">
        <v>8.1570000000000004E-2</v>
      </c>
      <c r="X202" s="5" t="s">
        <v>129</v>
      </c>
      <c r="Y202" s="5" t="s">
        <v>125</v>
      </c>
      <c r="Z202" s="143">
        <v>0.17</v>
      </c>
      <c r="AA202" s="153">
        <v>1</v>
      </c>
      <c r="AB202" s="163">
        <v>99.79</v>
      </c>
      <c r="AD202" s="143">
        <v>0</v>
      </c>
      <c r="AG202" s="3" t="s">
        <v>36</v>
      </c>
      <c r="AH202" s="155">
        <v>0</v>
      </c>
      <c r="AI202" s="155">
        <v>2.3927851897171699E-8</v>
      </c>
      <c r="AJ202" s="155">
        <v>3.3812077379556401E-9</v>
      </c>
    </row>
    <row r="203" spans="1:36">
      <c r="A203" s="3">
        <v>337</v>
      </c>
      <c r="B203" s="3">
        <v>9962</v>
      </c>
      <c r="C203" s="185" t="s">
        <v>342</v>
      </c>
      <c r="D203" s="3" t="s">
        <v>343</v>
      </c>
      <c r="E203" s="189" t="s">
        <v>118</v>
      </c>
      <c r="F203" s="185" t="s">
        <v>773</v>
      </c>
      <c r="G203" s="3" t="s">
        <v>774</v>
      </c>
      <c r="H203" s="3" t="s">
        <v>121</v>
      </c>
      <c r="I203" s="3" t="s">
        <v>122</v>
      </c>
      <c r="J203" s="3" t="s">
        <v>30</v>
      </c>
      <c r="K203" s="3" t="s">
        <v>30</v>
      </c>
      <c r="L203" s="3" t="s">
        <v>123</v>
      </c>
      <c r="M203" s="3" t="s">
        <v>31</v>
      </c>
      <c r="N203" s="3" t="s">
        <v>124</v>
      </c>
      <c r="O203" s="3" t="s">
        <v>125</v>
      </c>
      <c r="P203" s="3" t="s">
        <v>178</v>
      </c>
      <c r="Q203" s="3" t="s">
        <v>178</v>
      </c>
      <c r="R203" s="3" t="s">
        <v>178</v>
      </c>
      <c r="S203" s="3" t="s">
        <v>34</v>
      </c>
      <c r="T203" s="143">
        <v>0.96699999999999997</v>
      </c>
      <c r="U203" s="3" t="s">
        <v>244</v>
      </c>
      <c r="V203" s="155">
        <v>4.19E-2</v>
      </c>
      <c r="W203" s="155">
        <v>8.8849999999999998E-2</v>
      </c>
      <c r="X203" s="5" t="s">
        <v>129</v>
      </c>
      <c r="Y203" s="5" t="s">
        <v>125</v>
      </c>
      <c r="Z203" s="143">
        <v>11716</v>
      </c>
      <c r="AA203" s="153">
        <v>1</v>
      </c>
      <c r="AB203" s="163">
        <v>95.87</v>
      </c>
      <c r="AD203" s="143">
        <v>11.231999999999999</v>
      </c>
      <c r="AG203" s="3" t="s">
        <v>36</v>
      </c>
      <c r="AH203" s="155">
        <v>2.2000000000000001E-4</v>
      </c>
      <c r="AI203" s="155">
        <v>1.58427240727585E-3</v>
      </c>
      <c r="AJ203" s="155">
        <v>2.2387108318502701E-4</v>
      </c>
    </row>
    <row r="204" spans="1:36">
      <c r="A204" s="3">
        <v>337</v>
      </c>
      <c r="B204" s="3">
        <v>9962</v>
      </c>
      <c r="C204" s="185" t="s">
        <v>775</v>
      </c>
      <c r="D204" s="3" t="s">
        <v>776</v>
      </c>
      <c r="E204" s="189" t="s">
        <v>269</v>
      </c>
      <c r="F204" s="185" t="s">
        <v>777</v>
      </c>
      <c r="G204" s="3" t="s">
        <v>778</v>
      </c>
      <c r="H204" s="3" t="s">
        <v>121</v>
      </c>
      <c r="I204" s="3" t="s">
        <v>122</v>
      </c>
      <c r="J204" s="3" t="s">
        <v>30</v>
      </c>
      <c r="K204" s="3" t="s">
        <v>80</v>
      </c>
      <c r="L204" s="3" t="s">
        <v>123</v>
      </c>
      <c r="M204" s="3" t="s">
        <v>31</v>
      </c>
      <c r="N204" s="3" t="s">
        <v>139</v>
      </c>
      <c r="O204" s="3" t="s">
        <v>125</v>
      </c>
      <c r="P204" s="3" t="s">
        <v>574</v>
      </c>
      <c r="Q204" s="3" t="s">
        <v>146</v>
      </c>
      <c r="R204" s="3" t="s">
        <v>128</v>
      </c>
      <c r="S204" s="3" t="s">
        <v>34</v>
      </c>
      <c r="T204" s="143">
        <v>0.89600000000000002</v>
      </c>
      <c r="U204" s="3" t="s">
        <v>663</v>
      </c>
      <c r="V204" s="155">
        <v>8.7499999999999994E-2</v>
      </c>
      <c r="W204" s="155">
        <v>0.14979999999999999</v>
      </c>
      <c r="X204" s="5" t="s">
        <v>129</v>
      </c>
      <c r="Y204" s="5" t="s">
        <v>125</v>
      </c>
      <c r="Z204" s="143">
        <v>56000</v>
      </c>
      <c r="AA204" s="153">
        <v>1</v>
      </c>
      <c r="AB204" s="163">
        <v>109.19</v>
      </c>
      <c r="AD204" s="143">
        <v>61.146000000000001</v>
      </c>
      <c r="AG204" s="3" t="s">
        <v>36</v>
      </c>
      <c r="AH204" s="155">
        <v>3.2899999999999997E-4</v>
      </c>
      <c r="AI204" s="155">
        <v>8.6245940194715799E-3</v>
      </c>
      <c r="AJ204" s="155">
        <v>1.2187280396369501E-3</v>
      </c>
    </row>
    <row r="205" spans="1:36">
      <c r="A205" s="3">
        <v>337</v>
      </c>
      <c r="B205" s="3">
        <v>9962</v>
      </c>
      <c r="C205" s="185" t="s">
        <v>349</v>
      </c>
      <c r="D205" s="3" t="s">
        <v>350</v>
      </c>
      <c r="E205" s="189" t="s">
        <v>118</v>
      </c>
      <c r="F205" s="185" t="s">
        <v>351</v>
      </c>
      <c r="G205" s="3" t="s">
        <v>352</v>
      </c>
      <c r="H205" s="3" t="s">
        <v>121</v>
      </c>
      <c r="I205" s="3" t="s">
        <v>176</v>
      </c>
      <c r="J205" s="3" t="s">
        <v>30</v>
      </c>
      <c r="K205" s="3" t="s">
        <v>30</v>
      </c>
      <c r="L205" s="3" t="s">
        <v>123</v>
      </c>
      <c r="M205" s="3" t="s">
        <v>31</v>
      </c>
      <c r="N205" s="3" t="s">
        <v>124</v>
      </c>
      <c r="O205" s="3" t="s">
        <v>125</v>
      </c>
      <c r="P205" s="3" t="s">
        <v>178</v>
      </c>
      <c r="Q205" s="3" t="s">
        <v>178</v>
      </c>
      <c r="R205" s="3" t="s">
        <v>178</v>
      </c>
      <c r="S205" s="3" t="s">
        <v>34</v>
      </c>
      <c r="T205" s="143">
        <v>2.5609999999999999</v>
      </c>
      <c r="U205" s="3" t="s">
        <v>154</v>
      </c>
      <c r="V205" s="155">
        <v>7.0000000000000007E-2</v>
      </c>
      <c r="W205" s="155">
        <v>1E-4</v>
      </c>
      <c r="X205" s="5" t="s">
        <v>129</v>
      </c>
      <c r="Y205" s="5" t="s">
        <v>125</v>
      </c>
      <c r="Z205" s="143">
        <v>11000</v>
      </c>
      <c r="AA205" s="153">
        <v>1</v>
      </c>
      <c r="AB205" s="163">
        <v>150.6</v>
      </c>
      <c r="AD205" s="143">
        <v>16.565999999999999</v>
      </c>
      <c r="AG205" s="3" t="s">
        <v>36</v>
      </c>
      <c r="AH205" s="155">
        <v>2.2000000000000001E-4</v>
      </c>
      <c r="AI205" s="155">
        <v>2.3366056632371799E-3</v>
      </c>
      <c r="AJ205" s="155">
        <v>3.3018213181194102E-4</v>
      </c>
    </row>
    <row r="206" spans="1:36">
      <c r="A206" s="3">
        <v>337</v>
      </c>
      <c r="B206" s="3">
        <v>9962</v>
      </c>
      <c r="C206" s="185" t="s">
        <v>353</v>
      </c>
      <c r="D206" s="3" t="s">
        <v>354</v>
      </c>
      <c r="E206" s="189" t="s">
        <v>118</v>
      </c>
      <c r="F206" s="185" t="s">
        <v>355</v>
      </c>
      <c r="G206" s="3" t="s">
        <v>356</v>
      </c>
      <c r="H206" s="3" t="s">
        <v>121</v>
      </c>
      <c r="I206" s="3" t="s">
        <v>132</v>
      </c>
      <c r="J206" s="3" t="s">
        <v>30</v>
      </c>
      <c r="K206" s="3" t="s">
        <v>30</v>
      </c>
      <c r="L206" s="3" t="s">
        <v>123</v>
      </c>
      <c r="M206" s="3" t="s">
        <v>31</v>
      </c>
      <c r="N206" s="3" t="s">
        <v>316</v>
      </c>
      <c r="O206" s="3" t="s">
        <v>125</v>
      </c>
      <c r="P206" s="3" t="s">
        <v>357</v>
      </c>
      <c r="Q206" s="3" t="s">
        <v>146</v>
      </c>
      <c r="R206" s="3" t="s">
        <v>128</v>
      </c>
      <c r="S206" s="3" t="s">
        <v>34</v>
      </c>
      <c r="T206" s="143">
        <v>3.2749999999999999</v>
      </c>
      <c r="U206" s="3" t="s">
        <v>358</v>
      </c>
      <c r="V206" s="155">
        <v>2E-3</v>
      </c>
      <c r="W206" s="155">
        <v>2.2429999999999999E-2</v>
      </c>
      <c r="X206" s="5" t="s">
        <v>129</v>
      </c>
      <c r="Y206" s="5" t="s">
        <v>125</v>
      </c>
      <c r="Z206" s="143">
        <v>35365.19</v>
      </c>
      <c r="AA206" s="153">
        <v>1</v>
      </c>
      <c r="AB206" s="163">
        <v>107.7</v>
      </c>
      <c r="AD206" s="143">
        <v>38.088000000000001</v>
      </c>
      <c r="AG206" s="3" t="s">
        <v>36</v>
      </c>
      <c r="AH206" s="155">
        <v>1.1E-5</v>
      </c>
      <c r="AI206" s="155">
        <v>5.3722902320771102E-3</v>
      </c>
      <c r="AJ206" s="155">
        <v>7.5915002237997699E-4</v>
      </c>
    </row>
    <row r="207" spans="1:36">
      <c r="A207" s="3">
        <v>337</v>
      </c>
      <c r="B207" s="3">
        <v>9962</v>
      </c>
      <c r="C207" s="185" t="s">
        <v>353</v>
      </c>
      <c r="D207" s="3" t="s">
        <v>354</v>
      </c>
      <c r="E207" s="189" t="s">
        <v>118</v>
      </c>
      <c r="F207" s="185" t="s">
        <v>359</v>
      </c>
      <c r="G207" s="3" t="s">
        <v>360</v>
      </c>
      <c r="H207" s="3" t="s">
        <v>121</v>
      </c>
      <c r="I207" s="3" t="s">
        <v>132</v>
      </c>
      <c r="J207" s="3" t="s">
        <v>30</v>
      </c>
      <c r="K207" s="3" t="s">
        <v>30</v>
      </c>
      <c r="L207" s="3" t="s">
        <v>123</v>
      </c>
      <c r="M207" s="3" t="s">
        <v>31</v>
      </c>
      <c r="N207" s="3" t="s">
        <v>316</v>
      </c>
      <c r="O207" s="3" t="s">
        <v>125</v>
      </c>
      <c r="P207" s="3" t="s">
        <v>357</v>
      </c>
      <c r="Q207" s="3" t="s">
        <v>146</v>
      </c>
      <c r="R207" s="3" t="s">
        <v>128</v>
      </c>
      <c r="S207" s="3" t="s">
        <v>34</v>
      </c>
      <c r="T207" s="143">
        <v>4.34</v>
      </c>
      <c r="U207" s="3" t="s">
        <v>361</v>
      </c>
      <c r="V207" s="155">
        <v>2.4E-2</v>
      </c>
      <c r="W207" s="155">
        <v>2.281E-2</v>
      </c>
      <c r="X207" s="5" t="s">
        <v>129</v>
      </c>
      <c r="Y207" s="5" t="s">
        <v>125</v>
      </c>
      <c r="Z207" s="143">
        <v>56000</v>
      </c>
      <c r="AA207" s="153">
        <v>1</v>
      </c>
      <c r="AB207" s="163">
        <v>105.25</v>
      </c>
      <c r="AD207" s="143">
        <v>58.94</v>
      </c>
      <c r="AG207" s="3" t="s">
        <v>36</v>
      </c>
      <c r="AH207" s="155">
        <v>1.2999999999999999E-5</v>
      </c>
      <c r="AI207" s="155">
        <v>8.3133851135578692E-3</v>
      </c>
      <c r="AJ207" s="155">
        <v>1.1747515905466499E-3</v>
      </c>
    </row>
    <row r="208" spans="1:36">
      <c r="A208" s="3">
        <v>337</v>
      </c>
      <c r="B208" s="3">
        <v>9962</v>
      </c>
      <c r="C208" s="185" t="s">
        <v>353</v>
      </c>
      <c r="D208" s="3" t="s">
        <v>354</v>
      </c>
      <c r="E208" s="189" t="s">
        <v>118</v>
      </c>
      <c r="F208" s="185" t="s">
        <v>362</v>
      </c>
      <c r="G208" s="3" t="s">
        <v>363</v>
      </c>
      <c r="H208" s="3" t="s">
        <v>121</v>
      </c>
      <c r="I208" s="3" t="s">
        <v>122</v>
      </c>
      <c r="J208" s="3" t="s">
        <v>30</v>
      </c>
      <c r="K208" s="3" t="s">
        <v>30</v>
      </c>
      <c r="L208" s="3" t="s">
        <v>123</v>
      </c>
      <c r="M208" s="3" t="s">
        <v>31</v>
      </c>
      <c r="N208" s="3" t="s">
        <v>316</v>
      </c>
      <c r="O208" s="3" t="s">
        <v>125</v>
      </c>
      <c r="P208" s="3" t="s">
        <v>357</v>
      </c>
      <c r="Q208" s="3" t="s">
        <v>146</v>
      </c>
      <c r="R208" s="3" t="s">
        <v>128</v>
      </c>
      <c r="S208" s="3" t="s">
        <v>34</v>
      </c>
      <c r="T208" s="143">
        <v>2.8</v>
      </c>
      <c r="U208" s="3" t="s">
        <v>364</v>
      </c>
      <c r="V208" s="155">
        <v>2.6800000000000001E-2</v>
      </c>
      <c r="W208" s="155">
        <v>4.0969999999999999E-2</v>
      </c>
      <c r="X208" s="5" t="s">
        <v>129</v>
      </c>
      <c r="Y208" s="5" t="s">
        <v>125</v>
      </c>
      <c r="Z208" s="143">
        <v>82107.48</v>
      </c>
      <c r="AA208" s="153">
        <v>1</v>
      </c>
      <c r="AB208" s="163">
        <v>96.4</v>
      </c>
      <c r="AD208" s="143">
        <v>79.152000000000001</v>
      </c>
      <c r="AG208" s="3" t="s">
        <v>36</v>
      </c>
      <c r="AH208" s="155">
        <v>3.4999999999999997E-5</v>
      </c>
      <c r="AI208" s="155">
        <v>1.1164197866877799E-2</v>
      </c>
      <c r="AJ208" s="155">
        <v>1.57759553083898E-3</v>
      </c>
    </row>
    <row r="209" spans="1:36">
      <c r="A209" s="3">
        <v>337</v>
      </c>
      <c r="B209" s="3">
        <v>9962</v>
      </c>
      <c r="C209" s="185" t="s">
        <v>353</v>
      </c>
      <c r="D209" s="3" t="s">
        <v>354</v>
      </c>
      <c r="E209" s="189" t="s">
        <v>118</v>
      </c>
      <c r="F209" s="185" t="s">
        <v>779</v>
      </c>
      <c r="G209" s="3" t="s">
        <v>780</v>
      </c>
      <c r="H209" s="3" t="s">
        <v>121</v>
      </c>
      <c r="I209" s="3" t="s">
        <v>132</v>
      </c>
      <c r="J209" s="3" t="s">
        <v>30</v>
      </c>
      <c r="K209" s="3" t="s">
        <v>30</v>
      </c>
      <c r="L209" s="3" t="s">
        <v>123</v>
      </c>
      <c r="M209" s="3" t="s">
        <v>31</v>
      </c>
      <c r="N209" s="3" t="s">
        <v>316</v>
      </c>
      <c r="O209" s="3" t="s">
        <v>125</v>
      </c>
      <c r="P209" s="3" t="s">
        <v>145</v>
      </c>
      <c r="Q209" s="3" t="s">
        <v>146</v>
      </c>
      <c r="R209" s="3" t="s">
        <v>128</v>
      </c>
      <c r="S209" s="3" t="s">
        <v>34</v>
      </c>
      <c r="T209" s="143">
        <v>1.831</v>
      </c>
      <c r="U209" s="3" t="s">
        <v>781</v>
      </c>
      <c r="V209" s="155">
        <v>2E-3</v>
      </c>
      <c r="W209" s="155">
        <v>2.6950000000000002E-2</v>
      </c>
      <c r="X209" s="5" t="s">
        <v>129</v>
      </c>
      <c r="Y209" s="5" t="s">
        <v>125</v>
      </c>
      <c r="Z209" s="143">
        <v>50000</v>
      </c>
      <c r="AA209" s="153">
        <v>1</v>
      </c>
      <c r="AB209" s="163">
        <v>110.04</v>
      </c>
      <c r="AD209" s="143">
        <v>55.02</v>
      </c>
      <c r="AG209" s="3" t="s">
        <v>36</v>
      </c>
      <c r="AH209" s="155">
        <v>8.7000000000000001E-5</v>
      </c>
      <c r="AI209" s="155">
        <v>7.7604758898533101E-3</v>
      </c>
      <c r="AJ209" s="155">
        <v>1.09662084343191E-3</v>
      </c>
    </row>
    <row r="210" spans="1:36">
      <c r="A210" s="3">
        <v>337</v>
      </c>
      <c r="B210" s="3">
        <v>9962</v>
      </c>
      <c r="C210" s="185" t="s">
        <v>365</v>
      </c>
      <c r="D210" s="3" t="s">
        <v>366</v>
      </c>
      <c r="E210" s="189" t="s">
        <v>118</v>
      </c>
      <c r="F210" s="185" t="s">
        <v>367</v>
      </c>
      <c r="G210" s="3" t="s">
        <v>368</v>
      </c>
      <c r="H210" s="3" t="s">
        <v>121</v>
      </c>
      <c r="I210" s="3" t="s">
        <v>132</v>
      </c>
      <c r="J210" s="3" t="s">
        <v>30</v>
      </c>
      <c r="K210" s="3" t="s">
        <v>30</v>
      </c>
      <c r="L210" s="3" t="s">
        <v>123</v>
      </c>
      <c r="M210" s="3" t="s">
        <v>31</v>
      </c>
      <c r="N210" s="3" t="s">
        <v>152</v>
      </c>
      <c r="O210" s="3" t="s">
        <v>125</v>
      </c>
      <c r="P210" s="3" t="s">
        <v>243</v>
      </c>
      <c r="Q210" s="3" t="s">
        <v>127</v>
      </c>
      <c r="R210" s="3" t="s">
        <v>128</v>
      </c>
      <c r="S210" s="3" t="s">
        <v>34</v>
      </c>
      <c r="T210" s="143">
        <v>2.9849999999999999</v>
      </c>
      <c r="U210" s="3" t="s">
        <v>369</v>
      </c>
      <c r="V210" s="155">
        <v>1.7999999999999999E-2</v>
      </c>
      <c r="W210" s="155">
        <v>2.7730000000000001E-2</v>
      </c>
      <c r="X210" s="5" t="s">
        <v>129</v>
      </c>
      <c r="Y210" s="5" t="s">
        <v>125</v>
      </c>
      <c r="Z210" s="143">
        <v>21787.59</v>
      </c>
      <c r="AA210" s="153">
        <v>1</v>
      </c>
      <c r="AB210" s="163">
        <v>115.18</v>
      </c>
      <c r="AD210" s="143">
        <v>25.094999999999999</v>
      </c>
      <c r="AG210" s="3" t="s">
        <v>36</v>
      </c>
      <c r="AH210" s="155">
        <v>2.6999999999999999E-5</v>
      </c>
      <c r="AI210" s="155">
        <v>3.53959877585183E-3</v>
      </c>
      <c r="AJ210" s="155">
        <v>5.0017522766359203E-4</v>
      </c>
    </row>
    <row r="211" spans="1:36">
      <c r="A211" s="3">
        <v>337</v>
      </c>
      <c r="B211" s="3">
        <v>9962</v>
      </c>
      <c r="C211" s="185" t="s">
        <v>365</v>
      </c>
      <c r="D211" s="3" t="s">
        <v>366</v>
      </c>
      <c r="E211" s="189" t="s">
        <v>118</v>
      </c>
      <c r="F211" s="185" t="s">
        <v>370</v>
      </c>
      <c r="G211" s="3" t="s">
        <v>371</v>
      </c>
      <c r="H211" s="3" t="s">
        <v>121</v>
      </c>
      <c r="I211" s="3" t="s">
        <v>132</v>
      </c>
      <c r="J211" s="3" t="s">
        <v>30</v>
      </c>
      <c r="K211" s="3" t="s">
        <v>30</v>
      </c>
      <c r="L211" s="3" t="s">
        <v>123</v>
      </c>
      <c r="M211" s="3" t="s">
        <v>31</v>
      </c>
      <c r="N211" s="3" t="s">
        <v>152</v>
      </c>
      <c r="O211" s="3" t="s">
        <v>125</v>
      </c>
      <c r="P211" s="3" t="s">
        <v>243</v>
      </c>
      <c r="Q211" s="3" t="s">
        <v>127</v>
      </c>
      <c r="R211" s="3" t="s">
        <v>128</v>
      </c>
      <c r="S211" s="3" t="s">
        <v>34</v>
      </c>
      <c r="T211" s="143">
        <v>7.5019999999999998</v>
      </c>
      <c r="U211" s="3" t="s">
        <v>372</v>
      </c>
      <c r="V211" s="155">
        <v>3.3399999999999999E-2</v>
      </c>
      <c r="W211" s="155">
        <v>3.1140000000000001E-2</v>
      </c>
      <c r="X211" s="5" t="s">
        <v>129</v>
      </c>
      <c r="Y211" s="5" t="s">
        <v>125</v>
      </c>
      <c r="Z211" s="143">
        <v>48000</v>
      </c>
      <c r="AA211" s="153">
        <v>1</v>
      </c>
      <c r="AB211" s="163">
        <v>101.51</v>
      </c>
      <c r="AD211" s="143">
        <v>48.725000000000001</v>
      </c>
      <c r="AG211" s="3" t="s">
        <v>36</v>
      </c>
      <c r="AH211" s="155">
        <v>3.2000000000000003E-4</v>
      </c>
      <c r="AI211" s="155">
        <v>6.8725488120306199E-3</v>
      </c>
      <c r="AJ211" s="155">
        <v>9.7114924158580695E-4</v>
      </c>
    </row>
    <row r="212" spans="1:36">
      <c r="A212" s="3">
        <v>337</v>
      </c>
      <c r="B212" s="3">
        <v>9962</v>
      </c>
      <c r="C212" s="185" t="s">
        <v>373</v>
      </c>
      <c r="D212" s="3" t="s">
        <v>374</v>
      </c>
      <c r="E212" s="189" t="s">
        <v>118</v>
      </c>
      <c r="F212" s="185" t="s">
        <v>375</v>
      </c>
      <c r="G212" s="3" t="s">
        <v>376</v>
      </c>
      <c r="H212" s="3" t="s">
        <v>121</v>
      </c>
      <c r="I212" s="3" t="s">
        <v>122</v>
      </c>
      <c r="J212" s="3" t="s">
        <v>30</v>
      </c>
      <c r="K212" s="3" t="s">
        <v>30</v>
      </c>
      <c r="L212" s="3" t="s">
        <v>123</v>
      </c>
      <c r="M212" s="3" t="s">
        <v>31</v>
      </c>
      <c r="N212" s="3" t="s">
        <v>377</v>
      </c>
      <c r="O212" s="3" t="s">
        <v>125</v>
      </c>
      <c r="P212" s="3" t="s">
        <v>260</v>
      </c>
      <c r="Q212" s="3" t="s">
        <v>146</v>
      </c>
      <c r="R212" s="3" t="s">
        <v>128</v>
      </c>
      <c r="S212" s="3" t="s">
        <v>34</v>
      </c>
      <c r="T212" s="143">
        <v>5.2539999999999996</v>
      </c>
      <c r="U212" s="3" t="s">
        <v>339</v>
      </c>
      <c r="V212" s="155">
        <v>5.6899999999999999E-2</v>
      </c>
      <c r="W212" s="155">
        <v>5.0369999999999998E-2</v>
      </c>
      <c r="X212" s="5" t="s">
        <v>129</v>
      </c>
      <c r="Y212" s="5" t="s">
        <v>125</v>
      </c>
      <c r="Z212" s="143">
        <v>50000</v>
      </c>
      <c r="AA212" s="153">
        <v>1</v>
      </c>
      <c r="AB212" s="163">
        <v>103.73</v>
      </c>
      <c r="AD212" s="143">
        <v>51.865000000000002</v>
      </c>
      <c r="AG212" s="3" t="s">
        <v>36</v>
      </c>
      <c r="AH212" s="155">
        <v>3.1999999999999999E-5</v>
      </c>
      <c r="AI212" s="155">
        <v>7.3154685937339503E-3</v>
      </c>
      <c r="AJ212" s="155">
        <v>1.0337375507923699E-3</v>
      </c>
    </row>
    <row r="213" spans="1:36">
      <c r="A213" s="3">
        <v>337</v>
      </c>
      <c r="B213" s="3">
        <v>9962</v>
      </c>
      <c r="C213" s="185" t="s">
        <v>373</v>
      </c>
      <c r="D213" s="3" t="s">
        <v>374</v>
      </c>
      <c r="E213" s="189" t="s">
        <v>118</v>
      </c>
      <c r="F213" s="185" t="s">
        <v>378</v>
      </c>
      <c r="G213" s="3" t="s">
        <v>379</v>
      </c>
      <c r="H213" s="3" t="s">
        <v>121</v>
      </c>
      <c r="I213" s="3" t="s">
        <v>122</v>
      </c>
      <c r="J213" s="3" t="s">
        <v>30</v>
      </c>
      <c r="K213" s="3" t="s">
        <v>30</v>
      </c>
      <c r="L213" s="3" t="s">
        <v>123</v>
      </c>
      <c r="M213" s="3" t="s">
        <v>31</v>
      </c>
      <c r="N213" s="3" t="s">
        <v>377</v>
      </c>
      <c r="O213" s="3" t="s">
        <v>125</v>
      </c>
      <c r="P213" s="3" t="s">
        <v>126</v>
      </c>
      <c r="Q213" s="3" t="s">
        <v>127</v>
      </c>
      <c r="R213" s="3" t="s">
        <v>128</v>
      </c>
      <c r="S213" s="3" t="s">
        <v>34</v>
      </c>
      <c r="T213" s="143">
        <v>6.0750000000000002</v>
      </c>
      <c r="U213" s="3" t="s">
        <v>380</v>
      </c>
      <c r="V213" s="155">
        <v>5.6800000000000003E-2</v>
      </c>
      <c r="W213" s="155">
        <v>5.1319999999999998E-2</v>
      </c>
      <c r="X213" s="5" t="s">
        <v>129</v>
      </c>
      <c r="Y213" s="5" t="s">
        <v>125</v>
      </c>
      <c r="Z213" s="143">
        <v>56000</v>
      </c>
      <c r="AA213" s="153">
        <v>1</v>
      </c>
      <c r="AB213" s="163">
        <v>105.5</v>
      </c>
      <c r="AD213" s="143">
        <v>59.08</v>
      </c>
      <c r="AG213" s="3" t="s">
        <v>36</v>
      </c>
      <c r="AH213" s="155">
        <v>3.1999999999999999E-5</v>
      </c>
      <c r="AI213" s="155">
        <v>8.3331318715473193E-3</v>
      </c>
      <c r="AJ213" s="155">
        <v>1.17754197437218E-3</v>
      </c>
    </row>
    <row r="214" spans="1:36">
      <c r="A214" s="3">
        <v>337</v>
      </c>
      <c r="B214" s="3">
        <v>9962</v>
      </c>
      <c r="C214" s="185" t="s">
        <v>373</v>
      </c>
      <c r="D214" s="3" t="s">
        <v>374</v>
      </c>
      <c r="E214" s="189" t="s">
        <v>118</v>
      </c>
      <c r="F214" s="185" t="s">
        <v>782</v>
      </c>
      <c r="G214" s="3" t="s">
        <v>783</v>
      </c>
      <c r="H214" s="3" t="s">
        <v>121</v>
      </c>
      <c r="I214" s="3" t="s">
        <v>122</v>
      </c>
      <c r="J214" s="3" t="s">
        <v>30</v>
      </c>
      <c r="K214" s="3" t="s">
        <v>30</v>
      </c>
      <c r="L214" s="3" t="s">
        <v>123</v>
      </c>
      <c r="M214" s="3" t="s">
        <v>31</v>
      </c>
      <c r="N214" s="3" t="s">
        <v>377</v>
      </c>
      <c r="O214" s="3" t="s">
        <v>125</v>
      </c>
      <c r="P214" s="3" t="s">
        <v>260</v>
      </c>
      <c r="Q214" s="3" t="s">
        <v>146</v>
      </c>
      <c r="R214" s="3" t="s">
        <v>128</v>
      </c>
      <c r="S214" s="3" t="s">
        <v>34</v>
      </c>
      <c r="T214" s="143">
        <v>4.6150000000000002</v>
      </c>
      <c r="U214" s="3" t="s">
        <v>296</v>
      </c>
      <c r="V214" s="155">
        <v>6.3799999999999996E-2</v>
      </c>
      <c r="W214" s="155">
        <v>4.6219999999999997E-2</v>
      </c>
      <c r="X214" s="5" t="s">
        <v>129</v>
      </c>
      <c r="Y214" s="5" t="s">
        <v>125</v>
      </c>
      <c r="Z214" s="143">
        <v>58485</v>
      </c>
      <c r="AA214" s="153">
        <v>1</v>
      </c>
      <c r="AB214" s="163">
        <v>108.4</v>
      </c>
      <c r="AD214" s="143">
        <v>63.398000000000003</v>
      </c>
      <c r="AG214" s="3" t="s">
        <v>36</v>
      </c>
      <c r="AH214" s="155">
        <v>5.8E-5</v>
      </c>
      <c r="AI214" s="155">
        <v>8.9421416346998992E-3</v>
      </c>
      <c r="AJ214" s="155">
        <v>1.2636002019352399E-3</v>
      </c>
    </row>
    <row r="215" spans="1:36">
      <c r="A215" s="3">
        <v>337</v>
      </c>
      <c r="B215" s="3">
        <v>9962</v>
      </c>
      <c r="C215" s="185" t="s">
        <v>381</v>
      </c>
      <c r="D215" s="3" t="s">
        <v>382</v>
      </c>
      <c r="E215" s="189" t="s">
        <v>118</v>
      </c>
      <c r="F215" s="185" t="s">
        <v>383</v>
      </c>
      <c r="G215" s="3" t="s">
        <v>384</v>
      </c>
      <c r="H215" s="3" t="s">
        <v>121</v>
      </c>
      <c r="I215" s="3" t="s">
        <v>132</v>
      </c>
      <c r="J215" s="3" t="s">
        <v>30</v>
      </c>
      <c r="K215" s="3" t="s">
        <v>30</v>
      </c>
      <c r="L215" s="3" t="s">
        <v>123</v>
      </c>
      <c r="M215" s="3" t="s">
        <v>31</v>
      </c>
      <c r="N215" s="3" t="s">
        <v>171</v>
      </c>
      <c r="O215" s="3" t="s">
        <v>125</v>
      </c>
      <c r="P215" s="3" t="s">
        <v>198</v>
      </c>
      <c r="Q215" s="3" t="s">
        <v>146</v>
      </c>
      <c r="R215" s="3" t="s">
        <v>128</v>
      </c>
      <c r="S215" s="3" t="s">
        <v>34</v>
      </c>
      <c r="T215" s="143">
        <v>1.8959999999999999</v>
      </c>
      <c r="U215" s="3" t="s">
        <v>385</v>
      </c>
      <c r="V215" s="155">
        <v>1.7999999999999999E-2</v>
      </c>
      <c r="W215" s="155">
        <v>2.6780000000000002E-2</v>
      </c>
      <c r="X215" s="5" t="s">
        <v>129</v>
      </c>
      <c r="Y215" s="5" t="s">
        <v>125</v>
      </c>
      <c r="Z215" s="143">
        <v>31111.119999999999</v>
      </c>
      <c r="AA215" s="153">
        <v>1</v>
      </c>
      <c r="AB215" s="163">
        <v>117.12</v>
      </c>
      <c r="AD215" s="143">
        <v>36.436999999999998</v>
      </c>
      <c r="AG215" s="3" t="s">
        <v>36</v>
      </c>
      <c r="AH215" s="155">
        <v>4.5000000000000003E-5</v>
      </c>
      <c r="AI215" s="155">
        <v>5.1394243477937002E-3</v>
      </c>
      <c r="AJ215" s="155">
        <v>7.26244104488617E-4</v>
      </c>
    </row>
    <row r="216" spans="1:36">
      <c r="A216" s="3">
        <v>337</v>
      </c>
      <c r="B216" s="3">
        <v>9962</v>
      </c>
      <c r="C216" s="185" t="s">
        <v>784</v>
      </c>
      <c r="D216" s="3" t="s">
        <v>785</v>
      </c>
      <c r="E216" s="189" t="s">
        <v>118</v>
      </c>
      <c r="F216" s="185" t="s">
        <v>786</v>
      </c>
      <c r="G216" s="3" t="s">
        <v>787</v>
      </c>
      <c r="H216" s="3" t="s">
        <v>121</v>
      </c>
      <c r="I216" s="3" t="s">
        <v>132</v>
      </c>
      <c r="J216" s="3" t="s">
        <v>30</v>
      </c>
      <c r="K216" s="3" t="s">
        <v>30</v>
      </c>
      <c r="L216" s="3" t="s">
        <v>123</v>
      </c>
      <c r="M216" s="3" t="s">
        <v>31</v>
      </c>
      <c r="N216" s="3" t="s">
        <v>159</v>
      </c>
      <c r="O216" s="3" t="s">
        <v>125</v>
      </c>
      <c r="P216" s="3" t="s">
        <v>165</v>
      </c>
      <c r="Q216" s="3" t="s">
        <v>146</v>
      </c>
      <c r="R216" s="3" t="s">
        <v>128</v>
      </c>
      <c r="S216" s="3" t="s">
        <v>34</v>
      </c>
      <c r="T216" s="143">
        <v>3.3159999999999998</v>
      </c>
      <c r="U216" s="3" t="s">
        <v>788</v>
      </c>
      <c r="V216" s="155">
        <v>4.4000000000000003E-3</v>
      </c>
      <c r="W216" s="155">
        <v>2.3400000000000001E-2</v>
      </c>
      <c r="X216" s="5" t="s">
        <v>129</v>
      </c>
      <c r="Y216" s="5" t="s">
        <v>125</v>
      </c>
      <c r="Z216" s="143">
        <v>100833.34</v>
      </c>
      <c r="AA216" s="153">
        <v>1</v>
      </c>
      <c r="AB216" s="163">
        <v>110.69</v>
      </c>
      <c r="AD216" s="143">
        <v>111.61199999999999</v>
      </c>
      <c r="AG216" s="3" t="s">
        <v>36</v>
      </c>
      <c r="AH216" s="155">
        <v>8.8999999999999995E-5</v>
      </c>
      <c r="AI216" s="155">
        <v>1.57427394732291E-2</v>
      </c>
      <c r="AJ216" s="155">
        <v>2.2245821627554399E-3</v>
      </c>
    </row>
    <row r="217" spans="1:36">
      <c r="A217" s="3">
        <v>337</v>
      </c>
      <c r="B217" s="3">
        <v>9962</v>
      </c>
      <c r="C217" s="185" t="s">
        <v>386</v>
      </c>
      <c r="D217" s="3" t="s">
        <v>387</v>
      </c>
      <c r="E217" s="189" t="s">
        <v>118</v>
      </c>
      <c r="F217" s="185" t="s">
        <v>390</v>
      </c>
      <c r="G217" s="3" t="s">
        <v>391</v>
      </c>
      <c r="H217" s="3" t="s">
        <v>121</v>
      </c>
      <c r="I217" s="3" t="s">
        <v>122</v>
      </c>
      <c r="J217" s="3" t="s">
        <v>30</v>
      </c>
      <c r="K217" s="3" t="s">
        <v>30</v>
      </c>
      <c r="L217" s="3" t="s">
        <v>123</v>
      </c>
      <c r="M217" s="3" t="s">
        <v>31</v>
      </c>
      <c r="N217" s="3" t="s">
        <v>159</v>
      </c>
      <c r="O217" s="3" t="s">
        <v>125</v>
      </c>
      <c r="P217" s="3" t="s">
        <v>145</v>
      </c>
      <c r="Q217" s="3" t="s">
        <v>146</v>
      </c>
      <c r="R217" s="3" t="s">
        <v>128</v>
      </c>
      <c r="S217" s="3" t="s">
        <v>34</v>
      </c>
      <c r="T217" s="143">
        <v>7.5170000000000003</v>
      </c>
      <c r="U217" s="3" t="s">
        <v>392</v>
      </c>
      <c r="V217" s="155">
        <v>5.8500000000000003E-2</v>
      </c>
      <c r="W217" s="155">
        <v>4.795E-2</v>
      </c>
      <c r="X217" s="5" t="s">
        <v>129</v>
      </c>
      <c r="Y217" s="5" t="s">
        <v>125</v>
      </c>
      <c r="Z217" s="143">
        <v>74000</v>
      </c>
      <c r="AA217" s="153">
        <v>1</v>
      </c>
      <c r="AB217" s="163">
        <v>108.42</v>
      </c>
      <c r="AD217" s="143">
        <v>80.230999999999995</v>
      </c>
      <c r="AG217" s="3" t="s">
        <v>36</v>
      </c>
      <c r="AH217" s="155">
        <v>7.3999999999999996E-5</v>
      </c>
      <c r="AI217" s="155">
        <v>1.13164156492847E-2</v>
      </c>
      <c r="AJ217" s="155">
        <v>1.5991051902074999E-3</v>
      </c>
    </row>
    <row r="218" spans="1:36">
      <c r="A218" s="3">
        <v>337</v>
      </c>
      <c r="B218" s="3">
        <v>9962</v>
      </c>
      <c r="C218" s="185" t="s">
        <v>386</v>
      </c>
      <c r="D218" s="3" t="s">
        <v>387</v>
      </c>
      <c r="E218" s="189" t="s">
        <v>118</v>
      </c>
      <c r="F218" s="185" t="s">
        <v>789</v>
      </c>
      <c r="G218" s="3" t="s">
        <v>790</v>
      </c>
      <c r="H218" s="3" t="s">
        <v>121</v>
      </c>
      <c r="I218" s="3" t="s">
        <v>122</v>
      </c>
      <c r="J218" s="3" t="s">
        <v>30</v>
      </c>
      <c r="K218" s="3" t="s">
        <v>30</v>
      </c>
      <c r="L218" s="3" t="s">
        <v>123</v>
      </c>
      <c r="M218" s="3" t="s">
        <v>31</v>
      </c>
      <c r="N218" s="3" t="s">
        <v>159</v>
      </c>
      <c r="O218" s="3" t="s">
        <v>125</v>
      </c>
      <c r="P218" s="3" t="s">
        <v>145</v>
      </c>
      <c r="Q218" s="3" t="s">
        <v>146</v>
      </c>
      <c r="R218" s="3" t="s">
        <v>128</v>
      </c>
      <c r="S218" s="3" t="s">
        <v>34</v>
      </c>
      <c r="T218" s="143">
        <v>3.738</v>
      </c>
      <c r="U218" s="3" t="s">
        <v>489</v>
      </c>
      <c r="V218" s="155">
        <v>3.95E-2</v>
      </c>
      <c r="W218" s="155">
        <v>4.0759999999999998E-2</v>
      </c>
      <c r="X218" s="5" t="s">
        <v>129</v>
      </c>
      <c r="Y218" s="5" t="s">
        <v>125</v>
      </c>
      <c r="Z218" s="143">
        <v>20000</v>
      </c>
      <c r="AA218" s="153">
        <v>1</v>
      </c>
      <c r="AB218" s="163">
        <v>99.69</v>
      </c>
      <c r="AD218" s="143">
        <v>19.937999999999999</v>
      </c>
      <c r="AG218" s="3" t="s">
        <v>36</v>
      </c>
      <c r="AH218" s="155">
        <v>8.2999999999999998E-5</v>
      </c>
      <c r="AI218" s="155">
        <v>2.8122204342401901E-3</v>
      </c>
      <c r="AJ218" s="155">
        <v>3.9739051938105099E-4</v>
      </c>
    </row>
    <row r="219" spans="1:36">
      <c r="A219" s="3">
        <v>337</v>
      </c>
      <c r="B219" s="3">
        <v>9962</v>
      </c>
      <c r="C219" s="185" t="s">
        <v>393</v>
      </c>
      <c r="D219" s="3" t="s">
        <v>394</v>
      </c>
      <c r="E219" s="189" t="s">
        <v>118</v>
      </c>
      <c r="F219" s="185" t="s">
        <v>395</v>
      </c>
      <c r="G219" s="3" t="s">
        <v>396</v>
      </c>
      <c r="H219" s="3" t="s">
        <v>121</v>
      </c>
      <c r="I219" s="3" t="s">
        <v>132</v>
      </c>
      <c r="J219" s="3" t="s">
        <v>30</v>
      </c>
      <c r="K219" s="3" t="s">
        <v>30</v>
      </c>
      <c r="L219" s="3" t="s">
        <v>123</v>
      </c>
      <c r="M219" s="3" t="s">
        <v>31</v>
      </c>
      <c r="N219" s="3" t="s">
        <v>171</v>
      </c>
      <c r="O219" s="3" t="s">
        <v>125</v>
      </c>
      <c r="P219" s="3" t="s">
        <v>126</v>
      </c>
      <c r="Q219" s="3" t="s">
        <v>127</v>
      </c>
      <c r="R219" s="3" t="s">
        <v>128</v>
      </c>
      <c r="S219" s="3" t="s">
        <v>34</v>
      </c>
      <c r="T219" s="143">
        <v>4.6909999999999998</v>
      </c>
      <c r="U219" s="3" t="s">
        <v>397</v>
      </c>
      <c r="V219" s="155">
        <v>3.1800000000000002E-2</v>
      </c>
      <c r="W219" s="155">
        <v>2.7150000000000001E-2</v>
      </c>
      <c r="X219" s="5" t="s">
        <v>129</v>
      </c>
      <c r="Y219" s="5" t="s">
        <v>125</v>
      </c>
      <c r="Z219" s="143">
        <v>67000</v>
      </c>
      <c r="AA219" s="153">
        <v>1</v>
      </c>
      <c r="AB219" s="163">
        <v>104.97</v>
      </c>
      <c r="AD219" s="143">
        <v>70.33</v>
      </c>
      <c r="AG219" s="3" t="s">
        <v>36</v>
      </c>
      <c r="AH219" s="155">
        <v>2.9999999999999997E-4</v>
      </c>
      <c r="AI219" s="155">
        <v>9.9199108194437304E-3</v>
      </c>
      <c r="AJ219" s="155">
        <v>1.40176725293497E-3</v>
      </c>
    </row>
    <row r="220" spans="1:36">
      <c r="A220" s="3">
        <v>337</v>
      </c>
      <c r="B220" s="3">
        <v>9962</v>
      </c>
      <c r="C220" s="185" t="s">
        <v>791</v>
      </c>
      <c r="D220" s="3" t="s">
        <v>792</v>
      </c>
      <c r="E220" s="189" t="s">
        <v>118</v>
      </c>
      <c r="F220" s="185" t="s">
        <v>793</v>
      </c>
      <c r="G220" s="3" t="s">
        <v>794</v>
      </c>
      <c r="H220" s="3" t="s">
        <v>121</v>
      </c>
      <c r="I220" s="3" t="s">
        <v>132</v>
      </c>
      <c r="J220" s="3" t="s">
        <v>30</v>
      </c>
      <c r="K220" s="3" t="s">
        <v>30</v>
      </c>
      <c r="L220" s="3" t="s">
        <v>123</v>
      </c>
      <c r="M220" s="3" t="s">
        <v>31</v>
      </c>
      <c r="N220" s="3" t="s">
        <v>124</v>
      </c>
      <c r="O220" s="3" t="s">
        <v>125</v>
      </c>
      <c r="P220" s="3" t="s">
        <v>178</v>
      </c>
      <c r="Q220" s="3" t="s">
        <v>178</v>
      </c>
      <c r="R220" s="3" t="s">
        <v>178</v>
      </c>
      <c r="S220" s="3" t="s">
        <v>34</v>
      </c>
      <c r="T220" s="143">
        <v>0.98899999999999999</v>
      </c>
      <c r="U220" s="3" t="s">
        <v>795</v>
      </c>
      <c r="V220" s="155">
        <v>3.5000000000000003E-2</v>
      </c>
      <c r="W220" s="155">
        <v>3.9059999999999997E-2</v>
      </c>
      <c r="X220" s="5" t="s">
        <v>129</v>
      </c>
      <c r="Y220" s="5" t="s">
        <v>125</v>
      </c>
      <c r="Z220" s="143">
        <v>12000</v>
      </c>
      <c r="AA220" s="153">
        <v>1</v>
      </c>
      <c r="AB220" s="163">
        <v>111.3</v>
      </c>
      <c r="AD220" s="143">
        <v>13.356</v>
      </c>
      <c r="AG220" s="3" t="s">
        <v>36</v>
      </c>
      <c r="AH220" s="155">
        <v>1.26E-4</v>
      </c>
      <c r="AI220" s="155">
        <v>1.8838407121934001E-3</v>
      </c>
      <c r="AJ220" s="155">
        <v>2.6620261695522697E-4</v>
      </c>
    </row>
    <row r="221" spans="1:36">
      <c r="A221" s="3">
        <v>337</v>
      </c>
      <c r="B221" s="3">
        <v>9962</v>
      </c>
      <c r="C221" s="185" t="s">
        <v>791</v>
      </c>
      <c r="D221" s="3" t="s">
        <v>792</v>
      </c>
      <c r="E221" s="189" t="s">
        <v>118</v>
      </c>
      <c r="F221" s="185" t="s">
        <v>796</v>
      </c>
      <c r="G221" s="3" t="s">
        <v>797</v>
      </c>
      <c r="H221" s="3" t="s">
        <v>121</v>
      </c>
      <c r="I221" s="3" t="s">
        <v>122</v>
      </c>
      <c r="J221" s="3" t="s">
        <v>30</v>
      </c>
      <c r="K221" s="3" t="s">
        <v>30</v>
      </c>
      <c r="L221" s="3" t="s">
        <v>123</v>
      </c>
      <c r="M221" s="3" t="s">
        <v>31</v>
      </c>
      <c r="N221" s="3" t="s">
        <v>124</v>
      </c>
      <c r="O221" s="3" t="s">
        <v>125</v>
      </c>
      <c r="P221" s="3" t="s">
        <v>178</v>
      </c>
      <c r="Q221" s="3" t="s">
        <v>178</v>
      </c>
      <c r="R221" s="3" t="s">
        <v>178</v>
      </c>
      <c r="S221" s="3" t="s">
        <v>34</v>
      </c>
      <c r="T221" s="143">
        <v>1.488</v>
      </c>
      <c r="U221" s="3" t="s">
        <v>798</v>
      </c>
      <c r="V221" s="155">
        <v>6.5000000000000002E-2</v>
      </c>
      <c r="W221" s="155">
        <v>6.1620000000000001E-2</v>
      </c>
      <c r="X221" s="5" t="s">
        <v>129</v>
      </c>
      <c r="Y221" s="5" t="s">
        <v>125</v>
      </c>
      <c r="Z221" s="143">
        <v>29000</v>
      </c>
      <c r="AA221" s="153">
        <v>1</v>
      </c>
      <c r="AB221" s="163">
        <v>100.62</v>
      </c>
      <c r="AC221" s="143">
        <v>0.94299999999999995</v>
      </c>
      <c r="AD221" s="143">
        <v>30.122</v>
      </c>
      <c r="AG221" s="3" t="s">
        <v>36</v>
      </c>
      <c r="AH221" s="155">
        <v>9.8999999999999994E-5</v>
      </c>
      <c r="AI221" s="155">
        <v>4.2486983441826299E-3</v>
      </c>
      <c r="AJ221" s="155">
        <v>6.0037699076897501E-4</v>
      </c>
    </row>
    <row r="222" spans="1:36">
      <c r="A222" s="3">
        <v>337</v>
      </c>
      <c r="B222" s="3">
        <v>9962</v>
      </c>
      <c r="C222" s="185" t="s">
        <v>799</v>
      </c>
      <c r="D222" s="3" t="s">
        <v>800</v>
      </c>
      <c r="E222" s="189" t="s">
        <v>118</v>
      </c>
      <c r="F222" s="185" t="s">
        <v>801</v>
      </c>
      <c r="G222" s="3" t="s">
        <v>802</v>
      </c>
      <c r="H222" s="3" t="s">
        <v>121</v>
      </c>
      <c r="I222" s="3" t="s">
        <v>122</v>
      </c>
      <c r="J222" s="3" t="s">
        <v>30</v>
      </c>
      <c r="K222" s="3" t="s">
        <v>803</v>
      </c>
      <c r="L222" s="3" t="s">
        <v>123</v>
      </c>
      <c r="M222" s="3" t="s">
        <v>31</v>
      </c>
      <c r="N222" s="3" t="s">
        <v>124</v>
      </c>
      <c r="O222" s="3" t="s">
        <v>125</v>
      </c>
      <c r="P222" s="3" t="s">
        <v>178</v>
      </c>
      <c r="Q222" s="3" t="s">
        <v>178</v>
      </c>
      <c r="R222" s="3" t="s">
        <v>178</v>
      </c>
      <c r="S222" s="3" t="s">
        <v>34</v>
      </c>
      <c r="T222" s="143">
        <v>0.496</v>
      </c>
      <c r="U222" s="3" t="s">
        <v>804</v>
      </c>
      <c r="V222" s="155">
        <v>8.2400000000000001E-2</v>
      </c>
      <c r="W222" s="155">
        <v>8.7230000000000002E-2</v>
      </c>
      <c r="X222" s="5" t="s">
        <v>129</v>
      </c>
      <c r="Y222" s="5" t="s">
        <v>125</v>
      </c>
      <c r="Z222" s="143">
        <v>67200</v>
      </c>
      <c r="AA222" s="153">
        <v>1</v>
      </c>
      <c r="AB222" s="163">
        <v>102.14</v>
      </c>
      <c r="AC222" s="143">
        <v>2.7690000000000001</v>
      </c>
      <c r="AD222" s="143">
        <v>71.406999999999996</v>
      </c>
      <c r="AG222" s="3" t="s">
        <v>36</v>
      </c>
      <c r="AH222" s="155">
        <v>1.418E-3</v>
      </c>
      <c r="AI222" s="155">
        <v>1.00717944190023E-2</v>
      </c>
      <c r="AJ222" s="155">
        <v>1.4232296894421299E-3</v>
      </c>
    </row>
    <row r="223" spans="1:36">
      <c r="A223" s="3">
        <v>337</v>
      </c>
      <c r="B223" s="3">
        <v>9962</v>
      </c>
      <c r="C223" s="185" t="s">
        <v>398</v>
      </c>
      <c r="D223" s="3" t="s">
        <v>399</v>
      </c>
      <c r="E223" s="189" t="s">
        <v>118</v>
      </c>
      <c r="F223" s="185" t="s">
        <v>805</v>
      </c>
      <c r="G223" s="3" t="s">
        <v>806</v>
      </c>
      <c r="H223" s="3" t="s">
        <v>121</v>
      </c>
      <c r="I223" s="3" t="s">
        <v>132</v>
      </c>
      <c r="J223" s="3" t="s">
        <v>30</v>
      </c>
      <c r="K223" s="3" t="s">
        <v>30</v>
      </c>
      <c r="L223" s="3" t="s">
        <v>123</v>
      </c>
      <c r="M223" s="3" t="s">
        <v>31</v>
      </c>
      <c r="N223" s="3" t="s">
        <v>152</v>
      </c>
      <c r="O223" s="3" t="s">
        <v>125</v>
      </c>
      <c r="P223" s="3" t="s">
        <v>357</v>
      </c>
      <c r="Q223" s="3" t="s">
        <v>146</v>
      </c>
      <c r="R223" s="3" t="s">
        <v>128</v>
      </c>
      <c r="S223" s="3" t="s">
        <v>34</v>
      </c>
      <c r="T223" s="143">
        <v>0.16200000000000001</v>
      </c>
      <c r="U223" s="3" t="s">
        <v>807</v>
      </c>
      <c r="V223" s="155">
        <v>4.4999999999999998E-2</v>
      </c>
      <c r="W223" s="155">
        <v>6.4369999999999997E-2</v>
      </c>
      <c r="X223" s="5" t="s">
        <v>129</v>
      </c>
      <c r="Y223" s="5" t="s">
        <v>125</v>
      </c>
      <c r="Z223" s="143">
        <v>25000</v>
      </c>
      <c r="AA223" s="153">
        <v>1</v>
      </c>
      <c r="AB223" s="163">
        <v>121.07</v>
      </c>
      <c r="AD223" s="143">
        <v>30.266999999999999</v>
      </c>
      <c r="AG223" s="3" t="s">
        <v>36</v>
      </c>
      <c r="AH223" s="155">
        <v>1.7E-5</v>
      </c>
      <c r="AI223" s="155">
        <v>4.2691785531831202E-3</v>
      </c>
      <c r="AJ223" s="155">
        <v>6.0327101742230704E-4</v>
      </c>
    </row>
    <row r="224" spans="1:36">
      <c r="A224" s="3">
        <v>337</v>
      </c>
      <c r="B224" s="3">
        <v>9962</v>
      </c>
      <c r="C224" s="185" t="s">
        <v>398</v>
      </c>
      <c r="D224" s="3" t="s">
        <v>399</v>
      </c>
      <c r="E224" s="189" t="s">
        <v>118</v>
      </c>
      <c r="F224" s="185" t="s">
        <v>808</v>
      </c>
      <c r="G224" s="3" t="s">
        <v>809</v>
      </c>
      <c r="H224" s="3" t="s">
        <v>121</v>
      </c>
      <c r="I224" s="3" t="s">
        <v>132</v>
      </c>
      <c r="J224" s="3" t="s">
        <v>30</v>
      </c>
      <c r="K224" s="3" t="s">
        <v>30</v>
      </c>
      <c r="L224" s="3" t="s">
        <v>123</v>
      </c>
      <c r="M224" s="3" t="s">
        <v>31</v>
      </c>
      <c r="N224" s="3" t="s">
        <v>152</v>
      </c>
      <c r="O224" s="3" t="s">
        <v>125</v>
      </c>
      <c r="P224" s="3" t="s">
        <v>357</v>
      </c>
      <c r="Q224" s="3" t="s">
        <v>146</v>
      </c>
      <c r="R224" s="3" t="s">
        <v>128</v>
      </c>
      <c r="S224" s="3" t="s">
        <v>34</v>
      </c>
      <c r="T224" s="143">
        <v>4.681</v>
      </c>
      <c r="U224" s="3" t="s">
        <v>810</v>
      </c>
      <c r="V224" s="155">
        <v>2.3900000000000001E-2</v>
      </c>
      <c r="W224" s="155">
        <v>2.3050000000000001E-2</v>
      </c>
      <c r="X224" s="5" t="s">
        <v>129</v>
      </c>
      <c r="Y224" s="5" t="s">
        <v>125</v>
      </c>
      <c r="Z224" s="143">
        <v>55000</v>
      </c>
      <c r="AA224" s="153">
        <v>1</v>
      </c>
      <c r="AB224" s="163">
        <v>118.92</v>
      </c>
      <c r="AD224" s="143">
        <v>65.406000000000006</v>
      </c>
      <c r="AG224" s="3" t="s">
        <v>36</v>
      </c>
      <c r="AH224" s="155">
        <v>1.4E-5</v>
      </c>
      <c r="AI224" s="155">
        <v>9.2254032361276904E-3</v>
      </c>
      <c r="AJ224" s="155">
        <v>1.3036274606598999E-3</v>
      </c>
    </row>
    <row r="225" spans="1:36">
      <c r="A225" s="3">
        <v>337</v>
      </c>
      <c r="B225" s="3">
        <v>9962</v>
      </c>
      <c r="C225" s="185" t="s">
        <v>398</v>
      </c>
      <c r="D225" s="3" t="s">
        <v>399</v>
      </c>
      <c r="E225" s="189" t="s">
        <v>118</v>
      </c>
      <c r="F225" s="185" t="s">
        <v>400</v>
      </c>
      <c r="G225" s="3" t="s">
        <v>401</v>
      </c>
      <c r="H225" s="3" t="s">
        <v>121</v>
      </c>
      <c r="I225" s="3" t="s">
        <v>132</v>
      </c>
      <c r="J225" s="3" t="s">
        <v>30</v>
      </c>
      <c r="K225" s="3" t="s">
        <v>30</v>
      </c>
      <c r="L225" s="3" t="s">
        <v>123</v>
      </c>
      <c r="M225" s="3" t="s">
        <v>31</v>
      </c>
      <c r="N225" s="3" t="s">
        <v>152</v>
      </c>
      <c r="O225" s="3" t="s">
        <v>125</v>
      </c>
      <c r="P225" s="3" t="s">
        <v>357</v>
      </c>
      <c r="Q225" s="3" t="s">
        <v>146</v>
      </c>
      <c r="R225" s="3" t="s">
        <v>128</v>
      </c>
      <c r="S225" s="3" t="s">
        <v>34</v>
      </c>
      <c r="T225" s="143">
        <v>9.7279999999999998</v>
      </c>
      <c r="U225" s="3" t="s">
        <v>402</v>
      </c>
      <c r="V225" s="155">
        <v>3.2000000000000001E-2</v>
      </c>
      <c r="W225" s="155">
        <v>2.572E-2</v>
      </c>
      <c r="X225" s="5" t="s">
        <v>129</v>
      </c>
      <c r="Y225" s="5" t="s">
        <v>125</v>
      </c>
      <c r="Z225" s="143">
        <v>85000</v>
      </c>
      <c r="AA225" s="153">
        <v>1</v>
      </c>
      <c r="AB225" s="163">
        <v>113.96</v>
      </c>
      <c r="AD225" s="143">
        <v>96.866</v>
      </c>
      <c r="AG225" s="3" t="s">
        <v>36</v>
      </c>
      <c r="AH225" s="155">
        <v>1.7E-5</v>
      </c>
      <c r="AI225" s="155">
        <v>1.36627818528995E-2</v>
      </c>
      <c r="AJ225" s="155">
        <v>1.9306665688817799E-3</v>
      </c>
    </row>
    <row r="226" spans="1:36">
      <c r="A226" s="3">
        <v>337</v>
      </c>
      <c r="B226" s="3">
        <v>9962</v>
      </c>
      <c r="C226" s="185" t="s">
        <v>398</v>
      </c>
      <c r="D226" s="3" t="s">
        <v>399</v>
      </c>
      <c r="E226" s="189" t="s">
        <v>118</v>
      </c>
      <c r="F226" s="185" t="s">
        <v>403</v>
      </c>
      <c r="G226" s="3" t="s">
        <v>404</v>
      </c>
      <c r="H226" s="3" t="s">
        <v>121</v>
      </c>
      <c r="I226" s="3" t="s">
        <v>132</v>
      </c>
      <c r="J226" s="3" t="s">
        <v>30</v>
      </c>
      <c r="K226" s="3" t="s">
        <v>30</v>
      </c>
      <c r="L226" s="3" t="s">
        <v>123</v>
      </c>
      <c r="M226" s="3" t="s">
        <v>31</v>
      </c>
      <c r="N226" s="3" t="s">
        <v>152</v>
      </c>
      <c r="O226" s="3" t="s">
        <v>125</v>
      </c>
      <c r="P226" s="3" t="s">
        <v>357</v>
      </c>
      <c r="Q226" s="3" t="s">
        <v>146</v>
      </c>
      <c r="R226" s="3" t="s">
        <v>128</v>
      </c>
      <c r="S226" s="3" t="s">
        <v>34</v>
      </c>
      <c r="T226" s="143">
        <v>7.452</v>
      </c>
      <c r="U226" s="3" t="s">
        <v>405</v>
      </c>
      <c r="V226" s="155">
        <v>2.9899999999999999E-2</v>
      </c>
      <c r="W226" s="155">
        <v>2.4979999999999999E-2</v>
      </c>
      <c r="X226" s="5" t="s">
        <v>129</v>
      </c>
      <c r="Y226" s="5" t="s">
        <v>125</v>
      </c>
      <c r="Z226" s="143">
        <v>10000</v>
      </c>
      <c r="AA226" s="153">
        <v>1</v>
      </c>
      <c r="AB226" s="163">
        <v>105.86</v>
      </c>
      <c r="AD226" s="143">
        <v>10.586</v>
      </c>
      <c r="AG226" s="3" t="s">
        <v>36</v>
      </c>
      <c r="AH226" s="155">
        <v>2.5999999999999998E-5</v>
      </c>
      <c r="AI226" s="155">
        <v>1.49313700054502E-3</v>
      </c>
      <c r="AJ226" s="155">
        <v>2.1099287983588101E-4</v>
      </c>
    </row>
    <row r="227" spans="1:36">
      <c r="A227" s="3">
        <v>337</v>
      </c>
      <c r="B227" s="3">
        <v>9962</v>
      </c>
      <c r="C227" s="185" t="s">
        <v>406</v>
      </c>
      <c r="D227" s="3" t="s">
        <v>407</v>
      </c>
      <c r="E227" s="189" t="s">
        <v>269</v>
      </c>
      <c r="F227" s="185" t="s">
        <v>408</v>
      </c>
      <c r="G227" s="3" t="s">
        <v>409</v>
      </c>
      <c r="H227" s="3" t="s">
        <v>121</v>
      </c>
      <c r="I227" s="3" t="s">
        <v>410</v>
      </c>
      <c r="J227" s="3" t="s">
        <v>30</v>
      </c>
      <c r="K227" s="3" t="s">
        <v>80</v>
      </c>
      <c r="L227" s="3" t="s">
        <v>123</v>
      </c>
      <c r="M227" s="3" t="s">
        <v>31</v>
      </c>
      <c r="N227" s="3" t="s">
        <v>139</v>
      </c>
      <c r="O227" s="3" t="s">
        <v>125</v>
      </c>
      <c r="P227" s="3" t="s">
        <v>145</v>
      </c>
      <c r="Q227" s="3" t="s">
        <v>146</v>
      </c>
      <c r="R227" s="3" t="s">
        <v>128</v>
      </c>
      <c r="S227" s="3" t="s">
        <v>84</v>
      </c>
      <c r="T227" s="143">
        <v>1.1240000000000001</v>
      </c>
      <c r="U227" s="3" t="s">
        <v>411</v>
      </c>
      <c r="V227" s="155">
        <v>4.7199999999999999E-2</v>
      </c>
      <c r="W227" s="155">
        <v>6.4030000000000004E-2</v>
      </c>
      <c r="X227" s="5" t="s">
        <v>129</v>
      </c>
      <c r="Y227" s="5" t="s">
        <v>125</v>
      </c>
      <c r="Z227" s="143">
        <v>29000</v>
      </c>
      <c r="AA227" s="153">
        <v>3.19</v>
      </c>
      <c r="AB227" s="163">
        <v>31.187999999999999</v>
      </c>
      <c r="AD227" s="143">
        <v>28.852</v>
      </c>
      <c r="AG227" s="3" t="s">
        <v>36</v>
      </c>
      <c r="AH227" s="155">
        <v>8.7999999999999998E-5</v>
      </c>
      <c r="AI227" s="155">
        <v>4.0695388299097903E-3</v>
      </c>
      <c r="AJ227" s="155">
        <v>5.7506023694623397E-4</v>
      </c>
    </row>
    <row r="228" spans="1:36">
      <c r="A228" s="3">
        <v>337</v>
      </c>
      <c r="B228" s="3">
        <v>9962</v>
      </c>
      <c r="C228" s="185" t="s">
        <v>412</v>
      </c>
      <c r="D228" s="3" t="s">
        <v>413</v>
      </c>
      <c r="E228" s="189" t="s">
        <v>118</v>
      </c>
      <c r="F228" s="185" t="s">
        <v>414</v>
      </c>
      <c r="G228" s="3" t="s">
        <v>415</v>
      </c>
      <c r="H228" s="3" t="s">
        <v>121</v>
      </c>
      <c r="I228" s="3" t="s">
        <v>122</v>
      </c>
      <c r="J228" s="3" t="s">
        <v>30</v>
      </c>
      <c r="K228" s="3" t="s">
        <v>30</v>
      </c>
      <c r="L228" s="3" t="s">
        <v>123</v>
      </c>
      <c r="M228" s="3" t="s">
        <v>31</v>
      </c>
      <c r="N228" s="3" t="s">
        <v>124</v>
      </c>
      <c r="O228" s="3" t="s">
        <v>125</v>
      </c>
      <c r="P228" s="3" t="s">
        <v>178</v>
      </c>
      <c r="Q228" s="3" t="s">
        <v>178</v>
      </c>
      <c r="R228" s="3" t="s">
        <v>178</v>
      </c>
      <c r="S228" s="3" t="s">
        <v>34</v>
      </c>
      <c r="T228" s="143">
        <v>0.50700000000000001</v>
      </c>
      <c r="U228" s="3" t="s">
        <v>416</v>
      </c>
      <c r="V228" s="155">
        <v>5.6000000000000001E-2</v>
      </c>
      <c r="W228" s="155">
        <v>6.7129999999999995E-2</v>
      </c>
      <c r="X228" s="5" t="s">
        <v>129</v>
      </c>
      <c r="Y228" s="5" t="s">
        <v>125</v>
      </c>
      <c r="Z228" s="143">
        <v>23200</v>
      </c>
      <c r="AA228" s="153">
        <v>1</v>
      </c>
      <c r="AB228" s="163">
        <v>99.47</v>
      </c>
      <c r="AC228" s="143">
        <v>0.65</v>
      </c>
      <c r="AD228" s="143">
        <v>23.727</v>
      </c>
      <c r="AG228" s="3" t="s">
        <v>36</v>
      </c>
      <c r="AH228" s="155">
        <v>1.7100000000000001E-4</v>
      </c>
      <c r="AI228" s="155">
        <v>3.3466015570197899E-3</v>
      </c>
      <c r="AJ228" s="155">
        <v>4.72903089214927E-4</v>
      </c>
    </row>
    <row r="229" spans="1:36">
      <c r="A229" s="3">
        <v>337</v>
      </c>
      <c r="B229" s="3">
        <v>9962</v>
      </c>
      <c r="C229" s="185" t="s">
        <v>424</v>
      </c>
      <c r="D229" s="3" t="s">
        <v>425</v>
      </c>
      <c r="E229" s="189" t="s">
        <v>118</v>
      </c>
      <c r="F229" s="185" t="s">
        <v>426</v>
      </c>
      <c r="G229" s="3" t="s">
        <v>427</v>
      </c>
      <c r="H229" s="3" t="s">
        <v>121</v>
      </c>
      <c r="I229" s="3" t="s">
        <v>132</v>
      </c>
      <c r="J229" s="3" t="s">
        <v>30</v>
      </c>
      <c r="K229" s="3" t="s">
        <v>30</v>
      </c>
      <c r="L229" s="3" t="s">
        <v>123</v>
      </c>
      <c r="M229" s="3" t="s">
        <v>31</v>
      </c>
      <c r="N229" s="3" t="s">
        <v>316</v>
      </c>
      <c r="O229" s="3" t="s">
        <v>125</v>
      </c>
      <c r="P229" s="3" t="s">
        <v>145</v>
      </c>
      <c r="Q229" s="3" t="s">
        <v>146</v>
      </c>
      <c r="R229" s="3" t="s">
        <v>128</v>
      </c>
      <c r="S229" s="3" t="s">
        <v>34</v>
      </c>
      <c r="T229" s="143">
        <v>3.3780000000000001</v>
      </c>
      <c r="U229" s="3" t="s">
        <v>428</v>
      </c>
      <c r="V229" s="155">
        <v>2.5899999999999999E-2</v>
      </c>
      <c r="W229" s="155">
        <v>2.3769999999999999E-2</v>
      </c>
      <c r="X229" s="5" t="s">
        <v>129</v>
      </c>
      <c r="Y229" s="5" t="s">
        <v>125</v>
      </c>
      <c r="Z229" s="143">
        <v>25000</v>
      </c>
      <c r="AA229" s="153">
        <v>1</v>
      </c>
      <c r="AB229" s="163">
        <v>108.83</v>
      </c>
      <c r="AD229" s="143">
        <v>27.207000000000001</v>
      </c>
      <c r="AG229" s="3" t="s">
        <v>36</v>
      </c>
      <c r="AH229" s="155">
        <v>3.6999999999999998E-5</v>
      </c>
      <c r="AI229" s="155">
        <v>3.8375708428423101E-3</v>
      </c>
      <c r="AJ229" s="155">
        <v>5.4228119952151404E-4</v>
      </c>
    </row>
    <row r="230" spans="1:36">
      <c r="A230" s="3">
        <v>337</v>
      </c>
      <c r="B230" s="3">
        <v>9962</v>
      </c>
      <c r="C230" s="185" t="s">
        <v>429</v>
      </c>
      <c r="D230" s="3" t="s">
        <v>430</v>
      </c>
      <c r="E230" s="189" t="s">
        <v>118</v>
      </c>
      <c r="F230" s="185" t="s">
        <v>431</v>
      </c>
      <c r="G230" s="3" t="s">
        <v>432</v>
      </c>
      <c r="H230" s="3" t="s">
        <v>121</v>
      </c>
      <c r="I230" s="3" t="s">
        <v>132</v>
      </c>
      <c r="J230" s="3" t="s">
        <v>30</v>
      </c>
      <c r="K230" s="3" t="s">
        <v>30</v>
      </c>
      <c r="L230" s="3" t="s">
        <v>123</v>
      </c>
      <c r="M230" s="3" t="s">
        <v>31</v>
      </c>
      <c r="N230" s="3" t="s">
        <v>171</v>
      </c>
      <c r="O230" s="3" t="s">
        <v>125</v>
      </c>
      <c r="P230" s="3" t="s">
        <v>178</v>
      </c>
      <c r="Q230" s="3" t="s">
        <v>178</v>
      </c>
      <c r="R230" s="3" t="s">
        <v>178</v>
      </c>
      <c r="S230" s="3" t="s">
        <v>34</v>
      </c>
      <c r="T230" s="143">
        <v>1.9019999999999999</v>
      </c>
      <c r="U230" s="3" t="s">
        <v>385</v>
      </c>
      <c r="V230" s="155">
        <v>4.4999999999999998E-2</v>
      </c>
      <c r="W230" s="155">
        <v>3.2640000000000002E-2</v>
      </c>
      <c r="X230" s="5" t="s">
        <v>129</v>
      </c>
      <c r="Y230" s="5" t="s">
        <v>125</v>
      </c>
      <c r="Z230" s="143">
        <v>42000</v>
      </c>
      <c r="AA230" s="153">
        <v>1</v>
      </c>
      <c r="AB230" s="163">
        <v>108.81</v>
      </c>
      <c r="AD230" s="143">
        <v>45.7</v>
      </c>
      <c r="AG230" s="3" t="s">
        <v>36</v>
      </c>
      <c r="AH230" s="155">
        <v>4.3000000000000002E-5</v>
      </c>
      <c r="AI230" s="155">
        <v>6.4459342104957098E-3</v>
      </c>
      <c r="AJ230" s="155">
        <v>9.1086499216661205E-4</v>
      </c>
    </row>
    <row r="231" spans="1:36">
      <c r="A231" s="3">
        <v>337</v>
      </c>
      <c r="B231" s="3">
        <v>9962</v>
      </c>
      <c r="C231" s="185" t="s">
        <v>433</v>
      </c>
      <c r="D231" s="3" t="s">
        <v>434</v>
      </c>
      <c r="E231" s="189" t="s">
        <v>118</v>
      </c>
      <c r="F231" s="185" t="s">
        <v>435</v>
      </c>
      <c r="G231" s="3" t="s">
        <v>436</v>
      </c>
      <c r="H231" s="3" t="s">
        <v>121</v>
      </c>
      <c r="I231" s="3" t="s">
        <v>122</v>
      </c>
      <c r="J231" s="3" t="s">
        <v>30</v>
      </c>
      <c r="K231" s="3" t="s">
        <v>30</v>
      </c>
      <c r="L231" s="3" t="s">
        <v>123</v>
      </c>
      <c r="M231" s="3" t="s">
        <v>31</v>
      </c>
      <c r="N231" s="3" t="s">
        <v>124</v>
      </c>
      <c r="O231" s="3" t="s">
        <v>125</v>
      </c>
      <c r="P231" s="3" t="s">
        <v>260</v>
      </c>
      <c r="Q231" s="3" t="s">
        <v>146</v>
      </c>
      <c r="R231" s="3" t="s">
        <v>128</v>
      </c>
      <c r="S231" s="3" t="s">
        <v>34</v>
      </c>
      <c r="T231" s="143">
        <v>0.97599999999999998</v>
      </c>
      <c r="U231" s="3" t="s">
        <v>244</v>
      </c>
      <c r="V231" s="155">
        <v>3.95E-2</v>
      </c>
      <c r="W231" s="155">
        <v>5.0709999999999998E-2</v>
      </c>
      <c r="X231" s="5" t="s">
        <v>129</v>
      </c>
      <c r="Y231" s="5" t="s">
        <v>125</v>
      </c>
      <c r="Z231" s="143">
        <v>27300</v>
      </c>
      <c r="AA231" s="153">
        <v>1</v>
      </c>
      <c r="AB231" s="163">
        <v>99.02</v>
      </c>
      <c r="AD231" s="143">
        <v>27.032</v>
      </c>
      <c r="AG231" s="3" t="s">
        <v>36</v>
      </c>
      <c r="AH231" s="155">
        <v>4.6999999999999997E-5</v>
      </c>
      <c r="AI231" s="155">
        <v>3.8128817534246401E-3</v>
      </c>
      <c r="AJ231" s="155">
        <v>5.3879242248708401E-4</v>
      </c>
    </row>
    <row r="232" spans="1:36">
      <c r="A232" s="3">
        <v>337</v>
      </c>
      <c r="B232" s="3">
        <v>9962</v>
      </c>
      <c r="C232" s="185" t="s">
        <v>443</v>
      </c>
      <c r="D232" s="3" t="s">
        <v>444</v>
      </c>
      <c r="E232" s="189" t="s">
        <v>118</v>
      </c>
      <c r="F232" s="185" t="s">
        <v>445</v>
      </c>
      <c r="G232" s="3" t="s">
        <v>446</v>
      </c>
      <c r="H232" s="3" t="s">
        <v>121</v>
      </c>
      <c r="I232" s="3" t="s">
        <v>132</v>
      </c>
      <c r="J232" s="3" t="s">
        <v>30</v>
      </c>
      <c r="K232" s="3" t="s">
        <v>30</v>
      </c>
      <c r="L232" s="3" t="s">
        <v>123</v>
      </c>
      <c r="M232" s="3" t="s">
        <v>31</v>
      </c>
      <c r="N232" s="3" t="s">
        <v>171</v>
      </c>
      <c r="O232" s="3" t="s">
        <v>125</v>
      </c>
      <c r="P232" s="3" t="s">
        <v>165</v>
      </c>
      <c r="Q232" s="3" t="s">
        <v>146</v>
      </c>
      <c r="R232" s="3" t="s">
        <v>128</v>
      </c>
      <c r="S232" s="3" t="s">
        <v>34</v>
      </c>
      <c r="T232" s="143">
        <v>1.2669999999999999</v>
      </c>
      <c r="U232" s="3" t="s">
        <v>447</v>
      </c>
      <c r="V232" s="155">
        <v>1.5800000000000002E-2</v>
      </c>
      <c r="W232" s="155">
        <v>2.6530000000000001E-2</v>
      </c>
      <c r="X232" s="5" t="s">
        <v>129</v>
      </c>
      <c r="Y232" s="5" t="s">
        <v>125</v>
      </c>
      <c r="Z232" s="143">
        <v>14680.29</v>
      </c>
      <c r="AA232" s="153">
        <v>1</v>
      </c>
      <c r="AB232" s="163">
        <v>117.8</v>
      </c>
      <c r="AD232" s="143">
        <v>17.292999999999999</v>
      </c>
      <c r="AG232" s="3" t="s">
        <v>36</v>
      </c>
      <c r="AH232" s="155">
        <v>3.6999999999999998E-5</v>
      </c>
      <c r="AI232" s="155">
        <v>2.4392015833522799E-3</v>
      </c>
      <c r="AJ232" s="155">
        <v>3.4467980257932198E-4</v>
      </c>
    </row>
    <row r="233" spans="1:36">
      <c r="A233" s="3">
        <v>337</v>
      </c>
      <c r="B233" s="3">
        <v>9962</v>
      </c>
      <c r="C233" s="185" t="s">
        <v>443</v>
      </c>
      <c r="D233" s="3" t="s">
        <v>444</v>
      </c>
      <c r="E233" s="189" t="s">
        <v>118</v>
      </c>
      <c r="F233" s="185" t="s">
        <v>451</v>
      </c>
      <c r="G233" s="3" t="s">
        <v>452</v>
      </c>
      <c r="H233" s="3" t="s">
        <v>121</v>
      </c>
      <c r="I233" s="3" t="s">
        <v>132</v>
      </c>
      <c r="J233" s="3" t="s">
        <v>30</v>
      </c>
      <c r="K233" s="3" t="s">
        <v>30</v>
      </c>
      <c r="L233" s="3" t="s">
        <v>123</v>
      </c>
      <c r="M233" s="3" t="s">
        <v>31</v>
      </c>
      <c r="N233" s="3" t="s">
        <v>171</v>
      </c>
      <c r="O233" s="3" t="s">
        <v>125</v>
      </c>
      <c r="P233" s="3" t="s">
        <v>165</v>
      </c>
      <c r="Q233" s="3" t="s">
        <v>146</v>
      </c>
      <c r="R233" s="3" t="s">
        <v>128</v>
      </c>
      <c r="S233" s="3" t="s">
        <v>34</v>
      </c>
      <c r="T233" s="143">
        <v>3.9</v>
      </c>
      <c r="U233" s="3" t="s">
        <v>453</v>
      </c>
      <c r="V233" s="155">
        <v>8.3999999999999995E-3</v>
      </c>
      <c r="W233" s="155">
        <v>2.4899999999999999E-2</v>
      </c>
      <c r="X233" s="5" t="s">
        <v>129</v>
      </c>
      <c r="Y233" s="5" t="s">
        <v>125</v>
      </c>
      <c r="Z233" s="143">
        <v>45054.95</v>
      </c>
      <c r="AA233" s="153">
        <v>1</v>
      </c>
      <c r="AB233" s="163">
        <v>110.04</v>
      </c>
      <c r="AD233" s="143">
        <v>49.578000000000003</v>
      </c>
      <c r="AG233" s="3" t="s">
        <v>36</v>
      </c>
      <c r="AH233" s="155">
        <v>6.0999999999999999E-5</v>
      </c>
      <c r="AI233" s="155">
        <v>6.99295706387092E-3</v>
      </c>
      <c r="AJ233" s="155">
        <v>9.8816394539565002E-4</v>
      </c>
    </row>
    <row r="234" spans="1:36">
      <c r="A234" s="3">
        <v>337</v>
      </c>
      <c r="B234" s="3">
        <v>9962</v>
      </c>
      <c r="C234" s="185" t="s">
        <v>811</v>
      </c>
      <c r="D234" s="3" t="s">
        <v>812</v>
      </c>
      <c r="E234" s="189" t="s">
        <v>118</v>
      </c>
      <c r="F234" s="185" t="s">
        <v>813</v>
      </c>
      <c r="G234" s="3" t="s">
        <v>814</v>
      </c>
      <c r="H234" s="3" t="s">
        <v>121</v>
      </c>
      <c r="I234" s="3" t="s">
        <v>122</v>
      </c>
      <c r="J234" s="3" t="s">
        <v>30</v>
      </c>
      <c r="K234" s="3" t="s">
        <v>30</v>
      </c>
      <c r="L234" s="3" t="s">
        <v>123</v>
      </c>
      <c r="M234" s="3" t="s">
        <v>31</v>
      </c>
      <c r="N234" s="3" t="s">
        <v>159</v>
      </c>
      <c r="O234" s="3" t="s">
        <v>125</v>
      </c>
      <c r="P234" s="3" t="s">
        <v>145</v>
      </c>
      <c r="Q234" s="3" t="s">
        <v>146</v>
      </c>
      <c r="R234" s="3" t="s">
        <v>128</v>
      </c>
      <c r="S234" s="3" t="s">
        <v>34</v>
      </c>
      <c r="T234" s="143">
        <v>2.0270000000000001</v>
      </c>
      <c r="U234" s="3" t="s">
        <v>815</v>
      </c>
      <c r="V234" s="155">
        <v>4.7E-2</v>
      </c>
      <c r="W234" s="155">
        <v>4.1759999999999999E-2</v>
      </c>
      <c r="X234" s="5" t="s">
        <v>129</v>
      </c>
      <c r="Y234" s="5" t="s">
        <v>125</v>
      </c>
      <c r="Z234" s="143">
        <v>30536.09</v>
      </c>
      <c r="AA234" s="153">
        <v>1</v>
      </c>
      <c r="AB234" s="163">
        <v>105</v>
      </c>
      <c r="AD234" s="143">
        <v>32.063000000000002</v>
      </c>
      <c r="AG234" s="3" t="s">
        <v>36</v>
      </c>
      <c r="AH234" s="155">
        <v>5.5999999999999999E-5</v>
      </c>
      <c r="AI234" s="155">
        <v>4.5224158438051699E-3</v>
      </c>
      <c r="AJ234" s="155">
        <v>6.3905558723115804E-4</v>
      </c>
    </row>
    <row r="235" spans="1:36">
      <c r="A235" s="3">
        <v>337</v>
      </c>
      <c r="B235" s="3">
        <v>9962</v>
      </c>
      <c r="C235" s="185" t="s">
        <v>811</v>
      </c>
      <c r="D235" s="3" t="s">
        <v>812</v>
      </c>
      <c r="E235" s="189" t="s">
        <v>118</v>
      </c>
      <c r="F235" s="185" t="s">
        <v>816</v>
      </c>
      <c r="G235" s="3" t="s">
        <v>817</v>
      </c>
      <c r="H235" s="3" t="s">
        <v>121</v>
      </c>
      <c r="I235" s="3" t="s">
        <v>122</v>
      </c>
      <c r="J235" s="3" t="s">
        <v>30</v>
      </c>
      <c r="K235" s="3" t="s">
        <v>30</v>
      </c>
      <c r="L235" s="3" t="s">
        <v>123</v>
      </c>
      <c r="M235" s="3" t="s">
        <v>31</v>
      </c>
      <c r="N235" s="3" t="s">
        <v>159</v>
      </c>
      <c r="O235" s="3" t="s">
        <v>125</v>
      </c>
      <c r="P235" s="3" t="s">
        <v>145</v>
      </c>
      <c r="Q235" s="3" t="s">
        <v>146</v>
      </c>
      <c r="R235" s="3" t="s">
        <v>128</v>
      </c>
      <c r="S235" s="3" t="s">
        <v>34</v>
      </c>
      <c r="T235" s="143">
        <v>4.3109999999999999</v>
      </c>
      <c r="U235" s="3" t="s">
        <v>818</v>
      </c>
      <c r="V235" s="155">
        <v>5.2499999999999998E-2</v>
      </c>
      <c r="W235" s="155">
        <v>4.2909999999999997E-2</v>
      </c>
      <c r="X235" s="5" t="s">
        <v>129</v>
      </c>
      <c r="Y235" s="5" t="s">
        <v>125</v>
      </c>
      <c r="Z235" s="143">
        <v>46000</v>
      </c>
      <c r="AA235" s="153">
        <v>1</v>
      </c>
      <c r="AB235" s="163">
        <v>105.2</v>
      </c>
      <c r="AD235" s="143">
        <v>48.392000000000003</v>
      </c>
      <c r="AG235" s="3" t="s">
        <v>36</v>
      </c>
      <c r="AH235" s="155">
        <v>5.3999999999999998E-5</v>
      </c>
      <c r="AI235" s="155">
        <v>6.8256079473242703E-3</v>
      </c>
      <c r="AJ235" s="155">
        <v>9.6451610060626996E-4</v>
      </c>
    </row>
    <row r="236" spans="1:36">
      <c r="A236" s="3">
        <v>337</v>
      </c>
      <c r="B236" s="3">
        <v>9962</v>
      </c>
      <c r="C236" s="185" t="s">
        <v>454</v>
      </c>
      <c r="D236" s="3" t="s">
        <v>455</v>
      </c>
      <c r="E236" s="189" t="s">
        <v>118</v>
      </c>
      <c r="F236" s="185" t="s">
        <v>456</v>
      </c>
      <c r="G236" s="3" t="s">
        <v>457</v>
      </c>
      <c r="H236" s="3" t="s">
        <v>121</v>
      </c>
      <c r="I236" s="3" t="s">
        <v>122</v>
      </c>
      <c r="J236" s="3" t="s">
        <v>30</v>
      </c>
      <c r="K236" s="3" t="s">
        <v>30</v>
      </c>
      <c r="L236" s="3" t="s">
        <v>123</v>
      </c>
      <c r="M236" s="3" t="s">
        <v>31</v>
      </c>
      <c r="N236" s="3" t="s">
        <v>159</v>
      </c>
      <c r="O236" s="3" t="s">
        <v>125</v>
      </c>
      <c r="P236" s="3" t="s">
        <v>145</v>
      </c>
      <c r="Q236" s="3" t="s">
        <v>146</v>
      </c>
      <c r="R236" s="3" t="s">
        <v>128</v>
      </c>
      <c r="S236" s="3" t="s">
        <v>34</v>
      </c>
      <c r="T236" s="143">
        <v>8.2469999999999999</v>
      </c>
      <c r="U236" s="3" t="s">
        <v>458</v>
      </c>
      <c r="V236" s="155">
        <v>5.5100000000000003E-2</v>
      </c>
      <c r="W236" s="155">
        <v>4.7230000000000001E-2</v>
      </c>
      <c r="X236" s="5" t="s">
        <v>129</v>
      </c>
      <c r="Y236" s="5" t="s">
        <v>125</v>
      </c>
      <c r="Z236" s="143">
        <v>74000</v>
      </c>
      <c r="AA236" s="153">
        <v>1</v>
      </c>
      <c r="AB236" s="163">
        <v>108.41</v>
      </c>
      <c r="AD236" s="143">
        <v>80.222999999999999</v>
      </c>
      <c r="AG236" s="3" t="s">
        <v>36</v>
      </c>
      <c r="AH236" s="155">
        <v>1.4799999999999999E-4</v>
      </c>
      <c r="AI236" s="155">
        <v>1.13153718920767E-2</v>
      </c>
      <c r="AJ236" s="155">
        <v>1.5989576984910101E-3</v>
      </c>
    </row>
    <row r="237" spans="1:36">
      <c r="A237" s="3">
        <v>337</v>
      </c>
      <c r="B237" s="3">
        <v>9962</v>
      </c>
      <c r="C237" s="185" t="s">
        <v>454</v>
      </c>
      <c r="D237" s="3" t="s">
        <v>455</v>
      </c>
      <c r="E237" s="189" t="s">
        <v>118</v>
      </c>
      <c r="F237" s="185" t="s">
        <v>819</v>
      </c>
      <c r="G237" s="3" t="s">
        <v>820</v>
      </c>
      <c r="H237" s="3" t="s">
        <v>121</v>
      </c>
      <c r="I237" s="3" t="s">
        <v>122</v>
      </c>
      <c r="J237" s="3" t="s">
        <v>30</v>
      </c>
      <c r="K237" s="3" t="s">
        <v>30</v>
      </c>
      <c r="L237" s="3" t="s">
        <v>123</v>
      </c>
      <c r="M237" s="3" t="s">
        <v>31</v>
      </c>
      <c r="N237" s="3" t="s">
        <v>159</v>
      </c>
      <c r="O237" s="3" t="s">
        <v>125</v>
      </c>
      <c r="P237" s="3" t="s">
        <v>145</v>
      </c>
      <c r="Q237" s="3" t="s">
        <v>146</v>
      </c>
      <c r="R237" s="3" t="s">
        <v>128</v>
      </c>
      <c r="S237" s="3" t="s">
        <v>34</v>
      </c>
      <c r="T237" s="143">
        <v>5.758</v>
      </c>
      <c r="U237" s="3" t="s">
        <v>512</v>
      </c>
      <c r="V237" s="155">
        <v>2.5000000000000001E-2</v>
      </c>
      <c r="W237" s="155">
        <v>4.3029999999999999E-2</v>
      </c>
      <c r="X237" s="5" t="s">
        <v>129</v>
      </c>
      <c r="Y237" s="5" t="s">
        <v>125</v>
      </c>
      <c r="Z237" s="143">
        <v>80000</v>
      </c>
      <c r="AA237" s="153">
        <v>1</v>
      </c>
      <c r="AB237" s="163">
        <v>91.07</v>
      </c>
      <c r="AD237" s="143">
        <v>72.855999999999995</v>
      </c>
      <c r="AG237" s="3" t="s">
        <v>36</v>
      </c>
      <c r="AH237" s="155">
        <v>6.0000000000000002E-5</v>
      </c>
      <c r="AI237" s="155">
        <v>1.02762128577091E-2</v>
      </c>
      <c r="AJ237" s="155">
        <v>1.4521157428039799E-3</v>
      </c>
    </row>
    <row r="238" spans="1:36">
      <c r="A238" s="3">
        <v>337</v>
      </c>
      <c r="B238" s="3">
        <v>9962</v>
      </c>
      <c r="C238" s="185" t="s">
        <v>459</v>
      </c>
      <c r="D238" s="3" t="s">
        <v>460</v>
      </c>
      <c r="E238" s="189" t="s">
        <v>118</v>
      </c>
      <c r="F238" s="185" t="s">
        <v>461</v>
      </c>
      <c r="G238" s="3" t="s">
        <v>462</v>
      </c>
      <c r="H238" s="3" t="s">
        <v>121</v>
      </c>
      <c r="I238" s="3" t="s">
        <v>132</v>
      </c>
      <c r="J238" s="3" t="s">
        <v>30</v>
      </c>
      <c r="K238" s="3" t="s">
        <v>30</v>
      </c>
      <c r="L238" s="3" t="s">
        <v>123</v>
      </c>
      <c r="M238" s="3" t="s">
        <v>31</v>
      </c>
      <c r="N238" s="3" t="s">
        <v>316</v>
      </c>
      <c r="O238" s="3" t="s">
        <v>125</v>
      </c>
      <c r="P238" s="3" t="s">
        <v>357</v>
      </c>
      <c r="Q238" s="3" t="s">
        <v>146</v>
      </c>
      <c r="R238" s="3" t="s">
        <v>128</v>
      </c>
      <c r="S238" s="3" t="s">
        <v>34</v>
      </c>
      <c r="T238" s="143">
        <v>1.8580000000000001</v>
      </c>
      <c r="U238" s="3" t="s">
        <v>52</v>
      </c>
      <c r="V238" s="155">
        <v>1.8599999999999998E-2</v>
      </c>
      <c r="W238" s="155">
        <v>2.3609999999999999E-2</v>
      </c>
      <c r="X238" s="5" t="s">
        <v>129</v>
      </c>
      <c r="Y238" s="5" t="s">
        <v>125</v>
      </c>
      <c r="Z238" s="143">
        <v>33600</v>
      </c>
      <c r="AA238" s="153">
        <v>1</v>
      </c>
      <c r="AB238" s="163">
        <v>105.58</v>
      </c>
      <c r="AD238" s="143">
        <v>35.475000000000001</v>
      </c>
      <c r="AG238" s="3" t="s">
        <v>36</v>
      </c>
      <c r="AH238" s="155">
        <v>1.2999999999999999E-5</v>
      </c>
      <c r="AI238" s="155">
        <v>5.0036705004623599E-3</v>
      </c>
      <c r="AJ238" s="155">
        <v>7.0706093831780802E-4</v>
      </c>
    </row>
    <row r="239" spans="1:36">
      <c r="A239" s="3">
        <v>337</v>
      </c>
      <c r="B239" s="3">
        <v>9962</v>
      </c>
      <c r="C239" s="185" t="s">
        <v>459</v>
      </c>
      <c r="D239" s="3" t="s">
        <v>460</v>
      </c>
      <c r="E239" s="189" t="s">
        <v>118</v>
      </c>
      <c r="F239" s="185" t="s">
        <v>463</v>
      </c>
      <c r="G239" s="3" t="s">
        <v>464</v>
      </c>
      <c r="H239" s="3" t="s">
        <v>121</v>
      </c>
      <c r="I239" s="3" t="s">
        <v>132</v>
      </c>
      <c r="J239" s="3" t="s">
        <v>30</v>
      </c>
      <c r="K239" s="3" t="s">
        <v>30</v>
      </c>
      <c r="L239" s="3" t="s">
        <v>123</v>
      </c>
      <c r="M239" s="3" t="s">
        <v>31</v>
      </c>
      <c r="N239" s="3" t="s">
        <v>316</v>
      </c>
      <c r="O239" s="3" t="s">
        <v>125</v>
      </c>
      <c r="P239" s="3" t="s">
        <v>357</v>
      </c>
      <c r="Q239" s="3" t="s">
        <v>146</v>
      </c>
      <c r="R239" s="3" t="s">
        <v>128</v>
      </c>
      <c r="S239" s="3" t="s">
        <v>34</v>
      </c>
      <c r="T239" s="143">
        <v>1.8979999999999999</v>
      </c>
      <c r="U239" s="3" t="s">
        <v>465</v>
      </c>
      <c r="V239" s="155">
        <v>1E-3</v>
      </c>
      <c r="W239" s="155">
        <v>2.3199999999999998E-2</v>
      </c>
      <c r="X239" s="5" t="s">
        <v>129</v>
      </c>
      <c r="Y239" s="5" t="s">
        <v>125</v>
      </c>
      <c r="Z239" s="143">
        <v>118775</v>
      </c>
      <c r="AA239" s="153">
        <v>1</v>
      </c>
      <c r="AB239" s="163">
        <v>110.39</v>
      </c>
      <c r="AD239" s="143">
        <v>131.11600000000001</v>
      </c>
      <c r="AG239" s="3" t="s">
        <v>36</v>
      </c>
      <c r="AH239" s="155">
        <v>3.8000000000000002E-5</v>
      </c>
      <c r="AI239" s="155">
        <v>1.8493646005851499E-2</v>
      </c>
      <c r="AJ239" s="155">
        <v>2.6133085095444201E-3</v>
      </c>
    </row>
    <row r="240" spans="1:36">
      <c r="A240" s="3">
        <v>337</v>
      </c>
      <c r="B240" s="3">
        <v>9962</v>
      </c>
      <c r="C240" s="185" t="s">
        <v>459</v>
      </c>
      <c r="D240" s="3" t="s">
        <v>460</v>
      </c>
      <c r="E240" s="189" t="s">
        <v>118</v>
      </c>
      <c r="F240" s="185" t="s">
        <v>821</v>
      </c>
      <c r="G240" s="3" t="s">
        <v>822</v>
      </c>
      <c r="H240" s="3" t="s">
        <v>121</v>
      </c>
      <c r="I240" s="3" t="s">
        <v>132</v>
      </c>
      <c r="J240" s="3" t="s">
        <v>30</v>
      </c>
      <c r="K240" s="3" t="s">
        <v>30</v>
      </c>
      <c r="L240" s="3" t="s">
        <v>123</v>
      </c>
      <c r="M240" s="3" t="s">
        <v>31</v>
      </c>
      <c r="N240" s="3" t="s">
        <v>316</v>
      </c>
      <c r="O240" s="3" t="s">
        <v>125</v>
      </c>
      <c r="P240" s="3" t="s">
        <v>357</v>
      </c>
      <c r="Q240" s="3" t="s">
        <v>146</v>
      </c>
      <c r="R240" s="3" t="s">
        <v>128</v>
      </c>
      <c r="S240" s="3" t="s">
        <v>34</v>
      </c>
      <c r="T240" s="143">
        <v>3.9510000000000001</v>
      </c>
      <c r="U240" s="3" t="s">
        <v>823</v>
      </c>
      <c r="V240" s="155">
        <v>2.0199999999999999E-2</v>
      </c>
      <c r="W240" s="155">
        <v>2.1909999999999999E-2</v>
      </c>
      <c r="X240" s="5" t="s">
        <v>129</v>
      </c>
      <c r="Y240" s="5" t="s">
        <v>125</v>
      </c>
      <c r="Z240" s="143">
        <v>142000</v>
      </c>
      <c r="AA240" s="153">
        <v>1</v>
      </c>
      <c r="AB240" s="163">
        <v>105.39</v>
      </c>
      <c r="AD240" s="143">
        <v>149.654</v>
      </c>
      <c r="AG240" s="3" t="s">
        <v>36</v>
      </c>
      <c r="AH240" s="155">
        <v>4.0000000000000003E-5</v>
      </c>
      <c r="AI240" s="155">
        <v>2.1108409791438201E-2</v>
      </c>
      <c r="AJ240" s="155">
        <v>2.9827967353469702E-3</v>
      </c>
    </row>
    <row r="241" spans="1:36">
      <c r="A241" s="3">
        <v>337</v>
      </c>
      <c r="B241" s="3">
        <v>9962</v>
      </c>
      <c r="C241" s="185" t="s">
        <v>459</v>
      </c>
      <c r="D241" s="3" t="s">
        <v>460</v>
      </c>
      <c r="E241" s="189" t="s">
        <v>118</v>
      </c>
      <c r="F241" s="185" t="s">
        <v>824</v>
      </c>
      <c r="G241" s="3" t="s">
        <v>825</v>
      </c>
      <c r="H241" s="3" t="s">
        <v>121</v>
      </c>
      <c r="I241" s="3" t="s">
        <v>132</v>
      </c>
      <c r="J241" s="3" t="s">
        <v>30</v>
      </c>
      <c r="K241" s="3" t="s">
        <v>30</v>
      </c>
      <c r="L241" s="3" t="s">
        <v>123</v>
      </c>
      <c r="M241" s="3" t="s">
        <v>31</v>
      </c>
      <c r="N241" s="3" t="s">
        <v>316</v>
      </c>
      <c r="O241" s="3" t="s">
        <v>125</v>
      </c>
      <c r="P241" s="3" t="s">
        <v>357</v>
      </c>
      <c r="Q241" s="3" t="s">
        <v>146</v>
      </c>
      <c r="R241" s="3" t="s">
        <v>128</v>
      </c>
      <c r="S241" s="3" t="s">
        <v>34</v>
      </c>
      <c r="T241" s="143">
        <v>3.895</v>
      </c>
      <c r="U241" s="3" t="s">
        <v>826</v>
      </c>
      <c r="V241" s="155">
        <v>1E-3</v>
      </c>
      <c r="W241" s="155">
        <v>2.1850000000000001E-2</v>
      </c>
      <c r="X241" s="5" t="s">
        <v>129</v>
      </c>
      <c r="Y241" s="5" t="s">
        <v>125</v>
      </c>
      <c r="Z241" s="143">
        <v>29000</v>
      </c>
      <c r="AA241" s="153">
        <v>1</v>
      </c>
      <c r="AB241" s="163">
        <v>106.2</v>
      </c>
      <c r="AD241" s="143">
        <v>30.797999999999998</v>
      </c>
      <c r="AG241" s="3" t="s">
        <v>36</v>
      </c>
      <c r="AH241" s="155">
        <v>6.9999999999999999E-6</v>
      </c>
      <c r="AI241" s="155">
        <v>4.34400466113599E-3</v>
      </c>
      <c r="AJ241" s="155">
        <v>6.1384457898974796E-4</v>
      </c>
    </row>
    <row r="242" spans="1:36">
      <c r="A242" s="3">
        <v>337</v>
      </c>
      <c r="B242" s="3">
        <v>9962</v>
      </c>
      <c r="C242" s="185" t="s">
        <v>459</v>
      </c>
      <c r="D242" s="3" t="s">
        <v>460</v>
      </c>
      <c r="E242" s="189" t="s">
        <v>118</v>
      </c>
      <c r="F242" s="185" t="s">
        <v>466</v>
      </c>
      <c r="G242" s="3" t="s">
        <v>467</v>
      </c>
      <c r="H242" s="3" t="s">
        <v>121</v>
      </c>
      <c r="I242" s="3" t="s">
        <v>132</v>
      </c>
      <c r="J242" s="3" t="s">
        <v>30</v>
      </c>
      <c r="K242" s="3" t="s">
        <v>30</v>
      </c>
      <c r="L242" s="3" t="s">
        <v>123</v>
      </c>
      <c r="M242" s="3" t="s">
        <v>31</v>
      </c>
      <c r="N242" s="3" t="s">
        <v>316</v>
      </c>
      <c r="O242" s="3" t="s">
        <v>125</v>
      </c>
      <c r="P242" s="3" t="s">
        <v>145</v>
      </c>
      <c r="Q242" s="3" t="s">
        <v>146</v>
      </c>
      <c r="R242" s="3" t="s">
        <v>128</v>
      </c>
      <c r="S242" s="3" t="s">
        <v>34</v>
      </c>
      <c r="T242" s="143">
        <v>2.1909999999999998</v>
      </c>
      <c r="U242" s="3" t="s">
        <v>468</v>
      </c>
      <c r="V242" s="155">
        <v>1.4999999999999999E-2</v>
      </c>
      <c r="W242" s="155">
        <v>2.726E-2</v>
      </c>
      <c r="X242" s="5" t="s">
        <v>129</v>
      </c>
      <c r="Y242" s="5" t="s">
        <v>125</v>
      </c>
      <c r="Z242" s="143">
        <v>50000</v>
      </c>
      <c r="AA242" s="153">
        <v>1</v>
      </c>
      <c r="AB242" s="163">
        <v>112.16</v>
      </c>
      <c r="AD242" s="143">
        <v>56.08</v>
      </c>
      <c r="AG242" s="3" t="s">
        <v>36</v>
      </c>
      <c r="AH242" s="155">
        <v>3.6000000000000001E-5</v>
      </c>
      <c r="AI242" s="155">
        <v>7.9099870574877006E-3</v>
      </c>
      <c r="AJ242" s="155">
        <v>1.11774803525375E-3</v>
      </c>
    </row>
    <row r="243" spans="1:36">
      <c r="A243" s="3">
        <v>337</v>
      </c>
      <c r="B243" s="3">
        <v>9962</v>
      </c>
      <c r="C243" s="185" t="s">
        <v>459</v>
      </c>
      <c r="D243" s="3" t="s">
        <v>460</v>
      </c>
      <c r="E243" s="189" t="s">
        <v>118</v>
      </c>
      <c r="F243" s="185" t="s">
        <v>469</v>
      </c>
      <c r="G243" s="3" t="s">
        <v>470</v>
      </c>
      <c r="H243" s="3" t="s">
        <v>121</v>
      </c>
      <c r="I243" s="3" t="s">
        <v>132</v>
      </c>
      <c r="J243" s="3" t="s">
        <v>30</v>
      </c>
      <c r="K243" s="3" t="s">
        <v>30</v>
      </c>
      <c r="L243" s="3" t="s">
        <v>123</v>
      </c>
      <c r="M243" s="3" t="s">
        <v>31</v>
      </c>
      <c r="N243" s="3" t="s">
        <v>316</v>
      </c>
      <c r="O243" s="3" t="s">
        <v>125</v>
      </c>
      <c r="P243" s="3" t="s">
        <v>145</v>
      </c>
      <c r="Q243" s="3" t="s">
        <v>146</v>
      </c>
      <c r="R243" s="3" t="s">
        <v>128</v>
      </c>
      <c r="S243" s="3" t="s">
        <v>34</v>
      </c>
      <c r="T243" s="143">
        <v>4.7350000000000003</v>
      </c>
      <c r="U243" s="3" t="s">
        <v>471</v>
      </c>
      <c r="V243" s="155">
        <v>3.1E-2</v>
      </c>
      <c r="W243" s="155">
        <v>2.6349999999999998E-2</v>
      </c>
      <c r="X243" s="5" t="s">
        <v>129</v>
      </c>
      <c r="Y243" s="5" t="s">
        <v>125</v>
      </c>
      <c r="Z243" s="143">
        <v>67000</v>
      </c>
      <c r="AA243" s="153">
        <v>1</v>
      </c>
      <c r="AB243" s="163">
        <v>107.58</v>
      </c>
      <c r="AD243" s="143">
        <v>72.078999999999994</v>
      </c>
      <c r="AG243" s="3" t="s">
        <v>36</v>
      </c>
      <c r="AH243" s="155">
        <v>4.3999999999999999E-5</v>
      </c>
      <c r="AI243" s="155">
        <v>1.01665619315591E-2</v>
      </c>
      <c r="AJ243" s="155">
        <v>1.4366211400470999E-3</v>
      </c>
    </row>
    <row r="244" spans="1:36">
      <c r="A244" s="3">
        <v>337</v>
      </c>
      <c r="B244" s="3">
        <v>9962</v>
      </c>
      <c r="C244" s="185" t="s">
        <v>827</v>
      </c>
      <c r="D244" s="3" t="s">
        <v>828</v>
      </c>
      <c r="E244" s="189" t="s">
        <v>118</v>
      </c>
      <c r="F244" s="185" t="s">
        <v>829</v>
      </c>
      <c r="G244" s="3" t="s">
        <v>830</v>
      </c>
      <c r="H244" s="3" t="s">
        <v>121</v>
      </c>
      <c r="I244" s="3" t="s">
        <v>132</v>
      </c>
      <c r="J244" s="3" t="s">
        <v>30</v>
      </c>
      <c r="K244" s="3" t="s">
        <v>30</v>
      </c>
      <c r="L244" s="3" t="s">
        <v>123</v>
      </c>
      <c r="M244" s="3" t="s">
        <v>31</v>
      </c>
      <c r="N244" s="3" t="s">
        <v>209</v>
      </c>
      <c r="O244" s="3" t="s">
        <v>125</v>
      </c>
      <c r="P244" s="3" t="s">
        <v>126</v>
      </c>
      <c r="Q244" s="3" t="s">
        <v>127</v>
      </c>
      <c r="R244" s="3" t="s">
        <v>128</v>
      </c>
      <c r="S244" s="3" t="s">
        <v>34</v>
      </c>
      <c r="T244" s="143">
        <v>2.0910000000000002</v>
      </c>
      <c r="U244" s="3" t="s">
        <v>831</v>
      </c>
      <c r="V244" s="155">
        <v>3.73E-2</v>
      </c>
      <c r="W244" s="155">
        <v>2.7470000000000001E-2</v>
      </c>
      <c r="X244" s="5" t="s">
        <v>129</v>
      </c>
      <c r="Y244" s="5" t="s">
        <v>125</v>
      </c>
      <c r="Z244" s="143">
        <v>24840</v>
      </c>
      <c r="AA244" s="153">
        <v>1</v>
      </c>
      <c r="AB244" s="163">
        <v>113.35</v>
      </c>
      <c r="AD244" s="143">
        <v>28.155999999999999</v>
      </c>
      <c r="AG244" s="3" t="s">
        <v>36</v>
      </c>
      <c r="AH244" s="155">
        <v>5.8999999999999998E-5</v>
      </c>
      <c r="AI244" s="155">
        <v>3.9713748749788096E-3</v>
      </c>
      <c r="AJ244" s="155">
        <v>5.6118884032328102E-4</v>
      </c>
    </row>
    <row r="245" spans="1:36">
      <c r="A245" s="3">
        <v>337</v>
      </c>
      <c r="B245" s="3">
        <v>9962</v>
      </c>
      <c r="C245" s="185" t="s">
        <v>832</v>
      </c>
      <c r="D245" s="3" t="s">
        <v>833</v>
      </c>
      <c r="E245" s="189" t="s">
        <v>118</v>
      </c>
      <c r="F245" s="185" t="s">
        <v>834</v>
      </c>
      <c r="G245" s="3" t="s">
        <v>835</v>
      </c>
      <c r="H245" s="3" t="s">
        <v>121</v>
      </c>
      <c r="I245" s="3" t="s">
        <v>122</v>
      </c>
      <c r="J245" s="3" t="s">
        <v>30</v>
      </c>
      <c r="K245" s="3" t="s">
        <v>30</v>
      </c>
      <c r="L245" s="3" t="s">
        <v>123</v>
      </c>
      <c r="M245" s="3" t="s">
        <v>31</v>
      </c>
      <c r="N245" s="3" t="s">
        <v>124</v>
      </c>
      <c r="O245" s="3" t="s">
        <v>125</v>
      </c>
      <c r="P245" s="3" t="s">
        <v>178</v>
      </c>
      <c r="Q245" s="3" t="s">
        <v>178</v>
      </c>
      <c r="R245" s="3" t="s">
        <v>178</v>
      </c>
      <c r="S245" s="3" t="s">
        <v>34</v>
      </c>
      <c r="T245" s="143">
        <v>3.6309999999999998</v>
      </c>
      <c r="U245" s="3" t="s">
        <v>836</v>
      </c>
      <c r="V245" s="155">
        <v>6.7299999999999999E-2</v>
      </c>
      <c r="W245" s="155">
        <v>5.1769999999999997E-2</v>
      </c>
      <c r="X245" s="5" t="s">
        <v>129</v>
      </c>
      <c r="Y245" s="5" t="s">
        <v>125</v>
      </c>
      <c r="Z245" s="143">
        <v>26670</v>
      </c>
      <c r="AA245" s="153">
        <v>1</v>
      </c>
      <c r="AB245" s="163">
        <v>106.39</v>
      </c>
      <c r="AD245" s="143">
        <v>28.373999999999999</v>
      </c>
      <c r="AG245" s="3" t="s">
        <v>36</v>
      </c>
      <c r="AH245" s="155">
        <v>1.03E-4</v>
      </c>
      <c r="AI245" s="155">
        <v>4.0021336946576202E-3</v>
      </c>
      <c r="AJ245" s="155">
        <v>5.6553532155173905E-4</v>
      </c>
    </row>
    <row r="246" spans="1:36">
      <c r="A246" s="3">
        <v>337</v>
      </c>
      <c r="B246" s="3">
        <v>9962</v>
      </c>
      <c r="C246" s="185" t="s">
        <v>472</v>
      </c>
      <c r="D246" s="3" t="s">
        <v>473</v>
      </c>
      <c r="E246" s="189" t="s">
        <v>118</v>
      </c>
      <c r="F246" s="185" t="s">
        <v>474</v>
      </c>
      <c r="G246" s="3" t="s">
        <v>475</v>
      </c>
      <c r="H246" s="3" t="s">
        <v>121</v>
      </c>
      <c r="I246" s="3" t="s">
        <v>122</v>
      </c>
      <c r="J246" s="3" t="s">
        <v>30</v>
      </c>
      <c r="K246" s="3" t="s">
        <v>30</v>
      </c>
      <c r="L246" s="3" t="s">
        <v>123</v>
      </c>
      <c r="M246" s="3" t="s">
        <v>31</v>
      </c>
      <c r="N246" s="3" t="s">
        <v>124</v>
      </c>
      <c r="O246" s="3" t="s">
        <v>125</v>
      </c>
      <c r="P246" s="3" t="s">
        <v>178</v>
      </c>
      <c r="Q246" s="3" t="s">
        <v>178</v>
      </c>
      <c r="R246" s="3" t="s">
        <v>178</v>
      </c>
      <c r="S246" s="3" t="s">
        <v>34</v>
      </c>
      <c r="T246" s="143">
        <v>2.4369999999999998</v>
      </c>
      <c r="U246" s="3" t="s">
        <v>476</v>
      </c>
      <c r="V246" s="155">
        <v>8.1500000000000003E-2</v>
      </c>
      <c r="W246" s="155">
        <v>5.8470000000000001E-2</v>
      </c>
      <c r="X246" s="5" t="s">
        <v>129</v>
      </c>
      <c r="Y246" s="5" t="s">
        <v>125</v>
      </c>
      <c r="Z246" s="143">
        <v>28000</v>
      </c>
      <c r="AA246" s="153">
        <v>1</v>
      </c>
      <c r="AB246" s="163">
        <v>108</v>
      </c>
      <c r="AD246" s="143">
        <v>30.24</v>
      </c>
      <c r="AG246" s="3" t="s">
        <v>36</v>
      </c>
      <c r="AH246" s="155">
        <v>1.02E-4</v>
      </c>
      <c r="AI246" s="155">
        <v>4.2652997257209002E-3</v>
      </c>
      <c r="AJ246" s="155">
        <v>6.0272290631372099E-4</v>
      </c>
    </row>
    <row r="247" spans="1:36">
      <c r="A247" s="3">
        <v>337</v>
      </c>
      <c r="B247" s="3">
        <v>9962</v>
      </c>
      <c r="C247" s="185" t="s">
        <v>477</v>
      </c>
      <c r="D247" s="3" t="s">
        <v>478</v>
      </c>
      <c r="E247" s="189" t="s">
        <v>118</v>
      </c>
      <c r="F247" s="185" t="s">
        <v>479</v>
      </c>
      <c r="G247" s="3" t="s">
        <v>480</v>
      </c>
      <c r="H247" s="3" t="s">
        <v>121</v>
      </c>
      <c r="I247" s="3" t="s">
        <v>122</v>
      </c>
      <c r="J247" s="3" t="s">
        <v>30</v>
      </c>
      <c r="K247" s="3" t="s">
        <v>30</v>
      </c>
      <c r="L247" s="3" t="s">
        <v>123</v>
      </c>
      <c r="M247" s="3" t="s">
        <v>31</v>
      </c>
      <c r="N247" s="3" t="s">
        <v>139</v>
      </c>
      <c r="O247" s="3" t="s">
        <v>125</v>
      </c>
      <c r="P247" s="3" t="s">
        <v>153</v>
      </c>
      <c r="Q247" s="3" t="s">
        <v>146</v>
      </c>
      <c r="R247" s="3" t="s">
        <v>128</v>
      </c>
      <c r="S247" s="3" t="s">
        <v>34</v>
      </c>
      <c r="T247" s="143">
        <v>3.766</v>
      </c>
      <c r="U247" s="3" t="s">
        <v>481</v>
      </c>
      <c r="V247" s="155">
        <v>7.0699999999999999E-2</v>
      </c>
      <c r="W247" s="155">
        <v>6.3229999999999995E-2</v>
      </c>
      <c r="X247" s="5" t="s">
        <v>129</v>
      </c>
      <c r="Y247" s="5" t="s">
        <v>125</v>
      </c>
      <c r="Z247" s="143">
        <v>53000</v>
      </c>
      <c r="AA247" s="153">
        <v>1</v>
      </c>
      <c r="AB247" s="163">
        <v>104.35</v>
      </c>
      <c r="AD247" s="143">
        <v>55.305999999999997</v>
      </c>
      <c r="AG247" s="3" t="s">
        <v>36</v>
      </c>
      <c r="AH247" s="155">
        <v>5.3000000000000001E-5</v>
      </c>
      <c r="AI247" s="155">
        <v>7.8007451713246502E-3</v>
      </c>
      <c r="AJ247" s="155">
        <v>1.10231123330468E-3</v>
      </c>
    </row>
    <row r="248" spans="1:36">
      <c r="A248" s="3">
        <v>337</v>
      </c>
      <c r="B248" s="3">
        <v>9962</v>
      </c>
      <c r="C248" s="185" t="s">
        <v>482</v>
      </c>
      <c r="D248" s="3" t="s">
        <v>483</v>
      </c>
      <c r="E248" s="189" t="s">
        <v>118</v>
      </c>
      <c r="F248" s="185" t="s">
        <v>487</v>
      </c>
      <c r="G248" s="3" t="s">
        <v>488</v>
      </c>
      <c r="H248" s="3" t="s">
        <v>121</v>
      </c>
      <c r="I248" s="3" t="s">
        <v>132</v>
      </c>
      <c r="J248" s="3" t="s">
        <v>30</v>
      </c>
      <c r="K248" s="3" t="s">
        <v>30</v>
      </c>
      <c r="L248" s="3" t="s">
        <v>123</v>
      </c>
      <c r="M248" s="3" t="s">
        <v>31</v>
      </c>
      <c r="N248" s="3" t="s">
        <v>171</v>
      </c>
      <c r="O248" s="3" t="s">
        <v>125</v>
      </c>
      <c r="P248" s="3" t="s">
        <v>165</v>
      </c>
      <c r="Q248" s="3" t="s">
        <v>146</v>
      </c>
      <c r="R248" s="3" t="s">
        <v>128</v>
      </c>
      <c r="S248" s="3" t="s">
        <v>34</v>
      </c>
      <c r="T248" s="143">
        <v>2.6659999999999999</v>
      </c>
      <c r="U248" s="3" t="s">
        <v>489</v>
      </c>
      <c r="V248" s="155">
        <v>2.81E-2</v>
      </c>
      <c r="W248" s="155">
        <v>2.5430000000000001E-2</v>
      </c>
      <c r="X248" s="5" t="s">
        <v>129</v>
      </c>
      <c r="Y248" s="5" t="s">
        <v>125</v>
      </c>
      <c r="Z248" s="143">
        <v>23562.5</v>
      </c>
      <c r="AA248" s="153">
        <v>1</v>
      </c>
      <c r="AB248" s="163">
        <v>120.26</v>
      </c>
      <c r="AD248" s="143">
        <v>28.335999999999999</v>
      </c>
      <c r="AG248" s="3" t="s">
        <v>36</v>
      </c>
      <c r="AH248" s="155">
        <v>2.0000000000000002E-5</v>
      </c>
      <c r="AI248" s="155">
        <v>3.9967808422356303E-3</v>
      </c>
      <c r="AJ248" s="155">
        <v>5.6477891825623401E-4</v>
      </c>
    </row>
    <row r="249" spans="1:36">
      <c r="A249" s="3">
        <v>337</v>
      </c>
      <c r="B249" s="3">
        <v>9962</v>
      </c>
      <c r="C249" s="185" t="s">
        <v>482</v>
      </c>
      <c r="D249" s="3" t="s">
        <v>483</v>
      </c>
      <c r="E249" s="189" t="s">
        <v>118</v>
      </c>
      <c r="F249" s="185" t="s">
        <v>837</v>
      </c>
      <c r="G249" s="3" t="s">
        <v>838</v>
      </c>
      <c r="H249" s="3" t="s">
        <v>121</v>
      </c>
      <c r="I249" s="3" t="s">
        <v>132</v>
      </c>
      <c r="J249" s="3" t="s">
        <v>30</v>
      </c>
      <c r="K249" s="3" t="s">
        <v>30</v>
      </c>
      <c r="L249" s="3" t="s">
        <v>123</v>
      </c>
      <c r="M249" s="3" t="s">
        <v>31</v>
      </c>
      <c r="N249" s="3" t="s">
        <v>171</v>
      </c>
      <c r="O249" s="3" t="s">
        <v>125</v>
      </c>
      <c r="P249" s="3" t="s">
        <v>165</v>
      </c>
      <c r="Q249" s="3" t="s">
        <v>146</v>
      </c>
      <c r="R249" s="3" t="s">
        <v>128</v>
      </c>
      <c r="S249" s="3" t="s">
        <v>34</v>
      </c>
      <c r="T249" s="143">
        <v>1.4630000000000001</v>
      </c>
      <c r="U249" s="3" t="s">
        <v>179</v>
      </c>
      <c r="V249" s="155">
        <v>3.6999999999999998E-2</v>
      </c>
      <c r="W249" s="155">
        <v>2.5409999999999999E-2</v>
      </c>
      <c r="X249" s="5" t="s">
        <v>129</v>
      </c>
      <c r="Y249" s="5" t="s">
        <v>125</v>
      </c>
      <c r="Z249" s="143">
        <v>5263.13</v>
      </c>
      <c r="AA249" s="153">
        <v>1</v>
      </c>
      <c r="AB249" s="163">
        <v>120.09</v>
      </c>
      <c r="AD249" s="143">
        <v>6.32</v>
      </c>
      <c r="AG249" s="3" t="s">
        <v>36</v>
      </c>
      <c r="AH249" s="155">
        <v>2.3E-5</v>
      </c>
      <c r="AI249" s="155">
        <v>8.9149458593819602E-4</v>
      </c>
      <c r="AJ249" s="155">
        <v>1.2597572089938E-4</v>
      </c>
    </row>
    <row r="250" spans="1:36">
      <c r="A250" s="3">
        <v>337</v>
      </c>
      <c r="B250" s="3">
        <v>9962</v>
      </c>
      <c r="C250" s="185" t="s">
        <v>490</v>
      </c>
      <c r="D250" s="3" t="s">
        <v>491</v>
      </c>
      <c r="E250" s="189" t="s">
        <v>118</v>
      </c>
      <c r="F250" s="185" t="s">
        <v>492</v>
      </c>
      <c r="G250" s="3" t="s">
        <v>493</v>
      </c>
      <c r="H250" s="3" t="s">
        <v>121</v>
      </c>
      <c r="I250" s="3" t="s">
        <v>122</v>
      </c>
      <c r="J250" s="3" t="s">
        <v>30</v>
      </c>
      <c r="K250" s="3" t="s">
        <v>30</v>
      </c>
      <c r="L250" s="3" t="s">
        <v>123</v>
      </c>
      <c r="M250" s="3" t="s">
        <v>31</v>
      </c>
      <c r="N250" s="3" t="s">
        <v>159</v>
      </c>
      <c r="O250" s="3" t="s">
        <v>125</v>
      </c>
      <c r="P250" s="3" t="s">
        <v>422</v>
      </c>
      <c r="Q250" s="3" t="s">
        <v>127</v>
      </c>
      <c r="R250" s="3" t="s">
        <v>128</v>
      </c>
      <c r="S250" s="3" t="s">
        <v>34</v>
      </c>
      <c r="T250" s="143">
        <v>7.3789999999999996</v>
      </c>
      <c r="U250" s="3" t="s">
        <v>494</v>
      </c>
      <c r="V250" s="155">
        <v>5.0200000000000002E-2</v>
      </c>
      <c r="W250" s="155">
        <v>4.6769999999999999E-2</v>
      </c>
      <c r="X250" s="5" t="s">
        <v>129</v>
      </c>
      <c r="Y250" s="5" t="s">
        <v>125</v>
      </c>
      <c r="Z250" s="143">
        <v>35000</v>
      </c>
      <c r="AA250" s="153">
        <v>1</v>
      </c>
      <c r="AB250" s="163">
        <v>102.89</v>
      </c>
      <c r="AD250" s="143">
        <v>36.011000000000003</v>
      </c>
      <c r="AG250" s="3" t="s">
        <v>36</v>
      </c>
      <c r="AH250" s="155">
        <v>1.25E-4</v>
      </c>
      <c r="AI250" s="155">
        <v>5.0793598238359199E-3</v>
      </c>
      <c r="AJ250" s="155">
        <v>7.1775647952105096E-4</v>
      </c>
    </row>
    <row r="251" spans="1:36">
      <c r="A251" s="3">
        <v>337</v>
      </c>
      <c r="B251" s="3">
        <v>9962</v>
      </c>
      <c r="C251" s="185" t="s">
        <v>490</v>
      </c>
      <c r="D251" s="3" t="s">
        <v>491</v>
      </c>
      <c r="E251" s="189" t="s">
        <v>118</v>
      </c>
      <c r="F251" s="185" t="s">
        <v>495</v>
      </c>
      <c r="G251" s="3" t="s">
        <v>496</v>
      </c>
      <c r="H251" s="3" t="s">
        <v>121</v>
      </c>
      <c r="I251" s="3" t="s">
        <v>122</v>
      </c>
      <c r="J251" s="3" t="s">
        <v>30</v>
      </c>
      <c r="K251" s="3" t="s">
        <v>30</v>
      </c>
      <c r="L251" s="3" t="s">
        <v>123</v>
      </c>
      <c r="M251" s="3" t="s">
        <v>31</v>
      </c>
      <c r="N251" s="3" t="s">
        <v>159</v>
      </c>
      <c r="O251" s="3" t="s">
        <v>125</v>
      </c>
      <c r="P251" s="3" t="s">
        <v>422</v>
      </c>
      <c r="Q251" s="3" t="s">
        <v>127</v>
      </c>
      <c r="R251" s="3" t="s">
        <v>128</v>
      </c>
      <c r="S251" s="3" t="s">
        <v>34</v>
      </c>
      <c r="T251" s="143">
        <v>8.0139999999999993</v>
      </c>
      <c r="U251" s="3" t="s">
        <v>497</v>
      </c>
      <c r="V251" s="155">
        <v>5.0200000000000002E-2</v>
      </c>
      <c r="W251" s="155">
        <v>4.7440000000000003E-2</v>
      </c>
      <c r="X251" s="5" t="s">
        <v>129</v>
      </c>
      <c r="Y251" s="5" t="s">
        <v>125</v>
      </c>
      <c r="Z251" s="143">
        <v>35000</v>
      </c>
      <c r="AA251" s="153">
        <v>1</v>
      </c>
      <c r="AB251" s="163">
        <v>102.61</v>
      </c>
      <c r="AD251" s="143">
        <v>35.912999999999997</v>
      </c>
      <c r="AG251" s="3" t="s">
        <v>36</v>
      </c>
      <c r="AH251" s="155">
        <v>1.25E-4</v>
      </c>
      <c r="AI251" s="155">
        <v>5.0655370932433099E-3</v>
      </c>
      <c r="AJ251" s="155">
        <v>7.1580321084318199E-4</v>
      </c>
    </row>
    <row r="252" spans="1:36">
      <c r="A252" s="3">
        <v>337</v>
      </c>
      <c r="B252" s="3">
        <v>9962</v>
      </c>
      <c r="C252" s="185" t="s">
        <v>502</v>
      </c>
      <c r="D252" s="3" t="s">
        <v>503</v>
      </c>
      <c r="E252" s="189" t="s">
        <v>118</v>
      </c>
      <c r="F252" s="185" t="s">
        <v>504</v>
      </c>
      <c r="G252" s="3" t="s">
        <v>505</v>
      </c>
      <c r="H252" s="3" t="s">
        <v>121</v>
      </c>
      <c r="I252" s="3" t="s">
        <v>132</v>
      </c>
      <c r="J252" s="3" t="s">
        <v>30</v>
      </c>
      <c r="K252" s="3" t="s">
        <v>30</v>
      </c>
      <c r="L252" s="3" t="s">
        <v>123</v>
      </c>
      <c r="M252" s="3" t="s">
        <v>31</v>
      </c>
      <c r="N252" s="3" t="s">
        <v>171</v>
      </c>
      <c r="O252" s="3" t="s">
        <v>125</v>
      </c>
      <c r="P252" s="3" t="s">
        <v>153</v>
      </c>
      <c r="Q252" s="3" t="s">
        <v>146</v>
      </c>
      <c r="R252" s="3" t="s">
        <v>128</v>
      </c>
      <c r="S252" s="3" t="s">
        <v>34</v>
      </c>
      <c r="T252" s="143">
        <v>1.141</v>
      </c>
      <c r="U252" s="3" t="s">
        <v>506</v>
      </c>
      <c r="V252" s="155">
        <v>2.0500000000000001E-2</v>
      </c>
      <c r="W252" s="155">
        <v>2.8219999999999999E-2</v>
      </c>
      <c r="X252" s="5" t="s">
        <v>129</v>
      </c>
      <c r="Y252" s="5" t="s">
        <v>125</v>
      </c>
      <c r="Z252" s="143">
        <v>26843.75</v>
      </c>
      <c r="AA252" s="153">
        <v>1</v>
      </c>
      <c r="AB252" s="163">
        <v>119.3</v>
      </c>
      <c r="AD252" s="143">
        <v>32.024999999999999</v>
      </c>
      <c r="AG252" s="3" t="s">
        <v>36</v>
      </c>
      <c r="AH252" s="155">
        <v>5.3000000000000001E-5</v>
      </c>
      <c r="AI252" s="155">
        <v>4.5170135892261404E-3</v>
      </c>
      <c r="AJ252" s="155">
        <v>6.38292202993262E-4</v>
      </c>
    </row>
    <row r="253" spans="1:36">
      <c r="A253" s="3">
        <v>337</v>
      </c>
      <c r="B253" s="3">
        <v>9962</v>
      </c>
      <c r="C253" s="185" t="s">
        <v>502</v>
      </c>
      <c r="D253" s="3" t="s">
        <v>503</v>
      </c>
      <c r="E253" s="189" t="s">
        <v>118</v>
      </c>
      <c r="F253" s="185" t="s">
        <v>510</v>
      </c>
      <c r="G253" s="3" t="s">
        <v>511</v>
      </c>
      <c r="H253" s="3" t="s">
        <v>121</v>
      </c>
      <c r="I253" s="3" t="s">
        <v>132</v>
      </c>
      <c r="J253" s="3" t="s">
        <v>30</v>
      </c>
      <c r="K253" s="3" t="s">
        <v>30</v>
      </c>
      <c r="L253" s="3" t="s">
        <v>123</v>
      </c>
      <c r="M253" s="3" t="s">
        <v>31</v>
      </c>
      <c r="N253" s="3" t="s">
        <v>171</v>
      </c>
      <c r="O253" s="3" t="s">
        <v>125</v>
      </c>
      <c r="P253" s="3" t="s">
        <v>153</v>
      </c>
      <c r="Q253" s="3" t="s">
        <v>146</v>
      </c>
      <c r="R253" s="3" t="s">
        <v>128</v>
      </c>
      <c r="S253" s="3" t="s">
        <v>34</v>
      </c>
      <c r="T253" s="143">
        <v>4.8230000000000004</v>
      </c>
      <c r="U253" s="3" t="s">
        <v>512</v>
      </c>
      <c r="V253" s="155">
        <v>9.7000000000000003E-3</v>
      </c>
      <c r="W253" s="155">
        <v>2.7609999999999999E-2</v>
      </c>
      <c r="X253" s="5" t="s">
        <v>129</v>
      </c>
      <c r="Y253" s="5" t="s">
        <v>125</v>
      </c>
      <c r="Z253" s="143">
        <v>104728.48</v>
      </c>
      <c r="AA253" s="153">
        <v>1</v>
      </c>
      <c r="AB253" s="163">
        <v>107.07</v>
      </c>
      <c r="AD253" s="143">
        <v>112.133</v>
      </c>
      <c r="AG253" s="3" t="s">
        <v>36</v>
      </c>
      <c r="AH253" s="155">
        <v>1.7899999999999999E-4</v>
      </c>
      <c r="AI253" s="155">
        <v>1.5816135279775899E-2</v>
      </c>
      <c r="AJ253" s="155">
        <v>2.2349536106436902E-3</v>
      </c>
    </row>
    <row r="254" spans="1:36">
      <c r="A254" s="3">
        <v>337</v>
      </c>
      <c r="B254" s="3">
        <v>9962</v>
      </c>
      <c r="C254" s="185" t="s">
        <v>513</v>
      </c>
      <c r="D254" s="3" t="s">
        <v>514</v>
      </c>
      <c r="E254" s="189" t="s">
        <v>118</v>
      </c>
      <c r="F254" s="185" t="s">
        <v>518</v>
      </c>
      <c r="G254" s="3" t="s">
        <v>519</v>
      </c>
      <c r="H254" s="3" t="s">
        <v>121</v>
      </c>
      <c r="I254" s="3" t="s">
        <v>132</v>
      </c>
      <c r="J254" s="3" t="s">
        <v>30</v>
      </c>
      <c r="K254" s="3" t="s">
        <v>30</v>
      </c>
      <c r="L254" s="3" t="s">
        <v>123</v>
      </c>
      <c r="M254" s="3" t="s">
        <v>31</v>
      </c>
      <c r="N254" s="3" t="s">
        <v>316</v>
      </c>
      <c r="O254" s="3" t="s">
        <v>125</v>
      </c>
      <c r="P254" s="3" t="s">
        <v>357</v>
      </c>
      <c r="Q254" s="3" t="s">
        <v>146</v>
      </c>
      <c r="R254" s="3" t="s">
        <v>128</v>
      </c>
      <c r="S254" s="3" t="s">
        <v>34</v>
      </c>
      <c r="T254" s="143">
        <v>2.8050000000000002</v>
      </c>
      <c r="U254" s="3" t="s">
        <v>520</v>
      </c>
      <c r="V254" s="155">
        <v>1E-3</v>
      </c>
      <c r="W254" s="155">
        <v>2.1919999999999999E-2</v>
      </c>
      <c r="X254" s="5" t="s">
        <v>129</v>
      </c>
      <c r="Y254" s="5" t="s">
        <v>125</v>
      </c>
      <c r="Z254" s="143">
        <v>58000</v>
      </c>
      <c r="AA254" s="153">
        <v>1</v>
      </c>
      <c r="AB254" s="163">
        <v>108.71</v>
      </c>
      <c r="AD254" s="143">
        <v>63.052</v>
      </c>
      <c r="AG254" s="3" t="s">
        <v>36</v>
      </c>
      <c r="AH254" s="155">
        <v>1.7E-5</v>
      </c>
      <c r="AI254" s="155">
        <v>8.8933473957079796E-3</v>
      </c>
      <c r="AJ254" s="155">
        <v>1.25670516350236E-3</v>
      </c>
    </row>
    <row r="255" spans="1:36">
      <c r="A255" s="3">
        <v>337</v>
      </c>
      <c r="B255" s="3">
        <v>9962</v>
      </c>
      <c r="C255" s="185" t="s">
        <v>513</v>
      </c>
      <c r="D255" s="3" t="s">
        <v>514</v>
      </c>
      <c r="E255" s="189" t="s">
        <v>118</v>
      </c>
      <c r="F255" s="185" t="s">
        <v>839</v>
      </c>
      <c r="G255" s="3" t="s">
        <v>840</v>
      </c>
      <c r="H255" s="3" t="s">
        <v>121</v>
      </c>
      <c r="I255" s="3" t="s">
        <v>132</v>
      </c>
      <c r="J255" s="3" t="s">
        <v>30</v>
      </c>
      <c r="K255" s="3" t="s">
        <v>30</v>
      </c>
      <c r="L255" s="3" t="s">
        <v>123</v>
      </c>
      <c r="M255" s="3" t="s">
        <v>31</v>
      </c>
      <c r="N255" s="3" t="s">
        <v>316</v>
      </c>
      <c r="O255" s="3" t="s">
        <v>125</v>
      </c>
      <c r="P255" s="3" t="s">
        <v>357</v>
      </c>
      <c r="Q255" s="3" t="s">
        <v>146</v>
      </c>
      <c r="R255" s="3" t="s">
        <v>128</v>
      </c>
      <c r="S255" s="3" t="s">
        <v>34</v>
      </c>
      <c r="T255" s="143">
        <v>4.4770000000000003</v>
      </c>
      <c r="U255" s="3" t="s">
        <v>548</v>
      </c>
      <c r="V255" s="155">
        <v>2E-3</v>
      </c>
      <c r="W255" s="155">
        <v>2.281E-2</v>
      </c>
      <c r="X255" s="5" t="s">
        <v>129</v>
      </c>
      <c r="Y255" s="5" t="s">
        <v>125</v>
      </c>
      <c r="Z255" s="143">
        <v>70000</v>
      </c>
      <c r="AA255" s="153">
        <v>1</v>
      </c>
      <c r="AB255" s="163">
        <v>107.79</v>
      </c>
      <c r="AD255" s="143">
        <v>75.453000000000003</v>
      </c>
      <c r="AG255" s="3" t="s">
        <v>36</v>
      </c>
      <c r="AH255" s="155">
        <v>2.0000000000000002E-5</v>
      </c>
      <c r="AI255" s="155">
        <v>1.06425152184133E-2</v>
      </c>
      <c r="AJ255" s="155">
        <v>1.5038773627675001E-3</v>
      </c>
    </row>
    <row r="256" spans="1:36">
      <c r="A256" s="3">
        <v>337</v>
      </c>
      <c r="B256" s="3">
        <v>9962</v>
      </c>
      <c r="C256" s="185" t="s">
        <v>526</v>
      </c>
      <c r="D256" s="3" t="s">
        <v>527</v>
      </c>
      <c r="E256" s="189" t="s">
        <v>118</v>
      </c>
      <c r="F256" s="185" t="s">
        <v>528</v>
      </c>
      <c r="G256" s="3" t="s">
        <v>529</v>
      </c>
      <c r="H256" s="3" t="s">
        <v>121</v>
      </c>
      <c r="I256" s="3" t="s">
        <v>132</v>
      </c>
      <c r="J256" s="3" t="s">
        <v>30</v>
      </c>
      <c r="K256" s="3" t="s">
        <v>30</v>
      </c>
      <c r="L256" s="3" t="s">
        <v>123</v>
      </c>
      <c r="M256" s="3" t="s">
        <v>31</v>
      </c>
      <c r="N256" s="3" t="s">
        <v>242</v>
      </c>
      <c r="O256" s="3" t="s">
        <v>125</v>
      </c>
      <c r="P256" s="3" t="s">
        <v>422</v>
      </c>
      <c r="Q256" s="3" t="s">
        <v>127</v>
      </c>
      <c r="R256" s="3" t="s">
        <v>128</v>
      </c>
      <c r="S256" s="3" t="s">
        <v>34</v>
      </c>
      <c r="T256" s="143">
        <v>2.5609999999999999</v>
      </c>
      <c r="U256" s="3" t="s">
        <v>530</v>
      </c>
      <c r="V256" s="155">
        <v>0.01</v>
      </c>
      <c r="W256" s="155">
        <v>2.7400000000000001E-2</v>
      </c>
      <c r="X256" s="5" t="s">
        <v>129</v>
      </c>
      <c r="Y256" s="5" t="s">
        <v>125</v>
      </c>
      <c r="Z256" s="143">
        <v>77156.14</v>
      </c>
      <c r="AA256" s="153">
        <v>1</v>
      </c>
      <c r="AB256" s="163">
        <v>110.57</v>
      </c>
      <c r="AD256" s="143">
        <v>85.311999999999998</v>
      </c>
      <c r="AG256" s="3" t="s">
        <v>36</v>
      </c>
      <c r="AH256" s="155">
        <v>4.1999999999999998E-5</v>
      </c>
      <c r="AI256" s="155">
        <v>1.20330458073907E-2</v>
      </c>
      <c r="AJ256" s="155">
        <v>1.70037108930508E-3</v>
      </c>
    </row>
    <row r="257" spans="1:36">
      <c r="A257" s="3">
        <v>337</v>
      </c>
      <c r="B257" s="3">
        <v>9962</v>
      </c>
      <c r="C257" s="185" t="s">
        <v>526</v>
      </c>
      <c r="D257" s="3" t="s">
        <v>527</v>
      </c>
      <c r="E257" s="189" t="s">
        <v>118</v>
      </c>
      <c r="F257" s="185" t="s">
        <v>531</v>
      </c>
      <c r="G257" s="3" t="s">
        <v>532</v>
      </c>
      <c r="H257" s="3" t="s">
        <v>121</v>
      </c>
      <c r="I257" s="3" t="s">
        <v>132</v>
      </c>
      <c r="J257" s="3" t="s">
        <v>30</v>
      </c>
      <c r="K257" s="3" t="s">
        <v>30</v>
      </c>
      <c r="L257" s="3" t="s">
        <v>123</v>
      </c>
      <c r="M257" s="3" t="s">
        <v>31</v>
      </c>
      <c r="N257" s="3" t="s">
        <v>242</v>
      </c>
      <c r="O257" s="3" t="s">
        <v>125</v>
      </c>
      <c r="P257" s="3" t="s">
        <v>422</v>
      </c>
      <c r="Q257" s="3" t="s">
        <v>127</v>
      </c>
      <c r="R257" s="3" t="s">
        <v>128</v>
      </c>
      <c r="S257" s="3" t="s">
        <v>34</v>
      </c>
      <c r="T257" s="143">
        <v>0.73299999999999998</v>
      </c>
      <c r="U257" s="3" t="s">
        <v>46</v>
      </c>
      <c r="V257" s="155">
        <v>3.5400000000000001E-2</v>
      </c>
      <c r="W257" s="155">
        <v>3.209E-2</v>
      </c>
      <c r="X257" s="5" t="s">
        <v>129</v>
      </c>
      <c r="Y257" s="5" t="s">
        <v>125</v>
      </c>
      <c r="Z257" s="143">
        <v>28500</v>
      </c>
      <c r="AA257" s="153">
        <v>1</v>
      </c>
      <c r="AB257" s="163">
        <v>110.78</v>
      </c>
      <c r="AD257" s="143">
        <v>31.571999999999999</v>
      </c>
      <c r="AG257" s="3" t="s">
        <v>36</v>
      </c>
      <c r="AH257" s="155">
        <v>3.4E-5</v>
      </c>
      <c r="AI257" s="155">
        <v>4.4532183376447803E-3</v>
      </c>
      <c r="AJ257" s="155">
        <v>6.2927739467621405E-4</v>
      </c>
    </row>
    <row r="258" spans="1:36">
      <c r="A258" s="3">
        <v>337</v>
      </c>
      <c r="B258" s="3">
        <v>9962</v>
      </c>
      <c r="C258" s="185" t="s">
        <v>526</v>
      </c>
      <c r="D258" s="3" t="s">
        <v>527</v>
      </c>
      <c r="E258" s="189" t="s">
        <v>118</v>
      </c>
      <c r="F258" s="185" t="s">
        <v>533</v>
      </c>
      <c r="G258" s="3" t="s">
        <v>534</v>
      </c>
      <c r="H258" s="3" t="s">
        <v>121</v>
      </c>
      <c r="I258" s="3" t="s">
        <v>132</v>
      </c>
      <c r="J258" s="3" t="s">
        <v>30</v>
      </c>
      <c r="K258" s="3" t="s">
        <v>30</v>
      </c>
      <c r="L258" s="3" t="s">
        <v>123</v>
      </c>
      <c r="M258" s="3" t="s">
        <v>31</v>
      </c>
      <c r="N258" s="3" t="s">
        <v>242</v>
      </c>
      <c r="O258" s="3" t="s">
        <v>125</v>
      </c>
      <c r="P258" s="3" t="s">
        <v>422</v>
      </c>
      <c r="Q258" s="3" t="s">
        <v>127</v>
      </c>
      <c r="R258" s="3" t="s">
        <v>128</v>
      </c>
      <c r="S258" s="3" t="s">
        <v>34</v>
      </c>
      <c r="T258" s="143">
        <v>8.5000000000000006E-2</v>
      </c>
      <c r="U258" s="3" t="s">
        <v>535</v>
      </c>
      <c r="V258" s="155">
        <v>0.01</v>
      </c>
      <c r="W258" s="155">
        <v>7.775E-2</v>
      </c>
      <c r="X258" s="5" t="s">
        <v>129</v>
      </c>
      <c r="Y258" s="5" t="s">
        <v>125</v>
      </c>
      <c r="Z258" s="143">
        <v>2860.48</v>
      </c>
      <c r="AA258" s="153">
        <v>1</v>
      </c>
      <c r="AB258" s="163">
        <v>116.62</v>
      </c>
      <c r="AD258" s="143">
        <v>3.3359999999999999</v>
      </c>
      <c r="AG258" s="3" t="s">
        <v>36</v>
      </c>
      <c r="AH258" s="155">
        <v>8.5000000000000006E-5</v>
      </c>
      <c r="AI258" s="155">
        <v>4.70521768426171E-4</v>
      </c>
      <c r="AJ258" s="155">
        <v>6.6488703253265901E-5</v>
      </c>
    </row>
    <row r="259" spans="1:36">
      <c r="A259" s="3">
        <v>337</v>
      </c>
      <c r="B259" s="3">
        <v>9962</v>
      </c>
      <c r="C259" s="185" t="s">
        <v>536</v>
      </c>
      <c r="D259" s="3" t="s">
        <v>537</v>
      </c>
      <c r="E259" s="189" t="s">
        <v>118</v>
      </c>
      <c r="F259" s="185" t="s">
        <v>538</v>
      </c>
      <c r="G259" s="3" t="s">
        <v>539</v>
      </c>
      <c r="H259" s="3" t="s">
        <v>121</v>
      </c>
      <c r="I259" s="3" t="s">
        <v>132</v>
      </c>
      <c r="J259" s="3" t="s">
        <v>30</v>
      </c>
      <c r="K259" s="3" t="s">
        <v>30</v>
      </c>
      <c r="L259" s="3" t="s">
        <v>123</v>
      </c>
      <c r="M259" s="3" t="s">
        <v>31</v>
      </c>
      <c r="N259" s="3" t="s">
        <v>171</v>
      </c>
      <c r="O259" s="3" t="s">
        <v>125</v>
      </c>
      <c r="P259" s="3" t="s">
        <v>165</v>
      </c>
      <c r="Q259" s="3" t="s">
        <v>146</v>
      </c>
      <c r="R259" s="3" t="s">
        <v>128</v>
      </c>
      <c r="S259" s="3" t="s">
        <v>34</v>
      </c>
      <c r="T259" s="143">
        <v>3.3069999999999999</v>
      </c>
      <c r="U259" s="3" t="s">
        <v>199</v>
      </c>
      <c r="V259" s="155">
        <v>1.43E-2</v>
      </c>
      <c r="W259" s="155">
        <v>2.4580000000000001E-2</v>
      </c>
      <c r="X259" s="5" t="s">
        <v>129</v>
      </c>
      <c r="Y259" s="5" t="s">
        <v>125</v>
      </c>
      <c r="Z259" s="143">
        <v>121095.94</v>
      </c>
      <c r="AA259" s="153">
        <v>1</v>
      </c>
      <c r="AB259" s="163">
        <v>114.1</v>
      </c>
      <c r="AC259" s="143">
        <v>2.6379999999999999</v>
      </c>
      <c r="AD259" s="143">
        <v>140.80799999999999</v>
      </c>
      <c r="AG259" s="3" t="s">
        <v>36</v>
      </c>
      <c r="AH259" s="155">
        <v>6.3999999999999997E-5</v>
      </c>
      <c r="AI259" s="155">
        <v>1.9860728877171399E-2</v>
      </c>
      <c r="AJ259" s="155">
        <v>2.8064888753707401E-3</v>
      </c>
    </row>
    <row r="260" spans="1:36">
      <c r="A260" s="3">
        <v>337</v>
      </c>
      <c r="B260" s="3">
        <v>9962</v>
      </c>
      <c r="C260" s="185" t="s">
        <v>536</v>
      </c>
      <c r="D260" s="3" t="s">
        <v>537</v>
      </c>
      <c r="E260" s="189" t="s">
        <v>118</v>
      </c>
      <c r="F260" s="185" t="s">
        <v>540</v>
      </c>
      <c r="G260" s="3" t="s">
        <v>541</v>
      </c>
      <c r="H260" s="3" t="s">
        <v>121</v>
      </c>
      <c r="I260" s="3" t="s">
        <v>132</v>
      </c>
      <c r="J260" s="3" t="s">
        <v>30</v>
      </c>
      <c r="K260" s="3" t="s">
        <v>30</v>
      </c>
      <c r="L260" s="3" t="s">
        <v>123</v>
      </c>
      <c r="M260" s="3" t="s">
        <v>31</v>
      </c>
      <c r="N260" s="3" t="s">
        <v>171</v>
      </c>
      <c r="O260" s="3" t="s">
        <v>125</v>
      </c>
      <c r="P260" s="3" t="s">
        <v>165</v>
      </c>
      <c r="Q260" s="3" t="s">
        <v>146</v>
      </c>
      <c r="R260" s="3" t="s">
        <v>128</v>
      </c>
      <c r="S260" s="3" t="s">
        <v>34</v>
      </c>
      <c r="T260" s="143">
        <v>5.32</v>
      </c>
      <c r="U260" s="3" t="s">
        <v>542</v>
      </c>
      <c r="V260" s="155">
        <v>3.61E-2</v>
      </c>
      <c r="W260" s="155">
        <v>2.6009999999999998E-2</v>
      </c>
      <c r="X260" s="5" t="s">
        <v>129</v>
      </c>
      <c r="Y260" s="5" t="s">
        <v>125</v>
      </c>
      <c r="Z260" s="143">
        <v>65290.81</v>
      </c>
      <c r="AA260" s="153">
        <v>1</v>
      </c>
      <c r="AB260" s="163">
        <v>114.15</v>
      </c>
      <c r="AC260" s="143">
        <v>2.782</v>
      </c>
      <c r="AD260" s="143">
        <v>77.311999999999998</v>
      </c>
      <c r="AG260" s="3" t="s">
        <v>36</v>
      </c>
      <c r="AH260" s="155">
        <v>2.6999999999999999E-5</v>
      </c>
      <c r="AI260" s="155">
        <v>1.0904680175591199E-2</v>
      </c>
      <c r="AJ260" s="155">
        <v>1.5409234873272901E-3</v>
      </c>
    </row>
    <row r="261" spans="1:36">
      <c r="A261" s="3">
        <v>337</v>
      </c>
      <c r="B261" s="3">
        <v>9962</v>
      </c>
      <c r="C261" s="185" t="s">
        <v>536</v>
      </c>
      <c r="D261" s="3" t="s">
        <v>537</v>
      </c>
      <c r="E261" s="189" t="s">
        <v>118</v>
      </c>
      <c r="F261" s="185" t="s">
        <v>546</v>
      </c>
      <c r="G261" s="3" t="s">
        <v>547</v>
      </c>
      <c r="H261" s="3" t="s">
        <v>121</v>
      </c>
      <c r="I261" s="3" t="s">
        <v>132</v>
      </c>
      <c r="J261" s="3" t="s">
        <v>30</v>
      </c>
      <c r="K261" s="3" t="s">
        <v>30</v>
      </c>
      <c r="L261" s="3" t="s">
        <v>123</v>
      </c>
      <c r="M261" s="3" t="s">
        <v>31</v>
      </c>
      <c r="N261" s="3" t="s">
        <v>171</v>
      </c>
      <c r="O261" s="3" t="s">
        <v>125</v>
      </c>
      <c r="P261" s="3" t="s">
        <v>165</v>
      </c>
      <c r="Q261" s="3" t="s">
        <v>146</v>
      </c>
      <c r="R261" s="3" t="s">
        <v>128</v>
      </c>
      <c r="S261" s="3" t="s">
        <v>34</v>
      </c>
      <c r="T261" s="143">
        <v>4.2519999999999998</v>
      </c>
      <c r="U261" s="3" t="s">
        <v>548</v>
      </c>
      <c r="V261" s="155">
        <v>2.5000000000000001E-3</v>
      </c>
      <c r="W261" s="155">
        <v>2.4879999999999999E-2</v>
      </c>
      <c r="X261" s="5" t="s">
        <v>129</v>
      </c>
      <c r="Y261" s="5" t="s">
        <v>125</v>
      </c>
      <c r="Z261" s="143">
        <v>27200</v>
      </c>
      <c r="AA261" s="153">
        <v>1</v>
      </c>
      <c r="AB261" s="163">
        <v>105.36</v>
      </c>
      <c r="AC261" s="143">
        <v>0.41</v>
      </c>
      <c r="AD261" s="143">
        <v>29.068000000000001</v>
      </c>
      <c r="AG261" s="3" t="s">
        <v>36</v>
      </c>
      <c r="AH261" s="155">
        <v>2.0999999999999999E-5</v>
      </c>
      <c r="AI261" s="155">
        <v>4.1000094879702197E-3</v>
      </c>
      <c r="AJ261" s="155">
        <v>5.7936599850215203E-4</v>
      </c>
    </row>
    <row r="262" spans="1:36">
      <c r="A262" s="3">
        <v>337</v>
      </c>
      <c r="B262" s="3">
        <v>9962</v>
      </c>
      <c r="C262" s="185" t="s">
        <v>536</v>
      </c>
      <c r="D262" s="3" t="s">
        <v>537</v>
      </c>
      <c r="E262" s="189" t="s">
        <v>118</v>
      </c>
      <c r="F262" s="185" t="s">
        <v>549</v>
      </c>
      <c r="G262" s="3" t="s">
        <v>550</v>
      </c>
      <c r="H262" s="3" t="s">
        <v>121</v>
      </c>
      <c r="I262" s="3" t="s">
        <v>132</v>
      </c>
      <c r="J262" s="3" t="s">
        <v>30</v>
      </c>
      <c r="K262" s="3" t="s">
        <v>30</v>
      </c>
      <c r="L262" s="3" t="s">
        <v>123</v>
      </c>
      <c r="M262" s="3" t="s">
        <v>31</v>
      </c>
      <c r="N262" s="3" t="s">
        <v>171</v>
      </c>
      <c r="O262" s="3" t="s">
        <v>125</v>
      </c>
      <c r="P262" s="3" t="s">
        <v>165</v>
      </c>
      <c r="Q262" s="3" t="s">
        <v>146</v>
      </c>
      <c r="R262" s="3" t="s">
        <v>128</v>
      </c>
      <c r="S262" s="3" t="s">
        <v>34</v>
      </c>
      <c r="T262" s="143">
        <v>7.51</v>
      </c>
      <c r="U262" s="3" t="s">
        <v>551</v>
      </c>
      <c r="V262" s="155">
        <v>2.9499999999999998E-2</v>
      </c>
      <c r="W262" s="155">
        <v>2.683E-2</v>
      </c>
      <c r="X262" s="5" t="s">
        <v>129</v>
      </c>
      <c r="Y262" s="5" t="s">
        <v>125</v>
      </c>
      <c r="Z262" s="143">
        <v>40000</v>
      </c>
      <c r="AA262" s="153">
        <v>1</v>
      </c>
      <c r="AB262" s="163">
        <v>101.78</v>
      </c>
      <c r="AD262" s="143">
        <v>40.712000000000003</v>
      </c>
      <c r="AG262" s="3" t="s">
        <v>36</v>
      </c>
      <c r="AH262" s="155">
        <v>9.0000000000000006E-5</v>
      </c>
      <c r="AI262" s="155">
        <v>5.7423572233316596E-3</v>
      </c>
      <c r="AJ262" s="155">
        <v>8.1144361646310302E-4</v>
      </c>
    </row>
    <row r="263" spans="1:36">
      <c r="A263" s="3">
        <v>337</v>
      </c>
      <c r="B263" s="3">
        <v>9962</v>
      </c>
      <c r="C263" s="185" t="s">
        <v>552</v>
      </c>
      <c r="D263" s="3" t="s">
        <v>553</v>
      </c>
      <c r="E263" s="189" t="s">
        <v>118</v>
      </c>
      <c r="F263" s="185" t="s">
        <v>554</v>
      </c>
      <c r="G263" s="3" t="s">
        <v>555</v>
      </c>
      <c r="H263" s="3" t="s">
        <v>121</v>
      </c>
      <c r="I263" s="3" t="s">
        <v>122</v>
      </c>
      <c r="J263" s="3" t="s">
        <v>30</v>
      </c>
      <c r="K263" s="3" t="s">
        <v>30</v>
      </c>
      <c r="L263" s="3" t="s">
        <v>123</v>
      </c>
      <c r="M263" s="3" t="s">
        <v>31</v>
      </c>
      <c r="N263" s="3" t="s">
        <v>159</v>
      </c>
      <c r="O263" s="3" t="s">
        <v>125</v>
      </c>
      <c r="P263" s="3" t="s">
        <v>310</v>
      </c>
      <c r="Q263" s="3" t="s">
        <v>127</v>
      </c>
      <c r="R263" s="3" t="s">
        <v>128</v>
      </c>
      <c r="S263" s="3" t="s">
        <v>34</v>
      </c>
      <c r="T263" s="143">
        <v>5.766</v>
      </c>
      <c r="U263" s="3" t="s">
        <v>556</v>
      </c>
      <c r="V263" s="155">
        <v>5.0200000000000002E-2</v>
      </c>
      <c r="W263" s="155">
        <v>4.2610000000000002E-2</v>
      </c>
      <c r="X263" s="5" t="s">
        <v>129</v>
      </c>
      <c r="Y263" s="5" t="s">
        <v>125</v>
      </c>
      <c r="Z263" s="143">
        <v>56000</v>
      </c>
      <c r="AA263" s="153">
        <v>1</v>
      </c>
      <c r="AB263" s="163">
        <v>105.93</v>
      </c>
      <c r="AD263" s="143">
        <v>59.320999999999998</v>
      </c>
      <c r="AG263" s="3" t="s">
        <v>36</v>
      </c>
      <c r="AH263" s="155">
        <v>1.3999999999999999E-4</v>
      </c>
      <c r="AI263" s="155">
        <v>8.3670962952891708E-3</v>
      </c>
      <c r="AJ263" s="155">
        <v>1.18234143455208E-3</v>
      </c>
    </row>
    <row r="264" spans="1:36">
      <c r="A264" s="3">
        <v>337</v>
      </c>
      <c r="B264" s="3">
        <v>9962</v>
      </c>
      <c r="C264" s="185" t="s">
        <v>557</v>
      </c>
      <c r="D264" s="3" t="s">
        <v>558</v>
      </c>
      <c r="E264" s="189" t="s">
        <v>118</v>
      </c>
      <c r="F264" s="185" t="s">
        <v>559</v>
      </c>
      <c r="G264" s="3" t="s">
        <v>560</v>
      </c>
      <c r="H264" s="3" t="s">
        <v>121</v>
      </c>
      <c r="I264" s="3" t="s">
        <v>122</v>
      </c>
      <c r="J264" s="3" t="s">
        <v>30</v>
      </c>
      <c r="K264" s="3" t="s">
        <v>30</v>
      </c>
      <c r="L264" s="3" t="s">
        <v>123</v>
      </c>
      <c r="M264" s="3" t="s">
        <v>31</v>
      </c>
      <c r="N264" s="3" t="s">
        <v>242</v>
      </c>
      <c r="O264" s="3" t="s">
        <v>125</v>
      </c>
      <c r="P264" s="3" t="s">
        <v>243</v>
      </c>
      <c r="Q264" s="3" t="s">
        <v>127</v>
      </c>
      <c r="R264" s="3" t="s">
        <v>128</v>
      </c>
      <c r="S264" s="3" t="s">
        <v>34</v>
      </c>
      <c r="T264" s="143">
        <v>0.72899999999999998</v>
      </c>
      <c r="U264" s="3" t="s">
        <v>561</v>
      </c>
      <c r="V264" s="155">
        <v>0.1115</v>
      </c>
      <c r="W264" s="155">
        <v>6.1030000000000001E-2</v>
      </c>
      <c r="X264" s="5" t="s">
        <v>129</v>
      </c>
      <c r="Y264" s="5" t="s">
        <v>125</v>
      </c>
      <c r="Z264" s="143">
        <v>12580</v>
      </c>
      <c r="AA264" s="153">
        <v>1</v>
      </c>
      <c r="AB264" s="163">
        <v>102.14</v>
      </c>
      <c r="AD264" s="143">
        <v>12.849</v>
      </c>
      <c r="AG264" s="3" t="s">
        <v>36</v>
      </c>
      <c r="AH264" s="155">
        <v>1.03E-4</v>
      </c>
      <c r="AI264" s="155">
        <v>1.81235914085085E-3</v>
      </c>
      <c r="AJ264" s="155">
        <v>2.5610166668257802E-4</v>
      </c>
    </row>
    <row r="265" spans="1:36">
      <c r="A265" s="3">
        <v>337</v>
      </c>
      <c r="B265" s="3">
        <v>9962</v>
      </c>
      <c r="C265" s="185" t="s">
        <v>557</v>
      </c>
      <c r="D265" s="3" t="s">
        <v>558</v>
      </c>
      <c r="E265" s="189" t="s">
        <v>118</v>
      </c>
      <c r="F265" s="185" t="s">
        <v>562</v>
      </c>
      <c r="G265" s="3" t="s">
        <v>563</v>
      </c>
      <c r="H265" s="3" t="s">
        <v>121</v>
      </c>
      <c r="I265" s="3" t="s">
        <v>122</v>
      </c>
      <c r="J265" s="3" t="s">
        <v>30</v>
      </c>
      <c r="K265" s="3" t="s">
        <v>30</v>
      </c>
      <c r="L265" s="3" t="s">
        <v>123</v>
      </c>
      <c r="M265" s="3" t="s">
        <v>31</v>
      </c>
      <c r="N265" s="3" t="s">
        <v>242</v>
      </c>
      <c r="O265" s="3" t="s">
        <v>125</v>
      </c>
      <c r="P265" s="3" t="s">
        <v>243</v>
      </c>
      <c r="Q265" s="3" t="s">
        <v>127</v>
      </c>
      <c r="R265" s="3" t="s">
        <v>128</v>
      </c>
      <c r="S265" s="3" t="s">
        <v>34</v>
      </c>
      <c r="T265" s="143">
        <v>2.6909999999999998</v>
      </c>
      <c r="U265" s="3" t="s">
        <v>564</v>
      </c>
      <c r="V265" s="155">
        <v>6.4000000000000001E-2</v>
      </c>
      <c r="W265" s="155">
        <v>5.3670000000000002E-2</v>
      </c>
      <c r="X265" s="5" t="s">
        <v>129</v>
      </c>
      <c r="Y265" s="5" t="s">
        <v>125</v>
      </c>
      <c r="Z265" s="143">
        <v>34000</v>
      </c>
      <c r="AA265" s="153">
        <v>1</v>
      </c>
      <c r="AB265" s="163">
        <v>103.48</v>
      </c>
      <c r="AD265" s="143">
        <v>35.183</v>
      </c>
      <c r="AG265" s="3" t="s">
        <v>36</v>
      </c>
      <c r="AH265" s="155">
        <v>9.7999999999999997E-5</v>
      </c>
      <c r="AI265" s="155">
        <v>4.9625295406740596E-3</v>
      </c>
      <c r="AJ265" s="155">
        <v>7.0124737293045399E-4</v>
      </c>
    </row>
    <row r="266" spans="1:36">
      <c r="A266" s="3">
        <v>337</v>
      </c>
      <c r="B266" s="3">
        <v>9962</v>
      </c>
      <c r="C266" s="185" t="s">
        <v>565</v>
      </c>
      <c r="D266" s="3" t="s">
        <v>566</v>
      </c>
      <c r="E266" s="189" t="s">
        <v>118</v>
      </c>
      <c r="F266" s="185" t="s">
        <v>567</v>
      </c>
      <c r="G266" s="3" t="s">
        <v>568</v>
      </c>
      <c r="H266" s="3" t="s">
        <v>121</v>
      </c>
      <c r="I266" s="3" t="s">
        <v>132</v>
      </c>
      <c r="J266" s="3" t="s">
        <v>30</v>
      </c>
      <c r="K266" s="3" t="s">
        <v>30</v>
      </c>
      <c r="L266" s="3" t="s">
        <v>123</v>
      </c>
      <c r="M266" s="3" t="s">
        <v>31</v>
      </c>
      <c r="N266" s="3" t="s">
        <v>124</v>
      </c>
      <c r="O266" s="3" t="s">
        <v>125</v>
      </c>
      <c r="P266" s="3" t="s">
        <v>325</v>
      </c>
      <c r="Q266" s="3" t="s">
        <v>127</v>
      </c>
      <c r="R266" s="3" t="s">
        <v>128</v>
      </c>
      <c r="S266" s="3" t="s">
        <v>34</v>
      </c>
      <c r="T266" s="143">
        <v>3.0939999999999999</v>
      </c>
      <c r="U266" s="3" t="s">
        <v>569</v>
      </c>
      <c r="V266" s="155">
        <v>2.07E-2</v>
      </c>
      <c r="W266" s="155">
        <v>3.3739999999999999E-2</v>
      </c>
      <c r="X266" s="5" t="s">
        <v>129</v>
      </c>
      <c r="Y266" s="5" t="s">
        <v>125</v>
      </c>
      <c r="Z266" s="143">
        <v>68446.399999999994</v>
      </c>
      <c r="AA266" s="153">
        <v>1</v>
      </c>
      <c r="AB266" s="163">
        <v>110.69</v>
      </c>
      <c r="AD266" s="143">
        <v>75.763000000000005</v>
      </c>
      <c r="AG266" s="3" t="s">
        <v>36</v>
      </c>
      <c r="AH266" s="155">
        <v>1.64E-4</v>
      </c>
      <c r="AI266" s="155">
        <v>1.06862853405474E-2</v>
      </c>
      <c r="AJ266" s="155">
        <v>1.5100624510189201E-3</v>
      </c>
    </row>
    <row r="267" spans="1:36">
      <c r="A267" s="3">
        <v>337</v>
      </c>
      <c r="B267" s="3">
        <v>9962</v>
      </c>
      <c r="C267" s="185" t="s">
        <v>841</v>
      </c>
      <c r="D267" s="3" t="s">
        <v>842</v>
      </c>
      <c r="E267" s="189" t="s">
        <v>118</v>
      </c>
      <c r="F267" s="185" t="s">
        <v>843</v>
      </c>
      <c r="G267" s="3" t="s">
        <v>844</v>
      </c>
      <c r="H267" s="3" t="s">
        <v>121</v>
      </c>
      <c r="I267" s="3" t="s">
        <v>132</v>
      </c>
      <c r="J267" s="3" t="s">
        <v>30</v>
      </c>
      <c r="K267" s="3" t="s">
        <v>30</v>
      </c>
      <c r="L267" s="3" t="s">
        <v>123</v>
      </c>
      <c r="M267" s="3" t="s">
        <v>31</v>
      </c>
      <c r="N267" s="3" t="s">
        <v>184</v>
      </c>
      <c r="O267" s="3" t="s">
        <v>125</v>
      </c>
      <c r="P267" s="3" t="s">
        <v>357</v>
      </c>
      <c r="Q267" s="3" t="s">
        <v>146</v>
      </c>
      <c r="R267" s="3" t="s">
        <v>128</v>
      </c>
      <c r="S267" s="3" t="s">
        <v>34</v>
      </c>
      <c r="T267" s="143">
        <v>11.851000000000001</v>
      </c>
      <c r="U267" s="3" t="s">
        <v>845</v>
      </c>
      <c r="V267" s="155">
        <v>2.07E-2</v>
      </c>
      <c r="W267" s="155">
        <v>2.666E-2</v>
      </c>
      <c r="X267" s="5" t="s">
        <v>129</v>
      </c>
      <c r="Y267" s="5" t="s">
        <v>125</v>
      </c>
      <c r="Z267" s="143">
        <v>55842.2</v>
      </c>
      <c r="AA267" s="153">
        <v>1</v>
      </c>
      <c r="AB267" s="163">
        <v>108.47</v>
      </c>
      <c r="AD267" s="143">
        <v>60.572000000000003</v>
      </c>
      <c r="AG267" s="3" t="s">
        <v>36</v>
      </c>
      <c r="AH267" s="155">
        <v>7.9999999999999996E-6</v>
      </c>
      <c r="AI267" s="155">
        <v>8.5435807360039404E-3</v>
      </c>
      <c r="AJ267" s="155">
        <v>1.20728017786836E-3</v>
      </c>
    </row>
    <row r="268" spans="1:36">
      <c r="A268" s="3">
        <v>337</v>
      </c>
      <c r="B268" s="3">
        <v>9962</v>
      </c>
      <c r="C268" s="185" t="s">
        <v>570</v>
      </c>
      <c r="D268" s="3" t="s">
        <v>571</v>
      </c>
      <c r="E268" s="189" t="s">
        <v>439</v>
      </c>
      <c r="F268" s="185" t="s">
        <v>572</v>
      </c>
      <c r="G268" s="3" t="s">
        <v>573</v>
      </c>
      <c r="H268" s="3" t="s">
        <v>121</v>
      </c>
      <c r="I268" s="3" t="s">
        <v>410</v>
      </c>
      <c r="J268" s="3" t="s">
        <v>30</v>
      </c>
      <c r="K268" s="3" t="s">
        <v>30</v>
      </c>
      <c r="L268" s="3" t="s">
        <v>123</v>
      </c>
      <c r="M268" s="3" t="s">
        <v>31</v>
      </c>
      <c r="N268" s="3" t="s">
        <v>377</v>
      </c>
      <c r="O268" s="3" t="s">
        <v>125</v>
      </c>
      <c r="P268" s="3" t="s">
        <v>574</v>
      </c>
      <c r="Q268" s="3" t="s">
        <v>146</v>
      </c>
      <c r="R268" s="3" t="s">
        <v>128</v>
      </c>
      <c r="S268" s="3" t="s">
        <v>34</v>
      </c>
      <c r="T268" s="143">
        <v>4.5460000000000003</v>
      </c>
      <c r="U268" s="3" t="s">
        <v>575</v>
      </c>
      <c r="V268" s="155">
        <v>7.9500000000000001E-2</v>
      </c>
      <c r="W268" s="155">
        <v>7.0550000000000002E-2</v>
      </c>
      <c r="X268" s="5" t="s">
        <v>129</v>
      </c>
      <c r="Y268" s="5" t="s">
        <v>125</v>
      </c>
      <c r="Z268" s="143">
        <v>42000</v>
      </c>
      <c r="AA268" s="153">
        <v>1</v>
      </c>
      <c r="AB268" s="163">
        <v>103.03</v>
      </c>
      <c r="AD268" s="143">
        <v>43.273000000000003</v>
      </c>
      <c r="AG268" s="3" t="s">
        <v>36</v>
      </c>
      <c r="AH268" s="155">
        <v>0</v>
      </c>
      <c r="AI268" s="155">
        <v>6.1035254269586701E-3</v>
      </c>
      <c r="AJ268" s="155">
        <v>8.6247973663198195E-4</v>
      </c>
    </row>
    <row r="269" spans="1:36">
      <c r="A269" s="3">
        <v>337</v>
      </c>
      <c r="B269" s="3">
        <v>9962</v>
      </c>
      <c r="C269" s="185" t="s">
        <v>570</v>
      </c>
      <c r="D269" s="3" t="s">
        <v>571</v>
      </c>
      <c r="E269" s="189" t="s">
        <v>439</v>
      </c>
      <c r="F269" s="185" t="s">
        <v>576</v>
      </c>
      <c r="G269" s="3" t="s">
        <v>577</v>
      </c>
      <c r="H269" s="3" t="s">
        <v>121</v>
      </c>
      <c r="I269" s="3" t="s">
        <v>122</v>
      </c>
      <c r="J269" s="3" t="s">
        <v>30</v>
      </c>
      <c r="K269" s="3" t="s">
        <v>30</v>
      </c>
      <c r="L269" s="3" t="s">
        <v>123</v>
      </c>
      <c r="M269" s="3" t="s">
        <v>31</v>
      </c>
      <c r="N269" s="3" t="s">
        <v>377</v>
      </c>
      <c r="O269" s="3" t="s">
        <v>125</v>
      </c>
      <c r="P269" s="3" t="s">
        <v>260</v>
      </c>
      <c r="Q269" s="3" t="s">
        <v>146</v>
      </c>
      <c r="R269" s="3" t="s">
        <v>128</v>
      </c>
      <c r="S269" s="3" t="s">
        <v>34</v>
      </c>
      <c r="T269" s="143">
        <v>1.2529999999999999</v>
      </c>
      <c r="U269" s="3" t="s">
        <v>578</v>
      </c>
      <c r="V269" s="155">
        <v>5.2499999999999998E-2</v>
      </c>
      <c r="W269" s="155">
        <v>4.9090000000000002E-2</v>
      </c>
      <c r="X269" s="5" t="s">
        <v>129</v>
      </c>
      <c r="Y269" s="5" t="s">
        <v>125</v>
      </c>
      <c r="Z269" s="143">
        <v>75000</v>
      </c>
      <c r="AA269" s="153">
        <v>1</v>
      </c>
      <c r="AB269" s="163">
        <v>102.93</v>
      </c>
      <c r="AD269" s="143">
        <v>77.197999999999993</v>
      </c>
      <c r="AG269" s="3" t="s">
        <v>36</v>
      </c>
      <c r="AH269" s="155">
        <v>2.2699999999999999E-4</v>
      </c>
      <c r="AI269" s="155">
        <v>1.0888573927789E-2</v>
      </c>
      <c r="AJ269" s="155">
        <v>1.53864753836486E-3</v>
      </c>
    </row>
    <row r="270" spans="1:36">
      <c r="A270" s="3">
        <v>337</v>
      </c>
      <c r="B270" s="3">
        <v>9962</v>
      </c>
      <c r="C270" s="185" t="s">
        <v>570</v>
      </c>
      <c r="D270" s="3" t="s">
        <v>571</v>
      </c>
      <c r="E270" s="189" t="s">
        <v>439</v>
      </c>
      <c r="F270" s="185" t="s">
        <v>579</v>
      </c>
      <c r="G270" s="3" t="s">
        <v>580</v>
      </c>
      <c r="H270" s="3" t="s">
        <v>121</v>
      </c>
      <c r="I270" s="3" t="s">
        <v>122</v>
      </c>
      <c r="J270" s="3" t="s">
        <v>30</v>
      </c>
      <c r="K270" s="3" t="s">
        <v>80</v>
      </c>
      <c r="L270" s="3" t="s">
        <v>123</v>
      </c>
      <c r="M270" s="3" t="s">
        <v>31</v>
      </c>
      <c r="N270" s="3" t="s">
        <v>377</v>
      </c>
      <c r="O270" s="3" t="s">
        <v>125</v>
      </c>
      <c r="P270" s="3" t="s">
        <v>260</v>
      </c>
      <c r="Q270" s="3" t="s">
        <v>146</v>
      </c>
      <c r="R270" s="3" t="s">
        <v>128</v>
      </c>
      <c r="S270" s="3" t="s">
        <v>34</v>
      </c>
      <c r="T270" s="143">
        <v>2.121</v>
      </c>
      <c r="U270" s="3" t="s">
        <v>581</v>
      </c>
      <c r="V270" s="155">
        <v>6.5000000000000002E-2</v>
      </c>
      <c r="W270" s="155">
        <v>4.8140000000000002E-2</v>
      </c>
      <c r="X270" s="5" t="s">
        <v>129</v>
      </c>
      <c r="Y270" s="5" t="s">
        <v>125</v>
      </c>
      <c r="Z270" s="143">
        <v>56000</v>
      </c>
      <c r="AA270" s="153">
        <v>1</v>
      </c>
      <c r="AB270" s="163">
        <v>103.66</v>
      </c>
      <c r="AD270" s="143">
        <v>58.05</v>
      </c>
      <c r="AG270" s="3" t="s">
        <v>36</v>
      </c>
      <c r="AH270" s="155">
        <v>1.12E-4</v>
      </c>
      <c r="AI270" s="155">
        <v>8.1877957327449805E-3</v>
      </c>
      <c r="AJ270" s="155">
        <v>1.1570047494163E-3</v>
      </c>
    </row>
    <row r="271" spans="1:36">
      <c r="A271" s="3">
        <v>337</v>
      </c>
      <c r="B271" s="3">
        <v>9962</v>
      </c>
      <c r="C271" s="185" t="s">
        <v>570</v>
      </c>
      <c r="D271" s="3" t="s">
        <v>571</v>
      </c>
      <c r="E271" s="189" t="s">
        <v>439</v>
      </c>
      <c r="F271" s="185" t="s">
        <v>582</v>
      </c>
      <c r="G271" s="3" t="s">
        <v>583</v>
      </c>
      <c r="H271" s="3" t="s">
        <v>121</v>
      </c>
      <c r="I271" s="3" t="s">
        <v>122</v>
      </c>
      <c r="J271" s="3" t="s">
        <v>30</v>
      </c>
      <c r="K271" s="3" t="s">
        <v>30</v>
      </c>
      <c r="L271" s="3" t="s">
        <v>123</v>
      </c>
      <c r="M271" s="3" t="s">
        <v>31</v>
      </c>
      <c r="N271" s="3" t="s">
        <v>377</v>
      </c>
      <c r="O271" s="3" t="s">
        <v>125</v>
      </c>
      <c r="P271" s="3" t="s">
        <v>260</v>
      </c>
      <c r="Q271" s="3" t="s">
        <v>146</v>
      </c>
      <c r="R271" s="3" t="s">
        <v>128</v>
      </c>
      <c r="S271" s="3" t="s">
        <v>34</v>
      </c>
      <c r="T271" s="143">
        <v>2.722</v>
      </c>
      <c r="U271" s="3" t="s">
        <v>193</v>
      </c>
      <c r="V271" s="155">
        <v>6.7000000000000004E-2</v>
      </c>
      <c r="W271" s="155">
        <v>4.811E-2</v>
      </c>
      <c r="X271" s="5" t="s">
        <v>129</v>
      </c>
      <c r="Y271" s="5" t="s">
        <v>125</v>
      </c>
      <c r="Z271" s="143">
        <v>48000</v>
      </c>
      <c r="AA271" s="153">
        <v>1</v>
      </c>
      <c r="AB271" s="163">
        <v>107.03</v>
      </c>
      <c r="AD271" s="143">
        <v>51.374000000000002</v>
      </c>
      <c r="AG271" s="3" t="s">
        <v>36</v>
      </c>
      <c r="AH271" s="155">
        <v>5.3000000000000001E-5</v>
      </c>
      <c r="AI271" s="155">
        <v>7.2462703118080698E-3</v>
      </c>
      <c r="AJ271" s="155">
        <v>1.0239592486151999E-3</v>
      </c>
    </row>
    <row r="272" spans="1:36">
      <c r="A272" s="3">
        <v>337</v>
      </c>
      <c r="B272" s="3">
        <v>9962</v>
      </c>
      <c r="C272" s="185" t="s">
        <v>584</v>
      </c>
      <c r="D272" s="3" t="s">
        <v>585</v>
      </c>
      <c r="E272" s="189" t="s">
        <v>118</v>
      </c>
      <c r="F272" s="185" t="s">
        <v>586</v>
      </c>
      <c r="G272" s="3" t="s">
        <v>587</v>
      </c>
      <c r="H272" s="3" t="s">
        <v>121</v>
      </c>
      <c r="I272" s="3" t="s">
        <v>132</v>
      </c>
      <c r="J272" s="3" t="s">
        <v>30</v>
      </c>
      <c r="K272" s="3" t="s">
        <v>30</v>
      </c>
      <c r="L272" s="3" t="s">
        <v>123</v>
      </c>
      <c r="M272" s="3" t="s">
        <v>31</v>
      </c>
      <c r="N272" s="3" t="s">
        <v>228</v>
      </c>
      <c r="O272" s="3" t="s">
        <v>125</v>
      </c>
      <c r="P272" s="3" t="s">
        <v>243</v>
      </c>
      <c r="Q272" s="3" t="s">
        <v>127</v>
      </c>
      <c r="R272" s="3" t="s">
        <v>128</v>
      </c>
      <c r="S272" s="3" t="s">
        <v>34</v>
      </c>
      <c r="T272" s="143">
        <v>1.7809999999999999</v>
      </c>
      <c r="U272" s="3" t="s">
        <v>385</v>
      </c>
      <c r="V272" s="155">
        <v>1.4800000000000001E-2</v>
      </c>
      <c r="W272" s="155">
        <v>3.4369999999999998E-2</v>
      </c>
      <c r="X272" s="5" t="s">
        <v>129</v>
      </c>
      <c r="Y272" s="5" t="s">
        <v>125</v>
      </c>
      <c r="Z272" s="143">
        <v>34720</v>
      </c>
      <c r="AA272" s="153">
        <v>1</v>
      </c>
      <c r="AB272" s="163">
        <v>111.89</v>
      </c>
      <c r="AD272" s="143">
        <v>38.847999999999999</v>
      </c>
      <c r="AG272" s="3" t="s">
        <v>36</v>
      </c>
      <c r="AH272" s="155">
        <v>1.27E-4</v>
      </c>
      <c r="AI272" s="155">
        <v>5.4794725835697299E-3</v>
      </c>
      <c r="AJ272" s="155">
        <v>7.7429579467063402E-4</v>
      </c>
    </row>
    <row r="273" spans="1:36">
      <c r="A273" s="3">
        <v>337</v>
      </c>
      <c r="B273" s="3">
        <v>9962</v>
      </c>
      <c r="C273" s="185" t="s">
        <v>588</v>
      </c>
      <c r="D273" s="3" t="s">
        <v>589</v>
      </c>
      <c r="E273" s="189" t="s">
        <v>118</v>
      </c>
      <c r="F273" s="185" t="s">
        <v>592</v>
      </c>
      <c r="G273" s="3" t="s">
        <v>593</v>
      </c>
      <c r="H273" s="3" t="s">
        <v>121</v>
      </c>
      <c r="I273" s="3" t="s">
        <v>132</v>
      </c>
      <c r="J273" s="3" t="s">
        <v>30</v>
      </c>
      <c r="K273" s="3" t="s">
        <v>30</v>
      </c>
      <c r="L273" s="3" t="s">
        <v>123</v>
      </c>
      <c r="M273" s="3" t="s">
        <v>31</v>
      </c>
      <c r="N273" s="3" t="s">
        <v>171</v>
      </c>
      <c r="O273" s="3" t="s">
        <v>125</v>
      </c>
      <c r="P273" s="3" t="s">
        <v>198</v>
      </c>
      <c r="Q273" s="3" t="s">
        <v>146</v>
      </c>
      <c r="R273" s="3" t="s">
        <v>128</v>
      </c>
      <c r="S273" s="3" t="s">
        <v>34</v>
      </c>
      <c r="T273" s="143">
        <v>3.1629999999999998</v>
      </c>
      <c r="U273" s="3" t="s">
        <v>199</v>
      </c>
      <c r="V273" s="155">
        <v>3.6200000000000003E-2</v>
      </c>
      <c r="W273" s="155">
        <v>2.5850000000000001E-2</v>
      </c>
      <c r="X273" s="5" t="s">
        <v>129</v>
      </c>
      <c r="Y273" s="5" t="s">
        <v>125</v>
      </c>
      <c r="Z273" s="143">
        <v>19110</v>
      </c>
      <c r="AA273" s="153">
        <v>1</v>
      </c>
      <c r="AB273" s="163">
        <v>112.39</v>
      </c>
      <c r="AD273" s="143">
        <v>21.478000000000002</v>
      </c>
      <c r="AG273" s="3" t="s">
        <v>36</v>
      </c>
      <c r="AH273" s="155">
        <v>1.1E-5</v>
      </c>
      <c r="AI273" s="155">
        <v>3.0293965480425902E-3</v>
      </c>
      <c r="AJ273" s="155">
        <v>4.2807934007600798E-4</v>
      </c>
    </row>
    <row r="274" spans="1:36">
      <c r="A274" s="3">
        <v>337</v>
      </c>
      <c r="B274" s="3">
        <v>9962</v>
      </c>
      <c r="C274" s="185" t="s">
        <v>594</v>
      </c>
      <c r="D274" s="3" t="s">
        <v>595</v>
      </c>
      <c r="E274" s="189" t="s">
        <v>269</v>
      </c>
      <c r="F274" s="185" t="s">
        <v>596</v>
      </c>
      <c r="G274" s="3" t="s">
        <v>597</v>
      </c>
      <c r="H274" s="3" t="s">
        <v>121</v>
      </c>
      <c r="I274" s="3" t="s">
        <v>122</v>
      </c>
      <c r="J274" s="3" t="s">
        <v>30</v>
      </c>
      <c r="K274" s="3" t="s">
        <v>80</v>
      </c>
      <c r="L274" s="3" t="s">
        <v>123</v>
      </c>
      <c r="M274" s="3" t="s">
        <v>31</v>
      </c>
      <c r="N274" s="3" t="s">
        <v>139</v>
      </c>
      <c r="O274" s="3" t="s">
        <v>125</v>
      </c>
      <c r="P274" s="3" t="s">
        <v>145</v>
      </c>
      <c r="Q274" s="3" t="s">
        <v>146</v>
      </c>
      <c r="R274" s="3" t="s">
        <v>128</v>
      </c>
      <c r="S274" s="3" t="s">
        <v>34</v>
      </c>
      <c r="T274" s="143">
        <v>3.173</v>
      </c>
      <c r="U274" s="3" t="s">
        <v>598</v>
      </c>
      <c r="V274" s="155">
        <v>4.4999999999999998E-2</v>
      </c>
      <c r="W274" s="155">
        <v>5.1920000000000001E-2</v>
      </c>
      <c r="X274" s="5" t="s">
        <v>129</v>
      </c>
      <c r="Y274" s="5" t="s">
        <v>125</v>
      </c>
      <c r="Z274" s="143">
        <v>47987.28</v>
      </c>
      <c r="AA274" s="153">
        <v>1</v>
      </c>
      <c r="AB274" s="163">
        <v>99</v>
      </c>
      <c r="AD274" s="143">
        <v>47.506999999999998</v>
      </c>
      <c r="AG274" s="3" t="s">
        <v>36</v>
      </c>
      <c r="AH274" s="155">
        <v>6.3999999999999997E-5</v>
      </c>
      <c r="AI274" s="155">
        <v>6.7008376620327796E-3</v>
      </c>
      <c r="AJ274" s="155">
        <v>9.4688500459700405E-4</v>
      </c>
    </row>
    <row r="275" spans="1:36">
      <c r="A275" s="3">
        <v>337</v>
      </c>
      <c r="B275" s="3">
        <v>9962</v>
      </c>
      <c r="C275" s="185" t="s">
        <v>594</v>
      </c>
      <c r="D275" s="3" t="s">
        <v>595</v>
      </c>
      <c r="E275" s="189" t="s">
        <v>269</v>
      </c>
      <c r="F275" s="185" t="s">
        <v>599</v>
      </c>
      <c r="G275" s="3" t="s">
        <v>600</v>
      </c>
      <c r="H275" s="3" t="s">
        <v>121</v>
      </c>
      <c r="I275" s="3" t="s">
        <v>122</v>
      </c>
      <c r="J275" s="3" t="s">
        <v>30</v>
      </c>
      <c r="K275" s="3" t="s">
        <v>30</v>
      </c>
      <c r="L275" s="3" t="s">
        <v>123</v>
      </c>
      <c r="M275" s="3" t="s">
        <v>31</v>
      </c>
      <c r="N275" s="3" t="s">
        <v>139</v>
      </c>
      <c r="O275" s="3" t="s">
        <v>125</v>
      </c>
      <c r="P275" s="3" t="s">
        <v>165</v>
      </c>
      <c r="Q275" s="3" t="s">
        <v>146</v>
      </c>
      <c r="R275" s="3" t="s">
        <v>128</v>
      </c>
      <c r="S275" s="3" t="s">
        <v>34</v>
      </c>
      <c r="T275" s="143">
        <v>1.419</v>
      </c>
      <c r="U275" s="3" t="s">
        <v>244</v>
      </c>
      <c r="V275" s="155">
        <v>6.3500000000000001E-2</v>
      </c>
      <c r="W275" s="155">
        <v>5.0569999999999997E-2</v>
      </c>
      <c r="X275" s="5" t="s">
        <v>129</v>
      </c>
      <c r="Y275" s="5" t="s">
        <v>125</v>
      </c>
      <c r="Z275" s="143">
        <v>24250</v>
      </c>
      <c r="AA275" s="153">
        <v>1</v>
      </c>
      <c r="AB275" s="163">
        <v>101.93</v>
      </c>
      <c r="AD275" s="143">
        <v>24.718</v>
      </c>
      <c r="AG275" s="3" t="s">
        <v>36</v>
      </c>
      <c r="AH275" s="155">
        <v>6.0999999999999999E-5</v>
      </c>
      <c r="AI275" s="155">
        <v>3.4864346975152899E-3</v>
      </c>
      <c r="AJ275" s="155">
        <v>4.9266269399256702E-4</v>
      </c>
    </row>
    <row r="276" spans="1:36">
      <c r="A276" s="3">
        <v>337</v>
      </c>
      <c r="B276" s="3">
        <v>9962</v>
      </c>
      <c r="C276" s="185" t="s">
        <v>594</v>
      </c>
      <c r="D276" s="3" t="s">
        <v>595</v>
      </c>
      <c r="E276" s="189" t="s">
        <v>269</v>
      </c>
      <c r="F276" s="185" t="s">
        <v>601</v>
      </c>
      <c r="G276" s="3" t="s">
        <v>602</v>
      </c>
      <c r="H276" s="3" t="s">
        <v>121</v>
      </c>
      <c r="I276" s="3" t="s">
        <v>122</v>
      </c>
      <c r="J276" s="3" t="s">
        <v>30</v>
      </c>
      <c r="K276" s="3" t="s">
        <v>30</v>
      </c>
      <c r="L276" s="3" t="s">
        <v>123</v>
      </c>
      <c r="M276" s="3" t="s">
        <v>31</v>
      </c>
      <c r="N276" s="3" t="s">
        <v>139</v>
      </c>
      <c r="O276" s="3" t="s">
        <v>125</v>
      </c>
      <c r="P276" s="3" t="s">
        <v>165</v>
      </c>
      <c r="Q276" s="3" t="s">
        <v>146</v>
      </c>
      <c r="R276" s="3" t="s">
        <v>128</v>
      </c>
      <c r="S276" s="3" t="s">
        <v>34</v>
      </c>
      <c r="T276" s="143">
        <v>2.992</v>
      </c>
      <c r="U276" s="3" t="s">
        <v>603</v>
      </c>
      <c r="V276" s="155">
        <v>6.25E-2</v>
      </c>
      <c r="W276" s="155">
        <v>4.9709999999999997E-2</v>
      </c>
      <c r="X276" s="5" t="s">
        <v>129</v>
      </c>
      <c r="Y276" s="5" t="s">
        <v>125</v>
      </c>
      <c r="Z276" s="143">
        <v>29000</v>
      </c>
      <c r="AA276" s="153">
        <v>1</v>
      </c>
      <c r="AB276" s="163">
        <v>105.34</v>
      </c>
      <c r="AD276" s="143">
        <v>30.548999999999999</v>
      </c>
      <c r="AG276" s="3" t="s">
        <v>36</v>
      </c>
      <c r="AH276" s="155">
        <v>5.3000000000000001E-5</v>
      </c>
      <c r="AI276" s="155">
        <v>4.3088272222605003E-3</v>
      </c>
      <c r="AJ276" s="155">
        <v>6.0887370951770296E-4</v>
      </c>
    </row>
    <row r="277" spans="1:36">
      <c r="A277" s="3">
        <v>337</v>
      </c>
      <c r="B277" s="3">
        <v>9962</v>
      </c>
      <c r="C277" s="185" t="s">
        <v>604</v>
      </c>
      <c r="D277" s="3" t="s">
        <v>605</v>
      </c>
      <c r="E277" s="189" t="s">
        <v>118</v>
      </c>
      <c r="F277" s="185" t="s">
        <v>606</v>
      </c>
      <c r="G277" s="3" t="s">
        <v>607</v>
      </c>
      <c r="H277" s="3" t="s">
        <v>121</v>
      </c>
      <c r="I277" s="3" t="s">
        <v>132</v>
      </c>
      <c r="J277" s="3" t="s">
        <v>30</v>
      </c>
      <c r="K277" s="3" t="s">
        <v>30</v>
      </c>
      <c r="L277" s="3" t="s">
        <v>123</v>
      </c>
      <c r="M277" s="3" t="s">
        <v>31</v>
      </c>
      <c r="N277" s="3" t="s">
        <v>228</v>
      </c>
      <c r="O277" s="3" t="s">
        <v>125</v>
      </c>
      <c r="P277" s="3" t="s">
        <v>178</v>
      </c>
      <c r="Q277" s="3" t="s">
        <v>178</v>
      </c>
      <c r="R277" s="3" t="s">
        <v>178</v>
      </c>
      <c r="S277" s="3" t="s">
        <v>34</v>
      </c>
      <c r="T277" s="143">
        <v>1.639</v>
      </c>
      <c r="U277" s="3" t="s">
        <v>385</v>
      </c>
      <c r="V277" s="155">
        <v>2.3E-2</v>
      </c>
      <c r="W277" s="155">
        <v>2.5600000000000001E-2</v>
      </c>
      <c r="X277" s="5" t="s">
        <v>129</v>
      </c>
      <c r="Y277" s="5" t="s">
        <v>125</v>
      </c>
      <c r="Z277" s="143">
        <v>23400</v>
      </c>
      <c r="AA277" s="153">
        <v>1</v>
      </c>
      <c r="AB277" s="163">
        <v>114.4</v>
      </c>
      <c r="AD277" s="143">
        <v>26.77</v>
      </c>
      <c r="AG277" s="3" t="s">
        <v>36</v>
      </c>
      <c r="AH277" s="155">
        <v>4.3100000000000001E-4</v>
      </c>
      <c r="AI277" s="155">
        <v>3.7758058048167399E-3</v>
      </c>
      <c r="AJ277" s="155">
        <v>5.3355327754152804E-4</v>
      </c>
    </row>
    <row r="278" spans="1:36">
      <c r="A278" s="3">
        <v>337</v>
      </c>
      <c r="B278" s="3">
        <v>9962</v>
      </c>
      <c r="C278" s="185" t="s">
        <v>608</v>
      </c>
      <c r="D278" s="3" t="s">
        <v>609</v>
      </c>
      <c r="E278" s="189" t="s">
        <v>269</v>
      </c>
      <c r="F278" s="185" t="s">
        <v>846</v>
      </c>
      <c r="G278" s="3" t="s">
        <v>847</v>
      </c>
      <c r="H278" s="3" t="s">
        <v>121</v>
      </c>
      <c r="I278" s="3" t="s">
        <v>122</v>
      </c>
      <c r="J278" s="3" t="s">
        <v>30</v>
      </c>
      <c r="K278" s="3" t="s">
        <v>80</v>
      </c>
      <c r="L278" s="3" t="s">
        <v>123</v>
      </c>
      <c r="M278" s="3" t="s">
        <v>31</v>
      </c>
      <c r="N278" s="3" t="s">
        <v>139</v>
      </c>
      <c r="O278" s="3" t="s">
        <v>125</v>
      </c>
      <c r="P278" s="3" t="s">
        <v>153</v>
      </c>
      <c r="Q278" s="3" t="s">
        <v>146</v>
      </c>
      <c r="R278" s="3" t="s">
        <v>128</v>
      </c>
      <c r="S278" s="3" t="s">
        <v>34</v>
      </c>
      <c r="T278" s="143">
        <v>0.72399999999999998</v>
      </c>
      <c r="U278" s="3" t="s">
        <v>561</v>
      </c>
      <c r="V278" s="155">
        <v>9.0999999999999998E-2</v>
      </c>
      <c r="W278" s="155">
        <v>6.6239999999999993E-2</v>
      </c>
      <c r="X278" s="5" t="s">
        <v>129</v>
      </c>
      <c r="Y278" s="5" t="s">
        <v>125</v>
      </c>
      <c r="Z278" s="143">
        <v>44000</v>
      </c>
      <c r="AA278" s="153">
        <v>1</v>
      </c>
      <c r="AB278" s="163">
        <v>104.15</v>
      </c>
      <c r="AD278" s="143">
        <v>45.826000000000001</v>
      </c>
      <c r="AG278" s="3" t="s">
        <v>36</v>
      </c>
      <c r="AH278" s="155">
        <v>2.5000000000000001E-4</v>
      </c>
      <c r="AI278" s="155">
        <v>6.4636780830319499E-3</v>
      </c>
      <c r="AJ278" s="155">
        <v>9.1337235134697698E-4</v>
      </c>
    </row>
    <row r="279" spans="1:36">
      <c r="A279" s="3">
        <v>337</v>
      </c>
      <c r="B279" s="3">
        <v>9962</v>
      </c>
      <c r="C279" s="185" t="s">
        <v>612</v>
      </c>
      <c r="D279" s="3" t="s">
        <v>613</v>
      </c>
      <c r="E279" s="189" t="s">
        <v>269</v>
      </c>
      <c r="F279" s="185" t="s">
        <v>614</v>
      </c>
      <c r="G279" s="3" t="s">
        <v>615</v>
      </c>
      <c r="H279" s="3" t="s">
        <v>121</v>
      </c>
      <c r="I279" s="3" t="s">
        <v>410</v>
      </c>
      <c r="J279" s="3" t="s">
        <v>30</v>
      </c>
      <c r="K279" s="3" t="s">
        <v>80</v>
      </c>
      <c r="L279" s="3" t="s">
        <v>123</v>
      </c>
      <c r="M279" s="3" t="s">
        <v>31</v>
      </c>
      <c r="N279" s="3" t="s">
        <v>242</v>
      </c>
      <c r="O279" s="3" t="s">
        <v>125</v>
      </c>
      <c r="P279" s="3" t="s">
        <v>422</v>
      </c>
      <c r="Q279" s="3" t="s">
        <v>127</v>
      </c>
      <c r="R279" s="3" t="s">
        <v>128</v>
      </c>
      <c r="S279" s="3" t="s">
        <v>34</v>
      </c>
      <c r="T279" s="143">
        <v>0.64900000000000002</v>
      </c>
      <c r="U279" s="3" t="s">
        <v>616</v>
      </c>
      <c r="V279" s="155">
        <v>7.2720000000000007E-2</v>
      </c>
      <c r="W279" s="155">
        <v>9.1420000000000001E-2</v>
      </c>
      <c r="X279" s="5" t="s">
        <v>129</v>
      </c>
      <c r="Y279" s="5" t="s">
        <v>125</v>
      </c>
      <c r="Z279" s="143">
        <v>33000</v>
      </c>
      <c r="AA279" s="153">
        <v>1</v>
      </c>
      <c r="AB279" s="163">
        <v>87</v>
      </c>
      <c r="AD279" s="143">
        <v>28.71</v>
      </c>
      <c r="AG279" s="3" t="s">
        <v>36</v>
      </c>
      <c r="AH279" s="155">
        <v>7.7999999999999999E-5</v>
      </c>
      <c r="AI279" s="155">
        <v>4.0494958705504999E-3</v>
      </c>
      <c r="AJ279" s="155">
        <v>5.7222799736332498E-4</v>
      </c>
    </row>
    <row r="280" spans="1:36">
      <c r="A280" s="3">
        <v>337</v>
      </c>
      <c r="B280" s="3">
        <v>9962</v>
      </c>
      <c r="C280" s="185" t="s">
        <v>617</v>
      </c>
      <c r="D280" s="3" t="s">
        <v>618</v>
      </c>
      <c r="E280" s="189" t="s">
        <v>269</v>
      </c>
      <c r="F280" s="185" t="s">
        <v>619</v>
      </c>
      <c r="G280" s="3" t="s">
        <v>620</v>
      </c>
      <c r="H280" s="3" t="s">
        <v>121</v>
      </c>
      <c r="I280" s="3" t="s">
        <v>122</v>
      </c>
      <c r="J280" s="3" t="s">
        <v>30</v>
      </c>
      <c r="K280" s="3" t="s">
        <v>80</v>
      </c>
      <c r="L280" s="3" t="s">
        <v>123</v>
      </c>
      <c r="M280" s="3" t="s">
        <v>31</v>
      </c>
      <c r="N280" s="3" t="s">
        <v>139</v>
      </c>
      <c r="O280" s="3" t="s">
        <v>125</v>
      </c>
      <c r="P280" s="3" t="s">
        <v>165</v>
      </c>
      <c r="Q280" s="3" t="s">
        <v>146</v>
      </c>
      <c r="R280" s="3" t="s">
        <v>128</v>
      </c>
      <c r="S280" s="3" t="s">
        <v>34</v>
      </c>
      <c r="T280" s="143">
        <v>3.5720000000000001</v>
      </c>
      <c r="U280" s="3" t="s">
        <v>621</v>
      </c>
      <c r="V280" s="155">
        <v>6.7400000000000002E-2</v>
      </c>
      <c r="W280" s="155">
        <v>5.586E-2</v>
      </c>
      <c r="X280" s="5" t="s">
        <v>129</v>
      </c>
      <c r="Y280" s="5" t="s">
        <v>125</v>
      </c>
      <c r="Z280" s="143">
        <v>64000</v>
      </c>
      <c r="AA280" s="153">
        <v>1</v>
      </c>
      <c r="AB280" s="163">
        <v>104.35</v>
      </c>
      <c r="AD280" s="143">
        <v>66.784000000000006</v>
      </c>
      <c r="AG280" s="3" t="s">
        <v>36</v>
      </c>
      <c r="AH280" s="155">
        <v>1.13E-4</v>
      </c>
      <c r="AI280" s="155">
        <v>9.4197677540524098E-3</v>
      </c>
      <c r="AJ280" s="155">
        <v>1.33109281002829E-3</v>
      </c>
    </row>
    <row r="281" spans="1:36">
      <c r="A281" s="3">
        <v>337</v>
      </c>
      <c r="B281" s="3">
        <v>9962</v>
      </c>
      <c r="C281" s="185" t="s">
        <v>626</v>
      </c>
      <c r="D281" s="3" t="s">
        <v>627</v>
      </c>
      <c r="E281" s="189" t="s">
        <v>118</v>
      </c>
      <c r="F281" s="185" t="s">
        <v>628</v>
      </c>
      <c r="G281" s="3" t="s">
        <v>629</v>
      </c>
      <c r="H281" s="3" t="s">
        <v>121</v>
      </c>
      <c r="I281" s="3" t="s">
        <v>132</v>
      </c>
      <c r="J281" s="3" t="s">
        <v>30</v>
      </c>
      <c r="K281" s="3" t="s">
        <v>30</v>
      </c>
      <c r="L281" s="3" t="s">
        <v>123</v>
      </c>
      <c r="M281" s="3" t="s">
        <v>31</v>
      </c>
      <c r="N281" s="3" t="s">
        <v>171</v>
      </c>
      <c r="O281" s="3" t="s">
        <v>125</v>
      </c>
      <c r="P281" s="3" t="s">
        <v>630</v>
      </c>
      <c r="Q281" s="3" t="s">
        <v>146</v>
      </c>
      <c r="R281" s="3" t="s">
        <v>128</v>
      </c>
      <c r="S281" s="3" t="s">
        <v>34</v>
      </c>
      <c r="T281" s="143">
        <v>2.4470000000000001</v>
      </c>
      <c r="U281" s="3" t="s">
        <v>631</v>
      </c>
      <c r="V281" s="155">
        <v>1.34E-2</v>
      </c>
      <c r="W281" s="155">
        <v>2.5499999999999998E-2</v>
      </c>
      <c r="X281" s="5" t="s">
        <v>129</v>
      </c>
      <c r="Y281" s="5" t="s">
        <v>125</v>
      </c>
      <c r="Z281" s="143">
        <v>45000</v>
      </c>
      <c r="AA281" s="153">
        <v>1</v>
      </c>
      <c r="AB281" s="163">
        <v>116.05</v>
      </c>
      <c r="AC281" s="143">
        <v>6.375</v>
      </c>
      <c r="AD281" s="143">
        <v>58.597000000000001</v>
      </c>
      <c r="AG281" s="3" t="s">
        <v>36</v>
      </c>
      <c r="AH281" s="155">
        <v>2.3E-5</v>
      </c>
      <c r="AI281" s="155">
        <v>8.26502530324171E-3</v>
      </c>
      <c r="AJ281" s="155">
        <v>1.16791794055794E-3</v>
      </c>
    </row>
    <row r="282" spans="1:36">
      <c r="A282" s="3">
        <v>337</v>
      </c>
      <c r="B282" s="3">
        <v>9962</v>
      </c>
      <c r="C282" s="185" t="s">
        <v>626</v>
      </c>
      <c r="D282" s="3" t="s">
        <v>627</v>
      </c>
      <c r="E282" s="189" t="s">
        <v>118</v>
      </c>
      <c r="F282" s="185" t="s">
        <v>632</v>
      </c>
      <c r="G282" s="3" t="s">
        <v>633</v>
      </c>
      <c r="H282" s="3" t="s">
        <v>121</v>
      </c>
      <c r="I282" s="3" t="s">
        <v>132</v>
      </c>
      <c r="J282" s="3" t="s">
        <v>30</v>
      </c>
      <c r="K282" s="3" t="s">
        <v>30</v>
      </c>
      <c r="L282" s="3" t="s">
        <v>123</v>
      </c>
      <c r="M282" s="3" t="s">
        <v>31</v>
      </c>
      <c r="N282" s="3" t="s">
        <v>171</v>
      </c>
      <c r="O282" s="3" t="s">
        <v>125</v>
      </c>
      <c r="P282" s="3" t="s">
        <v>82</v>
      </c>
      <c r="Q282" s="3" t="s">
        <v>127</v>
      </c>
      <c r="R282" s="3" t="s">
        <v>128</v>
      </c>
      <c r="S282" s="3" t="s">
        <v>34</v>
      </c>
      <c r="T282" s="143">
        <v>1.47</v>
      </c>
      <c r="U282" s="3" t="s">
        <v>179</v>
      </c>
      <c r="V282" s="155">
        <v>1.77E-2</v>
      </c>
      <c r="W282" s="155">
        <v>2.5729999999999999E-2</v>
      </c>
      <c r="X282" s="5" t="s">
        <v>129</v>
      </c>
      <c r="Y282" s="5" t="s">
        <v>125</v>
      </c>
      <c r="Z282" s="143">
        <v>56756.76</v>
      </c>
      <c r="AA282" s="153">
        <v>1</v>
      </c>
      <c r="AB282" s="163">
        <v>116.62</v>
      </c>
      <c r="AD282" s="143">
        <v>66.19</v>
      </c>
      <c r="AG282" s="3" t="s">
        <v>36</v>
      </c>
      <c r="AH282" s="155">
        <v>2.3E-5</v>
      </c>
      <c r="AI282" s="155">
        <v>9.3359474931968608E-3</v>
      </c>
      <c r="AJ282" s="155">
        <v>1.3192482986270999E-3</v>
      </c>
    </row>
    <row r="283" spans="1:36">
      <c r="A283" s="3">
        <v>337</v>
      </c>
      <c r="B283" s="3">
        <v>9962</v>
      </c>
      <c r="C283" s="185" t="s">
        <v>626</v>
      </c>
      <c r="D283" s="3" t="s">
        <v>627</v>
      </c>
      <c r="E283" s="189" t="s">
        <v>118</v>
      </c>
      <c r="F283" s="185" t="s">
        <v>634</v>
      </c>
      <c r="G283" s="3" t="s">
        <v>635</v>
      </c>
      <c r="H283" s="3" t="s">
        <v>121</v>
      </c>
      <c r="I283" s="3" t="s">
        <v>132</v>
      </c>
      <c r="J283" s="3" t="s">
        <v>30</v>
      </c>
      <c r="K283" s="3" t="s">
        <v>30</v>
      </c>
      <c r="L283" s="3" t="s">
        <v>123</v>
      </c>
      <c r="M283" s="3" t="s">
        <v>31</v>
      </c>
      <c r="N283" s="3" t="s">
        <v>171</v>
      </c>
      <c r="O283" s="3" t="s">
        <v>125</v>
      </c>
      <c r="P283" s="3" t="s">
        <v>630</v>
      </c>
      <c r="Q283" s="3" t="s">
        <v>146</v>
      </c>
      <c r="R283" s="3" t="s">
        <v>128</v>
      </c>
      <c r="S283" s="3" t="s">
        <v>34</v>
      </c>
      <c r="T283" s="143">
        <v>5.97</v>
      </c>
      <c r="U283" s="3" t="s">
        <v>636</v>
      </c>
      <c r="V283" s="155">
        <v>8.9999999999999993E-3</v>
      </c>
      <c r="W283" s="155">
        <v>2.4170000000000001E-2</v>
      </c>
      <c r="X283" s="5" t="s">
        <v>129</v>
      </c>
      <c r="Y283" s="5" t="s">
        <v>125</v>
      </c>
      <c r="Z283" s="143">
        <v>77799.179999999993</v>
      </c>
      <c r="AA283" s="153">
        <v>1</v>
      </c>
      <c r="AB283" s="163">
        <v>106.24</v>
      </c>
      <c r="AC283" s="143">
        <v>0.40699999999999997</v>
      </c>
      <c r="AD283" s="143">
        <v>83.061000000000007</v>
      </c>
      <c r="AG283" s="3" t="s">
        <v>36</v>
      </c>
      <c r="AH283" s="155">
        <v>2.9E-5</v>
      </c>
      <c r="AI283" s="155">
        <v>1.1715565166677299E-2</v>
      </c>
      <c r="AJ283" s="155">
        <v>1.6555083910718799E-3</v>
      </c>
    </row>
    <row r="284" spans="1:36">
      <c r="A284" s="3">
        <v>337</v>
      </c>
      <c r="B284" s="3">
        <v>9962</v>
      </c>
      <c r="C284" s="185" t="s">
        <v>626</v>
      </c>
      <c r="D284" s="3" t="s">
        <v>627</v>
      </c>
      <c r="E284" s="189" t="s">
        <v>118</v>
      </c>
      <c r="F284" s="185" t="s">
        <v>848</v>
      </c>
      <c r="G284" s="3" t="s">
        <v>849</v>
      </c>
      <c r="H284" s="3" t="s">
        <v>121</v>
      </c>
      <c r="I284" s="3" t="s">
        <v>132</v>
      </c>
      <c r="J284" s="3" t="s">
        <v>30</v>
      </c>
      <c r="K284" s="3" t="s">
        <v>30</v>
      </c>
      <c r="L284" s="3" t="s">
        <v>123</v>
      </c>
      <c r="M284" s="3" t="s">
        <v>31</v>
      </c>
      <c r="N284" s="3" t="s">
        <v>171</v>
      </c>
      <c r="O284" s="3" t="s">
        <v>125</v>
      </c>
      <c r="P284" s="3" t="s">
        <v>82</v>
      </c>
      <c r="Q284" s="3" t="s">
        <v>127</v>
      </c>
      <c r="R284" s="3" t="s">
        <v>128</v>
      </c>
      <c r="S284" s="3" t="s">
        <v>34</v>
      </c>
      <c r="T284" s="143">
        <v>11.696999999999999</v>
      </c>
      <c r="U284" s="3" t="s">
        <v>850</v>
      </c>
      <c r="V284" s="155">
        <v>3.6700000000000003E-2</v>
      </c>
      <c r="W284" s="155">
        <v>2.9229999999999999E-2</v>
      </c>
      <c r="X284" s="5" t="s">
        <v>129</v>
      </c>
      <c r="Y284" s="5" t="s">
        <v>125</v>
      </c>
      <c r="Z284" s="143">
        <v>35000</v>
      </c>
      <c r="AA284" s="153">
        <v>1</v>
      </c>
      <c r="AB284" s="163">
        <v>113.25</v>
      </c>
      <c r="AC284" s="143">
        <v>0.66700000000000004</v>
      </c>
      <c r="AD284" s="143">
        <v>40.304000000000002</v>
      </c>
      <c r="AG284" s="3" t="s">
        <v>36</v>
      </c>
      <c r="AH284" s="155">
        <v>6.9999999999999999E-6</v>
      </c>
      <c r="AI284" s="155">
        <v>5.6848250439294002E-3</v>
      </c>
      <c r="AJ284" s="155">
        <v>8.0331383318743099E-4</v>
      </c>
    </row>
    <row r="285" spans="1:36">
      <c r="A285" s="3">
        <v>337</v>
      </c>
      <c r="B285" s="3">
        <v>9962</v>
      </c>
      <c r="C285" s="185" t="s">
        <v>640</v>
      </c>
      <c r="D285" s="3" t="s">
        <v>641</v>
      </c>
      <c r="E285" s="189" t="s">
        <v>118</v>
      </c>
      <c r="F285" s="185" t="s">
        <v>642</v>
      </c>
      <c r="G285" s="3" t="s">
        <v>643</v>
      </c>
      <c r="H285" s="3" t="s">
        <v>121</v>
      </c>
      <c r="I285" s="3" t="s">
        <v>122</v>
      </c>
      <c r="J285" s="3" t="s">
        <v>30</v>
      </c>
      <c r="K285" s="3" t="s">
        <v>30</v>
      </c>
      <c r="L285" s="3" t="s">
        <v>123</v>
      </c>
      <c r="M285" s="3" t="s">
        <v>31</v>
      </c>
      <c r="N285" s="3" t="s">
        <v>124</v>
      </c>
      <c r="O285" s="3" t="s">
        <v>125</v>
      </c>
      <c r="P285" s="3" t="s">
        <v>243</v>
      </c>
      <c r="Q285" s="3" t="s">
        <v>127</v>
      </c>
      <c r="R285" s="3" t="s">
        <v>128</v>
      </c>
      <c r="S285" s="3" t="s">
        <v>34</v>
      </c>
      <c r="T285" s="143">
        <v>0.91300000000000003</v>
      </c>
      <c r="U285" s="3" t="s">
        <v>35</v>
      </c>
      <c r="V285" s="155">
        <v>0.06</v>
      </c>
      <c r="W285" s="155">
        <v>4.8739999999999999E-2</v>
      </c>
      <c r="X285" s="5" t="s">
        <v>129</v>
      </c>
      <c r="Y285" s="5" t="s">
        <v>125</v>
      </c>
      <c r="Z285" s="143">
        <v>17428.89</v>
      </c>
      <c r="AA285" s="153">
        <v>1</v>
      </c>
      <c r="AB285" s="163">
        <v>101.59</v>
      </c>
      <c r="AD285" s="143">
        <v>17.706</v>
      </c>
      <c r="AG285" s="3" t="s">
        <v>36</v>
      </c>
      <c r="AH285" s="155">
        <v>1.03E-4</v>
      </c>
      <c r="AI285" s="155">
        <v>2.4974020115222199E-3</v>
      </c>
      <c r="AJ285" s="155">
        <v>3.5290401505465102E-4</v>
      </c>
    </row>
    <row r="286" spans="1:36">
      <c r="A286" s="3">
        <v>337</v>
      </c>
      <c r="B286" s="3">
        <v>9962</v>
      </c>
      <c r="C286" s="185" t="s">
        <v>851</v>
      </c>
      <c r="D286" s="3" t="s">
        <v>852</v>
      </c>
      <c r="E286" s="189" t="s">
        <v>118</v>
      </c>
      <c r="F286" s="185" t="s">
        <v>853</v>
      </c>
      <c r="G286" s="3" t="s">
        <v>854</v>
      </c>
      <c r="H286" s="3" t="s">
        <v>121</v>
      </c>
      <c r="I286" s="3" t="s">
        <v>132</v>
      </c>
      <c r="J286" s="3" t="s">
        <v>30</v>
      </c>
      <c r="K286" s="3" t="s">
        <v>30</v>
      </c>
      <c r="L286" s="3" t="s">
        <v>123</v>
      </c>
      <c r="M286" s="3" t="s">
        <v>31</v>
      </c>
      <c r="N286" s="3" t="s">
        <v>228</v>
      </c>
      <c r="O286" s="3" t="s">
        <v>125</v>
      </c>
      <c r="P286" s="3" t="s">
        <v>178</v>
      </c>
      <c r="Q286" s="3" t="s">
        <v>178</v>
      </c>
      <c r="R286" s="3" t="s">
        <v>178</v>
      </c>
      <c r="S286" s="3" t="s">
        <v>34</v>
      </c>
      <c r="T286" s="143">
        <v>1.5820000000000001</v>
      </c>
      <c r="U286" s="3" t="s">
        <v>385</v>
      </c>
      <c r="V286" s="155">
        <v>2.9499999999999998E-2</v>
      </c>
      <c r="W286" s="155">
        <v>3.5680000000000003E-2</v>
      </c>
      <c r="X286" s="5" t="s">
        <v>129</v>
      </c>
      <c r="Y286" s="5" t="s">
        <v>125</v>
      </c>
      <c r="Z286" s="143">
        <v>13000</v>
      </c>
      <c r="AA286" s="153">
        <v>1</v>
      </c>
      <c r="AB286" s="163">
        <v>112.17</v>
      </c>
      <c r="AD286" s="143">
        <v>14.582000000000001</v>
      </c>
      <c r="AG286" s="3" t="s">
        <v>36</v>
      </c>
      <c r="AH286" s="155">
        <v>6.6000000000000005E-5</v>
      </c>
      <c r="AI286" s="155">
        <v>2.05677999769956E-3</v>
      </c>
      <c r="AJ286" s="155">
        <v>2.9064039987292698E-4</v>
      </c>
    </row>
    <row r="287" spans="1:36">
      <c r="A287" s="3">
        <v>337</v>
      </c>
      <c r="B287" s="3">
        <v>9962</v>
      </c>
      <c r="C287" s="185" t="s">
        <v>644</v>
      </c>
      <c r="D287" s="3" t="s">
        <v>645</v>
      </c>
      <c r="E287" s="189" t="s">
        <v>118</v>
      </c>
      <c r="F287" s="185" t="s">
        <v>646</v>
      </c>
      <c r="G287" s="3" t="s">
        <v>647</v>
      </c>
      <c r="H287" s="3" t="s">
        <v>121</v>
      </c>
      <c r="I287" s="3" t="s">
        <v>132</v>
      </c>
      <c r="J287" s="3" t="s">
        <v>30</v>
      </c>
      <c r="K287" s="3" t="s">
        <v>30</v>
      </c>
      <c r="L287" s="3" t="s">
        <v>123</v>
      </c>
      <c r="M287" s="3" t="s">
        <v>31</v>
      </c>
      <c r="N287" s="3" t="s">
        <v>316</v>
      </c>
      <c r="O287" s="3" t="s">
        <v>125</v>
      </c>
      <c r="P287" s="3" t="s">
        <v>357</v>
      </c>
      <c r="Q287" s="3" t="s">
        <v>146</v>
      </c>
      <c r="R287" s="3" t="s">
        <v>128</v>
      </c>
      <c r="S287" s="3" t="s">
        <v>34</v>
      </c>
      <c r="T287" s="143">
        <v>3.3740000000000001</v>
      </c>
      <c r="U287" s="3" t="s">
        <v>648</v>
      </c>
      <c r="V287" s="155">
        <v>1E-3</v>
      </c>
      <c r="W287" s="155">
        <v>2.1420000000000002E-2</v>
      </c>
      <c r="X287" s="5" t="s">
        <v>129</v>
      </c>
      <c r="Y287" s="5" t="s">
        <v>125</v>
      </c>
      <c r="Z287" s="143">
        <v>18608.400000000001</v>
      </c>
      <c r="AA287" s="153">
        <v>1</v>
      </c>
      <c r="AB287" s="163">
        <v>107.43</v>
      </c>
      <c r="AD287" s="143">
        <v>19.991</v>
      </c>
      <c r="AG287" s="3" t="s">
        <v>36</v>
      </c>
      <c r="AH287" s="155">
        <v>2.1999999999999999E-5</v>
      </c>
      <c r="AI287" s="155">
        <v>2.8196965737407901E-3</v>
      </c>
      <c r="AJ287" s="155">
        <v>3.9844696108915298E-4</v>
      </c>
    </row>
    <row r="288" spans="1:36">
      <c r="A288" s="3">
        <v>337</v>
      </c>
      <c r="B288" s="3">
        <v>9962</v>
      </c>
      <c r="C288" s="185" t="s">
        <v>644</v>
      </c>
      <c r="D288" s="3" t="s">
        <v>645</v>
      </c>
      <c r="E288" s="189" t="s">
        <v>118</v>
      </c>
      <c r="F288" s="185" t="s">
        <v>855</v>
      </c>
      <c r="G288" s="3" t="s">
        <v>856</v>
      </c>
      <c r="H288" s="3" t="s">
        <v>121</v>
      </c>
      <c r="I288" s="3" t="s">
        <v>132</v>
      </c>
      <c r="J288" s="3" t="s">
        <v>30</v>
      </c>
      <c r="K288" s="3" t="s">
        <v>30</v>
      </c>
      <c r="L288" s="3" t="s">
        <v>123</v>
      </c>
      <c r="M288" s="3" t="s">
        <v>31</v>
      </c>
      <c r="N288" s="3" t="s">
        <v>316</v>
      </c>
      <c r="O288" s="3" t="s">
        <v>125</v>
      </c>
      <c r="P288" s="3" t="s">
        <v>357</v>
      </c>
      <c r="Q288" s="3" t="s">
        <v>146</v>
      </c>
      <c r="R288" s="3" t="s">
        <v>128</v>
      </c>
      <c r="S288" s="3" t="s">
        <v>34</v>
      </c>
      <c r="T288" s="143">
        <v>3.7730000000000001</v>
      </c>
      <c r="U288" s="3" t="s">
        <v>857</v>
      </c>
      <c r="V288" s="155">
        <v>1.3899999999999999E-2</v>
      </c>
      <c r="W288" s="155">
        <v>2.1940000000000001E-2</v>
      </c>
      <c r="X288" s="5" t="s">
        <v>129</v>
      </c>
      <c r="Y288" s="5" t="s">
        <v>125</v>
      </c>
      <c r="Z288" s="143">
        <v>30100</v>
      </c>
      <c r="AA288" s="153">
        <v>1</v>
      </c>
      <c r="AB288" s="163">
        <v>106.41</v>
      </c>
      <c r="AD288" s="143">
        <v>32.029000000000003</v>
      </c>
      <c r="AG288" s="3" t="s">
        <v>36</v>
      </c>
      <c r="AH288" s="155">
        <v>2.1999999999999999E-5</v>
      </c>
      <c r="AI288" s="155">
        <v>4.5176929129630396E-3</v>
      </c>
      <c r="AJ288" s="155">
        <v>6.3838819717968798E-4</v>
      </c>
    </row>
    <row r="289" spans="1:36">
      <c r="A289" s="3">
        <v>337</v>
      </c>
      <c r="B289" s="3">
        <v>9962</v>
      </c>
      <c r="C289" s="185" t="s">
        <v>644</v>
      </c>
      <c r="D289" s="3" t="s">
        <v>645</v>
      </c>
      <c r="E289" s="189" t="s">
        <v>118</v>
      </c>
      <c r="F289" s="185" t="s">
        <v>858</v>
      </c>
      <c r="G289" s="3" t="s">
        <v>859</v>
      </c>
      <c r="H289" s="3" t="s">
        <v>121</v>
      </c>
      <c r="I289" s="3" t="s">
        <v>132</v>
      </c>
      <c r="J289" s="3" t="s">
        <v>30</v>
      </c>
      <c r="K289" s="3" t="s">
        <v>30</v>
      </c>
      <c r="L289" s="3" t="s">
        <v>123</v>
      </c>
      <c r="M289" s="3" t="s">
        <v>31</v>
      </c>
      <c r="N289" s="3" t="s">
        <v>316</v>
      </c>
      <c r="O289" s="3" t="s">
        <v>125</v>
      </c>
      <c r="P289" s="3" t="s">
        <v>357</v>
      </c>
      <c r="Q289" s="3" t="s">
        <v>146</v>
      </c>
      <c r="R289" s="3" t="s">
        <v>128</v>
      </c>
      <c r="S289" s="3" t="s">
        <v>34</v>
      </c>
      <c r="T289" s="143">
        <v>1.3049999999999999</v>
      </c>
      <c r="U289" s="3" t="s">
        <v>860</v>
      </c>
      <c r="V289" s="155">
        <v>6.0000000000000001E-3</v>
      </c>
      <c r="W289" s="155">
        <v>2.4500000000000001E-2</v>
      </c>
      <c r="X289" s="5" t="s">
        <v>129</v>
      </c>
      <c r="Y289" s="5" t="s">
        <v>125</v>
      </c>
      <c r="Z289" s="143">
        <v>27900</v>
      </c>
      <c r="AA289" s="153">
        <v>1</v>
      </c>
      <c r="AB289" s="163">
        <v>116.67</v>
      </c>
      <c r="AD289" s="143">
        <v>32.551000000000002</v>
      </c>
      <c r="AG289" s="3" t="s">
        <v>36</v>
      </c>
      <c r="AH289" s="155">
        <v>4.1999999999999998E-5</v>
      </c>
      <c r="AI289" s="155">
        <v>4.5912524074391602E-3</v>
      </c>
      <c r="AJ289" s="155">
        <v>6.4878277555603496E-4</v>
      </c>
    </row>
    <row r="290" spans="1:36">
      <c r="A290" s="3">
        <v>337</v>
      </c>
      <c r="B290" s="3">
        <v>9962</v>
      </c>
      <c r="C290" s="185" t="s">
        <v>644</v>
      </c>
      <c r="D290" s="3" t="s">
        <v>645</v>
      </c>
      <c r="E290" s="189" t="s">
        <v>118</v>
      </c>
      <c r="F290" s="185" t="s">
        <v>649</v>
      </c>
      <c r="G290" s="3" t="s">
        <v>650</v>
      </c>
      <c r="H290" s="3" t="s">
        <v>121</v>
      </c>
      <c r="I290" s="3" t="s">
        <v>132</v>
      </c>
      <c r="J290" s="3" t="s">
        <v>30</v>
      </c>
      <c r="K290" s="3" t="s">
        <v>30</v>
      </c>
      <c r="L290" s="3" t="s">
        <v>123</v>
      </c>
      <c r="M290" s="3" t="s">
        <v>31</v>
      </c>
      <c r="N290" s="3" t="s">
        <v>316</v>
      </c>
      <c r="O290" s="3" t="s">
        <v>125</v>
      </c>
      <c r="P290" s="3" t="s">
        <v>357</v>
      </c>
      <c r="Q290" s="3" t="s">
        <v>146</v>
      </c>
      <c r="R290" s="3" t="s">
        <v>128</v>
      </c>
      <c r="S290" s="3" t="s">
        <v>34</v>
      </c>
      <c r="T290" s="143">
        <v>2.8460000000000001</v>
      </c>
      <c r="U290" s="3" t="s">
        <v>651</v>
      </c>
      <c r="V290" s="155">
        <v>1.7500000000000002E-2</v>
      </c>
      <c r="W290" s="155">
        <v>2.1700000000000001E-2</v>
      </c>
      <c r="X290" s="5" t="s">
        <v>129</v>
      </c>
      <c r="Y290" s="5" t="s">
        <v>125</v>
      </c>
      <c r="Z290" s="143">
        <v>21440.25</v>
      </c>
      <c r="AA290" s="153">
        <v>1</v>
      </c>
      <c r="AB290" s="163">
        <v>116.05</v>
      </c>
      <c r="AD290" s="143">
        <v>24.881</v>
      </c>
      <c r="AG290" s="3" t="s">
        <v>36</v>
      </c>
      <c r="AH290" s="155">
        <v>1.2E-5</v>
      </c>
      <c r="AI290" s="155">
        <v>3.50947988696137E-3</v>
      </c>
      <c r="AJ290" s="155">
        <v>4.9591917406493601E-4</v>
      </c>
    </row>
    <row r="291" spans="1:36">
      <c r="A291" s="3">
        <v>337</v>
      </c>
      <c r="B291" s="3">
        <v>9962</v>
      </c>
      <c r="C291" s="185" t="s">
        <v>644</v>
      </c>
      <c r="D291" s="3" t="s">
        <v>645</v>
      </c>
      <c r="E291" s="189" t="s">
        <v>118</v>
      </c>
      <c r="F291" s="185" t="s">
        <v>652</v>
      </c>
      <c r="G291" s="3" t="s">
        <v>653</v>
      </c>
      <c r="H291" s="3" t="s">
        <v>121</v>
      </c>
      <c r="I291" s="3" t="s">
        <v>132</v>
      </c>
      <c r="J291" s="3" t="s">
        <v>30</v>
      </c>
      <c r="K291" s="3" t="s">
        <v>30</v>
      </c>
      <c r="L291" s="3" t="s">
        <v>123</v>
      </c>
      <c r="M291" s="3" t="s">
        <v>31</v>
      </c>
      <c r="N291" s="3" t="s">
        <v>316</v>
      </c>
      <c r="O291" s="3" t="s">
        <v>125</v>
      </c>
      <c r="P291" s="3" t="s">
        <v>145</v>
      </c>
      <c r="Q291" s="3" t="s">
        <v>146</v>
      </c>
      <c r="R291" s="3" t="s">
        <v>128</v>
      </c>
      <c r="S291" s="3" t="s">
        <v>34</v>
      </c>
      <c r="T291" s="143">
        <v>9.8170000000000002</v>
      </c>
      <c r="U291" s="3" t="s">
        <v>654</v>
      </c>
      <c r="V291" s="155">
        <v>3.1899999999999998E-2</v>
      </c>
      <c r="W291" s="155">
        <v>3.014E-2</v>
      </c>
      <c r="X291" s="5" t="s">
        <v>129</v>
      </c>
      <c r="Y291" s="5" t="s">
        <v>125</v>
      </c>
      <c r="Z291" s="143">
        <v>40000</v>
      </c>
      <c r="AA291" s="153">
        <v>1</v>
      </c>
      <c r="AB291" s="163">
        <v>102.94</v>
      </c>
      <c r="AD291" s="143">
        <v>41.176000000000002</v>
      </c>
      <c r="AG291" s="3" t="s">
        <v>36</v>
      </c>
      <c r="AH291" s="155">
        <v>4.1999999999999998E-5</v>
      </c>
      <c r="AI291" s="155">
        <v>5.8078036212395497E-3</v>
      </c>
      <c r="AJ291" s="155">
        <v>8.2069174571341899E-4</v>
      </c>
    </row>
    <row r="292" spans="1:36">
      <c r="A292" s="3">
        <v>337</v>
      </c>
      <c r="B292" s="3">
        <v>9962</v>
      </c>
      <c r="C292" s="185" t="s">
        <v>644</v>
      </c>
      <c r="D292" s="3" t="s">
        <v>645</v>
      </c>
      <c r="E292" s="189" t="s">
        <v>118</v>
      </c>
      <c r="F292" s="185" t="s">
        <v>655</v>
      </c>
      <c r="G292" s="3" t="s">
        <v>656</v>
      </c>
      <c r="H292" s="3" t="s">
        <v>121</v>
      </c>
      <c r="I292" s="3" t="s">
        <v>132</v>
      </c>
      <c r="J292" s="3" t="s">
        <v>30</v>
      </c>
      <c r="K292" s="3" t="s">
        <v>30</v>
      </c>
      <c r="L292" s="3" t="s">
        <v>123</v>
      </c>
      <c r="M292" s="3" t="s">
        <v>31</v>
      </c>
      <c r="N292" s="3" t="s">
        <v>316</v>
      </c>
      <c r="O292" s="3" t="s">
        <v>125</v>
      </c>
      <c r="P292" s="3" t="s">
        <v>145</v>
      </c>
      <c r="Q292" s="3" t="s">
        <v>146</v>
      </c>
      <c r="R292" s="3" t="s">
        <v>128</v>
      </c>
      <c r="S292" s="3" t="s">
        <v>34</v>
      </c>
      <c r="T292" s="143">
        <v>6.2679999999999998</v>
      </c>
      <c r="U292" s="3" t="s">
        <v>657</v>
      </c>
      <c r="V292" s="155">
        <v>3.4500000000000003E-2</v>
      </c>
      <c r="W292" s="155">
        <v>2.657E-2</v>
      </c>
      <c r="X292" s="5" t="s">
        <v>129</v>
      </c>
      <c r="Y292" s="5" t="s">
        <v>125</v>
      </c>
      <c r="Z292" s="143">
        <v>67000</v>
      </c>
      <c r="AA292" s="153">
        <v>1</v>
      </c>
      <c r="AB292" s="163">
        <v>107.34</v>
      </c>
      <c r="AD292" s="143">
        <v>71.918000000000006</v>
      </c>
      <c r="AG292" s="3" t="s">
        <v>36</v>
      </c>
      <c r="AH292" s="155">
        <v>4.6E-5</v>
      </c>
      <c r="AI292" s="155">
        <v>1.0143881369525499E-2</v>
      </c>
      <c r="AJ292" s="155">
        <v>1.4334161849103499E-3</v>
      </c>
    </row>
    <row r="293" spans="1:36">
      <c r="A293" s="3">
        <v>337</v>
      </c>
      <c r="B293" s="3">
        <v>9962</v>
      </c>
      <c r="C293" s="185" t="s">
        <v>644</v>
      </c>
      <c r="D293" s="3" t="s">
        <v>645</v>
      </c>
      <c r="E293" s="189" t="s">
        <v>118</v>
      </c>
      <c r="F293" s="185" t="s">
        <v>861</v>
      </c>
      <c r="G293" s="3" t="s">
        <v>862</v>
      </c>
      <c r="H293" s="3" t="s">
        <v>121</v>
      </c>
      <c r="I293" s="3" t="s">
        <v>132</v>
      </c>
      <c r="J293" s="3" t="s">
        <v>30</v>
      </c>
      <c r="K293" s="3" t="s">
        <v>30</v>
      </c>
      <c r="L293" s="3" t="s">
        <v>123</v>
      </c>
      <c r="M293" s="3" t="s">
        <v>31</v>
      </c>
      <c r="N293" s="3" t="s">
        <v>316</v>
      </c>
      <c r="O293" s="3" t="s">
        <v>125</v>
      </c>
      <c r="P293" s="3" t="s">
        <v>145</v>
      </c>
      <c r="Q293" s="3" t="s">
        <v>146</v>
      </c>
      <c r="R293" s="3" t="s">
        <v>128</v>
      </c>
      <c r="S293" s="3" t="s">
        <v>34</v>
      </c>
      <c r="T293" s="143">
        <v>2.1720000000000002</v>
      </c>
      <c r="U293" s="3" t="s">
        <v>863</v>
      </c>
      <c r="V293" s="155">
        <v>8.3999999999999995E-3</v>
      </c>
      <c r="W293" s="155">
        <v>2.5229999999999999E-2</v>
      </c>
      <c r="X293" s="5" t="s">
        <v>129</v>
      </c>
      <c r="Y293" s="5" t="s">
        <v>125</v>
      </c>
      <c r="Z293" s="143">
        <v>50000</v>
      </c>
      <c r="AA293" s="153">
        <v>1</v>
      </c>
      <c r="AB293" s="163">
        <v>111.32</v>
      </c>
      <c r="AD293" s="143">
        <v>55.66</v>
      </c>
      <c r="AG293" s="3" t="s">
        <v>36</v>
      </c>
      <c r="AH293" s="155">
        <v>1.26E-4</v>
      </c>
      <c r="AI293" s="155">
        <v>7.8507467835193592E-3</v>
      </c>
      <c r="AJ293" s="155">
        <v>1.10937688377717E-3</v>
      </c>
    </row>
    <row r="294" spans="1:36">
      <c r="A294" s="3">
        <v>337</v>
      </c>
      <c r="B294" s="3">
        <v>9962</v>
      </c>
      <c r="C294" s="185" t="s">
        <v>658</v>
      </c>
      <c r="D294" s="3" t="s">
        <v>659</v>
      </c>
      <c r="E294" s="189" t="s">
        <v>118</v>
      </c>
      <c r="F294" s="185" t="s">
        <v>660</v>
      </c>
      <c r="G294" s="3" t="s">
        <v>661</v>
      </c>
      <c r="H294" s="3" t="s">
        <v>121</v>
      </c>
      <c r="I294" s="3" t="s">
        <v>122</v>
      </c>
      <c r="J294" s="3" t="s">
        <v>30</v>
      </c>
      <c r="K294" s="3" t="s">
        <v>30</v>
      </c>
      <c r="L294" s="3" t="s">
        <v>123</v>
      </c>
      <c r="M294" s="3" t="s">
        <v>31</v>
      </c>
      <c r="N294" s="3" t="s">
        <v>662</v>
      </c>
      <c r="O294" s="3" t="s">
        <v>125</v>
      </c>
      <c r="P294" s="3" t="s">
        <v>145</v>
      </c>
      <c r="Q294" s="3" t="s">
        <v>146</v>
      </c>
      <c r="R294" s="3" t="s">
        <v>128</v>
      </c>
      <c r="S294" s="3" t="s">
        <v>34</v>
      </c>
      <c r="T294" s="143">
        <v>0.90900000000000003</v>
      </c>
      <c r="U294" s="3" t="s">
        <v>663</v>
      </c>
      <c r="V294" s="155">
        <v>2.29E-2</v>
      </c>
      <c r="W294" s="155">
        <v>4.4609999999999997E-2</v>
      </c>
      <c r="X294" s="5" t="s">
        <v>129</v>
      </c>
      <c r="Y294" s="5" t="s">
        <v>125</v>
      </c>
      <c r="Z294" s="143">
        <v>9519.23</v>
      </c>
      <c r="AA294" s="153">
        <v>1</v>
      </c>
      <c r="AB294" s="163">
        <v>98.31</v>
      </c>
      <c r="AD294" s="143">
        <v>9.3580000000000005</v>
      </c>
      <c r="AG294" s="3" t="s">
        <v>36</v>
      </c>
      <c r="AH294" s="155">
        <v>5.7000000000000003E-5</v>
      </c>
      <c r="AI294" s="155">
        <v>1.3199797972932501E-3</v>
      </c>
      <c r="AJ294" s="155">
        <v>1.8652430329864201E-4</v>
      </c>
    </row>
    <row r="295" spans="1:36">
      <c r="A295" s="3">
        <v>337</v>
      </c>
      <c r="B295" s="3">
        <v>9962</v>
      </c>
      <c r="C295" s="185" t="s">
        <v>664</v>
      </c>
      <c r="D295" s="3" t="s">
        <v>665</v>
      </c>
      <c r="E295" s="189" t="s">
        <v>118</v>
      </c>
      <c r="F295" s="185" t="s">
        <v>666</v>
      </c>
      <c r="G295" s="3" t="s">
        <v>667</v>
      </c>
      <c r="H295" s="3" t="s">
        <v>121</v>
      </c>
      <c r="I295" s="3" t="s">
        <v>122</v>
      </c>
      <c r="J295" s="3" t="s">
        <v>30</v>
      </c>
      <c r="K295" s="3" t="s">
        <v>30</v>
      </c>
      <c r="L295" s="3" t="s">
        <v>123</v>
      </c>
      <c r="M295" s="3" t="s">
        <v>31</v>
      </c>
      <c r="N295" s="3" t="s">
        <v>159</v>
      </c>
      <c r="O295" s="3" t="s">
        <v>125</v>
      </c>
      <c r="P295" s="3" t="s">
        <v>165</v>
      </c>
      <c r="Q295" s="3" t="s">
        <v>146</v>
      </c>
      <c r="R295" s="3" t="s">
        <v>128</v>
      </c>
      <c r="S295" s="3" t="s">
        <v>34</v>
      </c>
      <c r="T295" s="143">
        <v>5.0960000000000001</v>
      </c>
      <c r="U295" s="3" t="s">
        <v>668</v>
      </c>
      <c r="V295" s="155">
        <v>5.1499999999999997E-2</v>
      </c>
      <c r="W295" s="155">
        <v>4.2450000000000002E-2</v>
      </c>
      <c r="X295" s="5" t="s">
        <v>129</v>
      </c>
      <c r="Y295" s="5" t="s">
        <v>125</v>
      </c>
      <c r="Z295" s="143">
        <v>55000</v>
      </c>
      <c r="AA295" s="153">
        <v>1</v>
      </c>
      <c r="AB295" s="163">
        <v>105.7</v>
      </c>
      <c r="AD295" s="143">
        <v>58.134999999999998</v>
      </c>
      <c r="AG295" s="3" t="s">
        <v>36</v>
      </c>
      <c r="AH295" s="155">
        <v>5.5000000000000002E-5</v>
      </c>
      <c r="AI295" s="155">
        <v>8.1998412551185403E-3</v>
      </c>
      <c r="AJ295" s="155">
        <v>1.15870688354987E-3</v>
      </c>
    </row>
    <row r="296" spans="1:36">
      <c r="A296" s="3">
        <v>337</v>
      </c>
      <c r="B296" s="3">
        <v>9962</v>
      </c>
      <c r="C296" s="185" t="s">
        <v>664</v>
      </c>
      <c r="D296" s="3" t="s">
        <v>665</v>
      </c>
      <c r="E296" s="189" t="s">
        <v>118</v>
      </c>
      <c r="F296" s="185" t="s">
        <v>864</v>
      </c>
      <c r="G296" s="3" t="s">
        <v>865</v>
      </c>
      <c r="H296" s="3" t="s">
        <v>121</v>
      </c>
      <c r="I296" s="3" t="s">
        <v>122</v>
      </c>
      <c r="J296" s="3" t="s">
        <v>30</v>
      </c>
      <c r="K296" s="3" t="s">
        <v>30</v>
      </c>
      <c r="L296" s="3" t="s">
        <v>123</v>
      </c>
      <c r="M296" s="3" t="s">
        <v>31</v>
      </c>
      <c r="N296" s="3" t="s">
        <v>159</v>
      </c>
      <c r="O296" s="3" t="s">
        <v>125</v>
      </c>
      <c r="P296" s="3" t="s">
        <v>165</v>
      </c>
      <c r="Q296" s="3" t="s">
        <v>146</v>
      </c>
      <c r="R296" s="3" t="s">
        <v>128</v>
      </c>
      <c r="S296" s="3" t="s">
        <v>34</v>
      </c>
      <c r="T296" s="143">
        <v>3.1920000000000002</v>
      </c>
      <c r="U296" s="3" t="s">
        <v>326</v>
      </c>
      <c r="V296" s="155">
        <v>2.6200000000000001E-2</v>
      </c>
      <c r="W296" s="155">
        <v>4.1980000000000003E-2</v>
      </c>
      <c r="X296" s="5" t="s">
        <v>129</v>
      </c>
      <c r="Y296" s="5" t="s">
        <v>125</v>
      </c>
      <c r="Z296" s="143">
        <v>67090</v>
      </c>
      <c r="AA296" s="153">
        <v>1</v>
      </c>
      <c r="AB296" s="163">
        <v>95.72</v>
      </c>
      <c r="AD296" s="143">
        <v>64.218999999999994</v>
      </c>
      <c r="AG296" s="3" t="s">
        <v>36</v>
      </c>
      <c r="AH296" s="155">
        <v>5.1999999999999997E-5</v>
      </c>
      <c r="AI296" s="155">
        <v>9.0579151842127802E-3</v>
      </c>
      <c r="AJ296" s="155">
        <v>1.2799599831285499E-3</v>
      </c>
    </row>
    <row r="297" spans="1:36">
      <c r="A297" s="3">
        <v>337</v>
      </c>
      <c r="B297" s="3">
        <v>9962</v>
      </c>
      <c r="C297" s="185" t="s">
        <v>664</v>
      </c>
      <c r="D297" s="3" t="s">
        <v>665</v>
      </c>
      <c r="E297" s="189" t="s">
        <v>118</v>
      </c>
      <c r="F297" s="185" t="s">
        <v>669</v>
      </c>
      <c r="G297" s="3" t="s">
        <v>670</v>
      </c>
      <c r="H297" s="3" t="s">
        <v>121</v>
      </c>
      <c r="I297" s="3" t="s">
        <v>132</v>
      </c>
      <c r="J297" s="3" t="s">
        <v>30</v>
      </c>
      <c r="K297" s="3" t="s">
        <v>30</v>
      </c>
      <c r="L297" s="3" t="s">
        <v>123</v>
      </c>
      <c r="M297" s="3" t="s">
        <v>31</v>
      </c>
      <c r="N297" s="3" t="s">
        <v>159</v>
      </c>
      <c r="O297" s="3" t="s">
        <v>125</v>
      </c>
      <c r="P297" s="3" t="s">
        <v>145</v>
      </c>
      <c r="Q297" s="3" t="s">
        <v>146</v>
      </c>
      <c r="R297" s="3" t="s">
        <v>128</v>
      </c>
      <c r="S297" s="3" t="s">
        <v>34</v>
      </c>
      <c r="T297" s="143">
        <v>5.7039999999999997</v>
      </c>
      <c r="U297" s="3" t="s">
        <v>671</v>
      </c>
      <c r="V297" s="155">
        <v>2.0899999999999998E-2</v>
      </c>
      <c r="W297" s="155">
        <v>2.4760000000000001E-2</v>
      </c>
      <c r="X297" s="5" t="s">
        <v>129</v>
      </c>
      <c r="Y297" s="5" t="s">
        <v>125</v>
      </c>
      <c r="Z297" s="143">
        <v>100000</v>
      </c>
      <c r="AA297" s="153">
        <v>1</v>
      </c>
      <c r="AB297" s="163">
        <v>114.75</v>
      </c>
      <c r="AD297" s="143">
        <v>114.75</v>
      </c>
      <c r="AG297" s="3" t="s">
        <v>36</v>
      </c>
      <c r="AH297" s="155">
        <v>6.4999999999999994E-5</v>
      </c>
      <c r="AI297" s="155">
        <v>1.6185289137780199E-2</v>
      </c>
      <c r="AJ297" s="155">
        <v>2.2871181712797498E-3</v>
      </c>
    </row>
    <row r="298" spans="1:36">
      <c r="A298" s="3">
        <v>337</v>
      </c>
      <c r="B298" s="3">
        <v>9962</v>
      </c>
      <c r="C298" s="185" t="s">
        <v>866</v>
      </c>
      <c r="D298" s="3" t="s">
        <v>867</v>
      </c>
      <c r="E298" s="189" t="s">
        <v>269</v>
      </c>
      <c r="F298" s="185" t="s">
        <v>868</v>
      </c>
      <c r="G298" s="3" t="s">
        <v>869</v>
      </c>
      <c r="H298" s="3" t="s">
        <v>121</v>
      </c>
      <c r="I298" s="3" t="s">
        <v>122</v>
      </c>
      <c r="J298" s="3" t="s">
        <v>30</v>
      </c>
      <c r="K298" s="3" t="s">
        <v>80</v>
      </c>
      <c r="L298" s="3" t="s">
        <v>123</v>
      </c>
      <c r="M298" s="3" t="s">
        <v>31</v>
      </c>
      <c r="N298" s="3" t="s">
        <v>139</v>
      </c>
      <c r="O298" s="3" t="s">
        <v>125</v>
      </c>
      <c r="P298" s="3" t="s">
        <v>870</v>
      </c>
      <c r="Q298" s="3" t="s">
        <v>146</v>
      </c>
      <c r="R298" s="3" t="s">
        <v>128</v>
      </c>
      <c r="S298" s="3" t="s">
        <v>34</v>
      </c>
      <c r="T298" s="143">
        <v>0.13200000000000001</v>
      </c>
      <c r="U298" s="3" t="s">
        <v>535</v>
      </c>
      <c r="V298" s="155">
        <v>4.045E-2</v>
      </c>
      <c r="W298" s="155">
        <v>1E-4</v>
      </c>
      <c r="X298" s="5" t="s">
        <v>129</v>
      </c>
      <c r="Y298" s="5" t="s">
        <v>125</v>
      </c>
      <c r="Z298" s="143">
        <v>0.6</v>
      </c>
      <c r="AA298" s="153">
        <v>1</v>
      </c>
      <c r="AB298" s="163">
        <v>53.93</v>
      </c>
      <c r="AD298" s="143">
        <v>0</v>
      </c>
      <c r="AG298" s="3" t="s">
        <v>36</v>
      </c>
      <c r="AH298" s="155">
        <v>0</v>
      </c>
      <c r="AI298" s="155">
        <v>4.5640399644469897E-8</v>
      </c>
      <c r="AJ298" s="155">
        <v>6.4493742733132904E-9</v>
      </c>
    </row>
    <row r="299" spans="1:36">
      <c r="A299" s="3">
        <v>337</v>
      </c>
      <c r="B299" s="3">
        <v>9962</v>
      </c>
      <c r="C299" s="185" t="s">
        <v>672</v>
      </c>
      <c r="D299" s="3" t="s">
        <v>673</v>
      </c>
      <c r="E299" s="189" t="s">
        <v>118</v>
      </c>
      <c r="F299" s="185" t="s">
        <v>674</v>
      </c>
      <c r="G299" s="3" t="s">
        <v>675</v>
      </c>
      <c r="H299" s="3" t="s">
        <v>121</v>
      </c>
      <c r="I299" s="3" t="s">
        <v>122</v>
      </c>
      <c r="J299" s="3" t="s">
        <v>30</v>
      </c>
      <c r="K299" s="3" t="s">
        <v>30</v>
      </c>
      <c r="L299" s="3" t="s">
        <v>123</v>
      </c>
      <c r="M299" s="3" t="s">
        <v>31</v>
      </c>
      <c r="N299" s="3" t="s">
        <v>139</v>
      </c>
      <c r="O299" s="3" t="s">
        <v>125</v>
      </c>
      <c r="P299" s="3" t="s">
        <v>126</v>
      </c>
      <c r="Q299" s="3" t="s">
        <v>127</v>
      </c>
      <c r="R299" s="3" t="s">
        <v>128</v>
      </c>
      <c r="S299" s="3" t="s">
        <v>34</v>
      </c>
      <c r="T299" s="143">
        <v>5.3339999999999996</v>
      </c>
      <c r="U299" s="3" t="s">
        <v>676</v>
      </c>
      <c r="V299" s="155">
        <v>5.5899999999999998E-2</v>
      </c>
      <c r="W299" s="155">
        <v>4.7629999999999999E-2</v>
      </c>
      <c r="X299" s="5" t="s">
        <v>129</v>
      </c>
      <c r="Y299" s="5" t="s">
        <v>125</v>
      </c>
      <c r="Z299" s="143">
        <v>108000</v>
      </c>
      <c r="AA299" s="153">
        <v>1</v>
      </c>
      <c r="AB299" s="163">
        <v>106.13</v>
      </c>
      <c r="AD299" s="143">
        <v>114.62</v>
      </c>
      <c r="AG299" s="3" t="s">
        <v>36</v>
      </c>
      <c r="AH299" s="155">
        <v>2.5099999999999998E-4</v>
      </c>
      <c r="AI299" s="155">
        <v>1.6167009281812798E-2</v>
      </c>
      <c r="AJ299" s="155">
        <v>2.2845350731098301E-3</v>
      </c>
    </row>
    <row r="300" spans="1:36">
      <c r="A300" s="3">
        <v>337</v>
      </c>
      <c r="B300" s="3">
        <v>9962</v>
      </c>
      <c r="C300" s="185" t="s">
        <v>679</v>
      </c>
      <c r="D300" s="3" t="s">
        <v>680</v>
      </c>
      <c r="E300" s="189" t="s">
        <v>118</v>
      </c>
      <c r="F300" s="185" t="s">
        <v>681</v>
      </c>
      <c r="G300" s="3" t="s">
        <v>682</v>
      </c>
      <c r="H300" s="3" t="s">
        <v>121</v>
      </c>
      <c r="I300" s="3" t="s">
        <v>122</v>
      </c>
      <c r="J300" s="3" t="s">
        <v>30</v>
      </c>
      <c r="K300" s="3" t="s">
        <v>30</v>
      </c>
      <c r="L300" s="3" t="s">
        <v>123</v>
      </c>
      <c r="M300" s="3" t="s">
        <v>31</v>
      </c>
      <c r="N300" s="3" t="s">
        <v>177</v>
      </c>
      <c r="O300" s="3" t="s">
        <v>125</v>
      </c>
      <c r="P300" s="3" t="s">
        <v>126</v>
      </c>
      <c r="Q300" s="3" t="s">
        <v>127</v>
      </c>
      <c r="R300" s="3" t="s">
        <v>128</v>
      </c>
      <c r="S300" s="3" t="s">
        <v>34</v>
      </c>
      <c r="T300" s="143">
        <v>3.5139999999999998</v>
      </c>
      <c r="U300" s="3" t="s">
        <v>683</v>
      </c>
      <c r="V300" s="155">
        <v>6.3299999999999995E-2</v>
      </c>
      <c r="W300" s="155">
        <v>4.7239999999999997E-2</v>
      </c>
      <c r="X300" s="5" t="s">
        <v>129</v>
      </c>
      <c r="Y300" s="5" t="s">
        <v>125</v>
      </c>
      <c r="Z300" s="143">
        <v>50000</v>
      </c>
      <c r="AA300" s="153">
        <v>1</v>
      </c>
      <c r="AB300" s="163">
        <v>108.04</v>
      </c>
      <c r="AD300" s="143">
        <v>54.02</v>
      </c>
      <c r="AG300" s="3" t="s">
        <v>36</v>
      </c>
      <c r="AH300" s="155">
        <v>7.6000000000000004E-5</v>
      </c>
      <c r="AI300" s="155">
        <v>7.6194276185000999E-3</v>
      </c>
      <c r="AJ300" s="155">
        <v>1.0766895303924301E-3</v>
      </c>
    </row>
    <row r="301" spans="1:36">
      <c r="A301" s="3">
        <v>337</v>
      </c>
      <c r="B301" s="3">
        <v>9962</v>
      </c>
      <c r="C301" s="185" t="s">
        <v>679</v>
      </c>
      <c r="D301" s="3" t="s">
        <v>680</v>
      </c>
      <c r="E301" s="189" t="s">
        <v>118</v>
      </c>
      <c r="F301" s="185" t="s">
        <v>684</v>
      </c>
      <c r="G301" s="3" t="s">
        <v>685</v>
      </c>
      <c r="H301" s="3" t="s">
        <v>121</v>
      </c>
      <c r="I301" s="3" t="s">
        <v>132</v>
      </c>
      <c r="J301" s="3" t="s">
        <v>30</v>
      </c>
      <c r="K301" s="3" t="s">
        <v>30</v>
      </c>
      <c r="L301" s="3" t="s">
        <v>123</v>
      </c>
      <c r="M301" s="3" t="s">
        <v>31</v>
      </c>
      <c r="N301" s="3" t="s">
        <v>177</v>
      </c>
      <c r="O301" s="3" t="s">
        <v>125</v>
      </c>
      <c r="P301" s="3" t="s">
        <v>126</v>
      </c>
      <c r="Q301" s="3" t="s">
        <v>127</v>
      </c>
      <c r="R301" s="3" t="s">
        <v>128</v>
      </c>
      <c r="S301" s="3" t="s">
        <v>34</v>
      </c>
      <c r="T301" s="143">
        <v>3.2549999999999999</v>
      </c>
      <c r="U301" s="3" t="s">
        <v>296</v>
      </c>
      <c r="V301" s="155">
        <v>3.2500000000000001E-2</v>
      </c>
      <c r="W301" s="155">
        <v>2.648E-2</v>
      </c>
      <c r="X301" s="5" t="s">
        <v>129</v>
      </c>
      <c r="Y301" s="5" t="s">
        <v>125</v>
      </c>
      <c r="Z301" s="143">
        <v>34560</v>
      </c>
      <c r="AA301" s="153">
        <v>1</v>
      </c>
      <c r="AB301" s="163">
        <v>113.5</v>
      </c>
      <c r="AD301" s="143">
        <v>39.225999999999999</v>
      </c>
      <c r="AG301" s="3" t="s">
        <v>36</v>
      </c>
      <c r="AH301" s="155">
        <v>1.0399999999999999E-4</v>
      </c>
      <c r="AI301" s="155">
        <v>5.53270307279226E-3</v>
      </c>
      <c r="AJ301" s="155">
        <v>7.8181771276122696E-4</v>
      </c>
    </row>
    <row r="302" spans="1:36">
      <c r="A302" s="3">
        <v>337</v>
      </c>
      <c r="B302" s="3">
        <v>9962</v>
      </c>
      <c r="C302" s="185" t="s">
        <v>686</v>
      </c>
      <c r="D302" s="3" t="s">
        <v>687</v>
      </c>
      <c r="E302" s="189" t="s">
        <v>118</v>
      </c>
      <c r="F302" s="185" t="s">
        <v>688</v>
      </c>
      <c r="G302" s="3" t="s">
        <v>689</v>
      </c>
      <c r="H302" s="3" t="s">
        <v>121</v>
      </c>
      <c r="I302" s="3" t="s">
        <v>132</v>
      </c>
      <c r="J302" s="3" t="s">
        <v>30</v>
      </c>
      <c r="K302" s="3" t="s">
        <v>30</v>
      </c>
      <c r="L302" s="3" t="s">
        <v>123</v>
      </c>
      <c r="M302" s="3" t="s">
        <v>31</v>
      </c>
      <c r="N302" s="3" t="s">
        <v>209</v>
      </c>
      <c r="O302" s="3" t="s">
        <v>125</v>
      </c>
      <c r="P302" s="3" t="s">
        <v>178</v>
      </c>
      <c r="Q302" s="3" t="s">
        <v>178</v>
      </c>
      <c r="R302" s="3" t="s">
        <v>178</v>
      </c>
      <c r="S302" s="3" t="s">
        <v>34</v>
      </c>
      <c r="T302" s="143">
        <v>6.3710000000000004</v>
      </c>
      <c r="U302" s="3" t="s">
        <v>690</v>
      </c>
      <c r="V302" s="155">
        <v>4.1000000000000002E-2</v>
      </c>
      <c r="W302" s="155">
        <v>3.5310000000000001E-2</v>
      </c>
      <c r="X302" s="5" t="s">
        <v>129</v>
      </c>
      <c r="Y302" s="5" t="s">
        <v>125</v>
      </c>
      <c r="Z302" s="143">
        <v>40000</v>
      </c>
      <c r="AA302" s="153">
        <v>1</v>
      </c>
      <c r="AB302" s="163">
        <v>104.62</v>
      </c>
      <c r="AD302" s="143">
        <v>41.847999999999999</v>
      </c>
      <c r="AG302" s="3" t="s">
        <v>36</v>
      </c>
      <c r="AH302" s="155">
        <v>1.4300000000000001E-4</v>
      </c>
      <c r="AI302" s="155">
        <v>5.9025880595889001E-3</v>
      </c>
      <c r="AJ302" s="155">
        <v>8.3408558807594605E-4</v>
      </c>
    </row>
    <row r="303" spans="1:36">
      <c r="A303" s="3">
        <v>337</v>
      </c>
      <c r="B303" s="3">
        <v>9962</v>
      </c>
      <c r="C303" s="185" t="s">
        <v>691</v>
      </c>
      <c r="D303" s="3" t="s">
        <v>692</v>
      </c>
      <c r="E303" s="189" t="s">
        <v>118</v>
      </c>
      <c r="F303" s="185" t="s">
        <v>693</v>
      </c>
      <c r="G303" s="3" t="s">
        <v>694</v>
      </c>
      <c r="H303" s="3" t="s">
        <v>121</v>
      </c>
      <c r="I303" s="3" t="s">
        <v>122</v>
      </c>
      <c r="J303" s="3" t="s">
        <v>30</v>
      </c>
      <c r="K303" s="3" t="s">
        <v>30</v>
      </c>
      <c r="L303" s="3" t="s">
        <v>123</v>
      </c>
      <c r="M303" s="3" t="s">
        <v>31</v>
      </c>
      <c r="N303" s="3" t="s">
        <v>695</v>
      </c>
      <c r="O303" s="3" t="s">
        <v>125</v>
      </c>
      <c r="P303" s="3" t="s">
        <v>145</v>
      </c>
      <c r="Q303" s="3" t="s">
        <v>146</v>
      </c>
      <c r="R303" s="3" t="s">
        <v>128</v>
      </c>
      <c r="S303" s="3" t="s">
        <v>34</v>
      </c>
      <c r="T303" s="143">
        <v>3.18</v>
      </c>
      <c r="U303" s="3" t="s">
        <v>696</v>
      </c>
      <c r="V303" s="155">
        <v>5.04E-2</v>
      </c>
      <c r="W303" s="155">
        <v>4.478E-2</v>
      </c>
      <c r="X303" s="5" t="s">
        <v>129</v>
      </c>
      <c r="Y303" s="5" t="s">
        <v>125</v>
      </c>
      <c r="Z303" s="143">
        <v>60000</v>
      </c>
      <c r="AA303" s="153">
        <v>1</v>
      </c>
      <c r="AB303" s="163">
        <v>104.07</v>
      </c>
      <c r="AD303" s="143">
        <v>62.442</v>
      </c>
      <c r="AG303" s="3" t="s">
        <v>36</v>
      </c>
      <c r="AH303" s="155">
        <v>1.21E-4</v>
      </c>
      <c r="AI303" s="155">
        <v>8.8073361598367903E-3</v>
      </c>
      <c r="AJ303" s="155">
        <v>1.24455104881089E-3</v>
      </c>
    </row>
    <row r="304" spans="1:36">
      <c r="A304" s="3">
        <v>337</v>
      </c>
      <c r="B304" s="3">
        <v>9962</v>
      </c>
      <c r="C304" s="185" t="s">
        <v>697</v>
      </c>
      <c r="D304" s="3" t="s">
        <v>698</v>
      </c>
      <c r="E304" s="189" t="s">
        <v>118</v>
      </c>
      <c r="F304" s="185" t="s">
        <v>699</v>
      </c>
      <c r="G304" s="3" t="s">
        <v>700</v>
      </c>
      <c r="H304" s="3" t="s">
        <v>121</v>
      </c>
      <c r="I304" s="3" t="s">
        <v>122</v>
      </c>
      <c r="J304" s="3" t="s">
        <v>30</v>
      </c>
      <c r="K304" s="3" t="s">
        <v>30</v>
      </c>
      <c r="L304" s="3" t="s">
        <v>123</v>
      </c>
      <c r="M304" s="3" t="s">
        <v>31</v>
      </c>
      <c r="N304" s="3" t="s">
        <v>124</v>
      </c>
      <c r="O304" s="3" t="s">
        <v>125</v>
      </c>
      <c r="P304" s="3" t="s">
        <v>198</v>
      </c>
      <c r="Q304" s="3" t="s">
        <v>146</v>
      </c>
      <c r="R304" s="3" t="s">
        <v>128</v>
      </c>
      <c r="S304" s="3" t="s">
        <v>34</v>
      </c>
      <c r="T304" s="143">
        <v>2.266</v>
      </c>
      <c r="U304" s="3" t="s">
        <v>564</v>
      </c>
      <c r="V304" s="155">
        <v>5.3400000000000003E-2</v>
      </c>
      <c r="W304" s="155">
        <v>4.7079999999999997E-2</v>
      </c>
      <c r="X304" s="5" t="s">
        <v>129</v>
      </c>
      <c r="Y304" s="5" t="s">
        <v>125</v>
      </c>
      <c r="Z304" s="143">
        <v>44800</v>
      </c>
      <c r="AA304" s="153">
        <v>1</v>
      </c>
      <c r="AB304" s="163">
        <v>101.99</v>
      </c>
      <c r="AD304" s="143">
        <v>45.692</v>
      </c>
      <c r="AG304" s="3" t="s">
        <v>36</v>
      </c>
      <c r="AH304" s="155">
        <v>8.0000000000000007E-5</v>
      </c>
      <c r="AI304" s="155">
        <v>6.4447099115003698E-3</v>
      </c>
      <c r="AJ304" s="155">
        <v>9.1069198836942898E-4</v>
      </c>
    </row>
    <row r="305" spans="1:36">
      <c r="A305" s="3">
        <v>337</v>
      </c>
      <c r="B305" s="3">
        <v>9962</v>
      </c>
      <c r="C305" s="185" t="s">
        <v>701</v>
      </c>
      <c r="D305" s="3" t="s">
        <v>702</v>
      </c>
      <c r="E305" s="189" t="s">
        <v>118</v>
      </c>
      <c r="F305" s="185" t="s">
        <v>703</v>
      </c>
      <c r="G305" s="3" t="s">
        <v>704</v>
      </c>
      <c r="H305" s="3" t="s">
        <v>121</v>
      </c>
      <c r="I305" s="3" t="s">
        <v>132</v>
      </c>
      <c r="J305" s="3" t="s">
        <v>30</v>
      </c>
      <c r="K305" s="3" t="s">
        <v>30</v>
      </c>
      <c r="L305" s="3" t="s">
        <v>123</v>
      </c>
      <c r="M305" s="3" t="s">
        <v>31</v>
      </c>
      <c r="N305" s="3" t="s">
        <v>171</v>
      </c>
      <c r="O305" s="3" t="s">
        <v>125</v>
      </c>
      <c r="P305" s="3" t="s">
        <v>165</v>
      </c>
      <c r="Q305" s="3" t="s">
        <v>146</v>
      </c>
      <c r="R305" s="3" t="s">
        <v>128</v>
      </c>
      <c r="S305" s="3" t="s">
        <v>34</v>
      </c>
      <c r="T305" s="143">
        <v>5.5910000000000002</v>
      </c>
      <c r="U305" s="3" t="s">
        <v>705</v>
      </c>
      <c r="V305" s="155">
        <v>2.5000000000000001E-2</v>
      </c>
      <c r="W305" s="155">
        <v>2.528E-2</v>
      </c>
      <c r="X305" s="5" t="s">
        <v>129</v>
      </c>
      <c r="Y305" s="5" t="s">
        <v>125</v>
      </c>
      <c r="Z305" s="143">
        <v>75450</v>
      </c>
      <c r="AA305" s="153">
        <v>1</v>
      </c>
      <c r="AB305" s="163">
        <v>118.69</v>
      </c>
      <c r="AD305" s="143">
        <v>89.552000000000007</v>
      </c>
      <c r="AG305" s="3" t="s">
        <v>36</v>
      </c>
      <c r="AH305" s="155">
        <v>5.5999999999999999E-5</v>
      </c>
      <c r="AI305" s="155">
        <v>1.2631099082155E-2</v>
      </c>
      <c r="AJ305" s="155">
        <v>1.78488107244241E-3</v>
      </c>
    </row>
    <row r="306" spans="1:36">
      <c r="A306" s="3">
        <v>337</v>
      </c>
      <c r="B306" s="3">
        <v>9962</v>
      </c>
      <c r="C306" s="185" t="s">
        <v>706</v>
      </c>
      <c r="D306" s="3" t="s">
        <v>707</v>
      </c>
      <c r="E306" s="189" t="s">
        <v>118</v>
      </c>
      <c r="F306" s="185" t="s">
        <v>708</v>
      </c>
      <c r="G306" s="3" t="s">
        <v>709</v>
      </c>
      <c r="H306" s="3" t="s">
        <v>121</v>
      </c>
      <c r="I306" s="3" t="s">
        <v>122</v>
      </c>
      <c r="J306" s="3" t="s">
        <v>30</v>
      </c>
      <c r="K306" s="3" t="s">
        <v>30</v>
      </c>
      <c r="L306" s="3" t="s">
        <v>123</v>
      </c>
      <c r="M306" s="3" t="s">
        <v>31</v>
      </c>
      <c r="N306" s="3" t="s">
        <v>124</v>
      </c>
      <c r="O306" s="3" t="s">
        <v>125</v>
      </c>
      <c r="P306" s="3" t="s">
        <v>126</v>
      </c>
      <c r="Q306" s="3" t="s">
        <v>127</v>
      </c>
      <c r="R306" s="3" t="s">
        <v>128</v>
      </c>
      <c r="S306" s="3" t="s">
        <v>34</v>
      </c>
      <c r="T306" s="143">
        <v>3.4670000000000001</v>
      </c>
      <c r="U306" s="3" t="s">
        <v>98</v>
      </c>
      <c r="V306" s="155">
        <v>5.8200000000000002E-2</v>
      </c>
      <c r="W306" s="155">
        <v>4.4850000000000001E-2</v>
      </c>
      <c r="X306" s="5" t="s">
        <v>129</v>
      </c>
      <c r="Y306" s="5" t="s">
        <v>125</v>
      </c>
      <c r="Z306" s="143">
        <v>44650</v>
      </c>
      <c r="AA306" s="153">
        <v>1</v>
      </c>
      <c r="AB306" s="163">
        <v>105.79</v>
      </c>
      <c r="AD306" s="143">
        <v>47.234999999999999</v>
      </c>
      <c r="AG306" s="3" t="s">
        <v>36</v>
      </c>
      <c r="AH306" s="155">
        <v>2.6899999999999998E-4</v>
      </c>
      <c r="AI306" s="155">
        <v>6.6624482437123798E-3</v>
      </c>
      <c r="AJ306" s="155">
        <v>9.4146025527816197E-4</v>
      </c>
    </row>
    <row r="307" spans="1:36">
      <c r="A307" s="3">
        <v>337</v>
      </c>
      <c r="B307" s="3">
        <v>9962</v>
      </c>
      <c r="C307" s="185" t="s">
        <v>871</v>
      </c>
      <c r="D307" s="3" t="s">
        <v>872</v>
      </c>
      <c r="E307" s="189" t="s">
        <v>118</v>
      </c>
      <c r="F307" s="185" t="s">
        <v>873</v>
      </c>
      <c r="G307" s="3" t="s">
        <v>874</v>
      </c>
      <c r="H307" s="3" t="s">
        <v>121</v>
      </c>
      <c r="I307" s="3" t="s">
        <v>132</v>
      </c>
      <c r="J307" s="3" t="s">
        <v>30</v>
      </c>
      <c r="K307" s="3" t="s">
        <v>30</v>
      </c>
      <c r="L307" s="3" t="s">
        <v>123</v>
      </c>
      <c r="M307" s="3" t="s">
        <v>31</v>
      </c>
      <c r="N307" s="3" t="s">
        <v>171</v>
      </c>
      <c r="O307" s="3" t="s">
        <v>125</v>
      </c>
      <c r="P307" s="3" t="s">
        <v>260</v>
      </c>
      <c r="Q307" s="3" t="s">
        <v>146</v>
      </c>
      <c r="R307" s="3" t="s">
        <v>128</v>
      </c>
      <c r="S307" s="3" t="s">
        <v>34</v>
      </c>
      <c r="T307" s="143">
        <v>2.0110000000000001</v>
      </c>
      <c r="U307" s="3" t="s">
        <v>875</v>
      </c>
      <c r="V307" s="155">
        <v>1.0800000000000001E-2</v>
      </c>
      <c r="W307" s="155">
        <v>3.0599999999999999E-2</v>
      </c>
      <c r="X307" s="5" t="s">
        <v>129</v>
      </c>
      <c r="Y307" s="5" t="s">
        <v>125</v>
      </c>
      <c r="Z307" s="143">
        <v>0.47</v>
      </c>
      <c r="AA307" s="153">
        <v>1</v>
      </c>
      <c r="AB307" s="163">
        <v>113.66</v>
      </c>
      <c r="AD307" s="143">
        <v>1E-3</v>
      </c>
      <c r="AG307" s="3" t="s">
        <v>36</v>
      </c>
      <c r="AH307" s="155">
        <v>0</v>
      </c>
      <c r="AI307" s="155">
        <v>7.5348268653424496E-8</v>
      </c>
      <c r="AJ307" s="155">
        <v>1.06473472883136E-8</v>
      </c>
    </row>
    <row r="308" spans="1:36">
      <c r="A308" s="3">
        <v>337</v>
      </c>
      <c r="B308" s="3">
        <v>9962</v>
      </c>
      <c r="C308" s="185" t="s">
        <v>715</v>
      </c>
      <c r="D308" s="3" t="s">
        <v>716</v>
      </c>
      <c r="E308" s="189" t="s">
        <v>118</v>
      </c>
      <c r="F308" s="185" t="s">
        <v>717</v>
      </c>
      <c r="G308" s="3" t="s">
        <v>718</v>
      </c>
      <c r="H308" s="3" t="s">
        <v>121</v>
      </c>
      <c r="I308" s="3" t="s">
        <v>122</v>
      </c>
      <c r="J308" s="3" t="s">
        <v>30</v>
      </c>
      <c r="K308" s="3" t="s">
        <v>30</v>
      </c>
      <c r="L308" s="3" t="s">
        <v>123</v>
      </c>
      <c r="M308" s="3" t="s">
        <v>31</v>
      </c>
      <c r="N308" s="3" t="s">
        <v>171</v>
      </c>
      <c r="O308" s="3" t="s">
        <v>125</v>
      </c>
      <c r="P308" s="3" t="s">
        <v>126</v>
      </c>
      <c r="Q308" s="3" t="s">
        <v>127</v>
      </c>
      <c r="R308" s="3" t="s">
        <v>128</v>
      </c>
      <c r="S308" s="3" t="s">
        <v>34</v>
      </c>
      <c r="T308" s="143">
        <v>2.6360000000000001</v>
      </c>
      <c r="U308" s="3" t="s">
        <v>719</v>
      </c>
      <c r="V308" s="155">
        <v>4.1000000000000002E-2</v>
      </c>
      <c r="W308" s="155">
        <v>4.8129999999999999E-2</v>
      </c>
      <c r="X308" s="5" t="s">
        <v>129</v>
      </c>
      <c r="Y308" s="5" t="s">
        <v>125</v>
      </c>
      <c r="Z308" s="143">
        <v>10555.56</v>
      </c>
      <c r="AA308" s="153">
        <v>1</v>
      </c>
      <c r="AB308" s="163">
        <v>98.99</v>
      </c>
      <c r="AD308" s="143">
        <v>10.449</v>
      </c>
      <c r="AG308" s="3" t="s">
        <v>36</v>
      </c>
      <c r="AH308" s="155">
        <v>2.0000000000000002E-5</v>
      </c>
      <c r="AI308" s="155">
        <v>1.47380617190426E-3</v>
      </c>
      <c r="AJ308" s="155">
        <v>2.0826127034322399E-4</v>
      </c>
    </row>
    <row r="309" spans="1:36">
      <c r="A309" s="3">
        <v>337</v>
      </c>
      <c r="B309" s="3">
        <v>9962</v>
      </c>
      <c r="C309" s="185" t="s">
        <v>876</v>
      </c>
      <c r="D309" s="3" t="s">
        <v>877</v>
      </c>
      <c r="E309" s="189" t="s">
        <v>118</v>
      </c>
      <c r="F309" s="185" t="s">
        <v>878</v>
      </c>
      <c r="G309" s="3" t="s">
        <v>879</v>
      </c>
      <c r="H309" s="3" t="s">
        <v>121</v>
      </c>
      <c r="I309" s="3" t="s">
        <v>410</v>
      </c>
      <c r="J309" s="3" t="s">
        <v>30</v>
      </c>
      <c r="K309" s="3" t="s">
        <v>30</v>
      </c>
      <c r="L309" s="3" t="s">
        <v>123</v>
      </c>
      <c r="M309" s="3" t="s">
        <v>31</v>
      </c>
      <c r="N309" s="3" t="s">
        <v>377</v>
      </c>
      <c r="O309" s="3" t="s">
        <v>125</v>
      </c>
      <c r="P309" s="3" t="s">
        <v>422</v>
      </c>
      <c r="Q309" s="3" t="s">
        <v>127</v>
      </c>
      <c r="R309" s="3" t="s">
        <v>128</v>
      </c>
      <c r="S309" s="3" t="s">
        <v>34</v>
      </c>
      <c r="T309" s="143">
        <v>2.1040000000000001</v>
      </c>
      <c r="U309" s="3" t="s">
        <v>880</v>
      </c>
      <c r="V309" s="155">
        <v>4.6899999999999997E-2</v>
      </c>
      <c r="W309" s="155">
        <v>5.9369999999999999E-2</v>
      </c>
      <c r="X309" s="5" t="s">
        <v>129</v>
      </c>
      <c r="Y309" s="5" t="s">
        <v>125</v>
      </c>
      <c r="Z309" s="143">
        <v>27638.07</v>
      </c>
      <c r="AA309" s="153">
        <v>1</v>
      </c>
      <c r="AB309" s="163">
        <v>89.9</v>
      </c>
      <c r="AD309" s="143">
        <v>24.847000000000001</v>
      </c>
      <c r="AG309" s="3" t="s">
        <v>36</v>
      </c>
      <c r="AH309" s="155">
        <v>2.0000000000000002E-5</v>
      </c>
      <c r="AI309" s="155">
        <v>3.5045734953379299E-3</v>
      </c>
      <c r="AJ309" s="155">
        <v>4.9522585945425198E-4</v>
      </c>
    </row>
    <row r="310" spans="1:36">
      <c r="A310" s="3">
        <v>337</v>
      </c>
      <c r="B310" s="3">
        <v>9962</v>
      </c>
      <c r="C310" s="185" t="s">
        <v>725</v>
      </c>
      <c r="D310" s="3" t="s">
        <v>726</v>
      </c>
      <c r="E310" s="189" t="s">
        <v>727</v>
      </c>
      <c r="F310" s="185" t="s">
        <v>728</v>
      </c>
      <c r="G310" s="3" t="s">
        <v>729</v>
      </c>
      <c r="H310" s="3" t="s">
        <v>121</v>
      </c>
      <c r="I310" s="3" t="s">
        <v>410</v>
      </c>
      <c r="J310" s="3" t="s">
        <v>79</v>
      </c>
      <c r="K310" s="3" t="s">
        <v>138</v>
      </c>
      <c r="L310" s="3" t="s">
        <v>123</v>
      </c>
      <c r="M310" s="3" t="s">
        <v>730</v>
      </c>
      <c r="N310" s="3" t="s">
        <v>377</v>
      </c>
      <c r="O310" s="3" t="s">
        <v>125</v>
      </c>
      <c r="P310" s="3" t="s">
        <v>731</v>
      </c>
      <c r="Q310" s="3" t="s">
        <v>732</v>
      </c>
      <c r="R310" s="3" t="s">
        <v>128</v>
      </c>
      <c r="S310" s="3" t="s">
        <v>84</v>
      </c>
      <c r="T310" s="143">
        <v>2.1080000000000001</v>
      </c>
      <c r="U310" s="3" t="s">
        <v>733</v>
      </c>
      <c r="V310" s="155">
        <v>5.3749999999999999E-2</v>
      </c>
      <c r="W310" s="155">
        <v>6.0979999999999999E-2</v>
      </c>
      <c r="X310" s="5" t="s">
        <v>129</v>
      </c>
      <c r="Y310" s="5" t="s">
        <v>125</v>
      </c>
      <c r="Z310" s="143">
        <v>7000</v>
      </c>
      <c r="AA310" s="153">
        <v>3.19</v>
      </c>
      <c r="AB310" s="163">
        <v>100.083</v>
      </c>
      <c r="AD310" s="143">
        <v>22.347999999999999</v>
      </c>
      <c r="AG310" s="3" t="s">
        <v>36</v>
      </c>
      <c r="AH310" s="155">
        <v>1.1E-5</v>
      </c>
      <c r="AI310" s="155">
        <v>3.1522126250497899E-3</v>
      </c>
      <c r="AJ310" s="155">
        <v>4.4543428993555699E-4</v>
      </c>
    </row>
    <row r="311" spans="1:36">
      <c r="A311" s="3">
        <v>337</v>
      </c>
      <c r="B311" s="3">
        <v>9962</v>
      </c>
      <c r="C311" s="185" t="s">
        <v>725</v>
      </c>
      <c r="D311" s="3" t="s">
        <v>726</v>
      </c>
      <c r="E311" s="189" t="s">
        <v>727</v>
      </c>
      <c r="F311" s="185" t="s">
        <v>734</v>
      </c>
      <c r="G311" s="3" t="s">
        <v>735</v>
      </c>
      <c r="H311" s="3" t="s">
        <v>121</v>
      </c>
      <c r="I311" s="3" t="s">
        <v>410</v>
      </c>
      <c r="J311" s="3" t="s">
        <v>79</v>
      </c>
      <c r="K311" s="3" t="s">
        <v>138</v>
      </c>
      <c r="L311" s="3" t="s">
        <v>123</v>
      </c>
      <c r="M311" s="3" t="s">
        <v>730</v>
      </c>
      <c r="N311" s="3" t="s">
        <v>377</v>
      </c>
      <c r="O311" s="3" t="s">
        <v>125</v>
      </c>
      <c r="P311" s="3" t="s">
        <v>731</v>
      </c>
      <c r="Q311" s="3" t="s">
        <v>732</v>
      </c>
      <c r="R311" s="3" t="s">
        <v>128</v>
      </c>
      <c r="S311" s="3" t="s">
        <v>84</v>
      </c>
      <c r="T311" s="143">
        <v>4.5019999999999998</v>
      </c>
      <c r="U311" s="3" t="s">
        <v>736</v>
      </c>
      <c r="V311" s="155">
        <v>5.8749999999999997E-2</v>
      </c>
      <c r="W311" s="155">
        <v>6.6460000000000005E-2</v>
      </c>
      <c r="X311" s="5" t="s">
        <v>129</v>
      </c>
      <c r="Y311" s="5" t="s">
        <v>125</v>
      </c>
      <c r="Z311" s="143">
        <v>5000</v>
      </c>
      <c r="AA311" s="153">
        <v>3.19</v>
      </c>
      <c r="AB311" s="163">
        <v>98.430999999999997</v>
      </c>
      <c r="AD311" s="143">
        <v>15.7</v>
      </c>
      <c r="AG311" s="3" t="s">
        <v>36</v>
      </c>
      <c r="AH311" s="155">
        <v>7.9999999999999996E-6</v>
      </c>
      <c r="AI311" s="155">
        <v>2.2144240721319098E-3</v>
      </c>
      <c r="AJ311" s="155">
        <v>3.1291684017371798E-4</v>
      </c>
    </row>
    <row r="312" spans="1:36">
      <c r="A312" s="3">
        <v>337</v>
      </c>
      <c r="B312" s="3">
        <v>9962</v>
      </c>
      <c r="C312" s="185" t="s">
        <v>459</v>
      </c>
      <c r="D312" s="3" t="s">
        <v>460</v>
      </c>
      <c r="E312" s="189" t="s">
        <v>118</v>
      </c>
      <c r="F312" s="185" t="s">
        <v>737</v>
      </c>
      <c r="G312" s="3" t="s">
        <v>738</v>
      </c>
      <c r="H312" s="3" t="s">
        <v>121</v>
      </c>
      <c r="I312" s="3" t="s">
        <v>410</v>
      </c>
      <c r="J312" s="3" t="s">
        <v>79</v>
      </c>
      <c r="K312" s="3" t="s">
        <v>30</v>
      </c>
      <c r="L312" s="3" t="s">
        <v>123</v>
      </c>
      <c r="M312" s="3" t="s">
        <v>730</v>
      </c>
      <c r="N312" s="3" t="s">
        <v>316</v>
      </c>
      <c r="O312" s="3" t="s">
        <v>125</v>
      </c>
      <c r="P312" s="3" t="s">
        <v>739</v>
      </c>
      <c r="Q312" s="3" t="s">
        <v>732</v>
      </c>
      <c r="R312" s="3" t="s">
        <v>128</v>
      </c>
      <c r="S312" s="3" t="s">
        <v>84</v>
      </c>
      <c r="T312" s="143">
        <v>4.4489999999999998</v>
      </c>
      <c r="U312" s="3" t="s">
        <v>740</v>
      </c>
      <c r="V312" s="155">
        <v>3.2750000000000001E-2</v>
      </c>
      <c r="W312" s="155">
        <v>5.3740000000000003E-2</v>
      </c>
      <c r="X312" s="5" t="s">
        <v>129</v>
      </c>
      <c r="Y312" s="5" t="s">
        <v>125</v>
      </c>
      <c r="Z312" s="143">
        <v>7000</v>
      </c>
      <c r="AA312" s="153">
        <v>3.19</v>
      </c>
      <c r="AB312" s="163">
        <v>101.229</v>
      </c>
      <c r="AD312" s="143">
        <v>22.603999999999999</v>
      </c>
      <c r="AG312" s="3" t="s">
        <v>36</v>
      </c>
      <c r="AH312" s="155">
        <v>9.0000000000000002E-6</v>
      </c>
      <c r="AI312" s="155">
        <v>3.1883228796154598E-3</v>
      </c>
      <c r="AJ312" s="155">
        <v>4.5053697414982301E-4</v>
      </c>
    </row>
    <row r="313" spans="1:36">
      <c r="A313" s="3">
        <v>337</v>
      </c>
      <c r="B313" s="3">
        <v>9962</v>
      </c>
      <c r="C313" s="185" t="s">
        <v>741</v>
      </c>
      <c r="D313" s="3" t="s">
        <v>742</v>
      </c>
      <c r="E313" s="189" t="s">
        <v>118</v>
      </c>
      <c r="F313" s="185" t="s">
        <v>743</v>
      </c>
      <c r="G313" s="3" t="s">
        <v>744</v>
      </c>
      <c r="H313" s="3" t="s">
        <v>121</v>
      </c>
      <c r="I313" s="3" t="s">
        <v>410</v>
      </c>
      <c r="J313" s="3" t="s">
        <v>79</v>
      </c>
      <c r="K313" s="3" t="s">
        <v>30</v>
      </c>
      <c r="L313" s="3" t="s">
        <v>123</v>
      </c>
      <c r="M313" s="3" t="s">
        <v>730</v>
      </c>
      <c r="N313" s="3" t="s">
        <v>377</v>
      </c>
      <c r="O313" s="3" t="s">
        <v>125</v>
      </c>
      <c r="P313" s="3" t="s">
        <v>731</v>
      </c>
      <c r="Q313" s="3" t="s">
        <v>732</v>
      </c>
      <c r="R313" s="3" t="s">
        <v>128</v>
      </c>
      <c r="S313" s="3" t="s">
        <v>84</v>
      </c>
      <c r="T313" s="143">
        <v>1.44</v>
      </c>
      <c r="U313" s="3" t="s">
        <v>244</v>
      </c>
      <c r="V313" s="155">
        <v>6.5000000000000002E-2</v>
      </c>
      <c r="W313" s="155">
        <v>6.1420000000000002E-2</v>
      </c>
      <c r="X313" s="5" t="s">
        <v>129</v>
      </c>
      <c r="Y313" s="5" t="s">
        <v>125</v>
      </c>
      <c r="Z313" s="143">
        <v>4000</v>
      </c>
      <c r="AA313" s="153">
        <v>3.19</v>
      </c>
      <c r="AB313" s="163">
        <v>100.851</v>
      </c>
      <c r="AD313" s="143">
        <v>12.869</v>
      </c>
      <c r="AG313" s="3" t="s">
        <v>36</v>
      </c>
      <c r="AH313" s="155">
        <v>6.9999999999999999E-6</v>
      </c>
      <c r="AI313" s="155">
        <v>1.8150974350651099E-3</v>
      </c>
      <c r="AJ313" s="155">
        <v>2.5648861080216799E-4</v>
      </c>
    </row>
    <row r="314" spans="1:36">
      <c r="A314" s="3">
        <v>337</v>
      </c>
      <c r="B314" s="3">
        <v>9962</v>
      </c>
      <c r="C314" s="185" t="s">
        <v>745</v>
      </c>
      <c r="D314" s="3" t="s">
        <v>746</v>
      </c>
      <c r="E314" s="189" t="s">
        <v>118</v>
      </c>
      <c r="F314" s="185" t="s">
        <v>747</v>
      </c>
      <c r="G314" s="3" t="s">
        <v>748</v>
      </c>
      <c r="H314" s="3" t="s">
        <v>121</v>
      </c>
      <c r="I314" s="3" t="s">
        <v>410</v>
      </c>
      <c r="J314" s="3" t="s">
        <v>79</v>
      </c>
      <c r="K314" s="3" t="s">
        <v>30</v>
      </c>
      <c r="L314" s="3" t="s">
        <v>123</v>
      </c>
      <c r="M314" s="3" t="s">
        <v>730</v>
      </c>
      <c r="N314" s="3" t="s">
        <v>316</v>
      </c>
      <c r="O314" s="3" t="s">
        <v>125</v>
      </c>
      <c r="P314" s="3" t="s">
        <v>739</v>
      </c>
      <c r="Q314" s="3" t="s">
        <v>732</v>
      </c>
      <c r="R314" s="3" t="s">
        <v>128</v>
      </c>
      <c r="S314" s="3" t="s">
        <v>84</v>
      </c>
      <c r="T314" s="143">
        <v>0.25600000000000001</v>
      </c>
      <c r="U314" s="3" t="s">
        <v>749</v>
      </c>
      <c r="V314" s="155">
        <v>3.0769999999999999E-2</v>
      </c>
      <c r="W314" s="155">
        <v>5.9290000000000002E-2</v>
      </c>
      <c r="X314" s="5" t="s">
        <v>129</v>
      </c>
      <c r="Y314" s="5" t="s">
        <v>125</v>
      </c>
      <c r="Z314" s="143">
        <v>7000</v>
      </c>
      <c r="AA314" s="153">
        <v>3.19</v>
      </c>
      <c r="AB314" s="163">
        <v>99.954999999999998</v>
      </c>
      <c r="AD314" s="143">
        <v>22.32</v>
      </c>
      <c r="AG314" s="3" t="s">
        <v>36</v>
      </c>
      <c r="AH314" s="155">
        <v>1.2E-5</v>
      </c>
      <c r="AI314" s="155">
        <v>3.14819057576236E-3</v>
      </c>
      <c r="AJ314" s="155">
        <v>4.4486594037239802E-4</v>
      </c>
    </row>
    <row r="315" spans="1:36">
      <c r="A315" s="3">
        <v>337</v>
      </c>
      <c r="B315" s="3">
        <v>9962</v>
      </c>
      <c r="C315" s="185" t="s">
        <v>750</v>
      </c>
      <c r="D315" s="3" t="s">
        <v>751</v>
      </c>
      <c r="E315" s="189" t="s">
        <v>118</v>
      </c>
      <c r="F315" s="185" t="s">
        <v>752</v>
      </c>
      <c r="G315" s="3" t="s">
        <v>753</v>
      </c>
      <c r="H315" s="3" t="s">
        <v>121</v>
      </c>
      <c r="I315" s="3" t="s">
        <v>410</v>
      </c>
      <c r="J315" s="3" t="s">
        <v>79</v>
      </c>
      <c r="K315" s="3" t="s">
        <v>80</v>
      </c>
      <c r="L315" s="3" t="s">
        <v>123</v>
      </c>
      <c r="M315" s="3" t="s">
        <v>730</v>
      </c>
      <c r="N315" s="3" t="s">
        <v>754</v>
      </c>
      <c r="O315" s="3" t="s">
        <v>125</v>
      </c>
      <c r="P315" s="3" t="s">
        <v>731</v>
      </c>
      <c r="Q315" s="3" t="s">
        <v>732</v>
      </c>
      <c r="R315" s="3" t="s">
        <v>128</v>
      </c>
      <c r="S315" s="3" t="s">
        <v>755</v>
      </c>
      <c r="T315" s="143">
        <v>3.778</v>
      </c>
      <c r="U315" s="3" t="s">
        <v>756</v>
      </c>
      <c r="V315" s="155">
        <v>4.3749999999999997E-2</v>
      </c>
      <c r="W315" s="155">
        <v>3.7679999999999998E-2</v>
      </c>
      <c r="X315" s="5" t="s">
        <v>129</v>
      </c>
      <c r="Y315" s="5" t="s">
        <v>125</v>
      </c>
      <c r="Z315" s="143">
        <v>13000</v>
      </c>
      <c r="AA315" s="153">
        <v>3.7454999999999998</v>
      </c>
      <c r="AB315" s="163">
        <v>103.566</v>
      </c>
      <c r="AD315" s="143">
        <v>50.427999999999997</v>
      </c>
      <c r="AG315" s="3" t="s">
        <v>36</v>
      </c>
      <c r="AH315" s="155">
        <v>9.0000000000000002E-6</v>
      </c>
      <c r="AI315" s="155">
        <v>7.1127320321047799E-3</v>
      </c>
      <c r="AJ315" s="155">
        <v>1.00508916087868E-3</v>
      </c>
    </row>
    <row r="316" spans="1:36">
      <c r="A316" s="3">
        <v>337</v>
      </c>
      <c r="B316" s="3">
        <v>9962</v>
      </c>
      <c r="C316" s="185" t="s">
        <v>750</v>
      </c>
      <c r="D316" s="3" t="s">
        <v>751</v>
      </c>
      <c r="E316" s="189" t="s">
        <v>118</v>
      </c>
      <c r="F316" s="185" t="s">
        <v>757</v>
      </c>
      <c r="G316" s="3" t="s">
        <v>758</v>
      </c>
      <c r="H316" s="3" t="s">
        <v>121</v>
      </c>
      <c r="I316" s="3" t="s">
        <v>410</v>
      </c>
      <c r="J316" s="3" t="s">
        <v>79</v>
      </c>
      <c r="K316" s="3" t="s">
        <v>80</v>
      </c>
      <c r="L316" s="3" t="s">
        <v>123</v>
      </c>
      <c r="M316" s="3" t="s">
        <v>730</v>
      </c>
      <c r="N316" s="3" t="s">
        <v>754</v>
      </c>
      <c r="O316" s="3" t="s">
        <v>125</v>
      </c>
      <c r="P316" s="3" t="s">
        <v>731</v>
      </c>
      <c r="Q316" s="3" t="s">
        <v>732</v>
      </c>
      <c r="R316" s="3" t="s">
        <v>128</v>
      </c>
      <c r="S316" s="3" t="s">
        <v>84</v>
      </c>
      <c r="T316" s="143">
        <v>2.8879999999999999</v>
      </c>
      <c r="U316" s="3" t="s">
        <v>759</v>
      </c>
      <c r="V316" s="155">
        <v>5.1249999999999997E-2</v>
      </c>
      <c r="W316" s="155">
        <v>4.8779999999999997E-2</v>
      </c>
      <c r="X316" s="5" t="s">
        <v>129</v>
      </c>
      <c r="Y316" s="5" t="s">
        <v>125</v>
      </c>
      <c r="Z316" s="143">
        <v>8000</v>
      </c>
      <c r="AA316" s="153">
        <v>3.19</v>
      </c>
      <c r="AB316" s="163">
        <v>102.399</v>
      </c>
      <c r="AD316" s="143">
        <v>26.132000000000001</v>
      </c>
      <c r="AG316" s="3" t="s">
        <v>36</v>
      </c>
      <c r="AH316" s="155">
        <v>7.9999999999999996E-6</v>
      </c>
      <c r="AI316" s="155">
        <v>3.6858886217090701E-3</v>
      </c>
      <c r="AJ316" s="155">
        <v>5.2084721948811796E-4</v>
      </c>
    </row>
    <row r="317" spans="1:36">
      <c r="A317" s="3">
        <v>337</v>
      </c>
      <c r="B317" s="3">
        <v>9963</v>
      </c>
      <c r="C317" s="185" t="s">
        <v>116</v>
      </c>
      <c r="D317" s="3" t="s">
        <v>117</v>
      </c>
      <c r="E317" s="189" t="s">
        <v>118</v>
      </c>
      <c r="F317" s="185" t="s">
        <v>119</v>
      </c>
      <c r="G317" s="3" t="s">
        <v>120</v>
      </c>
      <c r="H317" s="3" t="s">
        <v>121</v>
      </c>
      <c r="I317" s="3" t="s">
        <v>122</v>
      </c>
      <c r="J317" s="3" t="s">
        <v>30</v>
      </c>
      <c r="K317" s="3" t="s">
        <v>30</v>
      </c>
      <c r="L317" s="3" t="s">
        <v>123</v>
      </c>
      <c r="M317" s="3" t="s">
        <v>31</v>
      </c>
      <c r="N317" s="3" t="s">
        <v>124</v>
      </c>
      <c r="O317" s="3" t="s">
        <v>125</v>
      </c>
      <c r="P317" s="3" t="s">
        <v>126</v>
      </c>
      <c r="Q317" s="3" t="s">
        <v>127</v>
      </c>
      <c r="R317" s="3" t="s">
        <v>128</v>
      </c>
      <c r="S317" s="3" t="s">
        <v>34</v>
      </c>
      <c r="T317" s="143">
        <v>0.97099999999999997</v>
      </c>
      <c r="U317" s="3" t="s">
        <v>91</v>
      </c>
      <c r="V317" s="155">
        <v>3.5000000000000003E-2</v>
      </c>
      <c r="W317" s="155">
        <v>4.8559999999999999E-2</v>
      </c>
      <c r="X317" s="5" t="s">
        <v>129</v>
      </c>
      <c r="Y317" s="5" t="s">
        <v>125</v>
      </c>
      <c r="Z317" s="143">
        <v>351388.7</v>
      </c>
      <c r="AA317" s="153">
        <v>1</v>
      </c>
      <c r="AB317" s="163">
        <v>99.65</v>
      </c>
      <c r="AD317" s="143">
        <v>350.15899999999999</v>
      </c>
      <c r="AG317" s="3" t="s">
        <v>36</v>
      </c>
      <c r="AH317" s="155">
        <v>3.1589999999999999E-3</v>
      </c>
      <c r="AI317" s="155">
        <v>1.6898572037493101E-3</v>
      </c>
      <c r="AJ317" s="155">
        <v>3.0047058074403701E-4</v>
      </c>
    </row>
    <row r="318" spans="1:36">
      <c r="A318" s="3">
        <v>337</v>
      </c>
      <c r="B318" s="3">
        <v>9963</v>
      </c>
      <c r="C318" s="185" t="s">
        <v>116</v>
      </c>
      <c r="D318" s="3" t="s">
        <v>117</v>
      </c>
      <c r="E318" s="189" t="s">
        <v>118</v>
      </c>
      <c r="F318" s="185" t="s">
        <v>130</v>
      </c>
      <c r="G318" s="3" t="s">
        <v>131</v>
      </c>
      <c r="H318" s="3" t="s">
        <v>121</v>
      </c>
      <c r="I318" s="3" t="s">
        <v>132</v>
      </c>
      <c r="J318" s="3" t="s">
        <v>30</v>
      </c>
      <c r="K318" s="3" t="s">
        <v>30</v>
      </c>
      <c r="L318" s="3" t="s">
        <v>123</v>
      </c>
      <c r="M318" s="3" t="s">
        <v>31</v>
      </c>
      <c r="N318" s="3" t="s">
        <v>124</v>
      </c>
      <c r="O318" s="3" t="s">
        <v>125</v>
      </c>
      <c r="P318" s="3" t="s">
        <v>126</v>
      </c>
      <c r="Q318" s="3" t="s">
        <v>127</v>
      </c>
      <c r="R318" s="3" t="s">
        <v>128</v>
      </c>
      <c r="S318" s="3" t="s">
        <v>34</v>
      </c>
      <c r="T318" s="143">
        <v>1.657</v>
      </c>
      <c r="U318" s="3" t="s">
        <v>133</v>
      </c>
      <c r="V318" s="155">
        <v>3.85E-2</v>
      </c>
      <c r="W318" s="155">
        <v>2.962E-2</v>
      </c>
      <c r="X318" s="5" t="s">
        <v>129</v>
      </c>
      <c r="Y318" s="5" t="s">
        <v>125</v>
      </c>
      <c r="Z318" s="143">
        <v>438772</v>
      </c>
      <c r="AA318" s="153">
        <v>1</v>
      </c>
      <c r="AB318" s="163">
        <v>112.15</v>
      </c>
      <c r="AD318" s="143">
        <v>492.08300000000003</v>
      </c>
      <c r="AG318" s="3" t="s">
        <v>36</v>
      </c>
      <c r="AH318" s="155">
        <v>1.4630000000000001E-3</v>
      </c>
      <c r="AI318" s="155">
        <v>2.3747784351526402E-3</v>
      </c>
      <c r="AJ318" s="155">
        <v>4.2225523787783198E-4</v>
      </c>
    </row>
    <row r="319" spans="1:36">
      <c r="A319" s="3">
        <v>337</v>
      </c>
      <c r="B319" s="3">
        <v>9963</v>
      </c>
      <c r="C319" s="185" t="s">
        <v>134</v>
      </c>
      <c r="D319" s="3" t="s">
        <v>135</v>
      </c>
      <c r="E319" s="189" t="s">
        <v>118</v>
      </c>
      <c r="F319" s="185" t="s">
        <v>881</v>
      </c>
      <c r="G319" s="3" t="s">
        <v>882</v>
      </c>
      <c r="H319" s="3" t="s">
        <v>121</v>
      </c>
      <c r="I319" s="3" t="s">
        <v>132</v>
      </c>
      <c r="J319" s="3" t="s">
        <v>30</v>
      </c>
      <c r="K319" s="3" t="s">
        <v>138</v>
      </c>
      <c r="L319" s="3" t="s">
        <v>123</v>
      </c>
      <c r="M319" s="3" t="s">
        <v>31</v>
      </c>
      <c r="N319" s="3" t="s">
        <v>139</v>
      </c>
      <c r="O319" s="3" t="s">
        <v>125</v>
      </c>
      <c r="P319" s="3" t="s">
        <v>126</v>
      </c>
      <c r="Q319" s="3" t="s">
        <v>127</v>
      </c>
      <c r="R319" s="3" t="s">
        <v>128</v>
      </c>
      <c r="S319" s="3" t="s">
        <v>34</v>
      </c>
      <c r="T319" s="143">
        <v>1.141</v>
      </c>
      <c r="U319" s="3" t="s">
        <v>883</v>
      </c>
      <c r="V319" s="155">
        <v>2.8500000000000001E-2</v>
      </c>
      <c r="W319" s="155">
        <v>2.9909999999999999E-2</v>
      </c>
      <c r="X319" s="5" t="s">
        <v>129</v>
      </c>
      <c r="Y319" s="5" t="s">
        <v>125</v>
      </c>
      <c r="Z319" s="143">
        <v>10564.5</v>
      </c>
      <c r="AA319" s="153">
        <v>1</v>
      </c>
      <c r="AB319" s="163">
        <v>120.34</v>
      </c>
      <c r="AD319" s="143">
        <v>12.712999999999999</v>
      </c>
      <c r="AG319" s="3" t="s">
        <v>36</v>
      </c>
      <c r="AH319" s="155">
        <v>3.8999999999999999E-5</v>
      </c>
      <c r="AI319" s="155">
        <v>6.1354139253715407E-5</v>
      </c>
      <c r="AJ319" s="155">
        <v>1.09092731691839E-5</v>
      </c>
    </row>
    <row r="320" spans="1:36">
      <c r="A320" s="3">
        <v>337</v>
      </c>
      <c r="B320" s="3">
        <v>9963</v>
      </c>
      <c r="C320" s="185" t="s">
        <v>140</v>
      </c>
      <c r="D320" s="3" t="s">
        <v>141</v>
      </c>
      <c r="E320" s="189" t="s">
        <v>118</v>
      </c>
      <c r="F320" s="185" t="s">
        <v>142</v>
      </c>
      <c r="G320" s="3" t="s">
        <v>143</v>
      </c>
      <c r="H320" s="3" t="s">
        <v>121</v>
      </c>
      <c r="I320" s="3" t="s">
        <v>132</v>
      </c>
      <c r="J320" s="3" t="s">
        <v>30</v>
      </c>
      <c r="K320" s="3" t="s">
        <v>30</v>
      </c>
      <c r="L320" s="3" t="s">
        <v>123</v>
      </c>
      <c r="M320" s="3" t="s">
        <v>31</v>
      </c>
      <c r="N320" s="3" t="s">
        <v>144</v>
      </c>
      <c r="O320" s="3" t="s">
        <v>125</v>
      </c>
      <c r="P320" s="3" t="s">
        <v>145</v>
      </c>
      <c r="Q320" s="3" t="s">
        <v>146</v>
      </c>
      <c r="R320" s="3" t="s">
        <v>128</v>
      </c>
      <c r="S320" s="3" t="s">
        <v>34</v>
      </c>
      <c r="T320" s="143">
        <v>5.1340000000000003</v>
      </c>
      <c r="U320" s="3" t="s">
        <v>147</v>
      </c>
      <c r="V320" s="155">
        <v>5.1499999999999997E-2</v>
      </c>
      <c r="W320" s="155">
        <v>3.3709999999999997E-2</v>
      </c>
      <c r="X320" s="5" t="s">
        <v>129</v>
      </c>
      <c r="Y320" s="5" t="s">
        <v>125</v>
      </c>
      <c r="Z320" s="143">
        <v>0.26</v>
      </c>
      <c r="AA320" s="153">
        <v>1</v>
      </c>
      <c r="AB320" s="163">
        <v>156.16999999999999</v>
      </c>
      <c r="AD320" s="143">
        <v>0</v>
      </c>
      <c r="AG320" s="3" t="s">
        <v>36</v>
      </c>
      <c r="AH320" s="155">
        <v>0</v>
      </c>
      <c r="AI320" s="155">
        <v>1.9595478429348602E-9</v>
      </c>
      <c r="AJ320" s="155">
        <v>3.4842380590266101E-10</v>
      </c>
    </row>
    <row r="321" spans="1:36">
      <c r="A321" s="3">
        <v>337</v>
      </c>
      <c r="B321" s="3">
        <v>9963</v>
      </c>
      <c r="C321" s="185" t="s">
        <v>148</v>
      </c>
      <c r="D321" s="3" t="s">
        <v>149</v>
      </c>
      <c r="E321" s="189" t="s">
        <v>118</v>
      </c>
      <c r="F321" s="185" t="s">
        <v>150</v>
      </c>
      <c r="G321" s="3" t="s">
        <v>151</v>
      </c>
      <c r="H321" s="3" t="s">
        <v>121</v>
      </c>
      <c r="I321" s="3" t="s">
        <v>132</v>
      </c>
      <c r="J321" s="3" t="s">
        <v>30</v>
      </c>
      <c r="K321" s="3" t="s">
        <v>30</v>
      </c>
      <c r="L321" s="3" t="s">
        <v>123</v>
      </c>
      <c r="M321" s="3" t="s">
        <v>31</v>
      </c>
      <c r="N321" s="3" t="s">
        <v>152</v>
      </c>
      <c r="O321" s="3" t="s">
        <v>125</v>
      </c>
      <c r="P321" s="3" t="s">
        <v>153</v>
      </c>
      <c r="Q321" s="3" t="s">
        <v>146</v>
      </c>
      <c r="R321" s="3" t="s">
        <v>128</v>
      </c>
      <c r="S321" s="3" t="s">
        <v>34</v>
      </c>
      <c r="T321" s="143">
        <v>2.1619999999999999</v>
      </c>
      <c r="U321" s="3" t="s">
        <v>154</v>
      </c>
      <c r="V321" s="155">
        <v>2.75E-2</v>
      </c>
      <c r="W321" s="155">
        <v>2.4850000000000001E-2</v>
      </c>
      <c r="X321" s="5" t="s">
        <v>129</v>
      </c>
      <c r="Y321" s="5" t="s">
        <v>125</v>
      </c>
      <c r="Z321" s="143">
        <v>101649.33</v>
      </c>
      <c r="AA321" s="153">
        <v>1</v>
      </c>
      <c r="AB321" s="163">
        <v>118.88</v>
      </c>
      <c r="AD321" s="143">
        <v>120.84099999999999</v>
      </c>
      <c r="AG321" s="3" t="s">
        <v>36</v>
      </c>
      <c r="AH321" s="155">
        <v>2.3000000000000001E-4</v>
      </c>
      <c r="AI321" s="155">
        <v>5.8317410287839905E-4</v>
      </c>
      <c r="AJ321" s="155">
        <v>1.03693176546502E-4</v>
      </c>
    </row>
    <row r="322" spans="1:36">
      <c r="A322" s="3">
        <v>337</v>
      </c>
      <c r="B322" s="3">
        <v>9963</v>
      </c>
      <c r="C322" s="185" t="s">
        <v>155</v>
      </c>
      <c r="D322" s="3" t="s">
        <v>156</v>
      </c>
      <c r="E322" s="189" t="s">
        <v>118</v>
      </c>
      <c r="F322" s="185" t="s">
        <v>157</v>
      </c>
      <c r="G322" s="3" t="s">
        <v>158</v>
      </c>
      <c r="H322" s="3" t="s">
        <v>121</v>
      </c>
      <c r="I322" s="3" t="s">
        <v>122</v>
      </c>
      <c r="J322" s="3" t="s">
        <v>30</v>
      </c>
      <c r="K322" s="3" t="s">
        <v>30</v>
      </c>
      <c r="L322" s="3" t="s">
        <v>123</v>
      </c>
      <c r="M322" s="3" t="s">
        <v>31</v>
      </c>
      <c r="N322" s="3" t="s">
        <v>159</v>
      </c>
      <c r="O322" s="3" t="s">
        <v>125</v>
      </c>
      <c r="P322" s="3" t="s">
        <v>126</v>
      </c>
      <c r="Q322" s="3" t="s">
        <v>127</v>
      </c>
      <c r="R322" s="3" t="s">
        <v>128</v>
      </c>
      <c r="S322" s="3" t="s">
        <v>34</v>
      </c>
      <c r="T322" s="143">
        <v>5.7190000000000003</v>
      </c>
      <c r="U322" s="3" t="s">
        <v>160</v>
      </c>
      <c r="V322" s="155">
        <v>5.1299999999999998E-2</v>
      </c>
      <c r="W322" s="155">
        <v>4.5629999999999997E-2</v>
      </c>
      <c r="X322" s="5" t="s">
        <v>129</v>
      </c>
      <c r="Y322" s="5" t="s">
        <v>125</v>
      </c>
      <c r="Z322" s="143">
        <v>1500000</v>
      </c>
      <c r="AA322" s="153">
        <v>1</v>
      </c>
      <c r="AB322" s="163">
        <v>104.92</v>
      </c>
      <c r="AD322" s="143">
        <v>1573.8</v>
      </c>
      <c r="AG322" s="3" t="s">
        <v>36</v>
      </c>
      <c r="AH322" s="155">
        <v>4.4039999999999999E-3</v>
      </c>
      <c r="AI322" s="155">
        <v>7.5951167495256202E-3</v>
      </c>
      <c r="AJ322" s="155">
        <v>1.35047454630213E-3</v>
      </c>
    </row>
    <row r="323" spans="1:36">
      <c r="A323" s="3">
        <v>337</v>
      </c>
      <c r="B323" s="3">
        <v>9963</v>
      </c>
      <c r="C323" s="185" t="s">
        <v>161</v>
      </c>
      <c r="D323" s="3" t="s">
        <v>162</v>
      </c>
      <c r="E323" s="189" t="s">
        <v>118</v>
      </c>
      <c r="F323" s="185" t="s">
        <v>163</v>
      </c>
      <c r="G323" s="3" t="s">
        <v>164</v>
      </c>
      <c r="H323" s="3" t="s">
        <v>121</v>
      </c>
      <c r="I323" s="3" t="s">
        <v>122</v>
      </c>
      <c r="J323" s="3" t="s">
        <v>30</v>
      </c>
      <c r="K323" s="3" t="s">
        <v>30</v>
      </c>
      <c r="L323" s="3" t="s">
        <v>123</v>
      </c>
      <c r="M323" s="3" t="s">
        <v>31</v>
      </c>
      <c r="N323" s="3" t="s">
        <v>144</v>
      </c>
      <c r="O323" s="3" t="s">
        <v>125</v>
      </c>
      <c r="P323" s="3" t="s">
        <v>165</v>
      </c>
      <c r="Q323" s="3" t="s">
        <v>146</v>
      </c>
      <c r="R323" s="3" t="s">
        <v>128</v>
      </c>
      <c r="S323" s="3" t="s">
        <v>34</v>
      </c>
      <c r="T323" s="143">
        <v>7.1239999999999997</v>
      </c>
      <c r="U323" s="3" t="s">
        <v>166</v>
      </c>
      <c r="V323" s="155">
        <v>2.4E-2</v>
      </c>
      <c r="W323" s="155">
        <v>4.3560000000000001E-2</v>
      </c>
      <c r="X323" s="5" t="s">
        <v>129</v>
      </c>
      <c r="Y323" s="5" t="s">
        <v>125</v>
      </c>
      <c r="Z323" s="143">
        <v>1957446.81</v>
      </c>
      <c r="AA323" s="153">
        <v>1</v>
      </c>
      <c r="AB323" s="163">
        <v>87.37</v>
      </c>
      <c r="AD323" s="143">
        <v>1710.221</v>
      </c>
      <c r="AG323" s="3" t="s">
        <v>36</v>
      </c>
      <c r="AH323" s="155">
        <v>1.274E-3</v>
      </c>
      <c r="AI323" s="155">
        <v>8.2534821916066901E-3</v>
      </c>
      <c r="AJ323" s="155">
        <v>1.46753736455979E-3</v>
      </c>
    </row>
    <row r="324" spans="1:36">
      <c r="A324" s="3">
        <v>337</v>
      </c>
      <c r="B324" s="3">
        <v>9963</v>
      </c>
      <c r="C324" s="185" t="s">
        <v>167</v>
      </c>
      <c r="D324" s="3" t="s">
        <v>168</v>
      </c>
      <c r="E324" s="189" t="s">
        <v>118</v>
      </c>
      <c r="F324" s="185" t="s">
        <v>169</v>
      </c>
      <c r="G324" s="3" t="s">
        <v>170</v>
      </c>
      <c r="H324" s="3" t="s">
        <v>121</v>
      </c>
      <c r="I324" s="3" t="s">
        <v>132</v>
      </c>
      <c r="J324" s="3" t="s">
        <v>30</v>
      </c>
      <c r="K324" s="3" t="s">
        <v>30</v>
      </c>
      <c r="L324" s="3" t="s">
        <v>123</v>
      </c>
      <c r="M324" s="3" t="s">
        <v>31</v>
      </c>
      <c r="N324" s="3" t="s">
        <v>171</v>
      </c>
      <c r="O324" s="3" t="s">
        <v>125</v>
      </c>
      <c r="P324" s="3" t="s">
        <v>165</v>
      </c>
      <c r="Q324" s="3" t="s">
        <v>146</v>
      </c>
      <c r="R324" s="3" t="s">
        <v>128</v>
      </c>
      <c r="S324" s="3" t="s">
        <v>34</v>
      </c>
      <c r="T324" s="143">
        <v>1.5149999999999999</v>
      </c>
      <c r="U324" s="3" t="s">
        <v>104</v>
      </c>
      <c r="V324" s="155">
        <v>2.3400000000000001E-2</v>
      </c>
      <c r="W324" s="155">
        <v>2.6200000000000001E-2</v>
      </c>
      <c r="X324" s="5" t="s">
        <v>129</v>
      </c>
      <c r="Y324" s="5" t="s">
        <v>125</v>
      </c>
      <c r="Z324" s="143">
        <v>1893141.37</v>
      </c>
      <c r="AA324" s="153">
        <v>1</v>
      </c>
      <c r="AB324" s="163">
        <v>119.52</v>
      </c>
      <c r="AD324" s="143">
        <v>2262.683</v>
      </c>
      <c r="AG324" s="3" t="s">
        <v>36</v>
      </c>
      <c r="AH324" s="155">
        <v>1.1609999999999999E-3</v>
      </c>
      <c r="AI324" s="155">
        <v>1.0919645603959501E-2</v>
      </c>
      <c r="AJ324" s="155">
        <v>1.9416032602406401E-3</v>
      </c>
    </row>
    <row r="325" spans="1:36">
      <c r="A325" s="3">
        <v>337</v>
      </c>
      <c r="B325" s="3">
        <v>9963</v>
      </c>
      <c r="C325" s="185" t="s">
        <v>172</v>
      </c>
      <c r="D325" s="3" t="s">
        <v>173</v>
      </c>
      <c r="E325" s="189" t="s">
        <v>118</v>
      </c>
      <c r="F325" s="185" t="s">
        <v>174</v>
      </c>
      <c r="G325" s="3" t="s">
        <v>175</v>
      </c>
      <c r="H325" s="3" t="s">
        <v>121</v>
      </c>
      <c r="I325" s="3" t="s">
        <v>176</v>
      </c>
      <c r="J325" s="3" t="s">
        <v>30</v>
      </c>
      <c r="K325" s="3" t="s">
        <v>30</v>
      </c>
      <c r="L325" s="3" t="s">
        <v>123</v>
      </c>
      <c r="M325" s="3" t="s">
        <v>31</v>
      </c>
      <c r="N325" s="3" t="s">
        <v>177</v>
      </c>
      <c r="O325" s="3" t="s">
        <v>125</v>
      </c>
      <c r="P325" s="3" t="s">
        <v>178</v>
      </c>
      <c r="Q325" s="3" t="s">
        <v>178</v>
      </c>
      <c r="R325" s="3" t="s">
        <v>178</v>
      </c>
      <c r="S325" s="3" t="s">
        <v>34</v>
      </c>
      <c r="T325" s="143">
        <v>2.39</v>
      </c>
      <c r="U325" s="3" t="s">
        <v>179</v>
      </c>
      <c r="V325" s="155">
        <v>4.8500000000000001E-2</v>
      </c>
      <c r="W325" s="155">
        <v>-1.5900000000000001E-2</v>
      </c>
      <c r="X325" s="5" t="s">
        <v>129</v>
      </c>
      <c r="Y325" s="5" t="s">
        <v>125</v>
      </c>
      <c r="Z325" s="143">
        <v>898612</v>
      </c>
      <c r="AA325" s="153">
        <v>1</v>
      </c>
      <c r="AB325" s="163">
        <v>116.5</v>
      </c>
      <c r="AD325" s="143">
        <v>1046.883</v>
      </c>
      <c r="AG325" s="3" t="s">
        <v>36</v>
      </c>
      <c r="AH325" s="155">
        <v>2.9949999999999998E-3</v>
      </c>
      <c r="AI325" s="155">
        <v>5.0522292897390297E-3</v>
      </c>
      <c r="AJ325" s="155">
        <v>8.9832813410021595E-4</v>
      </c>
    </row>
    <row r="326" spans="1:36">
      <c r="A326" s="3">
        <v>337</v>
      </c>
      <c r="B326" s="3">
        <v>9963</v>
      </c>
      <c r="C326" s="185" t="s">
        <v>180</v>
      </c>
      <c r="D326" s="3" t="s">
        <v>181</v>
      </c>
      <c r="E326" s="189" t="s">
        <v>118</v>
      </c>
      <c r="F326" s="185" t="s">
        <v>182</v>
      </c>
      <c r="G326" s="3" t="s">
        <v>183</v>
      </c>
      <c r="H326" s="3" t="s">
        <v>121</v>
      </c>
      <c r="I326" s="3" t="s">
        <v>132</v>
      </c>
      <c r="J326" s="3" t="s">
        <v>30</v>
      </c>
      <c r="K326" s="3" t="s">
        <v>30</v>
      </c>
      <c r="L326" s="3" t="s">
        <v>123</v>
      </c>
      <c r="M326" s="3" t="s">
        <v>31</v>
      </c>
      <c r="N326" s="3" t="s">
        <v>184</v>
      </c>
      <c r="O326" s="3" t="s">
        <v>125</v>
      </c>
      <c r="P326" s="3" t="s">
        <v>153</v>
      </c>
      <c r="Q326" s="3" t="s">
        <v>146</v>
      </c>
      <c r="R326" s="3" t="s">
        <v>128</v>
      </c>
      <c r="S326" s="3" t="s">
        <v>34</v>
      </c>
      <c r="T326" s="143">
        <v>1.2150000000000001</v>
      </c>
      <c r="U326" s="3" t="s">
        <v>185</v>
      </c>
      <c r="V326" s="155">
        <v>3.2000000000000001E-2</v>
      </c>
      <c r="W326" s="155">
        <v>2.9610000000000001E-2</v>
      </c>
      <c r="X326" s="5" t="s">
        <v>129</v>
      </c>
      <c r="Y326" s="5" t="s">
        <v>125</v>
      </c>
      <c r="Z326" s="143">
        <v>99501.65</v>
      </c>
      <c r="AA326" s="153">
        <v>1</v>
      </c>
      <c r="AB326" s="163">
        <v>110.32</v>
      </c>
      <c r="AD326" s="143">
        <v>109.77</v>
      </c>
      <c r="AG326" s="3" t="s">
        <v>36</v>
      </c>
      <c r="AH326" s="155">
        <v>1.8100000000000001E-4</v>
      </c>
      <c r="AI326" s="155">
        <v>5.2974815011294001E-4</v>
      </c>
      <c r="AJ326" s="155">
        <v>9.4193600476628298E-5</v>
      </c>
    </row>
    <row r="327" spans="1:36">
      <c r="A327" s="3">
        <v>337</v>
      </c>
      <c r="B327" s="3">
        <v>9963</v>
      </c>
      <c r="C327" s="185" t="s">
        <v>180</v>
      </c>
      <c r="D327" s="3" t="s">
        <v>181</v>
      </c>
      <c r="E327" s="189" t="s">
        <v>118</v>
      </c>
      <c r="F327" s="185" t="s">
        <v>186</v>
      </c>
      <c r="G327" s="3" t="s">
        <v>187</v>
      </c>
      <c r="H327" s="3" t="s">
        <v>121</v>
      </c>
      <c r="I327" s="3" t="s">
        <v>122</v>
      </c>
      <c r="J327" s="3" t="s">
        <v>30</v>
      </c>
      <c r="K327" s="3" t="s">
        <v>30</v>
      </c>
      <c r="L327" s="3" t="s">
        <v>123</v>
      </c>
      <c r="M327" s="3" t="s">
        <v>31</v>
      </c>
      <c r="N327" s="3" t="s">
        <v>184</v>
      </c>
      <c r="O327" s="3" t="s">
        <v>125</v>
      </c>
      <c r="P327" s="3" t="s">
        <v>153</v>
      </c>
      <c r="Q327" s="3" t="s">
        <v>146</v>
      </c>
      <c r="R327" s="3" t="s">
        <v>128</v>
      </c>
      <c r="S327" s="3" t="s">
        <v>34</v>
      </c>
      <c r="T327" s="143">
        <v>1.2909999999999999</v>
      </c>
      <c r="U327" s="3" t="s">
        <v>188</v>
      </c>
      <c r="V327" s="155">
        <v>5.7000000000000002E-2</v>
      </c>
      <c r="W327" s="155">
        <v>4.7969999999999999E-2</v>
      </c>
      <c r="X327" s="5" t="s">
        <v>129</v>
      </c>
      <c r="Y327" s="5" t="s">
        <v>125</v>
      </c>
      <c r="Z327" s="143">
        <v>388889.25</v>
      </c>
      <c r="AA327" s="153">
        <v>1</v>
      </c>
      <c r="AB327" s="163">
        <v>101.45</v>
      </c>
      <c r="AD327" s="143">
        <v>394.52800000000002</v>
      </c>
      <c r="AG327" s="3" t="s">
        <v>36</v>
      </c>
      <c r="AH327" s="155">
        <v>5.9199999999999997E-4</v>
      </c>
      <c r="AI327" s="155">
        <v>1.9039822821216401E-3</v>
      </c>
      <c r="AJ327" s="155">
        <v>3.3854378983392397E-4</v>
      </c>
    </row>
    <row r="328" spans="1:36">
      <c r="A328" s="3">
        <v>337</v>
      </c>
      <c r="B328" s="3">
        <v>9963</v>
      </c>
      <c r="C328" s="185" t="s">
        <v>189</v>
      </c>
      <c r="D328" s="3" t="s">
        <v>190</v>
      </c>
      <c r="E328" s="189" t="s">
        <v>118</v>
      </c>
      <c r="F328" s="185" t="s">
        <v>191</v>
      </c>
      <c r="G328" s="3" t="s">
        <v>192</v>
      </c>
      <c r="H328" s="3" t="s">
        <v>121</v>
      </c>
      <c r="I328" s="3" t="s">
        <v>132</v>
      </c>
      <c r="J328" s="3" t="s">
        <v>30</v>
      </c>
      <c r="K328" s="3" t="s">
        <v>30</v>
      </c>
      <c r="L328" s="3" t="s">
        <v>123</v>
      </c>
      <c r="M328" s="3" t="s">
        <v>31</v>
      </c>
      <c r="N328" s="3" t="s">
        <v>184</v>
      </c>
      <c r="O328" s="3" t="s">
        <v>125</v>
      </c>
      <c r="P328" s="3" t="s">
        <v>153</v>
      </c>
      <c r="Q328" s="3" t="s">
        <v>146</v>
      </c>
      <c r="R328" s="3" t="s">
        <v>128</v>
      </c>
      <c r="S328" s="3" t="s">
        <v>34</v>
      </c>
      <c r="T328" s="143">
        <v>2.1589999999999998</v>
      </c>
      <c r="U328" s="3" t="s">
        <v>193</v>
      </c>
      <c r="V328" s="155">
        <v>3.2300000000000002E-2</v>
      </c>
      <c r="W328" s="155">
        <v>2.5850000000000001E-2</v>
      </c>
      <c r="X328" s="5" t="s">
        <v>129</v>
      </c>
      <c r="Y328" s="5" t="s">
        <v>125</v>
      </c>
      <c r="Z328" s="143">
        <v>421009.25</v>
      </c>
      <c r="AA328" s="153">
        <v>1</v>
      </c>
      <c r="AB328" s="163">
        <v>111.83</v>
      </c>
      <c r="AD328" s="143">
        <v>470.815</v>
      </c>
      <c r="AG328" s="3" t="s">
        <v>36</v>
      </c>
      <c r="AH328" s="155">
        <v>1.008E-3</v>
      </c>
      <c r="AI328" s="155">
        <v>2.27213889354111E-3</v>
      </c>
      <c r="AJ328" s="155">
        <v>4.04005078866234E-4</v>
      </c>
    </row>
    <row r="329" spans="1:36">
      <c r="A329" s="3">
        <v>337</v>
      </c>
      <c r="B329" s="3">
        <v>9963</v>
      </c>
      <c r="C329" s="185" t="s">
        <v>194</v>
      </c>
      <c r="D329" s="3" t="s">
        <v>195</v>
      </c>
      <c r="E329" s="189" t="s">
        <v>118</v>
      </c>
      <c r="F329" s="185" t="s">
        <v>196</v>
      </c>
      <c r="G329" s="3" t="s">
        <v>197</v>
      </c>
      <c r="H329" s="3" t="s">
        <v>121</v>
      </c>
      <c r="I329" s="3" t="s">
        <v>132</v>
      </c>
      <c r="J329" s="3" t="s">
        <v>30</v>
      </c>
      <c r="K329" s="3" t="s">
        <v>30</v>
      </c>
      <c r="L329" s="3" t="s">
        <v>123</v>
      </c>
      <c r="M329" s="3" t="s">
        <v>31</v>
      </c>
      <c r="N329" s="3" t="s">
        <v>171</v>
      </c>
      <c r="O329" s="3" t="s">
        <v>125</v>
      </c>
      <c r="P329" s="3" t="s">
        <v>198</v>
      </c>
      <c r="Q329" s="3" t="s">
        <v>146</v>
      </c>
      <c r="R329" s="3" t="s">
        <v>128</v>
      </c>
      <c r="S329" s="3" t="s">
        <v>34</v>
      </c>
      <c r="T329" s="143">
        <v>1.944</v>
      </c>
      <c r="U329" s="3" t="s">
        <v>199</v>
      </c>
      <c r="V329" s="155">
        <v>2.4899999999999999E-2</v>
      </c>
      <c r="W329" s="155">
        <v>2.8840000000000001E-2</v>
      </c>
      <c r="X329" s="5" t="s">
        <v>129</v>
      </c>
      <c r="Y329" s="5" t="s">
        <v>125</v>
      </c>
      <c r="Z329" s="143">
        <v>279782.21999999997</v>
      </c>
      <c r="AA329" s="153">
        <v>1</v>
      </c>
      <c r="AB329" s="163">
        <v>109.55</v>
      </c>
      <c r="AD329" s="143">
        <v>306.50099999999998</v>
      </c>
      <c r="AG329" s="3" t="s">
        <v>36</v>
      </c>
      <c r="AH329" s="155">
        <v>1.7149999999999999E-3</v>
      </c>
      <c r="AI329" s="155">
        <v>1.47916767318692E-3</v>
      </c>
      <c r="AJ329" s="155">
        <v>2.6300824045616498E-4</v>
      </c>
    </row>
    <row r="330" spans="1:36">
      <c r="A330" s="3">
        <v>337</v>
      </c>
      <c r="B330" s="3">
        <v>9963</v>
      </c>
      <c r="C330" s="185" t="s">
        <v>205</v>
      </c>
      <c r="D330" s="3" t="s">
        <v>206</v>
      </c>
      <c r="E330" s="189" t="s">
        <v>118</v>
      </c>
      <c r="F330" s="185" t="s">
        <v>884</v>
      </c>
      <c r="G330" s="3" t="s">
        <v>885</v>
      </c>
      <c r="H330" s="3" t="s">
        <v>121</v>
      </c>
      <c r="I330" s="3" t="s">
        <v>122</v>
      </c>
      <c r="J330" s="3" t="s">
        <v>30</v>
      </c>
      <c r="K330" s="3" t="s">
        <v>30</v>
      </c>
      <c r="L330" s="3" t="s">
        <v>123</v>
      </c>
      <c r="M330" s="3" t="s">
        <v>31</v>
      </c>
      <c r="N330" s="3" t="s">
        <v>209</v>
      </c>
      <c r="O330" s="3" t="s">
        <v>125</v>
      </c>
      <c r="P330" s="3" t="s">
        <v>145</v>
      </c>
      <c r="Q330" s="3" t="s">
        <v>146</v>
      </c>
      <c r="R330" s="3" t="s">
        <v>128</v>
      </c>
      <c r="S330" s="3" t="s">
        <v>34</v>
      </c>
      <c r="T330" s="143">
        <v>3.5790000000000002</v>
      </c>
      <c r="U330" s="3" t="s">
        <v>886</v>
      </c>
      <c r="V330" s="155">
        <v>2.9899999999999999E-2</v>
      </c>
      <c r="W330" s="155">
        <v>4.3720000000000002E-2</v>
      </c>
      <c r="X330" s="5" t="s">
        <v>129</v>
      </c>
      <c r="Y330" s="5" t="s">
        <v>125</v>
      </c>
      <c r="Z330" s="143">
        <v>2375000</v>
      </c>
      <c r="AA330" s="153">
        <v>1</v>
      </c>
      <c r="AB330" s="163">
        <v>106.45</v>
      </c>
      <c r="AD330" s="143">
        <v>2528.1880000000001</v>
      </c>
      <c r="AG330" s="3" t="s">
        <v>36</v>
      </c>
      <c r="AH330" s="155">
        <v>5.7229999999999998E-3</v>
      </c>
      <c r="AI330" s="155">
        <v>1.2200965324178E-2</v>
      </c>
      <c r="AJ330" s="155">
        <v>2.1694324990654502E-3</v>
      </c>
    </row>
    <row r="331" spans="1:36">
      <c r="A331" s="3">
        <v>337</v>
      </c>
      <c r="B331" s="3">
        <v>9963</v>
      </c>
      <c r="C331" s="185" t="s">
        <v>211</v>
      </c>
      <c r="D331" s="3" t="s">
        <v>212</v>
      </c>
      <c r="E331" s="189" t="s">
        <v>118</v>
      </c>
      <c r="F331" s="185" t="s">
        <v>213</v>
      </c>
      <c r="G331" s="3" t="s">
        <v>214</v>
      </c>
      <c r="H331" s="3" t="s">
        <v>121</v>
      </c>
      <c r="I331" s="3" t="s">
        <v>122</v>
      </c>
      <c r="J331" s="3" t="s">
        <v>30</v>
      </c>
      <c r="K331" s="3" t="s">
        <v>30</v>
      </c>
      <c r="L331" s="3" t="s">
        <v>123</v>
      </c>
      <c r="M331" s="3" t="s">
        <v>31</v>
      </c>
      <c r="N331" s="3" t="s">
        <v>209</v>
      </c>
      <c r="O331" s="3" t="s">
        <v>125</v>
      </c>
      <c r="P331" s="3" t="s">
        <v>153</v>
      </c>
      <c r="Q331" s="3" t="s">
        <v>146</v>
      </c>
      <c r="R331" s="3" t="s">
        <v>128</v>
      </c>
      <c r="S331" s="3" t="s">
        <v>34</v>
      </c>
      <c r="T331" s="143">
        <v>2.3180000000000001</v>
      </c>
      <c r="U331" s="3" t="s">
        <v>215</v>
      </c>
      <c r="V331" s="155">
        <v>0.04</v>
      </c>
      <c r="W331" s="155">
        <v>4.5150000000000003E-2</v>
      </c>
      <c r="X331" s="5" t="s">
        <v>129</v>
      </c>
      <c r="Y331" s="5" t="s">
        <v>125</v>
      </c>
      <c r="Z331" s="143">
        <v>600000.25</v>
      </c>
      <c r="AA331" s="153">
        <v>1</v>
      </c>
      <c r="AB331" s="163">
        <v>100.82</v>
      </c>
      <c r="AD331" s="143">
        <v>604.91999999999996</v>
      </c>
      <c r="AG331" s="3" t="s">
        <v>36</v>
      </c>
      <c r="AH331" s="155">
        <v>1.0330000000000001E-3</v>
      </c>
      <c r="AI331" s="155">
        <v>2.9193289734859699E-3</v>
      </c>
      <c r="AJ331" s="155">
        <v>5.1908082535023E-4</v>
      </c>
    </row>
    <row r="332" spans="1:36">
      <c r="A332" s="3">
        <v>337</v>
      </c>
      <c r="B332" s="3">
        <v>9963</v>
      </c>
      <c r="C332" s="185" t="s">
        <v>211</v>
      </c>
      <c r="D332" s="3" t="s">
        <v>212</v>
      </c>
      <c r="E332" s="189" t="s">
        <v>118</v>
      </c>
      <c r="F332" s="185" t="s">
        <v>216</v>
      </c>
      <c r="G332" s="3" t="s">
        <v>217</v>
      </c>
      <c r="H332" s="3" t="s">
        <v>121</v>
      </c>
      <c r="I332" s="3" t="s">
        <v>122</v>
      </c>
      <c r="J332" s="3" t="s">
        <v>30</v>
      </c>
      <c r="K332" s="3" t="s">
        <v>30</v>
      </c>
      <c r="L332" s="3" t="s">
        <v>123</v>
      </c>
      <c r="M332" s="3" t="s">
        <v>31</v>
      </c>
      <c r="N332" s="3" t="s">
        <v>209</v>
      </c>
      <c r="O332" s="3" t="s">
        <v>125</v>
      </c>
      <c r="P332" s="3" t="s">
        <v>153</v>
      </c>
      <c r="Q332" s="3" t="s">
        <v>146</v>
      </c>
      <c r="R332" s="3" t="s">
        <v>128</v>
      </c>
      <c r="S332" s="3" t="s">
        <v>34</v>
      </c>
      <c r="T332" s="143">
        <v>4.8570000000000002</v>
      </c>
      <c r="U332" s="3" t="s">
        <v>218</v>
      </c>
      <c r="V332" s="155">
        <v>2.07E-2</v>
      </c>
      <c r="W332" s="155">
        <v>4.6010000000000002E-2</v>
      </c>
      <c r="X332" s="5" t="s">
        <v>129</v>
      </c>
      <c r="Y332" s="5" t="s">
        <v>125</v>
      </c>
      <c r="Z332" s="143">
        <v>1816568.05</v>
      </c>
      <c r="AA332" s="153">
        <v>1</v>
      </c>
      <c r="AB332" s="163">
        <v>88.72</v>
      </c>
      <c r="AD332" s="143">
        <v>1611.6590000000001</v>
      </c>
      <c r="AG332" s="3" t="s">
        <v>36</v>
      </c>
      <c r="AH332" s="155">
        <v>2.7539999999999999E-3</v>
      </c>
      <c r="AI332" s="155">
        <v>7.7778241114946096E-3</v>
      </c>
      <c r="AJ332" s="155">
        <v>1.38296142568769E-3</v>
      </c>
    </row>
    <row r="333" spans="1:36">
      <c r="A333" s="3">
        <v>337</v>
      </c>
      <c r="B333" s="3">
        <v>9963</v>
      </c>
      <c r="C333" s="185" t="s">
        <v>219</v>
      </c>
      <c r="D333" s="3" t="s">
        <v>220</v>
      </c>
      <c r="E333" s="189" t="s">
        <v>118</v>
      </c>
      <c r="F333" s="185" t="s">
        <v>221</v>
      </c>
      <c r="G333" s="3" t="s">
        <v>222</v>
      </c>
      <c r="H333" s="3" t="s">
        <v>121</v>
      </c>
      <c r="I333" s="3" t="s">
        <v>132</v>
      </c>
      <c r="J333" s="3" t="s">
        <v>30</v>
      </c>
      <c r="K333" s="3" t="s">
        <v>30</v>
      </c>
      <c r="L333" s="3" t="s">
        <v>123</v>
      </c>
      <c r="M333" s="3" t="s">
        <v>31</v>
      </c>
      <c r="N333" s="3" t="s">
        <v>171</v>
      </c>
      <c r="O333" s="3" t="s">
        <v>125</v>
      </c>
      <c r="P333" s="3" t="s">
        <v>165</v>
      </c>
      <c r="Q333" s="3" t="s">
        <v>146</v>
      </c>
      <c r="R333" s="3" t="s">
        <v>128</v>
      </c>
      <c r="S333" s="3" t="s">
        <v>34</v>
      </c>
      <c r="T333" s="143">
        <v>2.3809999999999998</v>
      </c>
      <c r="U333" s="3" t="s">
        <v>223</v>
      </c>
      <c r="V333" s="155">
        <v>1.14E-2</v>
      </c>
      <c r="W333" s="155">
        <v>2.46E-2</v>
      </c>
      <c r="X333" s="5" t="s">
        <v>129</v>
      </c>
      <c r="Y333" s="5" t="s">
        <v>125</v>
      </c>
      <c r="Z333" s="143">
        <v>3600000</v>
      </c>
      <c r="AA333" s="153">
        <v>1</v>
      </c>
      <c r="AB333" s="163">
        <v>112.98</v>
      </c>
      <c r="AD333" s="143">
        <v>4067.28</v>
      </c>
      <c r="AG333" s="3" t="s">
        <v>36</v>
      </c>
      <c r="AH333" s="155">
        <v>1.6930000000000001E-3</v>
      </c>
      <c r="AI333" s="155">
        <v>1.96285846060558E-2</v>
      </c>
      <c r="AJ333" s="155">
        <v>3.4901246109313201E-3</v>
      </c>
    </row>
    <row r="334" spans="1:36">
      <c r="A334" s="3">
        <v>337</v>
      </c>
      <c r="B334" s="3">
        <v>9963</v>
      </c>
      <c r="C334" s="185" t="s">
        <v>219</v>
      </c>
      <c r="D334" s="3" t="s">
        <v>220</v>
      </c>
      <c r="E334" s="189" t="s">
        <v>118</v>
      </c>
      <c r="F334" s="185" t="s">
        <v>887</v>
      </c>
      <c r="G334" s="3" t="s">
        <v>888</v>
      </c>
      <c r="H334" s="3" t="s">
        <v>121</v>
      </c>
      <c r="I334" s="3" t="s">
        <v>132</v>
      </c>
      <c r="J334" s="3" t="s">
        <v>30</v>
      </c>
      <c r="K334" s="3" t="s">
        <v>30</v>
      </c>
      <c r="L334" s="3" t="s">
        <v>123</v>
      </c>
      <c r="M334" s="3" t="s">
        <v>31</v>
      </c>
      <c r="N334" s="3" t="s">
        <v>171</v>
      </c>
      <c r="O334" s="3" t="s">
        <v>125</v>
      </c>
      <c r="P334" s="3" t="s">
        <v>165</v>
      </c>
      <c r="Q334" s="3" t="s">
        <v>146</v>
      </c>
      <c r="R334" s="3" t="s">
        <v>128</v>
      </c>
      <c r="S334" s="3" t="s">
        <v>34</v>
      </c>
      <c r="T334" s="143">
        <v>4.4160000000000004</v>
      </c>
      <c r="U334" s="3" t="s">
        <v>769</v>
      </c>
      <c r="V334" s="155">
        <v>9.1999999999999998E-3</v>
      </c>
      <c r="W334" s="155">
        <v>2.4930000000000001E-2</v>
      </c>
      <c r="X334" s="5" t="s">
        <v>129</v>
      </c>
      <c r="Y334" s="5" t="s">
        <v>125</v>
      </c>
      <c r="Z334" s="143">
        <v>2000000</v>
      </c>
      <c r="AA334" s="153">
        <v>1</v>
      </c>
      <c r="AB334" s="163">
        <v>110.35</v>
      </c>
      <c r="AC334" s="143">
        <v>21.745999999999999</v>
      </c>
      <c r="AD334" s="143">
        <v>2228.7460000000001</v>
      </c>
      <c r="AG334" s="3" t="s">
        <v>36</v>
      </c>
      <c r="AH334" s="155">
        <v>7.7300000000000003E-4</v>
      </c>
      <c r="AI334" s="155">
        <v>1.07558694181325E-2</v>
      </c>
      <c r="AJ334" s="155">
        <v>1.9124825004756701E-3</v>
      </c>
    </row>
    <row r="335" spans="1:36">
      <c r="A335" s="3">
        <v>337</v>
      </c>
      <c r="B335" s="3">
        <v>9963</v>
      </c>
      <c r="C335" s="185" t="s">
        <v>224</v>
      </c>
      <c r="D335" s="3" t="s">
        <v>225</v>
      </c>
      <c r="E335" s="189" t="s">
        <v>118</v>
      </c>
      <c r="F335" s="185" t="s">
        <v>226</v>
      </c>
      <c r="G335" s="3" t="s">
        <v>227</v>
      </c>
      <c r="H335" s="3" t="s">
        <v>121</v>
      </c>
      <c r="I335" s="3" t="s">
        <v>122</v>
      </c>
      <c r="J335" s="3" t="s">
        <v>30</v>
      </c>
      <c r="K335" s="3" t="s">
        <v>80</v>
      </c>
      <c r="L335" s="3" t="s">
        <v>123</v>
      </c>
      <c r="M335" s="3" t="s">
        <v>31</v>
      </c>
      <c r="N335" s="3" t="s">
        <v>228</v>
      </c>
      <c r="O335" s="3" t="s">
        <v>125</v>
      </c>
      <c r="P335" s="3" t="s">
        <v>198</v>
      </c>
      <c r="Q335" s="3" t="s">
        <v>146</v>
      </c>
      <c r="R335" s="3" t="s">
        <v>128</v>
      </c>
      <c r="S335" s="3" t="s">
        <v>34</v>
      </c>
      <c r="T335" s="143">
        <v>0.65700000000000003</v>
      </c>
      <c r="U335" s="3" t="s">
        <v>229</v>
      </c>
      <c r="V335" s="155">
        <v>3.4500000000000003E-2</v>
      </c>
      <c r="W335" s="155">
        <v>4.8649999999999999E-2</v>
      </c>
      <c r="X335" s="5" t="s">
        <v>129</v>
      </c>
      <c r="Y335" s="5" t="s">
        <v>125</v>
      </c>
      <c r="Z335" s="143">
        <v>827029.84</v>
      </c>
      <c r="AA335" s="153">
        <v>1</v>
      </c>
      <c r="AB335" s="163">
        <v>100.27</v>
      </c>
      <c r="AD335" s="143">
        <v>829.26300000000003</v>
      </c>
      <c r="AG335" s="3" t="s">
        <v>36</v>
      </c>
      <c r="AH335" s="155">
        <v>1.485E-3</v>
      </c>
      <c r="AI335" s="155">
        <v>4.0020002149287496E-3</v>
      </c>
      <c r="AJ335" s="155">
        <v>7.1158872243728098E-4</v>
      </c>
    </row>
    <row r="336" spans="1:36">
      <c r="A336" s="3">
        <v>337</v>
      </c>
      <c r="B336" s="3">
        <v>9963</v>
      </c>
      <c r="C336" s="185" t="s">
        <v>224</v>
      </c>
      <c r="D336" s="3" t="s">
        <v>225</v>
      </c>
      <c r="E336" s="189" t="s">
        <v>118</v>
      </c>
      <c r="F336" s="185" t="s">
        <v>770</v>
      </c>
      <c r="G336" s="3" t="s">
        <v>771</v>
      </c>
      <c r="H336" s="3" t="s">
        <v>121</v>
      </c>
      <c r="I336" s="3" t="s">
        <v>122</v>
      </c>
      <c r="J336" s="3" t="s">
        <v>30</v>
      </c>
      <c r="K336" s="3" t="s">
        <v>80</v>
      </c>
      <c r="L336" s="3" t="s">
        <v>123</v>
      </c>
      <c r="M336" s="3" t="s">
        <v>31</v>
      </c>
      <c r="N336" s="3" t="s">
        <v>228</v>
      </c>
      <c r="O336" s="3" t="s">
        <v>125</v>
      </c>
      <c r="P336" s="3" t="s">
        <v>198</v>
      </c>
      <c r="Q336" s="3" t="s">
        <v>146</v>
      </c>
      <c r="R336" s="3" t="s">
        <v>128</v>
      </c>
      <c r="S336" s="3" t="s">
        <v>34</v>
      </c>
      <c r="T336" s="143">
        <v>2.5739999999999998</v>
      </c>
      <c r="U336" s="3" t="s">
        <v>772</v>
      </c>
      <c r="V336" s="155">
        <v>1.4999999999999999E-2</v>
      </c>
      <c r="W336" s="155">
        <v>4.546E-2</v>
      </c>
      <c r="X336" s="5" t="s">
        <v>129</v>
      </c>
      <c r="Y336" s="5" t="s">
        <v>125</v>
      </c>
      <c r="Z336" s="143">
        <v>700000</v>
      </c>
      <c r="AA336" s="153">
        <v>1</v>
      </c>
      <c r="AB336" s="163">
        <v>93.1</v>
      </c>
      <c r="AD336" s="143">
        <v>651.70000000000005</v>
      </c>
      <c r="AG336" s="3" t="s">
        <v>36</v>
      </c>
      <c r="AH336" s="155">
        <v>5.9500000000000004E-4</v>
      </c>
      <c r="AI336" s="155">
        <v>3.1450867871812499E-3</v>
      </c>
      <c r="AJ336" s="155">
        <v>5.5922243094744999E-4</v>
      </c>
    </row>
    <row r="337" spans="1:36">
      <c r="A337" s="3">
        <v>337</v>
      </c>
      <c r="B337" s="3">
        <v>9963</v>
      </c>
      <c r="C337" s="185" t="s">
        <v>230</v>
      </c>
      <c r="D337" s="3" t="s">
        <v>231</v>
      </c>
      <c r="E337" s="189" t="s">
        <v>118</v>
      </c>
      <c r="F337" s="185" t="s">
        <v>232</v>
      </c>
      <c r="G337" s="3" t="s">
        <v>233</v>
      </c>
      <c r="H337" s="3" t="s">
        <v>121</v>
      </c>
      <c r="I337" s="3" t="s">
        <v>122</v>
      </c>
      <c r="J337" s="3" t="s">
        <v>30</v>
      </c>
      <c r="K337" s="3" t="s">
        <v>30</v>
      </c>
      <c r="L337" s="3" t="s">
        <v>123</v>
      </c>
      <c r="M337" s="3" t="s">
        <v>31</v>
      </c>
      <c r="N337" s="3" t="s">
        <v>228</v>
      </c>
      <c r="O337" s="3" t="s">
        <v>125</v>
      </c>
      <c r="P337" s="3" t="s">
        <v>198</v>
      </c>
      <c r="Q337" s="3" t="s">
        <v>146</v>
      </c>
      <c r="R337" s="3" t="s">
        <v>128</v>
      </c>
      <c r="S337" s="3" t="s">
        <v>34</v>
      </c>
      <c r="T337" s="143">
        <v>2.2010000000000001</v>
      </c>
      <c r="U337" s="3" t="s">
        <v>234</v>
      </c>
      <c r="V337" s="155">
        <v>2.0500000000000001E-2</v>
      </c>
      <c r="W337" s="155">
        <v>4.6739999999999997E-2</v>
      </c>
      <c r="X337" s="5" t="s">
        <v>129</v>
      </c>
      <c r="Y337" s="5" t="s">
        <v>125</v>
      </c>
      <c r="Z337" s="143">
        <v>1363636.59</v>
      </c>
      <c r="AA337" s="153">
        <v>1</v>
      </c>
      <c r="AB337" s="163">
        <v>95.33</v>
      </c>
      <c r="AD337" s="143">
        <v>1299.9549999999999</v>
      </c>
      <c r="AG337" s="3" t="s">
        <v>36</v>
      </c>
      <c r="AH337" s="155">
        <v>1.5640000000000001E-3</v>
      </c>
      <c r="AI337" s="155">
        <v>6.2735469441940897E-3</v>
      </c>
      <c r="AJ337" s="155">
        <v>1.11548850959991E-3</v>
      </c>
    </row>
    <row r="338" spans="1:36">
      <c r="A338" s="3">
        <v>337</v>
      </c>
      <c r="B338" s="3">
        <v>9963</v>
      </c>
      <c r="C338" s="185" t="s">
        <v>230</v>
      </c>
      <c r="D338" s="3" t="s">
        <v>231</v>
      </c>
      <c r="E338" s="189" t="s">
        <v>118</v>
      </c>
      <c r="F338" s="185" t="s">
        <v>235</v>
      </c>
      <c r="G338" s="3" t="s">
        <v>236</v>
      </c>
      <c r="H338" s="3" t="s">
        <v>121</v>
      </c>
      <c r="I338" s="3" t="s">
        <v>176</v>
      </c>
      <c r="J338" s="3" t="s">
        <v>30</v>
      </c>
      <c r="K338" s="3" t="s">
        <v>30</v>
      </c>
      <c r="L338" s="3" t="s">
        <v>123</v>
      </c>
      <c r="M338" s="3" t="s">
        <v>31</v>
      </c>
      <c r="N338" s="3" t="s">
        <v>228</v>
      </c>
      <c r="O338" s="3" t="s">
        <v>125</v>
      </c>
      <c r="P338" s="3" t="s">
        <v>198</v>
      </c>
      <c r="Q338" s="3" t="s">
        <v>146</v>
      </c>
      <c r="R338" s="3" t="s">
        <v>128</v>
      </c>
      <c r="S338" s="3" t="s">
        <v>34</v>
      </c>
      <c r="T338" s="143">
        <v>1.577</v>
      </c>
      <c r="U338" s="3" t="s">
        <v>237</v>
      </c>
      <c r="V338" s="155">
        <v>1.25E-3</v>
      </c>
      <c r="W338" s="155">
        <v>4.8980000000000003E-2</v>
      </c>
      <c r="X338" s="5" t="s">
        <v>129</v>
      </c>
      <c r="Y338" s="5" t="s">
        <v>125</v>
      </c>
      <c r="Z338" s="143">
        <v>528000</v>
      </c>
      <c r="AA338" s="153">
        <v>1</v>
      </c>
      <c r="AB338" s="163">
        <v>93.2</v>
      </c>
      <c r="AD338" s="143">
        <v>492.096</v>
      </c>
      <c r="AG338" s="3" t="s">
        <v>36</v>
      </c>
      <c r="AH338" s="155">
        <v>9.3199999999999999E-4</v>
      </c>
      <c r="AI338" s="155">
        <v>2.3748421476519001E-3</v>
      </c>
      <c r="AJ338" s="155">
        <v>4.2226656648690602E-4</v>
      </c>
    </row>
    <row r="339" spans="1:36">
      <c r="A339" s="3">
        <v>337</v>
      </c>
      <c r="B339" s="3">
        <v>9963</v>
      </c>
      <c r="C339" s="185" t="s">
        <v>238</v>
      </c>
      <c r="D339" s="3" t="s">
        <v>239</v>
      </c>
      <c r="E339" s="189" t="s">
        <v>118</v>
      </c>
      <c r="F339" s="185" t="s">
        <v>240</v>
      </c>
      <c r="G339" s="3" t="s">
        <v>241</v>
      </c>
      <c r="H339" s="3" t="s">
        <v>121</v>
      </c>
      <c r="I339" s="3" t="s">
        <v>132</v>
      </c>
      <c r="J339" s="3" t="s">
        <v>30</v>
      </c>
      <c r="K339" s="3" t="s">
        <v>30</v>
      </c>
      <c r="L339" s="3" t="s">
        <v>123</v>
      </c>
      <c r="M339" s="3" t="s">
        <v>31</v>
      </c>
      <c r="N339" s="3" t="s">
        <v>242</v>
      </c>
      <c r="O339" s="3" t="s">
        <v>125</v>
      </c>
      <c r="P339" s="3" t="s">
        <v>243</v>
      </c>
      <c r="Q339" s="3" t="s">
        <v>127</v>
      </c>
      <c r="R339" s="3" t="s">
        <v>128</v>
      </c>
      <c r="S339" s="3" t="s">
        <v>34</v>
      </c>
      <c r="T339" s="143">
        <v>0.98599999999999999</v>
      </c>
      <c r="U339" s="3" t="s">
        <v>244</v>
      </c>
      <c r="V339" s="155">
        <v>1.2500000000000001E-2</v>
      </c>
      <c r="W339" s="155">
        <v>4.011E-2</v>
      </c>
      <c r="X339" s="5" t="s">
        <v>129</v>
      </c>
      <c r="Y339" s="5" t="s">
        <v>125</v>
      </c>
      <c r="Z339" s="143">
        <v>0.46</v>
      </c>
      <c r="AA339" s="153">
        <v>1</v>
      </c>
      <c r="AB339" s="163">
        <v>108.77</v>
      </c>
      <c r="AD339" s="143">
        <v>1E-3</v>
      </c>
      <c r="AG339" s="3" t="s">
        <v>36</v>
      </c>
      <c r="AH339" s="155">
        <v>0</v>
      </c>
      <c r="AI339" s="155">
        <v>2.4146371233264401E-9</v>
      </c>
      <c r="AJ339" s="155">
        <v>4.29342442143792E-10</v>
      </c>
    </row>
    <row r="340" spans="1:36">
      <c r="A340" s="3">
        <v>337</v>
      </c>
      <c r="B340" s="3">
        <v>9963</v>
      </c>
      <c r="C340" s="185" t="s">
        <v>245</v>
      </c>
      <c r="D340" s="3" t="s">
        <v>246</v>
      </c>
      <c r="E340" s="189" t="s">
        <v>118</v>
      </c>
      <c r="F340" s="185" t="s">
        <v>247</v>
      </c>
      <c r="G340" s="3" t="s">
        <v>248</v>
      </c>
      <c r="H340" s="3" t="s">
        <v>121</v>
      </c>
      <c r="I340" s="3" t="s">
        <v>132</v>
      </c>
      <c r="J340" s="3" t="s">
        <v>30</v>
      </c>
      <c r="K340" s="3" t="s">
        <v>30</v>
      </c>
      <c r="L340" s="3" t="s">
        <v>123</v>
      </c>
      <c r="M340" s="3" t="s">
        <v>31</v>
      </c>
      <c r="N340" s="3" t="s">
        <v>139</v>
      </c>
      <c r="O340" s="3" t="s">
        <v>125</v>
      </c>
      <c r="P340" s="3" t="s">
        <v>153</v>
      </c>
      <c r="Q340" s="3" t="s">
        <v>146</v>
      </c>
      <c r="R340" s="3" t="s">
        <v>128</v>
      </c>
      <c r="S340" s="3" t="s">
        <v>34</v>
      </c>
      <c r="T340" s="143">
        <v>2.9510000000000001</v>
      </c>
      <c r="U340" s="3" t="s">
        <v>199</v>
      </c>
      <c r="V340" s="155">
        <v>1.09E-2</v>
      </c>
      <c r="W340" s="155">
        <v>2.7E-2</v>
      </c>
      <c r="X340" s="5" t="s">
        <v>129</v>
      </c>
      <c r="Y340" s="5" t="s">
        <v>125</v>
      </c>
      <c r="Z340" s="143">
        <v>1018000</v>
      </c>
      <c r="AA340" s="153">
        <v>1</v>
      </c>
      <c r="AB340" s="163">
        <v>111.03</v>
      </c>
      <c r="AD340" s="143">
        <v>1130.2850000000001</v>
      </c>
      <c r="AG340" s="3" t="s">
        <v>36</v>
      </c>
      <c r="AH340" s="155">
        <v>1.4300000000000001E-3</v>
      </c>
      <c r="AI340" s="155">
        <v>5.4547271402238303E-3</v>
      </c>
      <c r="AJ340" s="155">
        <v>9.6989557933467997E-4</v>
      </c>
    </row>
    <row r="341" spans="1:36">
      <c r="A341" s="3">
        <v>337</v>
      </c>
      <c r="B341" s="3">
        <v>9963</v>
      </c>
      <c r="C341" s="185" t="s">
        <v>245</v>
      </c>
      <c r="D341" s="3" t="s">
        <v>246</v>
      </c>
      <c r="E341" s="189" t="s">
        <v>118</v>
      </c>
      <c r="F341" s="185" t="s">
        <v>249</v>
      </c>
      <c r="G341" s="3" t="s">
        <v>250</v>
      </c>
      <c r="H341" s="3" t="s">
        <v>121</v>
      </c>
      <c r="I341" s="3" t="s">
        <v>132</v>
      </c>
      <c r="J341" s="3" t="s">
        <v>30</v>
      </c>
      <c r="K341" s="3" t="s">
        <v>30</v>
      </c>
      <c r="L341" s="3" t="s">
        <v>123</v>
      </c>
      <c r="M341" s="3" t="s">
        <v>31</v>
      </c>
      <c r="N341" s="3" t="s">
        <v>139</v>
      </c>
      <c r="O341" s="3" t="s">
        <v>125</v>
      </c>
      <c r="P341" s="3" t="s">
        <v>153</v>
      </c>
      <c r="Q341" s="3" t="s">
        <v>146</v>
      </c>
      <c r="R341" s="3" t="s">
        <v>128</v>
      </c>
      <c r="S341" s="3" t="s">
        <v>34</v>
      </c>
      <c r="T341" s="143">
        <v>6.2389999999999999</v>
      </c>
      <c r="U341" s="3" t="s">
        <v>251</v>
      </c>
      <c r="V341" s="155">
        <v>4.02E-2</v>
      </c>
      <c r="W341" s="155">
        <v>2.759E-2</v>
      </c>
      <c r="X341" s="5" t="s">
        <v>129</v>
      </c>
      <c r="Y341" s="5" t="s">
        <v>125</v>
      </c>
      <c r="Z341" s="143">
        <v>1493000</v>
      </c>
      <c r="AA341" s="153">
        <v>1</v>
      </c>
      <c r="AB341" s="163">
        <v>112.72</v>
      </c>
      <c r="AD341" s="143">
        <v>1682.91</v>
      </c>
      <c r="AG341" s="3" t="s">
        <v>36</v>
      </c>
      <c r="AH341" s="155">
        <v>1.851E-3</v>
      </c>
      <c r="AI341" s="155">
        <v>8.1216767638184403E-3</v>
      </c>
      <c r="AJ341" s="155">
        <v>1.4441012698738699E-3</v>
      </c>
    </row>
    <row r="342" spans="1:36">
      <c r="A342" s="3">
        <v>337</v>
      </c>
      <c r="B342" s="3">
        <v>9963</v>
      </c>
      <c r="C342" s="185" t="s">
        <v>252</v>
      </c>
      <c r="D342" s="3" t="s">
        <v>253</v>
      </c>
      <c r="E342" s="189" t="s">
        <v>118</v>
      </c>
      <c r="F342" s="185" t="s">
        <v>254</v>
      </c>
      <c r="G342" s="3" t="s">
        <v>255</v>
      </c>
      <c r="H342" s="3" t="s">
        <v>121</v>
      </c>
      <c r="I342" s="3" t="s">
        <v>122</v>
      </c>
      <c r="J342" s="3" t="s">
        <v>30</v>
      </c>
      <c r="K342" s="3" t="s">
        <v>30</v>
      </c>
      <c r="L342" s="3" t="s">
        <v>123</v>
      </c>
      <c r="M342" s="3" t="s">
        <v>31</v>
      </c>
      <c r="N342" s="3" t="s">
        <v>124</v>
      </c>
      <c r="O342" s="3" t="s">
        <v>125</v>
      </c>
      <c r="P342" s="3" t="s">
        <v>178</v>
      </c>
      <c r="Q342" s="3" t="s">
        <v>178</v>
      </c>
      <c r="R342" s="3" t="s">
        <v>178</v>
      </c>
      <c r="S342" s="3" t="s">
        <v>34</v>
      </c>
      <c r="T342" s="143">
        <v>0.97299999999999998</v>
      </c>
      <c r="U342" s="3" t="s">
        <v>244</v>
      </c>
      <c r="V342" s="155">
        <v>8.5000000000000006E-2</v>
      </c>
      <c r="W342" s="155">
        <v>5.5739999999999998E-2</v>
      </c>
      <c r="X342" s="5" t="s">
        <v>129</v>
      </c>
      <c r="Y342" s="5" t="s">
        <v>125</v>
      </c>
      <c r="Z342" s="143">
        <v>627000</v>
      </c>
      <c r="AA342" s="153">
        <v>1</v>
      </c>
      <c r="AB342" s="163">
        <v>102.9</v>
      </c>
      <c r="AD342" s="143">
        <v>645.18299999999999</v>
      </c>
      <c r="AG342" s="3" t="s">
        <v>36</v>
      </c>
      <c r="AH342" s="155">
        <v>4.823E-3</v>
      </c>
      <c r="AI342" s="155">
        <v>3.1136359193094298E-3</v>
      </c>
      <c r="AJ342" s="155">
        <v>5.5363020663797501E-4</v>
      </c>
    </row>
    <row r="343" spans="1:36">
      <c r="A343" s="3">
        <v>337</v>
      </c>
      <c r="B343" s="3">
        <v>9963</v>
      </c>
      <c r="C343" s="185" t="s">
        <v>256</v>
      </c>
      <c r="D343" s="3" t="s">
        <v>257</v>
      </c>
      <c r="E343" s="189" t="s">
        <v>118</v>
      </c>
      <c r="F343" s="185" t="s">
        <v>258</v>
      </c>
      <c r="G343" s="3" t="s">
        <v>259</v>
      </c>
      <c r="H343" s="3" t="s">
        <v>121</v>
      </c>
      <c r="I343" s="3" t="s">
        <v>132</v>
      </c>
      <c r="J343" s="3" t="s">
        <v>30</v>
      </c>
      <c r="K343" s="3" t="s">
        <v>30</v>
      </c>
      <c r="L343" s="3" t="s">
        <v>123</v>
      </c>
      <c r="M343" s="3" t="s">
        <v>31</v>
      </c>
      <c r="N343" s="3" t="s">
        <v>209</v>
      </c>
      <c r="O343" s="3" t="s">
        <v>125</v>
      </c>
      <c r="P343" s="3" t="s">
        <v>260</v>
      </c>
      <c r="Q343" s="3" t="s">
        <v>146</v>
      </c>
      <c r="R343" s="3" t="s">
        <v>128</v>
      </c>
      <c r="S343" s="3" t="s">
        <v>34</v>
      </c>
      <c r="T343" s="143">
        <v>1.7310000000000001</v>
      </c>
      <c r="U343" s="3" t="s">
        <v>261</v>
      </c>
      <c r="V343" s="155">
        <v>2.8799999999999999E-2</v>
      </c>
      <c r="W343" s="155">
        <v>2.7604500000000001</v>
      </c>
      <c r="X343" s="5" t="s">
        <v>129</v>
      </c>
      <c r="Y343" s="5" t="s">
        <v>125</v>
      </c>
      <c r="Z343" s="143">
        <v>37311.56</v>
      </c>
      <c r="AA343" s="153">
        <v>1</v>
      </c>
      <c r="AB343" s="163">
        <v>119.09</v>
      </c>
      <c r="AD343" s="143">
        <v>44.433999999999997</v>
      </c>
      <c r="AG343" s="3" t="s">
        <v>36</v>
      </c>
      <c r="AH343" s="155">
        <v>1.64E-4</v>
      </c>
      <c r="AI343" s="155">
        <v>2.14438922171892E-4</v>
      </c>
      <c r="AJ343" s="155">
        <v>3.81290131119696E-5</v>
      </c>
    </row>
    <row r="344" spans="1:36">
      <c r="A344" s="3">
        <v>337</v>
      </c>
      <c r="B344" s="3">
        <v>9963</v>
      </c>
      <c r="C344" s="185" t="s">
        <v>262</v>
      </c>
      <c r="D344" s="3" t="s">
        <v>263</v>
      </c>
      <c r="E344" s="189" t="s">
        <v>118</v>
      </c>
      <c r="F344" s="185" t="s">
        <v>264</v>
      </c>
      <c r="G344" s="3" t="s">
        <v>265</v>
      </c>
      <c r="H344" s="3" t="s">
        <v>121</v>
      </c>
      <c r="I344" s="3" t="s">
        <v>122</v>
      </c>
      <c r="J344" s="3" t="s">
        <v>30</v>
      </c>
      <c r="K344" s="3" t="s">
        <v>30</v>
      </c>
      <c r="L344" s="3" t="s">
        <v>123</v>
      </c>
      <c r="M344" s="3" t="s">
        <v>31</v>
      </c>
      <c r="N344" s="3" t="s">
        <v>209</v>
      </c>
      <c r="O344" s="3" t="s">
        <v>125</v>
      </c>
      <c r="P344" s="3" t="s">
        <v>165</v>
      </c>
      <c r="Q344" s="3" t="s">
        <v>146</v>
      </c>
      <c r="R344" s="3" t="s">
        <v>128</v>
      </c>
      <c r="S344" s="3" t="s">
        <v>34</v>
      </c>
      <c r="T344" s="143">
        <v>5.5049999999999999</v>
      </c>
      <c r="U344" s="3" t="s">
        <v>266</v>
      </c>
      <c r="V344" s="155">
        <v>5.3100000000000001E-2</v>
      </c>
      <c r="W344" s="155">
        <v>4.4269999999999997E-2</v>
      </c>
      <c r="X344" s="5" t="s">
        <v>129</v>
      </c>
      <c r="Y344" s="5" t="s">
        <v>125</v>
      </c>
      <c r="Z344" s="143">
        <v>622000</v>
      </c>
      <c r="AA344" s="153">
        <v>1</v>
      </c>
      <c r="AB344" s="163">
        <v>107.51</v>
      </c>
      <c r="AD344" s="143">
        <v>668.71199999999999</v>
      </c>
      <c r="AG344" s="3" t="s">
        <v>36</v>
      </c>
      <c r="AH344" s="155">
        <v>1.9550000000000001E-3</v>
      </c>
      <c r="AI344" s="155">
        <v>3.2271872098310599E-3</v>
      </c>
      <c r="AJ344" s="155">
        <v>5.7382056481236404E-4</v>
      </c>
    </row>
    <row r="345" spans="1:36">
      <c r="A345" s="3">
        <v>337</v>
      </c>
      <c r="B345" s="3">
        <v>9963</v>
      </c>
      <c r="C345" s="185" t="s">
        <v>167</v>
      </c>
      <c r="D345" s="3" t="s">
        <v>168</v>
      </c>
      <c r="E345" s="189" t="s">
        <v>118</v>
      </c>
      <c r="F345" s="185" t="s">
        <v>278</v>
      </c>
      <c r="G345" s="3" t="s">
        <v>279</v>
      </c>
      <c r="H345" s="3" t="s">
        <v>121</v>
      </c>
      <c r="I345" s="3" t="s">
        <v>132</v>
      </c>
      <c r="J345" s="3" t="s">
        <v>30</v>
      </c>
      <c r="K345" s="3" t="s">
        <v>30</v>
      </c>
      <c r="L345" s="3" t="s">
        <v>123</v>
      </c>
      <c r="M345" s="3" t="s">
        <v>31</v>
      </c>
      <c r="N345" s="3" t="s">
        <v>171</v>
      </c>
      <c r="O345" s="3" t="s">
        <v>125</v>
      </c>
      <c r="P345" s="3" t="s">
        <v>165</v>
      </c>
      <c r="Q345" s="3" t="s">
        <v>146</v>
      </c>
      <c r="R345" s="3" t="s">
        <v>128</v>
      </c>
      <c r="S345" s="3" t="s">
        <v>34</v>
      </c>
      <c r="T345" s="143">
        <v>4.6390000000000002</v>
      </c>
      <c r="U345" s="3" t="s">
        <v>280</v>
      </c>
      <c r="V345" s="155">
        <v>6.4999999999999997E-3</v>
      </c>
      <c r="W345" s="155">
        <v>2.487E-2</v>
      </c>
      <c r="X345" s="5" t="s">
        <v>129</v>
      </c>
      <c r="Y345" s="5" t="s">
        <v>125</v>
      </c>
      <c r="Z345" s="143">
        <v>1376794.36</v>
      </c>
      <c r="AA345" s="153">
        <v>1</v>
      </c>
      <c r="AB345" s="163">
        <v>107.91</v>
      </c>
      <c r="AD345" s="143">
        <v>1485.6990000000001</v>
      </c>
      <c r="AG345" s="3" t="s">
        <v>36</v>
      </c>
      <c r="AH345" s="155">
        <v>6.6100000000000002E-4</v>
      </c>
      <c r="AI345" s="155">
        <v>7.1699426827535996E-3</v>
      </c>
      <c r="AJ345" s="155">
        <v>1.2748750823492899E-3</v>
      </c>
    </row>
    <row r="346" spans="1:36">
      <c r="A346" s="3">
        <v>337</v>
      </c>
      <c r="B346" s="3">
        <v>9963</v>
      </c>
      <c r="C346" s="185" t="s">
        <v>167</v>
      </c>
      <c r="D346" s="3" t="s">
        <v>168</v>
      </c>
      <c r="E346" s="189" t="s">
        <v>118</v>
      </c>
      <c r="F346" s="185" t="s">
        <v>281</v>
      </c>
      <c r="G346" s="3" t="s">
        <v>282</v>
      </c>
      <c r="H346" s="3" t="s">
        <v>121</v>
      </c>
      <c r="I346" s="3" t="s">
        <v>132</v>
      </c>
      <c r="J346" s="3" t="s">
        <v>30</v>
      </c>
      <c r="K346" s="3" t="s">
        <v>30</v>
      </c>
      <c r="L346" s="3" t="s">
        <v>123</v>
      </c>
      <c r="M346" s="3" t="s">
        <v>31</v>
      </c>
      <c r="N346" s="3" t="s">
        <v>171</v>
      </c>
      <c r="O346" s="3" t="s">
        <v>125</v>
      </c>
      <c r="P346" s="3" t="s">
        <v>165</v>
      </c>
      <c r="Q346" s="3" t="s">
        <v>146</v>
      </c>
      <c r="R346" s="3" t="s">
        <v>128</v>
      </c>
      <c r="S346" s="3" t="s">
        <v>34</v>
      </c>
      <c r="T346" s="143">
        <v>6.8630000000000004</v>
      </c>
      <c r="U346" s="3" t="s">
        <v>283</v>
      </c>
      <c r="V346" s="155">
        <v>3.5999999999999997E-2</v>
      </c>
      <c r="W346" s="155">
        <v>2.5940000000000001E-2</v>
      </c>
      <c r="X346" s="5" t="s">
        <v>129</v>
      </c>
      <c r="Y346" s="5" t="s">
        <v>125</v>
      </c>
      <c r="Z346" s="143">
        <v>2000000</v>
      </c>
      <c r="AA346" s="153">
        <v>1</v>
      </c>
      <c r="AB346" s="163">
        <v>110.2</v>
      </c>
      <c r="AD346" s="143">
        <v>2204</v>
      </c>
      <c r="AG346" s="3" t="s">
        <v>36</v>
      </c>
      <c r="AH346" s="155">
        <v>2.2850000000000001E-3</v>
      </c>
      <c r="AI346" s="155">
        <v>1.06364451111669E-2</v>
      </c>
      <c r="AJ346" s="155">
        <v>1.89124787142578E-3</v>
      </c>
    </row>
    <row r="347" spans="1:36">
      <c r="A347" s="3">
        <v>337</v>
      </c>
      <c r="B347" s="3">
        <v>9963</v>
      </c>
      <c r="C347" s="185" t="s">
        <v>284</v>
      </c>
      <c r="D347" s="3" t="s">
        <v>285</v>
      </c>
      <c r="E347" s="189" t="s">
        <v>118</v>
      </c>
      <c r="F347" s="185" t="s">
        <v>286</v>
      </c>
      <c r="G347" s="3" t="s">
        <v>287</v>
      </c>
      <c r="H347" s="3" t="s">
        <v>121</v>
      </c>
      <c r="I347" s="3" t="s">
        <v>132</v>
      </c>
      <c r="J347" s="3" t="s">
        <v>30</v>
      </c>
      <c r="K347" s="3" t="s">
        <v>30</v>
      </c>
      <c r="L347" s="3" t="s">
        <v>123</v>
      </c>
      <c r="M347" s="3" t="s">
        <v>31</v>
      </c>
      <c r="N347" s="3" t="s">
        <v>171</v>
      </c>
      <c r="O347" s="3" t="s">
        <v>125</v>
      </c>
      <c r="P347" s="3" t="s">
        <v>198</v>
      </c>
      <c r="Q347" s="3" t="s">
        <v>146</v>
      </c>
      <c r="R347" s="3" t="s">
        <v>128</v>
      </c>
      <c r="S347" s="3" t="s">
        <v>34</v>
      </c>
      <c r="T347" s="143">
        <v>5.1769999999999996</v>
      </c>
      <c r="U347" s="3" t="s">
        <v>288</v>
      </c>
      <c r="V347" s="155">
        <v>3.6799999999999999E-2</v>
      </c>
      <c r="W347" s="155">
        <v>2.8209999999999999E-2</v>
      </c>
      <c r="X347" s="5" t="s">
        <v>129</v>
      </c>
      <c r="Y347" s="5" t="s">
        <v>125</v>
      </c>
      <c r="Z347" s="143">
        <v>2000000</v>
      </c>
      <c r="AA347" s="153">
        <v>1</v>
      </c>
      <c r="AB347" s="163">
        <v>110.69</v>
      </c>
      <c r="AD347" s="143">
        <v>2213.8000000000002</v>
      </c>
      <c r="AG347" s="3" t="s">
        <v>36</v>
      </c>
      <c r="AH347" s="155">
        <v>3.032E-3</v>
      </c>
      <c r="AI347" s="155">
        <v>1.068373964932E-2</v>
      </c>
      <c r="AJ347" s="155">
        <v>1.8996572312896501E-3</v>
      </c>
    </row>
    <row r="348" spans="1:36">
      <c r="A348" s="3">
        <v>337</v>
      </c>
      <c r="B348" s="3">
        <v>9963</v>
      </c>
      <c r="C348" s="185" t="s">
        <v>292</v>
      </c>
      <c r="D348" s="3" t="s">
        <v>293</v>
      </c>
      <c r="E348" s="189" t="s">
        <v>118</v>
      </c>
      <c r="F348" s="185" t="s">
        <v>294</v>
      </c>
      <c r="G348" s="3" t="s">
        <v>295</v>
      </c>
      <c r="H348" s="3" t="s">
        <v>121</v>
      </c>
      <c r="I348" s="3" t="s">
        <v>132</v>
      </c>
      <c r="J348" s="3" t="s">
        <v>30</v>
      </c>
      <c r="K348" s="3" t="s">
        <v>30</v>
      </c>
      <c r="L348" s="3" t="s">
        <v>123</v>
      </c>
      <c r="M348" s="3" t="s">
        <v>31</v>
      </c>
      <c r="N348" s="3" t="s">
        <v>124</v>
      </c>
      <c r="O348" s="3" t="s">
        <v>125</v>
      </c>
      <c r="P348" s="3" t="s">
        <v>198</v>
      </c>
      <c r="Q348" s="3" t="s">
        <v>146</v>
      </c>
      <c r="R348" s="3" t="s">
        <v>128</v>
      </c>
      <c r="S348" s="3" t="s">
        <v>34</v>
      </c>
      <c r="T348" s="143">
        <v>4.7859999999999996</v>
      </c>
      <c r="U348" s="3" t="s">
        <v>296</v>
      </c>
      <c r="V348" s="155">
        <v>4.0800000000000003E-2</v>
      </c>
      <c r="W348" s="155">
        <v>2.878E-2</v>
      </c>
      <c r="X348" s="5" t="s">
        <v>129</v>
      </c>
      <c r="Y348" s="5" t="s">
        <v>125</v>
      </c>
      <c r="Z348" s="143">
        <v>1425000</v>
      </c>
      <c r="AA348" s="153">
        <v>1</v>
      </c>
      <c r="AB348" s="163">
        <v>112.75</v>
      </c>
      <c r="AD348" s="143">
        <v>1606.6880000000001</v>
      </c>
      <c r="AG348" s="3" t="s">
        <v>36</v>
      </c>
      <c r="AH348" s="155">
        <v>1.727E-3</v>
      </c>
      <c r="AI348" s="155">
        <v>7.7538309458021603E-3</v>
      </c>
      <c r="AJ348" s="155">
        <v>1.3786952424779499E-3</v>
      </c>
    </row>
    <row r="349" spans="1:36">
      <c r="A349" s="3">
        <v>337</v>
      </c>
      <c r="B349" s="3">
        <v>9963</v>
      </c>
      <c r="C349" s="185" t="s">
        <v>297</v>
      </c>
      <c r="D349" s="3" t="s">
        <v>298</v>
      </c>
      <c r="E349" s="189" t="s">
        <v>118</v>
      </c>
      <c r="F349" s="185" t="s">
        <v>299</v>
      </c>
      <c r="G349" s="3" t="s">
        <v>300</v>
      </c>
      <c r="H349" s="3" t="s">
        <v>121</v>
      </c>
      <c r="I349" s="3" t="s">
        <v>122</v>
      </c>
      <c r="J349" s="3" t="s">
        <v>30</v>
      </c>
      <c r="K349" s="3" t="s">
        <v>30</v>
      </c>
      <c r="L349" s="3" t="s">
        <v>123</v>
      </c>
      <c r="M349" s="3" t="s">
        <v>31</v>
      </c>
      <c r="N349" s="3" t="s">
        <v>301</v>
      </c>
      <c r="O349" s="3" t="s">
        <v>125</v>
      </c>
      <c r="P349" s="3" t="s">
        <v>165</v>
      </c>
      <c r="Q349" s="3" t="s">
        <v>146</v>
      </c>
      <c r="R349" s="3" t="s">
        <v>128</v>
      </c>
      <c r="S349" s="3" t="s">
        <v>34</v>
      </c>
      <c r="T349" s="143">
        <v>7.0430000000000001</v>
      </c>
      <c r="U349" s="3" t="s">
        <v>302</v>
      </c>
      <c r="V349" s="155">
        <v>2.7900000000000001E-2</v>
      </c>
      <c r="W349" s="155">
        <v>4.4069999999999998E-2</v>
      </c>
      <c r="X349" s="5" t="s">
        <v>129</v>
      </c>
      <c r="Y349" s="5" t="s">
        <v>125</v>
      </c>
      <c r="Z349" s="143">
        <v>2000000</v>
      </c>
      <c r="AA349" s="153">
        <v>1</v>
      </c>
      <c r="AB349" s="163">
        <v>89.85</v>
      </c>
      <c r="AD349" s="143">
        <v>1797</v>
      </c>
      <c r="AG349" s="3" t="s">
        <v>36</v>
      </c>
      <c r="AH349" s="155">
        <v>8.6600000000000002E-4</v>
      </c>
      <c r="AI349" s="155">
        <v>8.6722739858289093E-3</v>
      </c>
      <c r="AJ349" s="155">
        <v>1.5420020076915299E-3</v>
      </c>
    </row>
    <row r="350" spans="1:36">
      <c r="A350" s="3">
        <v>337</v>
      </c>
      <c r="B350" s="3">
        <v>9963</v>
      </c>
      <c r="C350" s="185" t="s">
        <v>303</v>
      </c>
      <c r="D350" s="3" t="s">
        <v>304</v>
      </c>
      <c r="E350" s="189" t="s">
        <v>118</v>
      </c>
      <c r="F350" s="185" t="s">
        <v>305</v>
      </c>
      <c r="G350" s="3" t="s">
        <v>306</v>
      </c>
      <c r="H350" s="3" t="s">
        <v>121</v>
      </c>
      <c r="I350" s="3" t="s">
        <v>132</v>
      </c>
      <c r="J350" s="3" t="s">
        <v>30</v>
      </c>
      <c r="K350" s="3" t="s">
        <v>30</v>
      </c>
      <c r="L350" s="3" t="s">
        <v>123</v>
      </c>
      <c r="M350" s="3" t="s">
        <v>31</v>
      </c>
      <c r="N350" s="3" t="s">
        <v>171</v>
      </c>
      <c r="O350" s="3" t="s">
        <v>125</v>
      </c>
      <c r="P350" s="3" t="s">
        <v>145</v>
      </c>
      <c r="Q350" s="3" t="s">
        <v>146</v>
      </c>
      <c r="R350" s="3" t="s">
        <v>128</v>
      </c>
      <c r="S350" s="3" t="s">
        <v>34</v>
      </c>
      <c r="T350" s="143">
        <v>4.4950000000000001</v>
      </c>
      <c r="U350" s="3" t="s">
        <v>307</v>
      </c>
      <c r="V350" s="155">
        <v>1.8700000000000001E-2</v>
      </c>
      <c r="W350" s="155">
        <v>2.6079999999999999E-2</v>
      </c>
      <c r="X350" s="5" t="s">
        <v>129</v>
      </c>
      <c r="Y350" s="5" t="s">
        <v>125</v>
      </c>
      <c r="Z350" s="143">
        <v>5145000</v>
      </c>
      <c r="AA350" s="153">
        <v>1</v>
      </c>
      <c r="AB350" s="163">
        <v>109.95</v>
      </c>
      <c r="AD350" s="143">
        <v>5656.9269999999997</v>
      </c>
      <c r="AG350" s="3" t="s">
        <v>36</v>
      </c>
      <c r="AH350" s="155">
        <v>5.2659999999999998E-3</v>
      </c>
      <c r="AI350" s="155">
        <v>2.7300180967150901E-2</v>
      </c>
      <c r="AJ350" s="155">
        <v>4.8541978644214799E-3</v>
      </c>
    </row>
    <row r="351" spans="1:36">
      <c r="A351" s="3">
        <v>337</v>
      </c>
      <c r="B351" s="3">
        <v>9963</v>
      </c>
      <c r="C351" s="185" t="s">
        <v>303</v>
      </c>
      <c r="D351" s="3" t="s">
        <v>304</v>
      </c>
      <c r="E351" s="189" t="s">
        <v>118</v>
      </c>
      <c r="F351" s="185" t="s">
        <v>308</v>
      </c>
      <c r="G351" s="3" t="s">
        <v>309</v>
      </c>
      <c r="H351" s="3" t="s">
        <v>121</v>
      </c>
      <c r="I351" s="3" t="s">
        <v>132</v>
      </c>
      <c r="J351" s="3" t="s">
        <v>30</v>
      </c>
      <c r="K351" s="3" t="s">
        <v>30</v>
      </c>
      <c r="L351" s="3" t="s">
        <v>123</v>
      </c>
      <c r="M351" s="3" t="s">
        <v>31</v>
      </c>
      <c r="N351" s="3" t="s">
        <v>171</v>
      </c>
      <c r="O351" s="3" t="s">
        <v>125</v>
      </c>
      <c r="P351" s="3" t="s">
        <v>310</v>
      </c>
      <c r="Q351" s="3" t="s">
        <v>127</v>
      </c>
      <c r="R351" s="3" t="s">
        <v>128</v>
      </c>
      <c r="S351" s="3" t="s">
        <v>34</v>
      </c>
      <c r="T351" s="143">
        <v>6.7759999999999998</v>
      </c>
      <c r="U351" s="3" t="s">
        <v>311</v>
      </c>
      <c r="V351" s="155">
        <v>3.0599999999999999E-2</v>
      </c>
      <c r="W351" s="155">
        <v>2.7029999999999998E-2</v>
      </c>
      <c r="X351" s="5" t="s">
        <v>129</v>
      </c>
      <c r="Y351" s="5" t="s">
        <v>125</v>
      </c>
      <c r="Z351" s="143">
        <v>1500000</v>
      </c>
      <c r="AA351" s="153">
        <v>1</v>
      </c>
      <c r="AB351" s="163">
        <v>104.26</v>
      </c>
      <c r="AD351" s="143">
        <v>1563.9</v>
      </c>
      <c r="AG351" s="3" t="s">
        <v>36</v>
      </c>
      <c r="AH351" s="155">
        <v>1.387E-3</v>
      </c>
      <c r="AI351" s="155">
        <v>7.5473396140444196E-3</v>
      </c>
      <c r="AJ351" s="155">
        <v>1.34197937664373E-3</v>
      </c>
    </row>
    <row r="352" spans="1:36">
      <c r="A352" s="3">
        <v>337</v>
      </c>
      <c r="B352" s="3">
        <v>9963</v>
      </c>
      <c r="C352" s="185" t="s">
        <v>312</v>
      </c>
      <c r="D352" s="3" t="s">
        <v>313</v>
      </c>
      <c r="E352" s="189" t="s">
        <v>118</v>
      </c>
      <c r="F352" s="185" t="s">
        <v>314</v>
      </c>
      <c r="G352" s="3" t="s">
        <v>315</v>
      </c>
      <c r="H352" s="3" t="s">
        <v>121</v>
      </c>
      <c r="I352" s="3" t="s">
        <v>132</v>
      </c>
      <c r="J352" s="3" t="s">
        <v>30</v>
      </c>
      <c r="K352" s="3" t="s">
        <v>30</v>
      </c>
      <c r="L352" s="3" t="s">
        <v>123</v>
      </c>
      <c r="M352" s="3" t="s">
        <v>31</v>
      </c>
      <c r="N352" s="3" t="s">
        <v>316</v>
      </c>
      <c r="O352" s="3" t="s">
        <v>125</v>
      </c>
      <c r="P352" s="3" t="s">
        <v>145</v>
      </c>
      <c r="Q352" s="3" t="s">
        <v>146</v>
      </c>
      <c r="R352" s="3" t="s">
        <v>128</v>
      </c>
      <c r="S352" s="3" t="s">
        <v>34</v>
      </c>
      <c r="T352" s="143">
        <v>2.214</v>
      </c>
      <c r="U352" s="3" t="s">
        <v>317</v>
      </c>
      <c r="V352" s="155">
        <v>1.09E-2</v>
      </c>
      <c r="W352" s="155">
        <v>2.5430000000000001E-2</v>
      </c>
      <c r="X352" s="5" t="s">
        <v>129</v>
      </c>
      <c r="Y352" s="5" t="s">
        <v>125</v>
      </c>
      <c r="Z352" s="143">
        <v>1850000</v>
      </c>
      <c r="AA352" s="153">
        <v>1</v>
      </c>
      <c r="AB352" s="163">
        <v>111.21</v>
      </c>
      <c r="AD352" s="143">
        <v>2057.3850000000002</v>
      </c>
      <c r="AG352" s="3" t="s">
        <v>36</v>
      </c>
      <c r="AH352" s="155">
        <v>2.0379999999999999E-3</v>
      </c>
      <c r="AI352" s="155">
        <v>9.9288850385835306E-3</v>
      </c>
      <c r="AJ352" s="155">
        <v>1.76543784117664E-3</v>
      </c>
    </row>
    <row r="353" spans="1:36">
      <c r="A353" s="3">
        <v>337</v>
      </c>
      <c r="B353" s="3">
        <v>9963</v>
      </c>
      <c r="C353" s="185" t="s">
        <v>321</v>
      </c>
      <c r="D353" s="3" t="s">
        <v>322</v>
      </c>
      <c r="E353" s="189" t="s">
        <v>118</v>
      </c>
      <c r="F353" s="185" t="s">
        <v>323</v>
      </c>
      <c r="G353" s="3" t="s">
        <v>324</v>
      </c>
      <c r="H353" s="3" t="s">
        <v>121</v>
      </c>
      <c r="I353" s="3" t="s">
        <v>122</v>
      </c>
      <c r="J353" s="3" t="s">
        <v>30</v>
      </c>
      <c r="K353" s="3" t="s">
        <v>30</v>
      </c>
      <c r="L353" s="3" t="s">
        <v>123</v>
      </c>
      <c r="M353" s="3" t="s">
        <v>31</v>
      </c>
      <c r="N353" s="3" t="s">
        <v>152</v>
      </c>
      <c r="O353" s="3" t="s">
        <v>125</v>
      </c>
      <c r="P353" s="3" t="s">
        <v>325</v>
      </c>
      <c r="Q353" s="3" t="s">
        <v>127</v>
      </c>
      <c r="R353" s="3" t="s">
        <v>128</v>
      </c>
      <c r="S353" s="3" t="s">
        <v>34</v>
      </c>
      <c r="T353" s="143">
        <v>2.3479999999999999</v>
      </c>
      <c r="U353" s="3" t="s">
        <v>326</v>
      </c>
      <c r="V353" s="155">
        <v>7.2499999999999995E-2</v>
      </c>
      <c r="W353" s="155">
        <v>5.8560000000000001E-2</v>
      </c>
      <c r="X353" s="5" t="s">
        <v>129</v>
      </c>
      <c r="Y353" s="5" t="s">
        <v>125</v>
      </c>
      <c r="Z353" s="143">
        <v>1991932.44</v>
      </c>
      <c r="AA353" s="153">
        <v>1</v>
      </c>
      <c r="AB353" s="163">
        <v>105.31</v>
      </c>
      <c r="AD353" s="143">
        <v>2097.7040000000002</v>
      </c>
      <c r="AG353" s="3" t="s">
        <v>36</v>
      </c>
      <c r="AH353" s="155">
        <v>3.1120000000000002E-3</v>
      </c>
      <c r="AI353" s="155">
        <v>1.01234637089698E-2</v>
      </c>
      <c r="AJ353" s="155">
        <v>1.8000355373379701E-3</v>
      </c>
    </row>
    <row r="354" spans="1:36">
      <c r="A354" s="3">
        <v>337</v>
      </c>
      <c r="B354" s="3">
        <v>9963</v>
      </c>
      <c r="C354" s="185" t="s">
        <v>332</v>
      </c>
      <c r="D354" s="3" t="s">
        <v>333</v>
      </c>
      <c r="E354" s="189" t="s">
        <v>118</v>
      </c>
      <c r="F354" s="185" t="s">
        <v>337</v>
      </c>
      <c r="G354" s="3" t="s">
        <v>338</v>
      </c>
      <c r="H354" s="3" t="s">
        <v>121</v>
      </c>
      <c r="I354" s="3" t="s">
        <v>132</v>
      </c>
      <c r="J354" s="3" t="s">
        <v>30</v>
      </c>
      <c r="K354" s="3" t="s">
        <v>30</v>
      </c>
      <c r="L354" s="3" t="s">
        <v>123</v>
      </c>
      <c r="M354" s="3" t="s">
        <v>31</v>
      </c>
      <c r="N354" s="3" t="s">
        <v>171</v>
      </c>
      <c r="O354" s="3" t="s">
        <v>125</v>
      </c>
      <c r="P354" s="3" t="s">
        <v>165</v>
      </c>
      <c r="Q354" s="3" t="s">
        <v>146</v>
      </c>
      <c r="R354" s="3" t="s">
        <v>128</v>
      </c>
      <c r="S354" s="3" t="s">
        <v>34</v>
      </c>
      <c r="T354" s="143">
        <v>3.524</v>
      </c>
      <c r="U354" s="3" t="s">
        <v>339</v>
      </c>
      <c r="V354" s="155">
        <v>5.0000000000000001E-3</v>
      </c>
      <c r="W354" s="155">
        <v>2.462E-2</v>
      </c>
      <c r="X354" s="5" t="s">
        <v>129</v>
      </c>
      <c r="Y354" s="5" t="s">
        <v>125</v>
      </c>
      <c r="Z354" s="143">
        <v>2490566.75</v>
      </c>
      <c r="AA354" s="153">
        <v>1</v>
      </c>
      <c r="AB354" s="163">
        <v>109.85</v>
      </c>
      <c r="AD354" s="143">
        <v>2735.8879999999999</v>
      </c>
      <c r="AG354" s="3" t="s">
        <v>36</v>
      </c>
      <c r="AH354" s="155">
        <v>1.864E-3</v>
      </c>
      <c r="AI354" s="155">
        <v>1.3203320335971601E-2</v>
      </c>
      <c r="AJ354" s="155">
        <v>2.3476595065528901E-3</v>
      </c>
    </row>
    <row r="355" spans="1:36">
      <c r="A355" s="3">
        <v>337</v>
      </c>
      <c r="B355" s="3">
        <v>9963</v>
      </c>
      <c r="C355" s="185" t="s">
        <v>332</v>
      </c>
      <c r="D355" s="3" t="s">
        <v>333</v>
      </c>
      <c r="E355" s="189" t="s">
        <v>118</v>
      </c>
      <c r="F355" s="185" t="s">
        <v>889</v>
      </c>
      <c r="G355" s="3" t="s">
        <v>890</v>
      </c>
      <c r="H355" s="3" t="s">
        <v>121</v>
      </c>
      <c r="I355" s="3" t="s">
        <v>132</v>
      </c>
      <c r="J355" s="3" t="s">
        <v>30</v>
      </c>
      <c r="K355" s="3" t="s">
        <v>30</v>
      </c>
      <c r="L355" s="3" t="s">
        <v>123</v>
      </c>
      <c r="M355" s="3" t="s">
        <v>31</v>
      </c>
      <c r="N355" s="3" t="s">
        <v>171</v>
      </c>
      <c r="O355" s="3" t="s">
        <v>125</v>
      </c>
      <c r="P355" s="3" t="s">
        <v>165</v>
      </c>
      <c r="Q355" s="3" t="s">
        <v>146</v>
      </c>
      <c r="R355" s="3" t="s">
        <v>128</v>
      </c>
      <c r="S355" s="3" t="s">
        <v>34</v>
      </c>
      <c r="T355" s="143">
        <v>3.9870000000000001</v>
      </c>
      <c r="U355" s="3" t="s">
        <v>891</v>
      </c>
      <c r="V355" s="155">
        <v>5.8999999999999999E-3</v>
      </c>
      <c r="W355" s="155">
        <v>2.513E-2</v>
      </c>
      <c r="X355" s="5" t="s">
        <v>129</v>
      </c>
      <c r="Y355" s="5" t="s">
        <v>125</v>
      </c>
      <c r="Z355" s="143">
        <v>30856</v>
      </c>
      <c r="AA355" s="153">
        <v>1</v>
      </c>
      <c r="AB355" s="163">
        <v>106.15</v>
      </c>
      <c r="AD355" s="143">
        <v>32.753999999999998</v>
      </c>
      <c r="AG355" s="3" t="s">
        <v>36</v>
      </c>
      <c r="AH355" s="155">
        <v>2.1999999999999999E-5</v>
      </c>
      <c r="AI355" s="155">
        <v>1.5806821079705099E-4</v>
      </c>
      <c r="AJ355" s="155">
        <v>2.81058346172585E-5</v>
      </c>
    </row>
    <row r="356" spans="1:36">
      <c r="A356" s="3">
        <v>337</v>
      </c>
      <c r="B356" s="3">
        <v>9963</v>
      </c>
      <c r="C356" s="185" t="s">
        <v>332</v>
      </c>
      <c r="D356" s="3" t="s">
        <v>333</v>
      </c>
      <c r="E356" s="189" t="s">
        <v>118</v>
      </c>
      <c r="F356" s="185" t="s">
        <v>340</v>
      </c>
      <c r="G356" s="3" t="s">
        <v>341</v>
      </c>
      <c r="H356" s="3" t="s">
        <v>121</v>
      </c>
      <c r="I356" s="3" t="s">
        <v>132</v>
      </c>
      <c r="J356" s="3" t="s">
        <v>30</v>
      </c>
      <c r="K356" s="3" t="s">
        <v>30</v>
      </c>
      <c r="L356" s="3" t="s">
        <v>123</v>
      </c>
      <c r="M356" s="3" t="s">
        <v>31</v>
      </c>
      <c r="N356" s="3" t="s">
        <v>171</v>
      </c>
      <c r="O356" s="3" t="s">
        <v>125</v>
      </c>
      <c r="P356" s="3" t="s">
        <v>165</v>
      </c>
      <c r="Q356" s="3" t="s">
        <v>146</v>
      </c>
      <c r="R356" s="3" t="s">
        <v>128</v>
      </c>
      <c r="S356" s="3" t="s">
        <v>34</v>
      </c>
      <c r="T356" s="143">
        <v>2.6179999999999999</v>
      </c>
      <c r="U356" s="3" t="s">
        <v>70</v>
      </c>
      <c r="V356" s="155">
        <v>3.3399999999999999E-2</v>
      </c>
      <c r="W356" s="155">
        <v>2.5579999999999999E-2</v>
      </c>
      <c r="X356" s="5" t="s">
        <v>129</v>
      </c>
      <c r="Y356" s="5" t="s">
        <v>125</v>
      </c>
      <c r="Z356" s="143">
        <v>3200000</v>
      </c>
      <c r="AA356" s="153">
        <v>1</v>
      </c>
      <c r="AB356" s="163">
        <v>106.94</v>
      </c>
      <c r="AD356" s="143">
        <v>3422.08</v>
      </c>
      <c r="AG356" s="3" t="s">
        <v>36</v>
      </c>
      <c r="AH356" s="155">
        <v>2.9740000000000001E-3</v>
      </c>
      <c r="AI356" s="155">
        <v>1.65148666452005E-2</v>
      </c>
      <c r="AJ356" s="155">
        <v>2.9364798166282798E-3</v>
      </c>
    </row>
    <row r="357" spans="1:36">
      <c r="A357" s="3">
        <v>337</v>
      </c>
      <c r="B357" s="3">
        <v>9963</v>
      </c>
      <c r="C357" s="185" t="s">
        <v>342</v>
      </c>
      <c r="D357" s="3" t="s">
        <v>343</v>
      </c>
      <c r="E357" s="189" t="s">
        <v>118</v>
      </c>
      <c r="F357" s="185" t="s">
        <v>344</v>
      </c>
      <c r="G357" s="3" t="s">
        <v>345</v>
      </c>
      <c r="H357" s="3" t="s">
        <v>121</v>
      </c>
      <c r="I357" s="3" t="s">
        <v>122</v>
      </c>
      <c r="J357" s="3" t="s">
        <v>30</v>
      </c>
      <c r="K357" s="3" t="s">
        <v>30</v>
      </c>
      <c r="L357" s="3" t="s">
        <v>123</v>
      </c>
      <c r="M357" s="3" t="s">
        <v>31</v>
      </c>
      <c r="N357" s="3" t="s">
        <v>124</v>
      </c>
      <c r="O357" s="3" t="s">
        <v>125</v>
      </c>
      <c r="P357" s="3" t="s">
        <v>178</v>
      </c>
      <c r="Q357" s="3" t="s">
        <v>178</v>
      </c>
      <c r="R357" s="3" t="s">
        <v>178</v>
      </c>
      <c r="S357" s="3" t="s">
        <v>34</v>
      </c>
      <c r="T357" s="143">
        <v>1.9E-2</v>
      </c>
      <c r="U357" s="3" t="s">
        <v>346</v>
      </c>
      <c r="V357" s="155">
        <v>3.8699999999999998E-2</v>
      </c>
      <c r="W357" s="155">
        <v>1E-4</v>
      </c>
      <c r="X357" s="5" t="s">
        <v>129</v>
      </c>
      <c r="Y357" s="5" t="s">
        <v>125</v>
      </c>
      <c r="Z357" s="143">
        <v>0.28999999999999998</v>
      </c>
      <c r="AA357" s="153">
        <v>1</v>
      </c>
      <c r="AB357" s="163">
        <v>100.16</v>
      </c>
      <c r="AD357" s="143">
        <v>0</v>
      </c>
      <c r="AG357" s="3" t="s">
        <v>36</v>
      </c>
      <c r="AH357" s="155">
        <v>0</v>
      </c>
      <c r="AI357" s="155">
        <v>1.4017715030716801E-9</v>
      </c>
      <c r="AJ357" s="155">
        <v>2.4924656158158698E-10</v>
      </c>
    </row>
    <row r="358" spans="1:36">
      <c r="A358" s="3">
        <v>337</v>
      </c>
      <c r="B358" s="3">
        <v>9963</v>
      </c>
      <c r="C358" s="185" t="s">
        <v>342</v>
      </c>
      <c r="D358" s="3" t="s">
        <v>343</v>
      </c>
      <c r="E358" s="189" t="s">
        <v>118</v>
      </c>
      <c r="F358" s="185" t="s">
        <v>347</v>
      </c>
      <c r="G358" s="3" t="s">
        <v>348</v>
      </c>
      <c r="H358" s="3" t="s">
        <v>121</v>
      </c>
      <c r="I358" s="3" t="s">
        <v>122</v>
      </c>
      <c r="J358" s="3" t="s">
        <v>30</v>
      </c>
      <c r="K358" s="3" t="s">
        <v>30</v>
      </c>
      <c r="L358" s="3" t="s">
        <v>123</v>
      </c>
      <c r="M358" s="3" t="s">
        <v>31</v>
      </c>
      <c r="N358" s="3" t="s">
        <v>124</v>
      </c>
      <c r="O358" s="3" t="s">
        <v>125</v>
      </c>
      <c r="P358" s="3" t="s">
        <v>178</v>
      </c>
      <c r="Q358" s="3" t="s">
        <v>178</v>
      </c>
      <c r="R358" s="3" t="s">
        <v>178</v>
      </c>
      <c r="S358" s="3" t="s">
        <v>34</v>
      </c>
      <c r="T358" s="143">
        <v>0.96699999999999997</v>
      </c>
      <c r="U358" s="3" t="s">
        <v>244</v>
      </c>
      <c r="V358" s="155">
        <v>6.25E-2</v>
      </c>
      <c r="W358" s="155">
        <v>8.1570000000000004E-2</v>
      </c>
      <c r="X358" s="5" t="s">
        <v>129</v>
      </c>
      <c r="Y358" s="5" t="s">
        <v>125</v>
      </c>
      <c r="Z358" s="143">
        <v>0.17</v>
      </c>
      <c r="AA358" s="153">
        <v>1</v>
      </c>
      <c r="AB358" s="163">
        <v>99.79</v>
      </c>
      <c r="AD358" s="143">
        <v>0</v>
      </c>
      <c r="AG358" s="3" t="s">
        <v>36</v>
      </c>
      <c r="AH358" s="155">
        <v>0</v>
      </c>
      <c r="AI358" s="155">
        <v>8.1869258529659102E-10</v>
      </c>
      <c r="AJ358" s="155">
        <v>1.4557030973334099E-10</v>
      </c>
    </row>
    <row r="359" spans="1:36">
      <c r="A359" s="3">
        <v>337</v>
      </c>
      <c r="B359" s="3">
        <v>9963</v>
      </c>
      <c r="C359" s="185" t="s">
        <v>349</v>
      </c>
      <c r="D359" s="3" t="s">
        <v>350</v>
      </c>
      <c r="E359" s="189" t="s">
        <v>118</v>
      </c>
      <c r="F359" s="185" t="s">
        <v>351</v>
      </c>
      <c r="G359" s="3" t="s">
        <v>352</v>
      </c>
      <c r="H359" s="3" t="s">
        <v>121</v>
      </c>
      <c r="I359" s="3" t="s">
        <v>176</v>
      </c>
      <c r="J359" s="3" t="s">
        <v>30</v>
      </c>
      <c r="K359" s="3" t="s">
        <v>30</v>
      </c>
      <c r="L359" s="3" t="s">
        <v>123</v>
      </c>
      <c r="M359" s="3" t="s">
        <v>31</v>
      </c>
      <c r="N359" s="3" t="s">
        <v>124</v>
      </c>
      <c r="O359" s="3" t="s">
        <v>125</v>
      </c>
      <c r="P359" s="3" t="s">
        <v>178</v>
      </c>
      <c r="Q359" s="3" t="s">
        <v>178</v>
      </c>
      <c r="R359" s="3" t="s">
        <v>178</v>
      </c>
      <c r="S359" s="3" t="s">
        <v>34</v>
      </c>
      <c r="T359" s="143">
        <v>2.5609999999999999</v>
      </c>
      <c r="U359" s="3" t="s">
        <v>154</v>
      </c>
      <c r="V359" s="155">
        <v>7.0000000000000007E-2</v>
      </c>
      <c r="W359" s="155">
        <v>1E-4</v>
      </c>
      <c r="X359" s="5" t="s">
        <v>129</v>
      </c>
      <c r="Y359" s="5" t="s">
        <v>125</v>
      </c>
      <c r="Z359" s="143">
        <v>417609</v>
      </c>
      <c r="AA359" s="153">
        <v>1</v>
      </c>
      <c r="AB359" s="163">
        <v>150.6</v>
      </c>
      <c r="AD359" s="143">
        <v>628.91899999999998</v>
      </c>
      <c r="AG359" s="3" t="s">
        <v>36</v>
      </c>
      <c r="AH359" s="155">
        <v>8.3669999999999994E-3</v>
      </c>
      <c r="AI359" s="155">
        <v>3.0351470330682901E-3</v>
      </c>
      <c r="AJ359" s="155">
        <v>5.3967423380281399E-4</v>
      </c>
    </row>
    <row r="360" spans="1:36">
      <c r="A360" s="3">
        <v>337</v>
      </c>
      <c r="B360" s="3">
        <v>9963</v>
      </c>
      <c r="C360" s="185" t="s">
        <v>892</v>
      </c>
      <c r="D360" s="3" t="s">
        <v>893</v>
      </c>
      <c r="E360" s="189" t="s">
        <v>33</v>
      </c>
      <c r="F360" s="185" t="s">
        <v>894</v>
      </c>
      <c r="G360" s="3" t="s">
        <v>895</v>
      </c>
      <c r="H360" s="3" t="s">
        <v>121</v>
      </c>
      <c r="I360" s="3" t="s">
        <v>122</v>
      </c>
      <c r="J360" s="3" t="s">
        <v>30</v>
      </c>
      <c r="K360" s="3" t="s">
        <v>80</v>
      </c>
      <c r="L360" s="3" t="s">
        <v>123</v>
      </c>
      <c r="M360" s="3" t="s">
        <v>31</v>
      </c>
      <c r="N360" s="3" t="s">
        <v>139</v>
      </c>
      <c r="O360" s="3" t="s">
        <v>125</v>
      </c>
      <c r="P360" s="3" t="s">
        <v>198</v>
      </c>
      <c r="Q360" s="3" t="s">
        <v>146</v>
      </c>
      <c r="R360" s="3" t="s">
        <v>128</v>
      </c>
      <c r="S360" s="3" t="s">
        <v>34</v>
      </c>
      <c r="T360" s="143">
        <v>0.97299999999999998</v>
      </c>
      <c r="U360" s="3" t="s">
        <v>795</v>
      </c>
      <c r="V360" s="155">
        <v>6.8000000000000005E-2</v>
      </c>
      <c r="W360" s="155">
        <v>7.8240000000000004E-2</v>
      </c>
      <c r="X360" s="5" t="s">
        <v>129</v>
      </c>
      <c r="Y360" s="5" t="s">
        <v>125</v>
      </c>
      <c r="Z360" s="143">
        <v>0.97</v>
      </c>
      <c r="AA360" s="153">
        <v>1</v>
      </c>
      <c r="AB360" s="163">
        <v>99.2</v>
      </c>
      <c r="AD360" s="143">
        <v>1E-3</v>
      </c>
      <c r="AG360" s="3" t="s">
        <v>36</v>
      </c>
      <c r="AH360" s="155">
        <v>0</v>
      </c>
      <c r="AI360" s="155">
        <v>4.6437445298408505E-9</v>
      </c>
      <c r="AJ360" s="155">
        <v>8.2569616687873906E-10</v>
      </c>
    </row>
    <row r="361" spans="1:36">
      <c r="A361" s="3">
        <v>337</v>
      </c>
      <c r="B361" s="3">
        <v>9963</v>
      </c>
      <c r="C361" s="185" t="s">
        <v>353</v>
      </c>
      <c r="D361" s="3" t="s">
        <v>354</v>
      </c>
      <c r="E361" s="189" t="s">
        <v>118</v>
      </c>
      <c r="F361" s="185" t="s">
        <v>355</v>
      </c>
      <c r="G361" s="3" t="s">
        <v>356</v>
      </c>
      <c r="H361" s="3" t="s">
        <v>121</v>
      </c>
      <c r="I361" s="3" t="s">
        <v>132</v>
      </c>
      <c r="J361" s="3" t="s">
        <v>30</v>
      </c>
      <c r="K361" s="3" t="s">
        <v>30</v>
      </c>
      <c r="L361" s="3" t="s">
        <v>123</v>
      </c>
      <c r="M361" s="3" t="s">
        <v>31</v>
      </c>
      <c r="N361" s="3" t="s">
        <v>316</v>
      </c>
      <c r="O361" s="3" t="s">
        <v>125</v>
      </c>
      <c r="P361" s="3" t="s">
        <v>357</v>
      </c>
      <c r="Q361" s="3" t="s">
        <v>146</v>
      </c>
      <c r="R361" s="3" t="s">
        <v>128</v>
      </c>
      <c r="S361" s="3" t="s">
        <v>34</v>
      </c>
      <c r="T361" s="143">
        <v>3.2749999999999999</v>
      </c>
      <c r="U361" s="3" t="s">
        <v>358</v>
      </c>
      <c r="V361" s="155">
        <v>2E-3</v>
      </c>
      <c r="W361" s="155">
        <v>2.2429999999999999E-2</v>
      </c>
      <c r="X361" s="5" t="s">
        <v>129</v>
      </c>
      <c r="Y361" s="5" t="s">
        <v>125</v>
      </c>
      <c r="Z361" s="143">
        <v>2470588.4900000002</v>
      </c>
      <c r="AA361" s="153">
        <v>1</v>
      </c>
      <c r="AB361" s="163">
        <v>107.7</v>
      </c>
      <c r="AD361" s="143">
        <v>2660.8240000000001</v>
      </c>
      <c r="AG361" s="3" t="s">
        <v>36</v>
      </c>
      <c r="AH361" s="155">
        <v>7.7700000000000002E-4</v>
      </c>
      <c r="AI361" s="155">
        <v>1.2841064582060101E-2</v>
      </c>
      <c r="AJ361" s="155">
        <v>2.2832474387674199E-3</v>
      </c>
    </row>
    <row r="362" spans="1:36">
      <c r="A362" s="3">
        <v>337</v>
      </c>
      <c r="B362" s="3">
        <v>9963</v>
      </c>
      <c r="C362" s="185" t="s">
        <v>353</v>
      </c>
      <c r="D362" s="3" t="s">
        <v>354</v>
      </c>
      <c r="E362" s="189" t="s">
        <v>118</v>
      </c>
      <c r="F362" s="185" t="s">
        <v>359</v>
      </c>
      <c r="G362" s="3" t="s">
        <v>360</v>
      </c>
      <c r="H362" s="3" t="s">
        <v>121</v>
      </c>
      <c r="I362" s="3" t="s">
        <v>132</v>
      </c>
      <c r="J362" s="3" t="s">
        <v>30</v>
      </c>
      <c r="K362" s="3" t="s">
        <v>30</v>
      </c>
      <c r="L362" s="3" t="s">
        <v>123</v>
      </c>
      <c r="M362" s="3" t="s">
        <v>31</v>
      </c>
      <c r="N362" s="3" t="s">
        <v>316</v>
      </c>
      <c r="O362" s="3" t="s">
        <v>125</v>
      </c>
      <c r="P362" s="3" t="s">
        <v>357</v>
      </c>
      <c r="Q362" s="3" t="s">
        <v>146</v>
      </c>
      <c r="R362" s="3" t="s">
        <v>128</v>
      </c>
      <c r="S362" s="3" t="s">
        <v>34</v>
      </c>
      <c r="T362" s="143">
        <v>4.34</v>
      </c>
      <c r="U362" s="3" t="s">
        <v>361</v>
      </c>
      <c r="V362" s="155">
        <v>2.4E-2</v>
      </c>
      <c r="W362" s="155">
        <v>2.281E-2</v>
      </c>
      <c r="X362" s="5" t="s">
        <v>129</v>
      </c>
      <c r="Y362" s="5" t="s">
        <v>125</v>
      </c>
      <c r="Z362" s="143">
        <v>1500000</v>
      </c>
      <c r="AA362" s="153">
        <v>1</v>
      </c>
      <c r="AB362" s="163">
        <v>105.25</v>
      </c>
      <c r="AD362" s="143">
        <v>1578.75</v>
      </c>
      <c r="AG362" s="3" t="s">
        <v>36</v>
      </c>
      <c r="AH362" s="155">
        <v>3.5799999999999997E-4</v>
      </c>
      <c r="AI362" s="155">
        <v>7.6190053172662097E-3</v>
      </c>
      <c r="AJ362" s="155">
        <v>1.35472213113133E-3</v>
      </c>
    </row>
    <row r="363" spans="1:36">
      <c r="A363" s="3">
        <v>337</v>
      </c>
      <c r="B363" s="3">
        <v>9963</v>
      </c>
      <c r="C363" s="185" t="s">
        <v>353</v>
      </c>
      <c r="D363" s="3" t="s">
        <v>354</v>
      </c>
      <c r="E363" s="189" t="s">
        <v>118</v>
      </c>
      <c r="F363" s="185" t="s">
        <v>779</v>
      </c>
      <c r="G363" s="3" t="s">
        <v>780</v>
      </c>
      <c r="H363" s="3" t="s">
        <v>121</v>
      </c>
      <c r="I363" s="3" t="s">
        <v>132</v>
      </c>
      <c r="J363" s="3" t="s">
        <v>30</v>
      </c>
      <c r="K363" s="3" t="s">
        <v>30</v>
      </c>
      <c r="L363" s="3" t="s">
        <v>123</v>
      </c>
      <c r="M363" s="3" t="s">
        <v>31</v>
      </c>
      <c r="N363" s="3" t="s">
        <v>316</v>
      </c>
      <c r="O363" s="3" t="s">
        <v>125</v>
      </c>
      <c r="P363" s="3" t="s">
        <v>145</v>
      </c>
      <c r="Q363" s="3" t="s">
        <v>146</v>
      </c>
      <c r="R363" s="3" t="s">
        <v>128</v>
      </c>
      <c r="S363" s="3" t="s">
        <v>34</v>
      </c>
      <c r="T363" s="143">
        <v>1.831</v>
      </c>
      <c r="U363" s="3" t="s">
        <v>781</v>
      </c>
      <c r="V363" s="155">
        <v>2E-3</v>
      </c>
      <c r="W363" s="155">
        <v>2.6950000000000002E-2</v>
      </c>
      <c r="X363" s="5" t="s">
        <v>129</v>
      </c>
      <c r="Y363" s="5" t="s">
        <v>125</v>
      </c>
      <c r="Z363" s="143">
        <v>1428791</v>
      </c>
      <c r="AA363" s="153">
        <v>1</v>
      </c>
      <c r="AB363" s="163">
        <v>110.04</v>
      </c>
      <c r="AD363" s="143">
        <v>1572.242</v>
      </c>
      <c r="AG363" s="3" t="s">
        <v>36</v>
      </c>
      <c r="AH363" s="155">
        <v>2.493E-3</v>
      </c>
      <c r="AI363" s="155">
        <v>7.5875960319105804E-3</v>
      </c>
      <c r="AJ363" s="155">
        <v>1.3491373005369901E-3</v>
      </c>
    </row>
    <row r="364" spans="1:36">
      <c r="A364" s="3">
        <v>337</v>
      </c>
      <c r="B364" s="3">
        <v>9963</v>
      </c>
      <c r="C364" s="185" t="s">
        <v>365</v>
      </c>
      <c r="D364" s="3" t="s">
        <v>366</v>
      </c>
      <c r="E364" s="189" t="s">
        <v>118</v>
      </c>
      <c r="F364" s="185" t="s">
        <v>367</v>
      </c>
      <c r="G364" s="3" t="s">
        <v>368</v>
      </c>
      <c r="H364" s="3" t="s">
        <v>121</v>
      </c>
      <c r="I364" s="3" t="s">
        <v>132</v>
      </c>
      <c r="J364" s="3" t="s">
        <v>30</v>
      </c>
      <c r="K364" s="3" t="s">
        <v>30</v>
      </c>
      <c r="L364" s="3" t="s">
        <v>123</v>
      </c>
      <c r="M364" s="3" t="s">
        <v>31</v>
      </c>
      <c r="N364" s="3" t="s">
        <v>152</v>
      </c>
      <c r="O364" s="3" t="s">
        <v>125</v>
      </c>
      <c r="P364" s="3" t="s">
        <v>243</v>
      </c>
      <c r="Q364" s="3" t="s">
        <v>127</v>
      </c>
      <c r="R364" s="3" t="s">
        <v>128</v>
      </c>
      <c r="S364" s="3" t="s">
        <v>34</v>
      </c>
      <c r="T364" s="143">
        <v>2.9849999999999999</v>
      </c>
      <c r="U364" s="3" t="s">
        <v>369</v>
      </c>
      <c r="V364" s="155">
        <v>1.7999999999999999E-2</v>
      </c>
      <c r="W364" s="155">
        <v>2.7730000000000001E-2</v>
      </c>
      <c r="X364" s="5" t="s">
        <v>129</v>
      </c>
      <c r="Y364" s="5" t="s">
        <v>125</v>
      </c>
      <c r="Z364" s="143">
        <v>409765.07</v>
      </c>
      <c r="AA364" s="153">
        <v>1</v>
      </c>
      <c r="AB364" s="163">
        <v>115.18</v>
      </c>
      <c r="AD364" s="143">
        <v>471.96699999999998</v>
      </c>
      <c r="AG364" s="3" t="s">
        <v>36</v>
      </c>
      <c r="AH364" s="155">
        <v>5.0100000000000003E-4</v>
      </c>
      <c r="AI364" s="155">
        <v>2.2777020986722699E-3</v>
      </c>
      <c r="AJ364" s="155">
        <v>4.0499426272913602E-4</v>
      </c>
    </row>
    <row r="365" spans="1:36">
      <c r="A365" s="3">
        <v>337</v>
      </c>
      <c r="B365" s="3">
        <v>9963</v>
      </c>
      <c r="C365" s="185" t="s">
        <v>365</v>
      </c>
      <c r="D365" s="3" t="s">
        <v>366</v>
      </c>
      <c r="E365" s="189" t="s">
        <v>118</v>
      </c>
      <c r="F365" s="185" t="s">
        <v>370</v>
      </c>
      <c r="G365" s="3" t="s">
        <v>371</v>
      </c>
      <c r="H365" s="3" t="s">
        <v>121</v>
      </c>
      <c r="I365" s="3" t="s">
        <v>132</v>
      </c>
      <c r="J365" s="3" t="s">
        <v>30</v>
      </c>
      <c r="K365" s="3" t="s">
        <v>30</v>
      </c>
      <c r="L365" s="3" t="s">
        <v>123</v>
      </c>
      <c r="M365" s="3" t="s">
        <v>31</v>
      </c>
      <c r="N365" s="3" t="s">
        <v>152</v>
      </c>
      <c r="O365" s="3" t="s">
        <v>125</v>
      </c>
      <c r="P365" s="3" t="s">
        <v>243</v>
      </c>
      <c r="Q365" s="3" t="s">
        <v>127</v>
      </c>
      <c r="R365" s="3" t="s">
        <v>128</v>
      </c>
      <c r="S365" s="3" t="s">
        <v>34</v>
      </c>
      <c r="T365" s="143">
        <v>7.5019999999999998</v>
      </c>
      <c r="U365" s="3" t="s">
        <v>372</v>
      </c>
      <c r="V365" s="155">
        <v>3.3399999999999999E-2</v>
      </c>
      <c r="W365" s="155">
        <v>3.1140000000000001E-2</v>
      </c>
      <c r="X365" s="5" t="s">
        <v>129</v>
      </c>
      <c r="Y365" s="5" t="s">
        <v>125</v>
      </c>
      <c r="Z365" s="143">
        <v>1271000</v>
      </c>
      <c r="AA365" s="153">
        <v>1</v>
      </c>
      <c r="AB365" s="163">
        <v>101.51</v>
      </c>
      <c r="AD365" s="143">
        <v>1290.192</v>
      </c>
      <c r="AG365" s="3" t="s">
        <v>36</v>
      </c>
      <c r="AH365" s="155">
        <v>8.4729999999999996E-3</v>
      </c>
      <c r="AI365" s="155">
        <v>6.2264326018653098E-3</v>
      </c>
      <c r="AJ365" s="155">
        <v>1.10711119004326E-3</v>
      </c>
    </row>
    <row r="366" spans="1:36">
      <c r="A366" s="3">
        <v>337</v>
      </c>
      <c r="B366" s="3">
        <v>9963</v>
      </c>
      <c r="C366" s="185" t="s">
        <v>373</v>
      </c>
      <c r="D366" s="3" t="s">
        <v>374</v>
      </c>
      <c r="E366" s="189" t="s">
        <v>118</v>
      </c>
      <c r="F366" s="185" t="s">
        <v>375</v>
      </c>
      <c r="G366" s="3" t="s">
        <v>376</v>
      </c>
      <c r="H366" s="3" t="s">
        <v>121</v>
      </c>
      <c r="I366" s="3" t="s">
        <v>122</v>
      </c>
      <c r="J366" s="3" t="s">
        <v>30</v>
      </c>
      <c r="K366" s="3" t="s">
        <v>30</v>
      </c>
      <c r="L366" s="3" t="s">
        <v>123</v>
      </c>
      <c r="M366" s="3" t="s">
        <v>31</v>
      </c>
      <c r="N366" s="3" t="s">
        <v>377</v>
      </c>
      <c r="O366" s="3" t="s">
        <v>125</v>
      </c>
      <c r="P366" s="3" t="s">
        <v>260</v>
      </c>
      <c r="Q366" s="3" t="s">
        <v>146</v>
      </c>
      <c r="R366" s="3" t="s">
        <v>128</v>
      </c>
      <c r="S366" s="3" t="s">
        <v>34</v>
      </c>
      <c r="T366" s="143">
        <v>5.2539999999999996</v>
      </c>
      <c r="U366" s="3" t="s">
        <v>339</v>
      </c>
      <c r="V366" s="155">
        <v>5.6899999999999999E-2</v>
      </c>
      <c r="W366" s="155">
        <v>5.0369999999999998E-2</v>
      </c>
      <c r="X366" s="5" t="s">
        <v>129</v>
      </c>
      <c r="Y366" s="5" t="s">
        <v>125</v>
      </c>
      <c r="Z366" s="143">
        <v>1496000</v>
      </c>
      <c r="AA366" s="153">
        <v>1</v>
      </c>
      <c r="AB366" s="163">
        <v>103.73</v>
      </c>
      <c r="AD366" s="143">
        <v>1551.8009999999999</v>
      </c>
      <c r="AG366" s="3" t="s">
        <v>36</v>
      </c>
      <c r="AH366" s="155">
        <v>9.5699999999999995E-4</v>
      </c>
      <c r="AI366" s="155">
        <v>7.4889491981238098E-3</v>
      </c>
      <c r="AJ366" s="155">
        <v>1.3315970779840399E-3</v>
      </c>
    </row>
    <row r="367" spans="1:36">
      <c r="A367" s="3">
        <v>337</v>
      </c>
      <c r="B367" s="3">
        <v>9963</v>
      </c>
      <c r="C367" s="185" t="s">
        <v>373</v>
      </c>
      <c r="D367" s="3" t="s">
        <v>374</v>
      </c>
      <c r="E367" s="189" t="s">
        <v>118</v>
      </c>
      <c r="F367" s="185" t="s">
        <v>378</v>
      </c>
      <c r="G367" s="3" t="s">
        <v>379</v>
      </c>
      <c r="H367" s="3" t="s">
        <v>121</v>
      </c>
      <c r="I367" s="3" t="s">
        <v>122</v>
      </c>
      <c r="J367" s="3" t="s">
        <v>30</v>
      </c>
      <c r="K367" s="3" t="s">
        <v>30</v>
      </c>
      <c r="L367" s="3" t="s">
        <v>123</v>
      </c>
      <c r="M367" s="3" t="s">
        <v>31</v>
      </c>
      <c r="N367" s="3" t="s">
        <v>377</v>
      </c>
      <c r="O367" s="3" t="s">
        <v>125</v>
      </c>
      <c r="P367" s="3" t="s">
        <v>126</v>
      </c>
      <c r="Q367" s="3" t="s">
        <v>127</v>
      </c>
      <c r="R367" s="3" t="s">
        <v>128</v>
      </c>
      <c r="S367" s="3" t="s">
        <v>34</v>
      </c>
      <c r="T367" s="143">
        <v>6.0750000000000002</v>
      </c>
      <c r="U367" s="3" t="s">
        <v>380</v>
      </c>
      <c r="V367" s="155">
        <v>5.6800000000000003E-2</v>
      </c>
      <c r="W367" s="155">
        <v>5.1319999999999998E-2</v>
      </c>
      <c r="X367" s="5" t="s">
        <v>129</v>
      </c>
      <c r="Y367" s="5" t="s">
        <v>125</v>
      </c>
      <c r="Z367" s="143">
        <v>1500000</v>
      </c>
      <c r="AA367" s="153">
        <v>1</v>
      </c>
      <c r="AB367" s="163">
        <v>105.5</v>
      </c>
      <c r="AD367" s="143">
        <v>1582.5</v>
      </c>
      <c r="AG367" s="3" t="s">
        <v>36</v>
      </c>
      <c r="AH367" s="155">
        <v>8.6200000000000003E-4</v>
      </c>
      <c r="AI367" s="155">
        <v>7.6371027170697003E-3</v>
      </c>
      <c r="AJ367" s="155">
        <v>1.3579399984261799E-3</v>
      </c>
    </row>
    <row r="368" spans="1:36">
      <c r="A368" s="3">
        <v>337</v>
      </c>
      <c r="B368" s="3">
        <v>9963</v>
      </c>
      <c r="C368" s="185" t="s">
        <v>386</v>
      </c>
      <c r="D368" s="3" t="s">
        <v>387</v>
      </c>
      <c r="E368" s="189" t="s">
        <v>118</v>
      </c>
      <c r="F368" s="185" t="s">
        <v>390</v>
      </c>
      <c r="G368" s="3" t="s">
        <v>391</v>
      </c>
      <c r="H368" s="3" t="s">
        <v>121</v>
      </c>
      <c r="I368" s="3" t="s">
        <v>122</v>
      </c>
      <c r="J368" s="3" t="s">
        <v>30</v>
      </c>
      <c r="K368" s="3" t="s">
        <v>30</v>
      </c>
      <c r="L368" s="3" t="s">
        <v>123</v>
      </c>
      <c r="M368" s="3" t="s">
        <v>31</v>
      </c>
      <c r="N368" s="3" t="s">
        <v>159</v>
      </c>
      <c r="O368" s="3" t="s">
        <v>125</v>
      </c>
      <c r="P368" s="3" t="s">
        <v>145</v>
      </c>
      <c r="Q368" s="3" t="s">
        <v>146</v>
      </c>
      <c r="R368" s="3" t="s">
        <v>128</v>
      </c>
      <c r="S368" s="3" t="s">
        <v>34</v>
      </c>
      <c r="T368" s="143">
        <v>7.5170000000000003</v>
      </c>
      <c r="U368" s="3" t="s">
        <v>392</v>
      </c>
      <c r="V368" s="155">
        <v>5.8500000000000003E-2</v>
      </c>
      <c r="W368" s="155">
        <v>4.795E-2</v>
      </c>
      <c r="X368" s="5" t="s">
        <v>129</v>
      </c>
      <c r="Y368" s="5" t="s">
        <v>125</v>
      </c>
      <c r="Z368" s="143">
        <v>1995000</v>
      </c>
      <c r="AA368" s="153">
        <v>1</v>
      </c>
      <c r="AB368" s="163">
        <v>108.42</v>
      </c>
      <c r="AD368" s="143">
        <v>2162.9789999999998</v>
      </c>
      <c r="AG368" s="3" t="s">
        <v>36</v>
      </c>
      <c r="AH368" s="155">
        <v>1.9949999999999998E-3</v>
      </c>
      <c r="AI368" s="155">
        <v>1.04384788612099E-2</v>
      </c>
      <c r="AJ368" s="155">
        <v>1.85604783561191E-3</v>
      </c>
    </row>
    <row r="369" spans="1:36">
      <c r="A369" s="3">
        <v>337</v>
      </c>
      <c r="B369" s="3">
        <v>9963</v>
      </c>
      <c r="C369" s="185" t="s">
        <v>393</v>
      </c>
      <c r="D369" s="3" t="s">
        <v>394</v>
      </c>
      <c r="E369" s="189" t="s">
        <v>118</v>
      </c>
      <c r="F369" s="185" t="s">
        <v>395</v>
      </c>
      <c r="G369" s="3" t="s">
        <v>396</v>
      </c>
      <c r="H369" s="3" t="s">
        <v>121</v>
      </c>
      <c r="I369" s="3" t="s">
        <v>132</v>
      </c>
      <c r="J369" s="3" t="s">
        <v>30</v>
      </c>
      <c r="K369" s="3" t="s">
        <v>30</v>
      </c>
      <c r="L369" s="3" t="s">
        <v>123</v>
      </c>
      <c r="M369" s="3" t="s">
        <v>31</v>
      </c>
      <c r="N369" s="3" t="s">
        <v>171</v>
      </c>
      <c r="O369" s="3" t="s">
        <v>125</v>
      </c>
      <c r="P369" s="3" t="s">
        <v>126</v>
      </c>
      <c r="Q369" s="3" t="s">
        <v>127</v>
      </c>
      <c r="R369" s="3" t="s">
        <v>128</v>
      </c>
      <c r="S369" s="3" t="s">
        <v>34</v>
      </c>
      <c r="T369" s="143">
        <v>4.6909999999999998</v>
      </c>
      <c r="U369" s="3" t="s">
        <v>397</v>
      </c>
      <c r="V369" s="155">
        <v>3.1800000000000002E-2</v>
      </c>
      <c r="W369" s="155">
        <v>2.7150000000000001E-2</v>
      </c>
      <c r="X369" s="5" t="s">
        <v>129</v>
      </c>
      <c r="Y369" s="5" t="s">
        <v>125</v>
      </c>
      <c r="Z369" s="143">
        <v>2000000</v>
      </c>
      <c r="AA369" s="153">
        <v>1</v>
      </c>
      <c r="AB369" s="163">
        <v>104.97</v>
      </c>
      <c r="AD369" s="143">
        <v>2099.4</v>
      </c>
      <c r="AG369" s="3" t="s">
        <v>36</v>
      </c>
      <c r="AH369" s="155">
        <v>8.9619999999999995E-3</v>
      </c>
      <c r="AI369" s="155">
        <v>1.0131648305981801E-2</v>
      </c>
      <c r="AJ369" s="155">
        <v>1.8014908263481301E-3</v>
      </c>
    </row>
    <row r="370" spans="1:36">
      <c r="A370" s="3">
        <v>337</v>
      </c>
      <c r="B370" s="3">
        <v>9963</v>
      </c>
      <c r="C370" s="185" t="s">
        <v>398</v>
      </c>
      <c r="D370" s="3" t="s">
        <v>399</v>
      </c>
      <c r="E370" s="189" t="s">
        <v>118</v>
      </c>
      <c r="F370" s="185" t="s">
        <v>400</v>
      </c>
      <c r="G370" s="3" t="s">
        <v>401</v>
      </c>
      <c r="H370" s="3" t="s">
        <v>121</v>
      </c>
      <c r="I370" s="3" t="s">
        <v>132</v>
      </c>
      <c r="J370" s="3" t="s">
        <v>30</v>
      </c>
      <c r="K370" s="3" t="s">
        <v>30</v>
      </c>
      <c r="L370" s="3" t="s">
        <v>123</v>
      </c>
      <c r="M370" s="3" t="s">
        <v>31</v>
      </c>
      <c r="N370" s="3" t="s">
        <v>152</v>
      </c>
      <c r="O370" s="3" t="s">
        <v>125</v>
      </c>
      <c r="P370" s="3" t="s">
        <v>357</v>
      </c>
      <c r="Q370" s="3" t="s">
        <v>146</v>
      </c>
      <c r="R370" s="3" t="s">
        <v>128</v>
      </c>
      <c r="S370" s="3" t="s">
        <v>34</v>
      </c>
      <c r="T370" s="143">
        <v>9.7279999999999998</v>
      </c>
      <c r="U370" s="3" t="s">
        <v>402</v>
      </c>
      <c r="V370" s="155">
        <v>3.2000000000000001E-2</v>
      </c>
      <c r="W370" s="155">
        <v>2.572E-2</v>
      </c>
      <c r="X370" s="5" t="s">
        <v>129</v>
      </c>
      <c r="Y370" s="5" t="s">
        <v>125</v>
      </c>
      <c r="Z370" s="143">
        <v>2500000</v>
      </c>
      <c r="AA370" s="153">
        <v>1</v>
      </c>
      <c r="AB370" s="163">
        <v>113.96</v>
      </c>
      <c r="AD370" s="143">
        <v>2849</v>
      </c>
      <c r="AG370" s="3" t="s">
        <v>36</v>
      </c>
      <c r="AH370" s="155">
        <v>5.0799999999999999E-4</v>
      </c>
      <c r="AI370" s="155">
        <v>1.37491978773659E-2</v>
      </c>
      <c r="AJ370" s="155">
        <v>2.4447210461397599E-3</v>
      </c>
    </row>
    <row r="371" spans="1:36">
      <c r="A371" s="3">
        <v>337</v>
      </c>
      <c r="B371" s="3">
        <v>9963</v>
      </c>
      <c r="C371" s="185" t="s">
        <v>398</v>
      </c>
      <c r="D371" s="3" t="s">
        <v>399</v>
      </c>
      <c r="E371" s="189" t="s">
        <v>118</v>
      </c>
      <c r="F371" s="185" t="s">
        <v>403</v>
      </c>
      <c r="G371" s="3" t="s">
        <v>404</v>
      </c>
      <c r="H371" s="3" t="s">
        <v>121</v>
      </c>
      <c r="I371" s="3" t="s">
        <v>132</v>
      </c>
      <c r="J371" s="3" t="s">
        <v>30</v>
      </c>
      <c r="K371" s="3" t="s">
        <v>30</v>
      </c>
      <c r="L371" s="3" t="s">
        <v>123</v>
      </c>
      <c r="M371" s="3" t="s">
        <v>31</v>
      </c>
      <c r="N371" s="3" t="s">
        <v>152</v>
      </c>
      <c r="O371" s="3" t="s">
        <v>125</v>
      </c>
      <c r="P371" s="3" t="s">
        <v>357</v>
      </c>
      <c r="Q371" s="3" t="s">
        <v>146</v>
      </c>
      <c r="R371" s="3" t="s">
        <v>128</v>
      </c>
      <c r="S371" s="3" t="s">
        <v>34</v>
      </c>
      <c r="T371" s="143">
        <v>7.452</v>
      </c>
      <c r="U371" s="3" t="s">
        <v>405</v>
      </c>
      <c r="V371" s="155">
        <v>2.9899999999999999E-2</v>
      </c>
      <c r="W371" s="155">
        <v>2.4979999999999999E-2</v>
      </c>
      <c r="X371" s="5" t="s">
        <v>129</v>
      </c>
      <c r="Y371" s="5" t="s">
        <v>125</v>
      </c>
      <c r="Z371" s="143">
        <v>278000</v>
      </c>
      <c r="AA371" s="153">
        <v>1</v>
      </c>
      <c r="AB371" s="163">
        <v>105.86</v>
      </c>
      <c r="AD371" s="143">
        <v>294.291</v>
      </c>
      <c r="AG371" s="3" t="s">
        <v>36</v>
      </c>
      <c r="AH371" s="155">
        <v>7.18E-4</v>
      </c>
      <c r="AI371" s="155">
        <v>1.42023953762314E-3</v>
      </c>
      <c r="AJ371" s="155">
        <v>2.5253033079863398E-4</v>
      </c>
    </row>
    <row r="372" spans="1:36">
      <c r="A372" s="3">
        <v>337</v>
      </c>
      <c r="B372" s="3">
        <v>9963</v>
      </c>
      <c r="C372" s="185" t="s">
        <v>406</v>
      </c>
      <c r="D372" s="3" t="s">
        <v>407</v>
      </c>
      <c r="E372" s="189" t="s">
        <v>269</v>
      </c>
      <c r="F372" s="185" t="s">
        <v>408</v>
      </c>
      <c r="G372" s="3" t="s">
        <v>409</v>
      </c>
      <c r="H372" s="3" t="s">
        <v>121</v>
      </c>
      <c r="I372" s="3" t="s">
        <v>410</v>
      </c>
      <c r="J372" s="3" t="s">
        <v>30</v>
      </c>
      <c r="K372" s="3" t="s">
        <v>80</v>
      </c>
      <c r="L372" s="3" t="s">
        <v>123</v>
      </c>
      <c r="M372" s="3" t="s">
        <v>31</v>
      </c>
      <c r="N372" s="3" t="s">
        <v>139</v>
      </c>
      <c r="O372" s="3" t="s">
        <v>125</v>
      </c>
      <c r="P372" s="3" t="s">
        <v>145</v>
      </c>
      <c r="Q372" s="3" t="s">
        <v>146</v>
      </c>
      <c r="R372" s="3" t="s">
        <v>128</v>
      </c>
      <c r="S372" s="3" t="s">
        <v>84</v>
      </c>
      <c r="T372" s="143">
        <v>1.1240000000000001</v>
      </c>
      <c r="U372" s="3" t="s">
        <v>411</v>
      </c>
      <c r="V372" s="155">
        <v>4.7199999999999999E-2</v>
      </c>
      <c r="W372" s="155">
        <v>6.4030000000000004E-2</v>
      </c>
      <c r="X372" s="5" t="s">
        <v>129</v>
      </c>
      <c r="Y372" s="5" t="s">
        <v>125</v>
      </c>
      <c r="Z372" s="143">
        <v>1576000</v>
      </c>
      <c r="AA372" s="153">
        <v>3.19</v>
      </c>
      <c r="AB372" s="163">
        <v>31.187999999999999</v>
      </c>
      <c r="AD372" s="143">
        <v>1567.962</v>
      </c>
      <c r="AG372" s="3" t="s">
        <v>36</v>
      </c>
      <c r="AH372" s="155">
        <v>4.7910000000000001E-3</v>
      </c>
      <c r="AI372" s="155">
        <v>7.56694464790087E-3</v>
      </c>
      <c r="AJ372" s="155">
        <v>1.34546531373669E-3</v>
      </c>
    </row>
    <row r="373" spans="1:36">
      <c r="A373" s="3">
        <v>337</v>
      </c>
      <c r="B373" s="3">
        <v>9963</v>
      </c>
      <c r="C373" s="185" t="s">
        <v>896</v>
      </c>
      <c r="D373" s="3" t="s">
        <v>897</v>
      </c>
      <c r="E373" s="189" t="s">
        <v>118</v>
      </c>
      <c r="F373" s="185" t="s">
        <v>898</v>
      </c>
      <c r="G373" s="3" t="s">
        <v>899</v>
      </c>
      <c r="H373" s="3" t="s">
        <v>121</v>
      </c>
      <c r="I373" s="3" t="s">
        <v>122</v>
      </c>
      <c r="J373" s="3" t="s">
        <v>30</v>
      </c>
      <c r="K373" s="3" t="s">
        <v>30</v>
      </c>
      <c r="L373" s="3" t="s">
        <v>123</v>
      </c>
      <c r="M373" s="3" t="s">
        <v>31</v>
      </c>
      <c r="N373" s="3" t="s">
        <v>695</v>
      </c>
      <c r="O373" s="3" t="s">
        <v>125</v>
      </c>
      <c r="P373" s="3" t="s">
        <v>145</v>
      </c>
      <c r="Q373" s="3" t="s">
        <v>146</v>
      </c>
      <c r="R373" s="3" t="s">
        <v>128</v>
      </c>
      <c r="S373" s="3" t="s">
        <v>34</v>
      </c>
      <c r="T373" s="143">
        <v>2.4129999999999998</v>
      </c>
      <c r="U373" s="3" t="s">
        <v>900</v>
      </c>
      <c r="V373" s="155">
        <v>4.6800000000000001E-2</v>
      </c>
      <c r="W373" s="155">
        <v>4.5269999999999998E-2</v>
      </c>
      <c r="X373" s="5" t="s">
        <v>129</v>
      </c>
      <c r="Y373" s="5" t="s">
        <v>125</v>
      </c>
      <c r="Z373" s="143">
        <v>320387.65999999997</v>
      </c>
      <c r="AA373" s="153">
        <v>1</v>
      </c>
      <c r="AB373" s="163">
        <v>101.21</v>
      </c>
      <c r="AD373" s="143">
        <v>324.26400000000001</v>
      </c>
      <c r="AG373" s="3" t="s">
        <v>36</v>
      </c>
      <c r="AH373" s="155">
        <v>9.4399999999999996E-4</v>
      </c>
      <c r="AI373" s="155">
        <v>1.5648910923683401E-3</v>
      </c>
      <c r="AJ373" s="155">
        <v>2.7825057305542599E-4</v>
      </c>
    </row>
    <row r="374" spans="1:36">
      <c r="A374" s="3">
        <v>337</v>
      </c>
      <c r="B374" s="3">
        <v>9963</v>
      </c>
      <c r="C374" s="185" t="s">
        <v>424</v>
      </c>
      <c r="D374" s="3" t="s">
        <v>425</v>
      </c>
      <c r="E374" s="189" t="s">
        <v>118</v>
      </c>
      <c r="F374" s="185" t="s">
        <v>426</v>
      </c>
      <c r="G374" s="3" t="s">
        <v>427</v>
      </c>
      <c r="H374" s="3" t="s">
        <v>121</v>
      </c>
      <c r="I374" s="3" t="s">
        <v>132</v>
      </c>
      <c r="J374" s="3" t="s">
        <v>30</v>
      </c>
      <c r="K374" s="3" t="s">
        <v>30</v>
      </c>
      <c r="L374" s="3" t="s">
        <v>123</v>
      </c>
      <c r="M374" s="3" t="s">
        <v>31</v>
      </c>
      <c r="N374" s="3" t="s">
        <v>316</v>
      </c>
      <c r="O374" s="3" t="s">
        <v>125</v>
      </c>
      <c r="P374" s="3" t="s">
        <v>145</v>
      </c>
      <c r="Q374" s="3" t="s">
        <v>146</v>
      </c>
      <c r="R374" s="3" t="s">
        <v>128</v>
      </c>
      <c r="S374" s="3" t="s">
        <v>34</v>
      </c>
      <c r="T374" s="143">
        <v>3.3780000000000001</v>
      </c>
      <c r="U374" s="3" t="s">
        <v>428</v>
      </c>
      <c r="V374" s="155">
        <v>2.5899999999999999E-2</v>
      </c>
      <c r="W374" s="155">
        <v>2.3769999999999999E-2</v>
      </c>
      <c r="X374" s="5" t="s">
        <v>129</v>
      </c>
      <c r="Y374" s="5" t="s">
        <v>125</v>
      </c>
      <c r="Z374" s="143">
        <v>922000</v>
      </c>
      <c r="AA374" s="153">
        <v>1</v>
      </c>
      <c r="AB374" s="163">
        <v>108.83</v>
      </c>
      <c r="AD374" s="143">
        <v>1003.413</v>
      </c>
      <c r="AG374" s="3" t="s">
        <v>36</v>
      </c>
      <c r="AH374" s="155">
        <v>1.3500000000000001E-3</v>
      </c>
      <c r="AI374" s="155">
        <v>4.84244239734722E-3</v>
      </c>
      <c r="AJ374" s="155">
        <v>8.6102629034110997E-4</v>
      </c>
    </row>
    <row r="375" spans="1:36">
      <c r="A375" s="3">
        <v>337</v>
      </c>
      <c r="B375" s="3">
        <v>9963</v>
      </c>
      <c r="C375" s="185" t="s">
        <v>429</v>
      </c>
      <c r="D375" s="3" t="s">
        <v>430</v>
      </c>
      <c r="E375" s="189" t="s">
        <v>118</v>
      </c>
      <c r="F375" s="185" t="s">
        <v>431</v>
      </c>
      <c r="G375" s="3" t="s">
        <v>432</v>
      </c>
      <c r="H375" s="3" t="s">
        <v>121</v>
      </c>
      <c r="I375" s="3" t="s">
        <v>132</v>
      </c>
      <c r="J375" s="3" t="s">
        <v>30</v>
      </c>
      <c r="K375" s="3" t="s">
        <v>30</v>
      </c>
      <c r="L375" s="3" t="s">
        <v>123</v>
      </c>
      <c r="M375" s="3" t="s">
        <v>31</v>
      </c>
      <c r="N375" s="3" t="s">
        <v>171</v>
      </c>
      <c r="O375" s="3" t="s">
        <v>125</v>
      </c>
      <c r="P375" s="3" t="s">
        <v>178</v>
      </c>
      <c r="Q375" s="3" t="s">
        <v>178</v>
      </c>
      <c r="R375" s="3" t="s">
        <v>178</v>
      </c>
      <c r="S375" s="3" t="s">
        <v>34</v>
      </c>
      <c r="T375" s="143">
        <v>1.9019999999999999</v>
      </c>
      <c r="U375" s="3" t="s">
        <v>385</v>
      </c>
      <c r="V375" s="155">
        <v>4.4999999999999998E-2</v>
      </c>
      <c r="W375" s="155">
        <v>3.2640000000000002E-2</v>
      </c>
      <c r="X375" s="5" t="s">
        <v>129</v>
      </c>
      <c r="Y375" s="5" t="s">
        <v>125</v>
      </c>
      <c r="Z375" s="143">
        <v>1430124</v>
      </c>
      <c r="AA375" s="153">
        <v>1</v>
      </c>
      <c r="AB375" s="163">
        <v>108.81</v>
      </c>
      <c r="AD375" s="143">
        <v>1556.1179999999999</v>
      </c>
      <c r="AG375" s="3" t="s">
        <v>36</v>
      </c>
      <c r="AH375" s="155">
        <v>1.4599999999999999E-3</v>
      </c>
      <c r="AI375" s="155">
        <v>7.5097835251286601E-3</v>
      </c>
      <c r="AJ375" s="155">
        <v>1.33530159356125E-3</v>
      </c>
    </row>
    <row r="376" spans="1:36">
      <c r="A376" s="3">
        <v>337</v>
      </c>
      <c r="B376" s="3">
        <v>9963</v>
      </c>
      <c r="C376" s="185" t="s">
        <v>443</v>
      </c>
      <c r="D376" s="3" t="s">
        <v>444</v>
      </c>
      <c r="E376" s="189" t="s">
        <v>118</v>
      </c>
      <c r="F376" s="185" t="s">
        <v>445</v>
      </c>
      <c r="G376" s="3" t="s">
        <v>446</v>
      </c>
      <c r="H376" s="3" t="s">
        <v>121</v>
      </c>
      <c r="I376" s="3" t="s">
        <v>132</v>
      </c>
      <c r="J376" s="3" t="s">
        <v>30</v>
      </c>
      <c r="K376" s="3" t="s">
        <v>30</v>
      </c>
      <c r="L376" s="3" t="s">
        <v>123</v>
      </c>
      <c r="M376" s="3" t="s">
        <v>31</v>
      </c>
      <c r="N376" s="3" t="s">
        <v>171</v>
      </c>
      <c r="O376" s="3" t="s">
        <v>125</v>
      </c>
      <c r="P376" s="3" t="s">
        <v>165</v>
      </c>
      <c r="Q376" s="3" t="s">
        <v>146</v>
      </c>
      <c r="R376" s="3" t="s">
        <v>128</v>
      </c>
      <c r="S376" s="3" t="s">
        <v>34</v>
      </c>
      <c r="T376" s="143">
        <v>1.2669999999999999</v>
      </c>
      <c r="U376" s="3" t="s">
        <v>447</v>
      </c>
      <c r="V376" s="155">
        <v>1.5800000000000002E-2</v>
      </c>
      <c r="W376" s="155">
        <v>2.6530000000000001E-2</v>
      </c>
      <c r="X376" s="5" t="s">
        <v>129</v>
      </c>
      <c r="Y376" s="5" t="s">
        <v>125</v>
      </c>
      <c r="Z376" s="143">
        <v>737332.37</v>
      </c>
      <c r="AA376" s="153">
        <v>1</v>
      </c>
      <c r="AB376" s="163">
        <v>117.8</v>
      </c>
      <c r="AD376" s="143">
        <v>868.57799999999997</v>
      </c>
      <c r="AG376" s="3" t="s">
        <v>36</v>
      </c>
      <c r="AH376" s="155">
        <v>1.8730000000000001E-3</v>
      </c>
      <c r="AI376" s="155">
        <v>4.1917319611713697E-3</v>
      </c>
      <c r="AJ376" s="155">
        <v>7.4532459541673405E-4</v>
      </c>
    </row>
    <row r="377" spans="1:36">
      <c r="A377" s="3">
        <v>337</v>
      </c>
      <c r="B377" s="3">
        <v>9963</v>
      </c>
      <c r="C377" s="185" t="s">
        <v>443</v>
      </c>
      <c r="D377" s="3" t="s">
        <v>444</v>
      </c>
      <c r="E377" s="189" t="s">
        <v>118</v>
      </c>
      <c r="F377" s="185" t="s">
        <v>451</v>
      </c>
      <c r="G377" s="3" t="s">
        <v>452</v>
      </c>
      <c r="H377" s="3" t="s">
        <v>121</v>
      </c>
      <c r="I377" s="3" t="s">
        <v>132</v>
      </c>
      <c r="J377" s="3" t="s">
        <v>30</v>
      </c>
      <c r="K377" s="3" t="s">
        <v>30</v>
      </c>
      <c r="L377" s="3" t="s">
        <v>123</v>
      </c>
      <c r="M377" s="3" t="s">
        <v>31</v>
      </c>
      <c r="N377" s="3" t="s">
        <v>171</v>
      </c>
      <c r="O377" s="3" t="s">
        <v>125</v>
      </c>
      <c r="P377" s="3" t="s">
        <v>165</v>
      </c>
      <c r="Q377" s="3" t="s">
        <v>146</v>
      </c>
      <c r="R377" s="3" t="s">
        <v>128</v>
      </c>
      <c r="S377" s="3" t="s">
        <v>34</v>
      </c>
      <c r="T377" s="143">
        <v>3.9</v>
      </c>
      <c r="U377" s="3" t="s">
        <v>453</v>
      </c>
      <c r="V377" s="155">
        <v>8.3999999999999995E-3</v>
      </c>
      <c r="W377" s="155">
        <v>2.4899999999999999E-2</v>
      </c>
      <c r="X377" s="5" t="s">
        <v>129</v>
      </c>
      <c r="Y377" s="5" t="s">
        <v>125</v>
      </c>
      <c r="Z377" s="143">
        <v>1530962.33</v>
      </c>
      <c r="AA377" s="153">
        <v>1</v>
      </c>
      <c r="AB377" s="163">
        <v>110.04</v>
      </c>
      <c r="AD377" s="143">
        <v>1684.671</v>
      </c>
      <c r="AG377" s="3" t="s">
        <v>36</v>
      </c>
      <c r="AH377" s="155">
        <v>2.0699999999999998E-3</v>
      </c>
      <c r="AI377" s="155">
        <v>8.1301769818766904E-3</v>
      </c>
      <c r="AJ377" s="155">
        <v>1.4456126789152599E-3</v>
      </c>
    </row>
    <row r="378" spans="1:36">
      <c r="A378" s="3">
        <v>337</v>
      </c>
      <c r="B378" s="3">
        <v>9963</v>
      </c>
      <c r="C378" s="185" t="s">
        <v>811</v>
      </c>
      <c r="D378" s="3" t="s">
        <v>812</v>
      </c>
      <c r="E378" s="189" t="s">
        <v>118</v>
      </c>
      <c r="F378" s="185" t="s">
        <v>816</v>
      </c>
      <c r="G378" s="3" t="s">
        <v>817</v>
      </c>
      <c r="H378" s="3" t="s">
        <v>121</v>
      </c>
      <c r="I378" s="3" t="s">
        <v>122</v>
      </c>
      <c r="J378" s="3" t="s">
        <v>30</v>
      </c>
      <c r="K378" s="3" t="s">
        <v>30</v>
      </c>
      <c r="L378" s="3" t="s">
        <v>123</v>
      </c>
      <c r="M378" s="3" t="s">
        <v>31</v>
      </c>
      <c r="N378" s="3" t="s">
        <v>159</v>
      </c>
      <c r="O378" s="3" t="s">
        <v>125</v>
      </c>
      <c r="P378" s="3" t="s">
        <v>145</v>
      </c>
      <c r="Q378" s="3" t="s">
        <v>146</v>
      </c>
      <c r="R378" s="3" t="s">
        <v>128</v>
      </c>
      <c r="S378" s="3" t="s">
        <v>34</v>
      </c>
      <c r="T378" s="143">
        <v>4.3109999999999999</v>
      </c>
      <c r="U378" s="3" t="s">
        <v>818</v>
      </c>
      <c r="V378" s="155">
        <v>5.2499999999999998E-2</v>
      </c>
      <c r="W378" s="155">
        <v>4.2909999999999997E-2</v>
      </c>
      <c r="X378" s="5" t="s">
        <v>129</v>
      </c>
      <c r="Y378" s="5" t="s">
        <v>125</v>
      </c>
      <c r="Z378" s="143">
        <v>1393000</v>
      </c>
      <c r="AA378" s="153">
        <v>1</v>
      </c>
      <c r="AB378" s="163">
        <v>105.2</v>
      </c>
      <c r="AD378" s="143">
        <v>1465.4359999999999</v>
      </c>
      <c r="AG378" s="3" t="s">
        <v>36</v>
      </c>
      <c r="AH378" s="155">
        <v>1.639E-3</v>
      </c>
      <c r="AI378" s="155">
        <v>7.0721549809110596E-3</v>
      </c>
      <c r="AJ378" s="155">
        <v>1.2574876205584001E-3</v>
      </c>
    </row>
    <row r="379" spans="1:36">
      <c r="A379" s="3">
        <v>337</v>
      </c>
      <c r="B379" s="3">
        <v>9963</v>
      </c>
      <c r="C379" s="185" t="s">
        <v>454</v>
      </c>
      <c r="D379" s="3" t="s">
        <v>455</v>
      </c>
      <c r="E379" s="189" t="s">
        <v>118</v>
      </c>
      <c r="F379" s="185" t="s">
        <v>456</v>
      </c>
      <c r="G379" s="3" t="s">
        <v>457</v>
      </c>
      <c r="H379" s="3" t="s">
        <v>121</v>
      </c>
      <c r="I379" s="3" t="s">
        <v>122</v>
      </c>
      <c r="J379" s="3" t="s">
        <v>30</v>
      </c>
      <c r="K379" s="3" t="s">
        <v>30</v>
      </c>
      <c r="L379" s="3" t="s">
        <v>123</v>
      </c>
      <c r="M379" s="3" t="s">
        <v>31</v>
      </c>
      <c r="N379" s="3" t="s">
        <v>159</v>
      </c>
      <c r="O379" s="3" t="s">
        <v>125</v>
      </c>
      <c r="P379" s="3" t="s">
        <v>145</v>
      </c>
      <c r="Q379" s="3" t="s">
        <v>146</v>
      </c>
      <c r="R379" s="3" t="s">
        <v>128</v>
      </c>
      <c r="S379" s="3" t="s">
        <v>34</v>
      </c>
      <c r="T379" s="143">
        <v>8.2469999999999999</v>
      </c>
      <c r="U379" s="3" t="s">
        <v>458</v>
      </c>
      <c r="V379" s="155">
        <v>5.5100000000000003E-2</v>
      </c>
      <c r="W379" s="155">
        <v>4.7230000000000001E-2</v>
      </c>
      <c r="X379" s="5" t="s">
        <v>129</v>
      </c>
      <c r="Y379" s="5" t="s">
        <v>125</v>
      </c>
      <c r="Z379" s="143">
        <v>1995000</v>
      </c>
      <c r="AA379" s="153">
        <v>1</v>
      </c>
      <c r="AB379" s="163">
        <v>108.41</v>
      </c>
      <c r="AD379" s="143">
        <v>2162.7800000000002</v>
      </c>
      <c r="AG379" s="3" t="s">
        <v>36</v>
      </c>
      <c r="AH379" s="155">
        <v>3.9899999999999996E-3</v>
      </c>
      <c r="AI379" s="155">
        <v>1.0437516079540399E-2</v>
      </c>
      <c r="AJ379" s="155">
        <v>1.8558766450718299E-3</v>
      </c>
    </row>
    <row r="380" spans="1:36">
      <c r="A380" s="3">
        <v>337</v>
      </c>
      <c r="B380" s="3">
        <v>9963</v>
      </c>
      <c r="C380" s="185" t="s">
        <v>459</v>
      </c>
      <c r="D380" s="3" t="s">
        <v>460</v>
      </c>
      <c r="E380" s="189" t="s">
        <v>118</v>
      </c>
      <c r="F380" s="185" t="s">
        <v>461</v>
      </c>
      <c r="G380" s="3" t="s">
        <v>462</v>
      </c>
      <c r="H380" s="3" t="s">
        <v>121</v>
      </c>
      <c r="I380" s="3" t="s">
        <v>132</v>
      </c>
      <c r="J380" s="3" t="s">
        <v>30</v>
      </c>
      <c r="K380" s="3" t="s">
        <v>30</v>
      </c>
      <c r="L380" s="3" t="s">
        <v>123</v>
      </c>
      <c r="M380" s="3" t="s">
        <v>31</v>
      </c>
      <c r="N380" s="3" t="s">
        <v>316</v>
      </c>
      <c r="O380" s="3" t="s">
        <v>125</v>
      </c>
      <c r="P380" s="3" t="s">
        <v>357</v>
      </c>
      <c r="Q380" s="3" t="s">
        <v>146</v>
      </c>
      <c r="R380" s="3" t="s">
        <v>128</v>
      </c>
      <c r="S380" s="3" t="s">
        <v>34</v>
      </c>
      <c r="T380" s="143">
        <v>1.8580000000000001</v>
      </c>
      <c r="U380" s="3" t="s">
        <v>52</v>
      </c>
      <c r="V380" s="155">
        <v>1.8599999999999998E-2</v>
      </c>
      <c r="W380" s="155">
        <v>2.3609999999999999E-2</v>
      </c>
      <c r="X380" s="5" t="s">
        <v>129</v>
      </c>
      <c r="Y380" s="5" t="s">
        <v>125</v>
      </c>
      <c r="Z380" s="143">
        <v>1197600</v>
      </c>
      <c r="AA380" s="153">
        <v>1</v>
      </c>
      <c r="AB380" s="163">
        <v>105.58</v>
      </c>
      <c r="AD380" s="143">
        <v>1264.4259999999999</v>
      </c>
      <c r="AG380" s="3" t="s">
        <v>36</v>
      </c>
      <c r="AH380" s="155">
        <v>4.6900000000000002E-4</v>
      </c>
      <c r="AI380" s="155">
        <v>6.1020864777894396E-3</v>
      </c>
      <c r="AJ380" s="155">
        <v>1.0850014212228901E-3</v>
      </c>
    </row>
    <row r="381" spans="1:36">
      <c r="A381" s="3">
        <v>337</v>
      </c>
      <c r="B381" s="3">
        <v>9963</v>
      </c>
      <c r="C381" s="185" t="s">
        <v>459</v>
      </c>
      <c r="D381" s="3" t="s">
        <v>460</v>
      </c>
      <c r="E381" s="189" t="s">
        <v>118</v>
      </c>
      <c r="F381" s="185" t="s">
        <v>463</v>
      </c>
      <c r="G381" s="3" t="s">
        <v>464</v>
      </c>
      <c r="H381" s="3" t="s">
        <v>121</v>
      </c>
      <c r="I381" s="3" t="s">
        <v>132</v>
      </c>
      <c r="J381" s="3" t="s">
        <v>30</v>
      </c>
      <c r="K381" s="3" t="s">
        <v>30</v>
      </c>
      <c r="L381" s="3" t="s">
        <v>123</v>
      </c>
      <c r="M381" s="3" t="s">
        <v>31</v>
      </c>
      <c r="N381" s="3" t="s">
        <v>316</v>
      </c>
      <c r="O381" s="3" t="s">
        <v>125</v>
      </c>
      <c r="P381" s="3" t="s">
        <v>357</v>
      </c>
      <c r="Q381" s="3" t="s">
        <v>146</v>
      </c>
      <c r="R381" s="3" t="s">
        <v>128</v>
      </c>
      <c r="S381" s="3" t="s">
        <v>34</v>
      </c>
      <c r="T381" s="143">
        <v>1.8979999999999999</v>
      </c>
      <c r="U381" s="3" t="s">
        <v>465</v>
      </c>
      <c r="V381" s="155">
        <v>1E-3</v>
      </c>
      <c r="W381" s="155">
        <v>2.3199999999999998E-2</v>
      </c>
      <c r="X381" s="5" t="s">
        <v>129</v>
      </c>
      <c r="Y381" s="5" t="s">
        <v>125</v>
      </c>
      <c r="Z381" s="143">
        <v>6982103</v>
      </c>
      <c r="AA381" s="153">
        <v>1</v>
      </c>
      <c r="AB381" s="163">
        <v>110.39</v>
      </c>
      <c r="AD381" s="143">
        <v>7707.5439999999999</v>
      </c>
      <c r="AG381" s="3" t="s">
        <v>36</v>
      </c>
      <c r="AH381" s="155">
        <v>2.2260000000000001E-3</v>
      </c>
      <c r="AI381" s="155">
        <v>3.7196399000799997E-2</v>
      </c>
      <c r="AJ381" s="155">
        <v>6.61382724206521E-3</v>
      </c>
    </row>
    <row r="382" spans="1:36">
      <c r="A382" s="3">
        <v>337</v>
      </c>
      <c r="B382" s="3">
        <v>9963</v>
      </c>
      <c r="C382" s="185" t="s">
        <v>459</v>
      </c>
      <c r="D382" s="3" t="s">
        <v>460</v>
      </c>
      <c r="E382" s="189" t="s">
        <v>118</v>
      </c>
      <c r="F382" s="185" t="s">
        <v>821</v>
      </c>
      <c r="G382" s="3" t="s">
        <v>822</v>
      </c>
      <c r="H382" s="3" t="s">
        <v>121</v>
      </c>
      <c r="I382" s="3" t="s">
        <v>132</v>
      </c>
      <c r="J382" s="3" t="s">
        <v>30</v>
      </c>
      <c r="K382" s="3" t="s">
        <v>30</v>
      </c>
      <c r="L382" s="3" t="s">
        <v>123</v>
      </c>
      <c r="M382" s="3" t="s">
        <v>31</v>
      </c>
      <c r="N382" s="3" t="s">
        <v>316</v>
      </c>
      <c r="O382" s="3" t="s">
        <v>125</v>
      </c>
      <c r="P382" s="3" t="s">
        <v>357</v>
      </c>
      <c r="Q382" s="3" t="s">
        <v>146</v>
      </c>
      <c r="R382" s="3" t="s">
        <v>128</v>
      </c>
      <c r="S382" s="3" t="s">
        <v>34</v>
      </c>
      <c r="T382" s="143">
        <v>3.9510000000000001</v>
      </c>
      <c r="U382" s="3" t="s">
        <v>823</v>
      </c>
      <c r="V382" s="155">
        <v>2.0199999999999999E-2</v>
      </c>
      <c r="W382" s="155">
        <v>2.1909999999999999E-2</v>
      </c>
      <c r="X382" s="5" t="s">
        <v>129</v>
      </c>
      <c r="Y382" s="5" t="s">
        <v>125</v>
      </c>
      <c r="Z382" s="143">
        <v>3497000</v>
      </c>
      <c r="AA382" s="153">
        <v>1</v>
      </c>
      <c r="AB382" s="163">
        <v>105.39</v>
      </c>
      <c r="AD382" s="143">
        <v>3685.4879999999998</v>
      </c>
      <c r="AG382" s="3" t="s">
        <v>36</v>
      </c>
      <c r="AH382" s="155">
        <v>9.7999999999999997E-4</v>
      </c>
      <c r="AI382" s="155">
        <v>1.7786068062975401E-2</v>
      </c>
      <c r="AJ382" s="155">
        <v>3.1625099376314E-3</v>
      </c>
    </row>
    <row r="383" spans="1:36">
      <c r="A383" s="3">
        <v>337</v>
      </c>
      <c r="B383" s="3">
        <v>9963</v>
      </c>
      <c r="C383" s="185" t="s">
        <v>459</v>
      </c>
      <c r="D383" s="3" t="s">
        <v>460</v>
      </c>
      <c r="E383" s="189" t="s">
        <v>118</v>
      </c>
      <c r="F383" s="185" t="s">
        <v>824</v>
      </c>
      <c r="G383" s="3" t="s">
        <v>825</v>
      </c>
      <c r="H383" s="3" t="s">
        <v>121</v>
      </c>
      <c r="I383" s="3" t="s">
        <v>132</v>
      </c>
      <c r="J383" s="3" t="s">
        <v>30</v>
      </c>
      <c r="K383" s="3" t="s">
        <v>30</v>
      </c>
      <c r="L383" s="3" t="s">
        <v>123</v>
      </c>
      <c r="M383" s="3" t="s">
        <v>31</v>
      </c>
      <c r="N383" s="3" t="s">
        <v>316</v>
      </c>
      <c r="O383" s="3" t="s">
        <v>125</v>
      </c>
      <c r="P383" s="3" t="s">
        <v>357</v>
      </c>
      <c r="Q383" s="3" t="s">
        <v>146</v>
      </c>
      <c r="R383" s="3" t="s">
        <v>128</v>
      </c>
      <c r="S383" s="3" t="s">
        <v>34</v>
      </c>
      <c r="T383" s="143">
        <v>3.895</v>
      </c>
      <c r="U383" s="3" t="s">
        <v>826</v>
      </c>
      <c r="V383" s="155">
        <v>1E-3</v>
      </c>
      <c r="W383" s="155">
        <v>2.1850000000000001E-2</v>
      </c>
      <c r="X383" s="5" t="s">
        <v>129</v>
      </c>
      <c r="Y383" s="5" t="s">
        <v>125</v>
      </c>
      <c r="Z383" s="143">
        <v>604000</v>
      </c>
      <c r="AA383" s="153">
        <v>1</v>
      </c>
      <c r="AB383" s="163">
        <v>106.2</v>
      </c>
      <c r="AD383" s="143">
        <v>641.44799999999998</v>
      </c>
      <c r="AG383" s="3" t="s">
        <v>36</v>
      </c>
      <c r="AH383" s="155">
        <v>1.4100000000000001E-4</v>
      </c>
      <c r="AI383" s="155">
        <v>3.09561090910516E-3</v>
      </c>
      <c r="AJ383" s="155">
        <v>5.5042521081230598E-4</v>
      </c>
    </row>
    <row r="384" spans="1:36">
      <c r="A384" s="3">
        <v>337</v>
      </c>
      <c r="B384" s="3">
        <v>9963</v>
      </c>
      <c r="C384" s="185" t="s">
        <v>459</v>
      </c>
      <c r="D384" s="3" t="s">
        <v>460</v>
      </c>
      <c r="E384" s="189" t="s">
        <v>118</v>
      </c>
      <c r="F384" s="185" t="s">
        <v>466</v>
      </c>
      <c r="G384" s="3" t="s">
        <v>467</v>
      </c>
      <c r="H384" s="3" t="s">
        <v>121</v>
      </c>
      <c r="I384" s="3" t="s">
        <v>132</v>
      </c>
      <c r="J384" s="3" t="s">
        <v>30</v>
      </c>
      <c r="K384" s="3" t="s">
        <v>30</v>
      </c>
      <c r="L384" s="3" t="s">
        <v>123</v>
      </c>
      <c r="M384" s="3" t="s">
        <v>31</v>
      </c>
      <c r="N384" s="3" t="s">
        <v>316</v>
      </c>
      <c r="O384" s="3" t="s">
        <v>125</v>
      </c>
      <c r="P384" s="3" t="s">
        <v>145</v>
      </c>
      <c r="Q384" s="3" t="s">
        <v>146</v>
      </c>
      <c r="R384" s="3" t="s">
        <v>128</v>
      </c>
      <c r="S384" s="3" t="s">
        <v>34</v>
      </c>
      <c r="T384" s="143">
        <v>2.1909999999999998</v>
      </c>
      <c r="U384" s="3" t="s">
        <v>468</v>
      </c>
      <c r="V384" s="155">
        <v>1.4999999999999999E-2</v>
      </c>
      <c r="W384" s="155">
        <v>2.726E-2</v>
      </c>
      <c r="X384" s="5" t="s">
        <v>129</v>
      </c>
      <c r="Y384" s="5" t="s">
        <v>125</v>
      </c>
      <c r="Z384" s="143">
        <v>2000000</v>
      </c>
      <c r="AA384" s="153">
        <v>1</v>
      </c>
      <c r="AB384" s="163">
        <v>112.16</v>
      </c>
      <c r="AD384" s="143">
        <v>2243.1999999999998</v>
      </c>
      <c r="AG384" s="3" t="s">
        <v>36</v>
      </c>
      <c r="AH384" s="155">
        <v>1.4250000000000001E-3</v>
      </c>
      <c r="AI384" s="155">
        <v>1.08256232637793E-2</v>
      </c>
      <c r="AJ384" s="155">
        <v>1.9248853108812601E-3</v>
      </c>
    </row>
    <row r="385" spans="1:36">
      <c r="A385" s="3">
        <v>337</v>
      </c>
      <c r="B385" s="3">
        <v>9963</v>
      </c>
      <c r="C385" s="185" t="s">
        <v>459</v>
      </c>
      <c r="D385" s="3" t="s">
        <v>460</v>
      </c>
      <c r="E385" s="189" t="s">
        <v>118</v>
      </c>
      <c r="F385" s="185" t="s">
        <v>469</v>
      </c>
      <c r="G385" s="3" t="s">
        <v>470</v>
      </c>
      <c r="H385" s="3" t="s">
        <v>121</v>
      </c>
      <c r="I385" s="3" t="s">
        <v>132</v>
      </c>
      <c r="J385" s="3" t="s">
        <v>30</v>
      </c>
      <c r="K385" s="3" t="s">
        <v>30</v>
      </c>
      <c r="L385" s="3" t="s">
        <v>123</v>
      </c>
      <c r="M385" s="3" t="s">
        <v>31</v>
      </c>
      <c r="N385" s="3" t="s">
        <v>316</v>
      </c>
      <c r="O385" s="3" t="s">
        <v>125</v>
      </c>
      <c r="P385" s="3" t="s">
        <v>145</v>
      </c>
      <c r="Q385" s="3" t="s">
        <v>146</v>
      </c>
      <c r="R385" s="3" t="s">
        <v>128</v>
      </c>
      <c r="S385" s="3" t="s">
        <v>34</v>
      </c>
      <c r="T385" s="143">
        <v>4.7350000000000003</v>
      </c>
      <c r="U385" s="3" t="s">
        <v>471</v>
      </c>
      <c r="V385" s="155">
        <v>3.1E-2</v>
      </c>
      <c r="W385" s="155">
        <v>2.6349999999999998E-2</v>
      </c>
      <c r="X385" s="5" t="s">
        <v>129</v>
      </c>
      <c r="Y385" s="5" t="s">
        <v>125</v>
      </c>
      <c r="Z385" s="143">
        <v>2000000</v>
      </c>
      <c r="AA385" s="153">
        <v>1</v>
      </c>
      <c r="AB385" s="163">
        <v>107.58</v>
      </c>
      <c r="AD385" s="143">
        <v>2151.6</v>
      </c>
      <c r="AG385" s="3" t="s">
        <v>36</v>
      </c>
      <c r="AH385" s="155">
        <v>1.3029999999999999E-3</v>
      </c>
      <c r="AI385" s="155">
        <v>1.0383564111246199E-2</v>
      </c>
      <c r="AJ385" s="155">
        <v>1.84628353909242E-3</v>
      </c>
    </row>
    <row r="386" spans="1:36">
      <c r="A386" s="3">
        <v>337</v>
      </c>
      <c r="B386" s="3">
        <v>9963</v>
      </c>
      <c r="C386" s="185" t="s">
        <v>472</v>
      </c>
      <c r="D386" s="3" t="s">
        <v>473</v>
      </c>
      <c r="E386" s="189" t="s">
        <v>118</v>
      </c>
      <c r="F386" s="185" t="s">
        <v>474</v>
      </c>
      <c r="G386" s="3" t="s">
        <v>475</v>
      </c>
      <c r="H386" s="3" t="s">
        <v>121</v>
      </c>
      <c r="I386" s="3" t="s">
        <v>122</v>
      </c>
      <c r="J386" s="3" t="s">
        <v>30</v>
      </c>
      <c r="K386" s="3" t="s">
        <v>30</v>
      </c>
      <c r="L386" s="3" t="s">
        <v>123</v>
      </c>
      <c r="M386" s="3" t="s">
        <v>31</v>
      </c>
      <c r="N386" s="3" t="s">
        <v>124</v>
      </c>
      <c r="O386" s="3" t="s">
        <v>125</v>
      </c>
      <c r="P386" s="3" t="s">
        <v>178</v>
      </c>
      <c r="Q386" s="3" t="s">
        <v>178</v>
      </c>
      <c r="R386" s="3" t="s">
        <v>178</v>
      </c>
      <c r="S386" s="3" t="s">
        <v>34</v>
      </c>
      <c r="T386" s="143">
        <v>2.4369999999999998</v>
      </c>
      <c r="U386" s="3" t="s">
        <v>476</v>
      </c>
      <c r="V386" s="155">
        <v>8.1500000000000003E-2</v>
      </c>
      <c r="W386" s="155">
        <v>5.8470000000000001E-2</v>
      </c>
      <c r="X386" s="5" t="s">
        <v>129</v>
      </c>
      <c r="Y386" s="5" t="s">
        <v>125</v>
      </c>
      <c r="Z386" s="143">
        <v>1000000</v>
      </c>
      <c r="AA386" s="153">
        <v>1</v>
      </c>
      <c r="AB386" s="163">
        <v>108</v>
      </c>
      <c r="AD386" s="143">
        <v>1080</v>
      </c>
      <c r="AG386" s="3" t="s">
        <v>36</v>
      </c>
      <c r="AH386" s="155">
        <v>3.6359999999999999E-3</v>
      </c>
      <c r="AI386" s="155">
        <v>5.21205114340302E-3</v>
      </c>
      <c r="AJ386" s="155">
        <v>9.2674578091644303E-4</v>
      </c>
    </row>
    <row r="387" spans="1:36">
      <c r="A387" s="3">
        <v>337</v>
      </c>
      <c r="B387" s="3">
        <v>9963</v>
      </c>
      <c r="C387" s="185" t="s">
        <v>477</v>
      </c>
      <c r="D387" s="3" t="s">
        <v>478</v>
      </c>
      <c r="E387" s="189" t="s">
        <v>118</v>
      </c>
      <c r="F387" s="185" t="s">
        <v>479</v>
      </c>
      <c r="G387" s="3" t="s">
        <v>480</v>
      </c>
      <c r="H387" s="3" t="s">
        <v>121</v>
      </c>
      <c r="I387" s="3" t="s">
        <v>122</v>
      </c>
      <c r="J387" s="3" t="s">
        <v>30</v>
      </c>
      <c r="K387" s="3" t="s">
        <v>30</v>
      </c>
      <c r="L387" s="3" t="s">
        <v>123</v>
      </c>
      <c r="M387" s="3" t="s">
        <v>31</v>
      </c>
      <c r="N387" s="3" t="s">
        <v>139</v>
      </c>
      <c r="O387" s="3" t="s">
        <v>125</v>
      </c>
      <c r="P387" s="3" t="s">
        <v>153</v>
      </c>
      <c r="Q387" s="3" t="s">
        <v>146</v>
      </c>
      <c r="R387" s="3" t="s">
        <v>128</v>
      </c>
      <c r="S387" s="3" t="s">
        <v>34</v>
      </c>
      <c r="T387" s="143">
        <v>3.766</v>
      </c>
      <c r="U387" s="3" t="s">
        <v>481</v>
      </c>
      <c r="V387" s="155">
        <v>7.0699999999999999E-2</v>
      </c>
      <c r="W387" s="155">
        <v>6.3229999999999995E-2</v>
      </c>
      <c r="X387" s="5" t="s">
        <v>129</v>
      </c>
      <c r="Y387" s="5" t="s">
        <v>125</v>
      </c>
      <c r="Z387" s="143">
        <v>1458000</v>
      </c>
      <c r="AA387" s="153">
        <v>1</v>
      </c>
      <c r="AB387" s="163">
        <v>104.35</v>
      </c>
      <c r="AD387" s="143">
        <v>1521.423</v>
      </c>
      <c r="AG387" s="3" t="s">
        <v>36</v>
      </c>
      <c r="AH387" s="155">
        <v>1.4580000000000001E-3</v>
      </c>
      <c r="AI387" s="155">
        <v>7.3423467469904101E-3</v>
      </c>
      <c r="AJ387" s="155">
        <v>1.3055299502215199E-3</v>
      </c>
    </row>
    <row r="388" spans="1:36">
      <c r="A388" s="3">
        <v>337</v>
      </c>
      <c r="B388" s="3">
        <v>9963</v>
      </c>
      <c r="C388" s="185" t="s">
        <v>482</v>
      </c>
      <c r="D388" s="3" t="s">
        <v>483</v>
      </c>
      <c r="E388" s="189" t="s">
        <v>118</v>
      </c>
      <c r="F388" s="185" t="s">
        <v>487</v>
      </c>
      <c r="G388" s="3" t="s">
        <v>488</v>
      </c>
      <c r="H388" s="3" t="s">
        <v>121</v>
      </c>
      <c r="I388" s="3" t="s">
        <v>132</v>
      </c>
      <c r="J388" s="3" t="s">
        <v>30</v>
      </c>
      <c r="K388" s="3" t="s">
        <v>30</v>
      </c>
      <c r="L388" s="3" t="s">
        <v>123</v>
      </c>
      <c r="M388" s="3" t="s">
        <v>31</v>
      </c>
      <c r="N388" s="3" t="s">
        <v>171</v>
      </c>
      <c r="O388" s="3" t="s">
        <v>125</v>
      </c>
      <c r="P388" s="3" t="s">
        <v>165</v>
      </c>
      <c r="Q388" s="3" t="s">
        <v>146</v>
      </c>
      <c r="R388" s="3" t="s">
        <v>128</v>
      </c>
      <c r="S388" s="3" t="s">
        <v>34</v>
      </c>
      <c r="T388" s="143">
        <v>2.6659999999999999</v>
      </c>
      <c r="U388" s="3" t="s">
        <v>489</v>
      </c>
      <c r="V388" s="155">
        <v>2.81E-2</v>
      </c>
      <c r="W388" s="155">
        <v>2.5430000000000001E-2</v>
      </c>
      <c r="X388" s="5" t="s">
        <v>129</v>
      </c>
      <c r="Y388" s="5" t="s">
        <v>125</v>
      </c>
      <c r="Z388" s="143">
        <v>2340000</v>
      </c>
      <c r="AA388" s="153">
        <v>1</v>
      </c>
      <c r="AB388" s="163">
        <v>120.26</v>
      </c>
      <c r="AD388" s="143">
        <v>2814.0839999999998</v>
      </c>
      <c r="AG388" s="3" t="s">
        <v>36</v>
      </c>
      <c r="AH388" s="155">
        <v>1.9610000000000001E-3</v>
      </c>
      <c r="AI388" s="155">
        <v>1.3580694194289001E-2</v>
      </c>
      <c r="AJ388" s="155">
        <v>2.41475969828191E-3</v>
      </c>
    </row>
    <row r="389" spans="1:36">
      <c r="A389" s="3">
        <v>337</v>
      </c>
      <c r="B389" s="3">
        <v>9963</v>
      </c>
      <c r="C389" s="185" t="s">
        <v>482</v>
      </c>
      <c r="D389" s="3" t="s">
        <v>483</v>
      </c>
      <c r="E389" s="189" t="s">
        <v>118</v>
      </c>
      <c r="F389" s="185" t="s">
        <v>837</v>
      </c>
      <c r="G389" s="3" t="s">
        <v>838</v>
      </c>
      <c r="H389" s="3" t="s">
        <v>121</v>
      </c>
      <c r="I389" s="3" t="s">
        <v>132</v>
      </c>
      <c r="J389" s="3" t="s">
        <v>30</v>
      </c>
      <c r="K389" s="3" t="s">
        <v>30</v>
      </c>
      <c r="L389" s="3" t="s">
        <v>123</v>
      </c>
      <c r="M389" s="3" t="s">
        <v>31</v>
      </c>
      <c r="N389" s="3" t="s">
        <v>171</v>
      </c>
      <c r="O389" s="3" t="s">
        <v>125</v>
      </c>
      <c r="P389" s="3" t="s">
        <v>165</v>
      </c>
      <c r="Q389" s="3" t="s">
        <v>146</v>
      </c>
      <c r="R389" s="3" t="s">
        <v>128</v>
      </c>
      <c r="S389" s="3" t="s">
        <v>34</v>
      </c>
      <c r="T389" s="143">
        <v>1.4630000000000001</v>
      </c>
      <c r="U389" s="3" t="s">
        <v>179</v>
      </c>
      <c r="V389" s="155">
        <v>3.6999999999999998E-2</v>
      </c>
      <c r="W389" s="155">
        <v>2.5409999999999999E-2</v>
      </c>
      <c r="X389" s="5" t="s">
        <v>129</v>
      </c>
      <c r="Y389" s="5" t="s">
        <v>125</v>
      </c>
      <c r="Z389" s="143">
        <v>360000.55</v>
      </c>
      <c r="AA389" s="153">
        <v>1</v>
      </c>
      <c r="AB389" s="163">
        <v>120.09</v>
      </c>
      <c r="AD389" s="143">
        <v>432.32499999999999</v>
      </c>
      <c r="AG389" s="3" t="s">
        <v>36</v>
      </c>
      <c r="AH389" s="155">
        <v>1.596E-3</v>
      </c>
      <c r="AI389" s="155">
        <v>2.0863872602354498E-3</v>
      </c>
      <c r="AJ389" s="155">
        <v>3.7097690287025498E-4</v>
      </c>
    </row>
    <row r="390" spans="1:36">
      <c r="A390" s="3">
        <v>337</v>
      </c>
      <c r="B390" s="3">
        <v>9963</v>
      </c>
      <c r="C390" s="185" t="s">
        <v>490</v>
      </c>
      <c r="D390" s="3" t="s">
        <v>491</v>
      </c>
      <c r="E390" s="189" t="s">
        <v>118</v>
      </c>
      <c r="F390" s="185" t="s">
        <v>492</v>
      </c>
      <c r="G390" s="3" t="s">
        <v>493</v>
      </c>
      <c r="H390" s="3" t="s">
        <v>121</v>
      </c>
      <c r="I390" s="3" t="s">
        <v>122</v>
      </c>
      <c r="J390" s="3" t="s">
        <v>30</v>
      </c>
      <c r="K390" s="3" t="s">
        <v>30</v>
      </c>
      <c r="L390" s="3" t="s">
        <v>123</v>
      </c>
      <c r="M390" s="3" t="s">
        <v>31</v>
      </c>
      <c r="N390" s="3" t="s">
        <v>159</v>
      </c>
      <c r="O390" s="3" t="s">
        <v>125</v>
      </c>
      <c r="P390" s="3" t="s">
        <v>422</v>
      </c>
      <c r="Q390" s="3" t="s">
        <v>127</v>
      </c>
      <c r="R390" s="3" t="s">
        <v>128</v>
      </c>
      <c r="S390" s="3" t="s">
        <v>34</v>
      </c>
      <c r="T390" s="143">
        <v>7.3789999999999996</v>
      </c>
      <c r="U390" s="3" t="s">
        <v>494</v>
      </c>
      <c r="V390" s="155">
        <v>5.0200000000000002E-2</v>
      </c>
      <c r="W390" s="155">
        <v>4.6769999999999999E-2</v>
      </c>
      <c r="X390" s="5" t="s">
        <v>129</v>
      </c>
      <c r="Y390" s="5" t="s">
        <v>125</v>
      </c>
      <c r="Z390" s="143">
        <v>1000000</v>
      </c>
      <c r="AA390" s="153">
        <v>1</v>
      </c>
      <c r="AB390" s="163">
        <v>102.89</v>
      </c>
      <c r="AD390" s="143">
        <v>1028.9000000000001</v>
      </c>
      <c r="AG390" s="3" t="s">
        <v>36</v>
      </c>
      <c r="AH390" s="155">
        <v>3.5739999999999999E-3</v>
      </c>
      <c r="AI390" s="155">
        <v>4.9654439087475598E-3</v>
      </c>
      <c r="AJ390" s="155">
        <v>8.8289697591197101E-4</v>
      </c>
    </row>
    <row r="391" spans="1:36">
      <c r="A391" s="3">
        <v>337</v>
      </c>
      <c r="B391" s="3">
        <v>9963</v>
      </c>
      <c r="C391" s="185" t="s">
        <v>490</v>
      </c>
      <c r="D391" s="3" t="s">
        <v>491</v>
      </c>
      <c r="E391" s="189" t="s">
        <v>118</v>
      </c>
      <c r="F391" s="185" t="s">
        <v>495</v>
      </c>
      <c r="G391" s="3" t="s">
        <v>496</v>
      </c>
      <c r="H391" s="3" t="s">
        <v>121</v>
      </c>
      <c r="I391" s="3" t="s">
        <v>122</v>
      </c>
      <c r="J391" s="3" t="s">
        <v>30</v>
      </c>
      <c r="K391" s="3" t="s">
        <v>30</v>
      </c>
      <c r="L391" s="3" t="s">
        <v>123</v>
      </c>
      <c r="M391" s="3" t="s">
        <v>31</v>
      </c>
      <c r="N391" s="3" t="s">
        <v>159</v>
      </c>
      <c r="O391" s="3" t="s">
        <v>125</v>
      </c>
      <c r="P391" s="3" t="s">
        <v>422</v>
      </c>
      <c r="Q391" s="3" t="s">
        <v>127</v>
      </c>
      <c r="R391" s="3" t="s">
        <v>128</v>
      </c>
      <c r="S391" s="3" t="s">
        <v>34</v>
      </c>
      <c r="T391" s="143">
        <v>8.0139999999999993</v>
      </c>
      <c r="U391" s="3" t="s">
        <v>497</v>
      </c>
      <c r="V391" s="155">
        <v>5.0200000000000002E-2</v>
      </c>
      <c r="W391" s="155">
        <v>4.7440000000000003E-2</v>
      </c>
      <c r="X391" s="5" t="s">
        <v>129</v>
      </c>
      <c r="Y391" s="5" t="s">
        <v>125</v>
      </c>
      <c r="Z391" s="143">
        <v>1000000</v>
      </c>
      <c r="AA391" s="153">
        <v>1</v>
      </c>
      <c r="AB391" s="163">
        <v>102.61</v>
      </c>
      <c r="AD391" s="143">
        <v>1026.0999999999999</v>
      </c>
      <c r="AG391" s="3" t="s">
        <v>36</v>
      </c>
      <c r="AH391" s="155">
        <v>3.5739999999999999E-3</v>
      </c>
      <c r="AI391" s="155">
        <v>4.9519311835609604E-3</v>
      </c>
      <c r="AJ391" s="155">
        <v>8.8049430166515E-4</v>
      </c>
    </row>
    <row r="392" spans="1:36">
      <c r="A392" s="3">
        <v>337</v>
      </c>
      <c r="B392" s="3">
        <v>9963</v>
      </c>
      <c r="C392" s="185" t="s">
        <v>502</v>
      </c>
      <c r="D392" s="3" t="s">
        <v>503</v>
      </c>
      <c r="E392" s="189" t="s">
        <v>118</v>
      </c>
      <c r="F392" s="185" t="s">
        <v>901</v>
      </c>
      <c r="G392" s="3" t="s">
        <v>902</v>
      </c>
      <c r="H392" s="3" t="s">
        <v>121</v>
      </c>
      <c r="I392" s="3" t="s">
        <v>132</v>
      </c>
      <c r="J392" s="3" t="s">
        <v>30</v>
      </c>
      <c r="K392" s="3" t="s">
        <v>30</v>
      </c>
      <c r="L392" s="3" t="s">
        <v>123</v>
      </c>
      <c r="M392" s="3" t="s">
        <v>31</v>
      </c>
      <c r="N392" s="3" t="s">
        <v>171</v>
      </c>
      <c r="O392" s="3" t="s">
        <v>125</v>
      </c>
      <c r="P392" s="3" t="s">
        <v>145</v>
      </c>
      <c r="Q392" s="3" t="s">
        <v>146</v>
      </c>
      <c r="R392" s="3" t="s">
        <v>128</v>
      </c>
      <c r="S392" s="3" t="s">
        <v>34</v>
      </c>
      <c r="T392" s="143">
        <v>0.9</v>
      </c>
      <c r="U392" s="3" t="s">
        <v>46</v>
      </c>
      <c r="V392" s="155">
        <v>1.4E-2</v>
      </c>
      <c r="W392" s="155">
        <v>3.057E-2</v>
      </c>
      <c r="X392" s="5" t="s">
        <v>129</v>
      </c>
      <c r="Y392" s="5" t="s">
        <v>125</v>
      </c>
      <c r="Z392" s="143">
        <v>528133.80000000005</v>
      </c>
      <c r="AA392" s="153">
        <v>1</v>
      </c>
      <c r="AB392" s="163">
        <v>117.24</v>
      </c>
      <c r="AD392" s="143">
        <v>619.18399999999997</v>
      </c>
      <c r="AG392" s="3" t="s">
        <v>36</v>
      </c>
      <c r="AH392" s="155">
        <v>8.7299999999999997E-4</v>
      </c>
      <c r="AI392" s="155">
        <v>2.9881657638978899E-3</v>
      </c>
      <c r="AJ392" s="155">
        <v>5.3132057575383702E-4</v>
      </c>
    </row>
    <row r="393" spans="1:36">
      <c r="A393" s="3">
        <v>337</v>
      </c>
      <c r="B393" s="3">
        <v>9963</v>
      </c>
      <c r="C393" s="185" t="s">
        <v>502</v>
      </c>
      <c r="D393" s="3" t="s">
        <v>503</v>
      </c>
      <c r="E393" s="189" t="s">
        <v>118</v>
      </c>
      <c r="F393" s="185" t="s">
        <v>504</v>
      </c>
      <c r="G393" s="3" t="s">
        <v>505</v>
      </c>
      <c r="H393" s="3" t="s">
        <v>121</v>
      </c>
      <c r="I393" s="3" t="s">
        <v>132</v>
      </c>
      <c r="J393" s="3" t="s">
        <v>30</v>
      </c>
      <c r="K393" s="3" t="s">
        <v>30</v>
      </c>
      <c r="L393" s="3" t="s">
        <v>123</v>
      </c>
      <c r="M393" s="3" t="s">
        <v>31</v>
      </c>
      <c r="N393" s="3" t="s">
        <v>171</v>
      </c>
      <c r="O393" s="3" t="s">
        <v>125</v>
      </c>
      <c r="P393" s="3" t="s">
        <v>153</v>
      </c>
      <c r="Q393" s="3" t="s">
        <v>146</v>
      </c>
      <c r="R393" s="3" t="s">
        <v>128</v>
      </c>
      <c r="S393" s="3" t="s">
        <v>34</v>
      </c>
      <c r="T393" s="143">
        <v>1.141</v>
      </c>
      <c r="U393" s="3" t="s">
        <v>506</v>
      </c>
      <c r="V393" s="155">
        <v>2.0500000000000001E-2</v>
      </c>
      <c r="W393" s="155">
        <v>2.8219999999999999E-2</v>
      </c>
      <c r="X393" s="5" t="s">
        <v>129</v>
      </c>
      <c r="Y393" s="5" t="s">
        <v>125</v>
      </c>
      <c r="Z393" s="143">
        <v>1054883.8700000001</v>
      </c>
      <c r="AA393" s="153">
        <v>1</v>
      </c>
      <c r="AB393" s="163">
        <v>119.3</v>
      </c>
      <c r="AD393" s="143">
        <v>1258.4760000000001</v>
      </c>
      <c r="AG393" s="3" t="s">
        <v>36</v>
      </c>
      <c r="AH393" s="155">
        <v>2.0950000000000001E-3</v>
      </c>
      <c r="AI393" s="155">
        <v>6.0733737557255004E-3</v>
      </c>
      <c r="AJ393" s="155">
        <v>1.0798960618740899E-3</v>
      </c>
    </row>
    <row r="394" spans="1:36">
      <c r="A394" s="3">
        <v>337</v>
      </c>
      <c r="B394" s="3">
        <v>9963</v>
      </c>
      <c r="C394" s="185" t="s">
        <v>502</v>
      </c>
      <c r="D394" s="3" t="s">
        <v>503</v>
      </c>
      <c r="E394" s="189" t="s">
        <v>118</v>
      </c>
      <c r="F394" s="185" t="s">
        <v>510</v>
      </c>
      <c r="G394" s="3" t="s">
        <v>511</v>
      </c>
      <c r="H394" s="3" t="s">
        <v>121</v>
      </c>
      <c r="I394" s="3" t="s">
        <v>132</v>
      </c>
      <c r="J394" s="3" t="s">
        <v>30</v>
      </c>
      <c r="K394" s="3" t="s">
        <v>30</v>
      </c>
      <c r="L394" s="3" t="s">
        <v>123</v>
      </c>
      <c r="M394" s="3" t="s">
        <v>31</v>
      </c>
      <c r="N394" s="3" t="s">
        <v>171</v>
      </c>
      <c r="O394" s="3" t="s">
        <v>125</v>
      </c>
      <c r="P394" s="3" t="s">
        <v>153</v>
      </c>
      <c r="Q394" s="3" t="s">
        <v>146</v>
      </c>
      <c r="R394" s="3" t="s">
        <v>128</v>
      </c>
      <c r="S394" s="3" t="s">
        <v>34</v>
      </c>
      <c r="T394" s="143">
        <v>4.8230000000000004</v>
      </c>
      <c r="U394" s="3" t="s">
        <v>512</v>
      </c>
      <c r="V394" s="155">
        <v>9.7000000000000003E-3</v>
      </c>
      <c r="W394" s="155">
        <v>2.7609999999999999E-2</v>
      </c>
      <c r="X394" s="5" t="s">
        <v>129</v>
      </c>
      <c r="Y394" s="5" t="s">
        <v>125</v>
      </c>
      <c r="Z394" s="143">
        <v>1411764.7</v>
      </c>
      <c r="AA394" s="153">
        <v>1</v>
      </c>
      <c r="AB394" s="163">
        <v>107.07</v>
      </c>
      <c r="AD394" s="143">
        <v>1511.576</v>
      </c>
      <c r="AG394" s="3" t="s">
        <v>36</v>
      </c>
      <c r="AH394" s="155">
        <v>2.4190000000000001E-3</v>
      </c>
      <c r="AI394" s="155">
        <v>7.2948276287442401E-3</v>
      </c>
      <c r="AJ394" s="155">
        <v>1.29708065816051E-3</v>
      </c>
    </row>
    <row r="395" spans="1:36">
      <c r="A395" s="3">
        <v>337</v>
      </c>
      <c r="B395" s="3">
        <v>9963</v>
      </c>
      <c r="C395" s="185" t="s">
        <v>513</v>
      </c>
      <c r="D395" s="3" t="s">
        <v>514</v>
      </c>
      <c r="E395" s="189" t="s">
        <v>118</v>
      </c>
      <c r="F395" s="185" t="s">
        <v>518</v>
      </c>
      <c r="G395" s="3" t="s">
        <v>519</v>
      </c>
      <c r="H395" s="3" t="s">
        <v>121</v>
      </c>
      <c r="I395" s="3" t="s">
        <v>132</v>
      </c>
      <c r="J395" s="3" t="s">
        <v>30</v>
      </c>
      <c r="K395" s="3" t="s">
        <v>30</v>
      </c>
      <c r="L395" s="3" t="s">
        <v>123</v>
      </c>
      <c r="M395" s="3" t="s">
        <v>31</v>
      </c>
      <c r="N395" s="3" t="s">
        <v>316</v>
      </c>
      <c r="O395" s="3" t="s">
        <v>125</v>
      </c>
      <c r="P395" s="3" t="s">
        <v>357</v>
      </c>
      <c r="Q395" s="3" t="s">
        <v>146</v>
      </c>
      <c r="R395" s="3" t="s">
        <v>128</v>
      </c>
      <c r="S395" s="3" t="s">
        <v>34</v>
      </c>
      <c r="T395" s="143">
        <v>2.8050000000000002</v>
      </c>
      <c r="U395" s="3" t="s">
        <v>520</v>
      </c>
      <c r="V395" s="155">
        <v>1E-3</v>
      </c>
      <c r="W395" s="155">
        <v>2.1919999999999999E-2</v>
      </c>
      <c r="X395" s="5" t="s">
        <v>129</v>
      </c>
      <c r="Y395" s="5" t="s">
        <v>125</v>
      </c>
      <c r="Z395" s="143">
        <v>2108000</v>
      </c>
      <c r="AA395" s="153">
        <v>1</v>
      </c>
      <c r="AB395" s="163">
        <v>108.71</v>
      </c>
      <c r="AD395" s="143">
        <v>2291.607</v>
      </c>
      <c r="AG395" s="3" t="s">
        <v>36</v>
      </c>
      <c r="AH395" s="155">
        <v>6.2399999999999999E-4</v>
      </c>
      <c r="AI395" s="155">
        <v>1.10592331871946E-2</v>
      </c>
      <c r="AJ395" s="155">
        <v>1.96642308649947E-3</v>
      </c>
    </row>
    <row r="396" spans="1:36">
      <c r="A396" s="3">
        <v>337</v>
      </c>
      <c r="B396" s="3">
        <v>9963</v>
      </c>
      <c r="C396" s="185" t="s">
        <v>513</v>
      </c>
      <c r="D396" s="3" t="s">
        <v>514</v>
      </c>
      <c r="E396" s="189" t="s">
        <v>118</v>
      </c>
      <c r="F396" s="185" t="s">
        <v>839</v>
      </c>
      <c r="G396" s="3" t="s">
        <v>840</v>
      </c>
      <c r="H396" s="3" t="s">
        <v>121</v>
      </c>
      <c r="I396" s="3" t="s">
        <v>132</v>
      </c>
      <c r="J396" s="3" t="s">
        <v>30</v>
      </c>
      <c r="K396" s="3" t="s">
        <v>30</v>
      </c>
      <c r="L396" s="3" t="s">
        <v>123</v>
      </c>
      <c r="M396" s="3" t="s">
        <v>31</v>
      </c>
      <c r="N396" s="3" t="s">
        <v>316</v>
      </c>
      <c r="O396" s="3" t="s">
        <v>125</v>
      </c>
      <c r="P396" s="3" t="s">
        <v>357</v>
      </c>
      <c r="Q396" s="3" t="s">
        <v>146</v>
      </c>
      <c r="R396" s="3" t="s">
        <v>128</v>
      </c>
      <c r="S396" s="3" t="s">
        <v>34</v>
      </c>
      <c r="T396" s="143">
        <v>4.4770000000000003</v>
      </c>
      <c r="U396" s="3" t="s">
        <v>548</v>
      </c>
      <c r="V396" s="155">
        <v>2E-3</v>
      </c>
      <c r="W396" s="155">
        <v>2.281E-2</v>
      </c>
      <c r="X396" s="5" t="s">
        <v>129</v>
      </c>
      <c r="Y396" s="5" t="s">
        <v>125</v>
      </c>
      <c r="Z396" s="143">
        <v>2000000</v>
      </c>
      <c r="AA396" s="153">
        <v>1</v>
      </c>
      <c r="AB396" s="163">
        <v>107.79</v>
      </c>
      <c r="AD396" s="143">
        <v>2155.8000000000002</v>
      </c>
      <c r="AG396" s="3" t="s">
        <v>36</v>
      </c>
      <c r="AH396" s="155">
        <v>5.7799999999999995E-4</v>
      </c>
      <c r="AI396" s="155">
        <v>1.0403833199026101E-2</v>
      </c>
      <c r="AJ396" s="155">
        <v>1.84988755046266E-3</v>
      </c>
    </row>
    <row r="397" spans="1:36">
      <c r="A397" s="3">
        <v>337</v>
      </c>
      <c r="B397" s="3">
        <v>9963</v>
      </c>
      <c r="C397" s="185" t="s">
        <v>513</v>
      </c>
      <c r="D397" s="3" t="s">
        <v>514</v>
      </c>
      <c r="E397" s="189" t="s">
        <v>118</v>
      </c>
      <c r="F397" s="185" t="s">
        <v>903</v>
      </c>
      <c r="G397" s="3" t="s">
        <v>904</v>
      </c>
      <c r="H397" s="3" t="s">
        <v>121</v>
      </c>
      <c r="I397" s="3" t="s">
        <v>132</v>
      </c>
      <c r="J397" s="3" t="s">
        <v>30</v>
      </c>
      <c r="K397" s="3" t="s">
        <v>30</v>
      </c>
      <c r="L397" s="3" t="s">
        <v>123</v>
      </c>
      <c r="M397" s="3" t="s">
        <v>31</v>
      </c>
      <c r="N397" s="3" t="s">
        <v>316</v>
      </c>
      <c r="O397" s="3" t="s">
        <v>125</v>
      </c>
      <c r="P397" s="3" t="s">
        <v>145</v>
      </c>
      <c r="Q397" s="3" t="s">
        <v>146</v>
      </c>
      <c r="R397" s="3" t="s">
        <v>128</v>
      </c>
      <c r="S397" s="3" t="s">
        <v>34</v>
      </c>
      <c r="T397" s="143">
        <v>3.2949999999999999</v>
      </c>
      <c r="U397" s="3" t="s">
        <v>905</v>
      </c>
      <c r="V397" s="155">
        <v>3.3599999999999998E-2</v>
      </c>
      <c r="W397" s="155">
        <v>2.4459999999999999E-2</v>
      </c>
      <c r="X397" s="5" t="s">
        <v>129</v>
      </c>
      <c r="Y397" s="5" t="s">
        <v>125</v>
      </c>
      <c r="Z397" s="143">
        <v>2000000</v>
      </c>
      <c r="AA397" s="153">
        <v>1</v>
      </c>
      <c r="AB397" s="163">
        <v>110.89</v>
      </c>
      <c r="AD397" s="143">
        <v>2217.8000000000002</v>
      </c>
      <c r="AG397" s="3" t="s">
        <v>36</v>
      </c>
      <c r="AH397" s="155">
        <v>1.7129999999999999E-3</v>
      </c>
      <c r="AI397" s="155">
        <v>1.07030435424437E-2</v>
      </c>
      <c r="AJ397" s="155">
        <v>1.9030896230708199E-3</v>
      </c>
    </row>
    <row r="398" spans="1:36">
      <c r="A398" s="3">
        <v>337</v>
      </c>
      <c r="B398" s="3">
        <v>9963</v>
      </c>
      <c r="C398" s="185" t="s">
        <v>526</v>
      </c>
      <c r="D398" s="3" t="s">
        <v>527</v>
      </c>
      <c r="E398" s="189" t="s">
        <v>118</v>
      </c>
      <c r="F398" s="185" t="s">
        <v>528</v>
      </c>
      <c r="G398" s="3" t="s">
        <v>529</v>
      </c>
      <c r="H398" s="3" t="s">
        <v>121</v>
      </c>
      <c r="I398" s="3" t="s">
        <v>132</v>
      </c>
      <c r="J398" s="3" t="s">
        <v>30</v>
      </c>
      <c r="K398" s="3" t="s">
        <v>30</v>
      </c>
      <c r="L398" s="3" t="s">
        <v>123</v>
      </c>
      <c r="M398" s="3" t="s">
        <v>31</v>
      </c>
      <c r="N398" s="3" t="s">
        <v>242</v>
      </c>
      <c r="O398" s="3" t="s">
        <v>125</v>
      </c>
      <c r="P398" s="3" t="s">
        <v>422</v>
      </c>
      <c r="Q398" s="3" t="s">
        <v>127</v>
      </c>
      <c r="R398" s="3" t="s">
        <v>128</v>
      </c>
      <c r="S398" s="3" t="s">
        <v>34</v>
      </c>
      <c r="T398" s="143">
        <v>2.5609999999999999</v>
      </c>
      <c r="U398" s="3" t="s">
        <v>530</v>
      </c>
      <c r="V398" s="155">
        <v>0.01</v>
      </c>
      <c r="W398" s="155">
        <v>2.7400000000000001E-2</v>
      </c>
      <c r="X398" s="5" t="s">
        <v>129</v>
      </c>
      <c r="Y398" s="5" t="s">
        <v>125</v>
      </c>
      <c r="Z398" s="143">
        <v>1907060</v>
      </c>
      <c r="AA398" s="153">
        <v>1</v>
      </c>
      <c r="AB398" s="163">
        <v>110.57</v>
      </c>
      <c r="AD398" s="143">
        <v>2108.636</v>
      </c>
      <c r="AG398" s="3" t="s">
        <v>36</v>
      </c>
      <c r="AH398" s="155">
        <v>1.029E-3</v>
      </c>
      <c r="AI398" s="155">
        <v>1.01762221630899E-2</v>
      </c>
      <c r="AJ398" s="155">
        <v>1.80941642663056E-3</v>
      </c>
    </row>
    <row r="399" spans="1:36">
      <c r="A399" s="3">
        <v>337</v>
      </c>
      <c r="B399" s="3">
        <v>9963</v>
      </c>
      <c r="C399" s="185" t="s">
        <v>526</v>
      </c>
      <c r="D399" s="3" t="s">
        <v>527</v>
      </c>
      <c r="E399" s="189" t="s">
        <v>118</v>
      </c>
      <c r="F399" s="185" t="s">
        <v>531</v>
      </c>
      <c r="G399" s="3" t="s">
        <v>532</v>
      </c>
      <c r="H399" s="3" t="s">
        <v>121</v>
      </c>
      <c r="I399" s="3" t="s">
        <v>132</v>
      </c>
      <c r="J399" s="3" t="s">
        <v>30</v>
      </c>
      <c r="K399" s="3" t="s">
        <v>30</v>
      </c>
      <c r="L399" s="3" t="s">
        <v>123</v>
      </c>
      <c r="M399" s="3" t="s">
        <v>31</v>
      </c>
      <c r="N399" s="3" t="s">
        <v>242</v>
      </c>
      <c r="O399" s="3" t="s">
        <v>125</v>
      </c>
      <c r="P399" s="3" t="s">
        <v>422</v>
      </c>
      <c r="Q399" s="3" t="s">
        <v>127</v>
      </c>
      <c r="R399" s="3" t="s">
        <v>128</v>
      </c>
      <c r="S399" s="3" t="s">
        <v>34</v>
      </c>
      <c r="T399" s="143">
        <v>0.73299999999999998</v>
      </c>
      <c r="U399" s="3" t="s">
        <v>46</v>
      </c>
      <c r="V399" s="155">
        <v>3.5400000000000001E-2</v>
      </c>
      <c r="W399" s="155">
        <v>3.209E-2</v>
      </c>
      <c r="X399" s="5" t="s">
        <v>129</v>
      </c>
      <c r="Y399" s="5" t="s">
        <v>125</v>
      </c>
      <c r="Z399" s="143">
        <v>300000</v>
      </c>
      <c r="AA399" s="153">
        <v>1</v>
      </c>
      <c r="AB399" s="163">
        <v>110.78</v>
      </c>
      <c r="AD399" s="143">
        <v>332.34</v>
      </c>
      <c r="AG399" s="3" t="s">
        <v>36</v>
      </c>
      <c r="AH399" s="155">
        <v>3.5799999999999997E-4</v>
      </c>
      <c r="AI399" s="155">
        <v>1.60386396018385E-3</v>
      </c>
      <c r="AJ399" s="155">
        <v>2.8518027113867602E-4</v>
      </c>
    </row>
    <row r="400" spans="1:36">
      <c r="A400" s="3">
        <v>337</v>
      </c>
      <c r="B400" s="3">
        <v>9963</v>
      </c>
      <c r="C400" s="185" t="s">
        <v>536</v>
      </c>
      <c r="D400" s="3" t="s">
        <v>537</v>
      </c>
      <c r="E400" s="189" t="s">
        <v>118</v>
      </c>
      <c r="F400" s="185" t="s">
        <v>538</v>
      </c>
      <c r="G400" s="3" t="s">
        <v>539</v>
      </c>
      <c r="H400" s="3" t="s">
        <v>121</v>
      </c>
      <c r="I400" s="3" t="s">
        <v>132</v>
      </c>
      <c r="J400" s="3" t="s">
        <v>30</v>
      </c>
      <c r="K400" s="3" t="s">
        <v>30</v>
      </c>
      <c r="L400" s="3" t="s">
        <v>123</v>
      </c>
      <c r="M400" s="3" t="s">
        <v>31</v>
      </c>
      <c r="N400" s="3" t="s">
        <v>171</v>
      </c>
      <c r="O400" s="3" t="s">
        <v>125</v>
      </c>
      <c r="P400" s="3" t="s">
        <v>165</v>
      </c>
      <c r="Q400" s="3" t="s">
        <v>146</v>
      </c>
      <c r="R400" s="3" t="s">
        <v>128</v>
      </c>
      <c r="S400" s="3" t="s">
        <v>34</v>
      </c>
      <c r="T400" s="143">
        <v>3.3069999999999999</v>
      </c>
      <c r="U400" s="3" t="s">
        <v>199</v>
      </c>
      <c r="V400" s="155">
        <v>1.43E-2</v>
      </c>
      <c r="W400" s="155">
        <v>2.4580000000000001E-2</v>
      </c>
      <c r="X400" s="5" t="s">
        <v>129</v>
      </c>
      <c r="Y400" s="5" t="s">
        <v>125</v>
      </c>
      <c r="Z400" s="143">
        <v>4544069.3499999996</v>
      </c>
      <c r="AA400" s="153">
        <v>1</v>
      </c>
      <c r="AB400" s="163">
        <v>114.1</v>
      </c>
      <c r="AC400" s="143">
        <v>98.972999999999999</v>
      </c>
      <c r="AD400" s="143">
        <v>5283.7560000000003</v>
      </c>
      <c r="AG400" s="3" t="s">
        <v>36</v>
      </c>
      <c r="AH400" s="155">
        <v>2.3830000000000001E-3</v>
      </c>
      <c r="AI400" s="155">
        <v>2.54992671531135E-2</v>
      </c>
      <c r="AJ400" s="155">
        <v>4.5339805002719098E-3</v>
      </c>
    </row>
    <row r="401" spans="1:36">
      <c r="A401" s="3">
        <v>337</v>
      </c>
      <c r="B401" s="3">
        <v>9963</v>
      </c>
      <c r="C401" s="185" t="s">
        <v>536</v>
      </c>
      <c r="D401" s="3" t="s">
        <v>537</v>
      </c>
      <c r="E401" s="189" t="s">
        <v>118</v>
      </c>
      <c r="F401" s="185" t="s">
        <v>540</v>
      </c>
      <c r="G401" s="3" t="s">
        <v>541</v>
      </c>
      <c r="H401" s="3" t="s">
        <v>121</v>
      </c>
      <c r="I401" s="3" t="s">
        <v>132</v>
      </c>
      <c r="J401" s="3" t="s">
        <v>30</v>
      </c>
      <c r="K401" s="3" t="s">
        <v>30</v>
      </c>
      <c r="L401" s="3" t="s">
        <v>123</v>
      </c>
      <c r="M401" s="3" t="s">
        <v>31</v>
      </c>
      <c r="N401" s="3" t="s">
        <v>171</v>
      </c>
      <c r="O401" s="3" t="s">
        <v>125</v>
      </c>
      <c r="P401" s="3" t="s">
        <v>165</v>
      </c>
      <c r="Q401" s="3" t="s">
        <v>146</v>
      </c>
      <c r="R401" s="3" t="s">
        <v>128</v>
      </c>
      <c r="S401" s="3" t="s">
        <v>34</v>
      </c>
      <c r="T401" s="143">
        <v>5.32</v>
      </c>
      <c r="U401" s="3" t="s">
        <v>542</v>
      </c>
      <c r="V401" s="155">
        <v>3.61E-2</v>
      </c>
      <c r="W401" s="155">
        <v>2.6009999999999998E-2</v>
      </c>
      <c r="X401" s="5" t="s">
        <v>129</v>
      </c>
      <c r="Y401" s="5" t="s">
        <v>125</v>
      </c>
      <c r="Z401" s="143">
        <v>1948979.59</v>
      </c>
      <c r="AA401" s="153">
        <v>1</v>
      </c>
      <c r="AB401" s="163">
        <v>114.15</v>
      </c>
      <c r="AC401" s="143">
        <v>83.052000000000007</v>
      </c>
      <c r="AD401" s="143">
        <v>2307.8119999999999</v>
      </c>
      <c r="AG401" s="3" t="s">
        <v>36</v>
      </c>
      <c r="AH401" s="155">
        <v>7.9799999999999999E-4</v>
      </c>
      <c r="AI401" s="155">
        <v>1.1137438383350001E-2</v>
      </c>
      <c r="AJ401" s="155">
        <v>1.9803286168921502E-3</v>
      </c>
    </row>
    <row r="402" spans="1:36">
      <c r="A402" s="3">
        <v>337</v>
      </c>
      <c r="B402" s="3">
        <v>9963</v>
      </c>
      <c r="C402" s="185" t="s">
        <v>536</v>
      </c>
      <c r="D402" s="3" t="s">
        <v>537</v>
      </c>
      <c r="E402" s="189" t="s">
        <v>118</v>
      </c>
      <c r="F402" s="185" t="s">
        <v>546</v>
      </c>
      <c r="G402" s="3" t="s">
        <v>547</v>
      </c>
      <c r="H402" s="3" t="s">
        <v>121</v>
      </c>
      <c r="I402" s="3" t="s">
        <v>132</v>
      </c>
      <c r="J402" s="3" t="s">
        <v>30</v>
      </c>
      <c r="K402" s="3" t="s">
        <v>30</v>
      </c>
      <c r="L402" s="3" t="s">
        <v>123</v>
      </c>
      <c r="M402" s="3" t="s">
        <v>31</v>
      </c>
      <c r="N402" s="3" t="s">
        <v>171</v>
      </c>
      <c r="O402" s="3" t="s">
        <v>125</v>
      </c>
      <c r="P402" s="3" t="s">
        <v>165</v>
      </c>
      <c r="Q402" s="3" t="s">
        <v>146</v>
      </c>
      <c r="R402" s="3" t="s">
        <v>128</v>
      </c>
      <c r="S402" s="3" t="s">
        <v>34</v>
      </c>
      <c r="T402" s="143">
        <v>4.2519999999999998</v>
      </c>
      <c r="U402" s="3" t="s">
        <v>548</v>
      </c>
      <c r="V402" s="155">
        <v>2.5000000000000001E-3</v>
      </c>
      <c r="W402" s="155">
        <v>2.4879999999999999E-2</v>
      </c>
      <c r="X402" s="5" t="s">
        <v>129</v>
      </c>
      <c r="Y402" s="5" t="s">
        <v>125</v>
      </c>
      <c r="Z402" s="143">
        <v>1659200</v>
      </c>
      <c r="AA402" s="153">
        <v>1</v>
      </c>
      <c r="AB402" s="163">
        <v>105.36</v>
      </c>
      <c r="AC402" s="143">
        <v>25.023</v>
      </c>
      <c r="AD402" s="143">
        <v>1773.1559999999999</v>
      </c>
      <c r="AG402" s="3" t="s">
        <v>36</v>
      </c>
      <c r="AH402" s="155">
        <v>1.256E-3</v>
      </c>
      <c r="AI402" s="155">
        <v>8.5572030445808401E-3</v>
      </c>
      <c r="AJ402" s="155">
        <v>1.5215414430551401E-3</v>
      </c>
    </row>
    <row r="403" spans="1:36">
      <c r="A403" s="3">
        <v>337</v>
      </c>
      <c r="B403" s="3">
        <v>9963</v>
      </c>
      <c r="C403" s="185" t="s">
        <v>536</v>
      </c>
      <c r="D403" s="3" t="s">
        <v>537</v>
      </c>
      <c r="E403" s="189" t="s">
        <v>118</v>
      </c>
      <c r="F403" s="185" t="s">
        <v>549</v>
      </c>
      <c r="G403" s="3" t="s">
        <v>550</v>
      </c>
      <c r="H403" s="3" t="s">
        <v>121</v>
      </c>
      <c r="I403" s="3" t="s">
        <v>132</v>
      </c>
      <c r="J403" s="3" t="s">
        <v>30</v>
      </c>
      <c r="K403" s="3" t="s">
        <v>30</v>
      </c>
      <c r="L403" s="3" t="s">
        <v>123</v>
      </c>
      <c r="M403" s="3" t="s">
        <v>31</v>
      </c>
      <c r="N403" s="3" t="s">
        <v>171</v>
      </c>
      <c r="O403" s="3" t="s">
        <v>125</v>
      </c>
      <c r="P403" s="3" t="s">
        <v>165</v>
      </c>
      <c r="Q403" s="3" t="s">
        <v>146</v>
      </c>
      <c r="R403" s="3" t="s">
        <v>128</v>
      </c>
      <c r="S403" s="3" t="s">
        <v>34</v>
      </c>
      <c r="T403" s="143">
        <v>7.51</v>
      </c>
      <c r="U403" s="3" t="s">
        <v>551</v>
      </c>
      <c r="V403" s="155">
        <v>2.9499999999999998E-2</v>
      </c>
      <c r="W403" s="155">
        <v>2.683E-2</v>
      </c>
      <c r="X403" s="5" t="s">
        <v>129</v>
      </c>
      <c r="Y403" s="5" t="s">
        <v>125</v>
      </c>
      <c r="Z403" s="143">
        <v>1200000</v>
      </c>
      <c r="AA403" s="153">
        <v>1</v>
      </c>
      <c r="AB403" s="163">
        <v>101.78</v>
      </c>
      <c r="AD403" s="143">
        <v>1221.3599999999999</v>
      </c>
      <c r="AG403" s="3" t="s">
        <v>36</v>
      </c>
      <c r="AH403" s="155">
        <v>2.702E-3</v>
      </c>
      <c r="AI403" s="155">
        <v>5.8942507263950996E-3</v>
      </c>
      <c r="AJ403" s="155">
        <v>1.04804650646306E-3</v>
      </c>
    </row>
    <row r="404" spans="1:36">
      <c r="A404" s="3">
        <v>337</v>
      </c>
      <c r="B404" s="3">
        <v>9963</v>
      </c>
      <c r="C404" s="185" t="s">
        <v>552</v>
      </c>
      <c r="D404" s="3" t="s">
        <v>553</v>
      </c>
      <c r="E404" s="189" t="s">
        <v>118</v>
      </c>
      <c r="F404" s="185" t="s">
        <v>554</v>
      </c>
      <c r="G404" s="3" t="s">
        <v>555</v>
      </c>
      <c r="H404" s="3" t="s">
        <v>121</v>
      </c>
      <c r="I404" s="3" t="s">
        <v>122</v>
      </c>
      <c r="J404" s="3" t="s">
        <v>30</v>
      </c>
      <c r="K404" s="3" t="s">
        <v>30</v>
      </c>
      <c r="L404" s="3" t="s">
        <v>123</v>
      </c>
      <c r="M404" s="3" t="s">
        <v>31</v>
      </c>
      <c r="N404" s="3" t="s">
        <v>159</v>
      </c>
      <c r="O404" s="3" t="s">
        <v>125</v>
      </c>
      <c r="P404" s="3" t="s">
        <v>310</v>
      </c>
      <c r="Q404" s="3" t="s">
        <v>127</v>
      </c>
      <c r="R404" s="3" t="s">
        <v>128</v>
      </c>
      <c r="S404" s="3" t="s">
        <v>34</v>
      </c>
      <c r="T404" s="143">
        <v>5.766</v>
      </c>
      <c r="U404" s="3" t="s">
        <v>556</v>
      </c>
      <c r="V404" s="155">
        <v>5.0200000000000002E-2</v>
      </c>
      <c r="W404" s="155">
        <v>4.2610000000000002E-2</v>
      </c>
      <c r="X404" s="5" t="s">
        <v>129</v>
      </c>
      <c r="Y404" s="5" t="s">
        <v>125</v>
      </c>
      <c r="Z404" s="143">
        <v>1500000</v>
      </c>
      <c r="AA404" s="153">
        <v>1</v>
      </c>
      <c r="AB404" s="163">
        <v>105.93</v>
      </c>
      <c r="AD404" s="143">
        <v>1588.95</v>
      </c>
      <c r="AG404" s="3" t="s">
        <v>36</v>
      </c>
      <c r="AH404" s="155">
        <v>3.7499999999999999E-3</v>
      </c>
      <c r="AI404" s="155">
        <v>7.6682302447316896E-3</v>
      </c>
      <c r="AJ404" s="155">
        <v>1.36347473017332E-3</v>
      </c>
    </row>
    <row r="405" spans="1:36">
      <c r="A405" s="3">
        <v>337</v>
      </c>
      <c r="B405" s="3">
        <v>9963</v>
      </c>
      <c r="C405" s="185" t="s">
        <v>557</v>
      </c>
      <c r="D405" s="3" t="s">
        <v>558</v>
      </c>
      <c r="E405" s="189" t="s">
        <v>118</v>
      </c>
      <c r="F405" s="185" t="s">
        <v>559</v>
      </c>
      <c r="G405" s="3" t="s">
        <v>560</v>
      </c>
      <c r="H405" s="3" t="s">
        <v>121</v>
      </c>
      <c r="I405" s="3" t="s">
        <v>122</v>
      </c>
      <c r="J405" s="3" t="s">
        <v>30</v>
      </c>
      <c r="K405" s="3" t="s">
        <v>30</v>
      </c>
      <c r="L405" s="3" t="s">
        <v>123</v>
      </c>
      <c r="M405" s="3" t="s">
        <v>31</v>
      </c>
      <c r="N405" s="3" t="s">
        <v>242</v>
      </c>
      <c r="O405" s="3" t="s">
        <v>125</v>
      </c>
      <c r="P405" s="3" t="s">
        <v>243</v>
      </c>
      <c r="Q405" s="3" t="s">
        <v>127</v>
      </c>
      <c r="R405" s="3" t="s">
        <v>128</v>
      </c>
      <c r="S405" s="3" t="s">
        <v>34</v>
      </c>
      <c r="T405" s="143">
        <v>0.72899999999999998</v>
      </c>
      <c r="U405" s="3" t="s">
        <v>561</v>
      </c>
      <c r="V405" s="155">
        <v>0.1115</v>
      </c>
      <c r="W405" s="155">
        <v>6.1030000000000001E-2</v>
      </c>
      <c r="X405" s="5" t="s">
        <v>129</v>
      </c>
      <c r="Y405" s="5" t="s">
        <v>125</v>
      </c>
      <c r="Z405" s="143">
        <v>678640</v>
      </c>
      <c r="AA405" s="153">
        <v>1</v>
      </c>
      <c r="AB405" s="163">
        <v>102.14</v>
      </c>
      <c r="AD405" s="143">
        <v>693.16300000000001</v>
      </c>
      <c r="AG405" s="3" t="s">
        <v>36</v>
      </c>
      <c r="AH405" s="155">
        <v>5.5319999999999996E-3</v>
      </c>
      <c r="AI405" s="155">
        <v>3.3451856154271698E-3</v>
      </c>
      <c r="AJ405" s="155">
        <v>5.9480165681094705E-4</v>
      </c>
    </row>
    <row r="406" spans="1:36">
      <c r="A406" s="3">
        <v>337</v>
      </c>
      <c r="B406" s="3">
        <v>9963</v>
      </c>
      <c r="C406" s="185" t="s">
        <v>557</v>
      </c>
      <c r="D406" s="3" t="s">
        <v>558</v>
      </c>
      <c r="E406" s="189" t="s">
        <v>118</v>
      </c>
      <c r="F406" s="185" t="s">
        <v>562</v>
      </c>
      <c r="G406" s="3" t="s">
        <v>563</v>
      </c>
      <c r="H406" s="3" t="s">
        <v>121</v>
      </c>
      <c r="I406" s="3" t="s">
        <v>122</v>
      </c>
      <c r="J406" s="3" t="s">
        <v>30</v>
      </c>
      <c r="K406" s="3" t="s">
        <v>30</v>
      </c>
      <c r="L406" s="3" t="s">
        <v>123</v>
      </c>
      <c r="M406" s="3" t="s">
        <v>31</v>
      </c>
      <c r="N406" s="3" t="s">
        <v>242</v>
      </c>
      <c r="O406" s="3" t="s">
        <v>125</v>
      </c>
      <c r="P406" s="3" t="s">
        <v>243</v>
      </c>
      <c r="Q406" s="3" t="s">
        <v>127</v>
      </c>
      <c r="R406" s="3" t="s">
        <v>128</v>
      </c>
      <c r="S406" s="3" t="s">
        <v>34</v>
      </c>
      <c r="T406" s="143">
        <v>2.6909999999999998</v>
      </c>
      <c r="U406" s="3" t="s">
        <v>564</v>
      </c>
      <c r="V406" s="155">
        <v>6.4000000000000001E-2</v>
      </c>
      <c r="W406" s="155">
        <v>5.3670000000000002E-2</v>
      </c>
      <c r="X406" s="5" t="s">
        <v>129</v>
      </c>
      <c r="Y406" s="5" t="s">
        <v>125</v>
      </c>
      <c r="Z406" s="143">
        <v>975000</v>
      </c>
      <c r="AA406" s="153">
        <v>1</v>
      </c>
      <c r="AB406" s="163">
        <v>103.48</v>
      </c>
      <c r="AD406" s="143">
        <v>1008.93</v>
      </c>
      <c r="AG406" s="3" t="s">
        <v>36</v>
      </c>
      <c r="AH406" s="155">
        <v>2.8149999999999998E-3</v>
      </c>
      <c r="AI406" s="155">
        <v>4.8690692223274101E-3</v>
      </c>
      <c r="AJ406" s="155">
        <v>8.6576075994446904E-4</v>
      </c>
    </row>
    <row r="407" spans="1:36">
      <c r="A407" s="3">
        <v>337</v>
      </c>
      <c r="B407" s="3">
        <v>9963</v>
      </c>
      <c r="C407" s="185" t="s">
        <v>565</v>
      </c>
      <c r="D407" s="3" t="s">
        <v>566</v>
      </c>
      <c r="E407" s="189" t="s">
        <v>118</v>
      </c>
      <c r="F407" s="185" t="s">
        <v>567</v>
      </c>
      <c r="G407" s="3" t="s">
        <v>568</v>
      </c>
      <c r="H407" s="3" t="s">
        <v>121</v>
      </c>
      <c r="I407" s="3" t="s">
        <v>132</v>
      </c>
      <c r="J407" s="3" t="s">
        <v>30</v>
      </c>
      <c r="K407" s="3" t="s">
        <v>30</v>
      </c>
      <c r="L407" s="3" t="s">
        <v>123</v>
      </c>
      <c r="M407" s="3" t="s">
        <v>31</v>
      </c>
      <c r="N407" s="3" t="s">
        <v>124</v>
      </c>
      <c r="O407" s="3" t="s">
        <v>125</v>
      </c>
      <c r="P407" s="3" t="s">
        <v>325</v>
      </c>
      <c r="Q407" s="3" t="s">
        <v>127</v>
      </c>
      <c r="R407" s="3" t="s">
        <v>128</v>
      </c>
      <c r="S407" s="3" t="s">
        <v>34</v>
      </c>
      <c r="T407" s="143">
        <v>3.0939999999999999</v>
      </c>
      <c r="U407" s="3" t="s">
        <v>569</v>
      </c>
      <c r="V407" s="155">
        <v>2.07E-2</v>
      </c>
      <c r="W407" s="155">
        <v>3.3739999999999999E-2</v>
      </c>
      <c r="X407" s="5" t="s">
        <v>129</v>
      </c>
      <c r="Y407" s="5" t="s">
        <v>125</v>
      </c>
      <c r="Z407" s="143">
        <v>1939014.27</v>
      </c>
      <c r="AA407" s="153">
        <v>1</v>
      </c>
      <c r="AB407" s="163">
        <v>110.69</v>
      </c>
      <c r="AD407" s="143">
        <v>2146.2950000000001</v>
      </c>
      <c r="AG407" s="3" t="s">
        <v>36</v>
      </c>
      <c r="AH407" s="155">
        <v>4.646E-3</v>
      </c>
      <c r="AI407" s="155">
        <v>1.03579618184981E-2</v>
      </c>
      <c r="AJ407" s="155">
        <v>1.84173123978966E-3</v>
      </c>
    </row>
    <row r="408" spans="1:36">
      <c r="A408" s="3">
        <v>337</v>
      </c>
      <c r="B408" s="3">
        <v>9963</v>
      </c>
      <c r="C408" s="185" t="s">
        <v>906</v>
      </c>
      <c r="D408" s="3" t="s">
        <v>907</v>
      </c>
      <c r="E408" s="189" t="s">
        <v>118</v>
      </c>
      <c r="F408" s="185" t="s">
        <v>908</v>
      </c>
      <c r="G408" s="3" t="s">
        <v>909</v>
      </c>
      <c r="H408" s="3" t="s">
        <v>121</v>
      </c>
      <c r="I408" s="3" t="s">
        <v>122</v>
      </c>
      <c r="J408" s="3" t="s">
        <v>30</v>
      </c>
      <c r="K408" s="3" t="s">
        <v>30</v>
      </c>
      <c r="L408" s="3" t="s">
        <v>123</v>
      </c>
      <c r="M408" s="3" t="s">
        <v>31</v>
      </c>
      <c r="N408" s="3" t="s">
        <v>242</v>
      </c>
      <c r="O408" s="3" t="s">
        <v>125</v>
      </c>
      <c r="P408" s="3" t="s">
        <v>198</v>
      </c>
      <c r="Q408" s="3" t="s">
        <v>146</v>
      </c>
      <c r="R408" s="3" t="s">
        <v>128</v>
      </c>
      <c r="S408" s="3" t="s">
        <v>34</v>
      </c>
      <c r="T408" s="143">
        <v>0.16200000000000001</v>
      </c>
      <c r="U408" s="3" t="s">
        <v>807</v>
      </c>
      <c r="V408" s="155">
        <v>1.55E-2</v>
      </c>
      <c r="W408" s="155">
        <v>6.7269999999999996E-2</v>
      </c>
      <c r="X408" s="5" t="s">
        <v>129</v>
      </c>
      <c r="Y408" s="5" t="s">
        <v>125</v>
      </c>
      <c r="Z408" s="143">
        <v>0.03</v>
      </c>
      <c r="AA408" s="153">
        <v>1</v>
      </c>
      <c r="AB408" s="163">
        <v>99.72</v>
      </c>
      <c r="AD408" s="143">
        <v>0</v>
      </c>
      <c r="AG408" s="3" t="s">
        <v>36</v>
      </c>
      <c r="AH408" s="155">
        <v>0</v>
      </c>
      <c r="AI408" s="155">
        <v>1.44373816672264E-10</v>
      </c>
      <c r="AJ408" s="155">
        <v>2.5670858131385499E-11</v>
      </c>
    </row>
    <row r="409" spans="1:36">
      <c r="A409" s="3">
        <v>337</v>
      </c>
      <c r="B409" s="3">
        <v>9963</v>
      </c>
      <c r="C409" s="185" t="s">
        <v>570</v>
      </c>
      <c r="D409" s="3" t="s">
        <v>571</v>
      </c>
      <c r="E409" s="189" t="s">
        <v>439</v>
      </c>
      <c r="F409" s="185" t="s">
        <v>572</v>
      </c>
      <c r="G409" s="3" t="s">
        <v>573</v>
      </c>
      <c r="H409" s="3" t="s">
        <v>121</v>
      </c>
      <c r="I409" s="3" t="s">
        <v>410</v>
      </c>
      <c r="J409" s="3" t="s">
        <v>30</v>
      </c>
      <c r="K409" s="3" t="s">
        <v>30</v>
      </c>
      <c r="L409" s="3" t="s">
        <v>123</v>
      </c>
      <c r="M409" s="3" t="s">
        <v>31</v>
      </c>
      <c r="N409" s="3" t="s">
        <v>377</v>
      </c>
      <c r="O409" s="3" t="s">
        <v>125</v>
      </c>
      <c r="P409" s="3" t="s">
        <v>574</v>
      </c>
      <c r="Q409" s="3" t="s">
        <v>146</v>
      </c>
      <c r="R409" s="3" t="s">
        <v>128</v>
      </c>
      <c r="S409" s="3" t="s">
        <v>34</v>
      </c>
      <c r="T409" s="143">
        <v>4.5460000000000003</v>
      </c>
      <c r="U409" s="3" t="s">
        <v>575</v>
      </c>
      <c r="V409" s="155">
        <v>7.9500000000000001E-2</v>
      </c>
      <c r="W409" s="155">
        <v>7.0550000000000002E-2</v>
      </c>
      <c r="X409" s="5" t="s">
        <v>129</v>
      </c>
      <c r="Y409" s="5" t="s">
        <v>125</v>
      </c>
      <c r="Z409" s="143">
        <v>1050000</v>
      </c>
      <c r="AA409" s="153">
        <v>1</v>
      </c>
      <c r="AB409" s="163">
        <v>103.03</v>
      </c>
      <c r="AD409" s="143">
        <v>1081.8150000000001</v>
      </c>
      <c r="AG409" s="3" t="s">
        <v>36</v>
      </c>
      <c r="AH409" s="155">
        <v>0</v>
      </c>
      <c r="AI409" s="155">
        <v>5.2208102849079004E-3</v>
      </c>
      <c r="AJ409" s="155">
        <v>9.2830322868714995E-4</v>
      </c>
    </row>
    <row r="410" spans="1:36">
      <c r="A410" s="3">
        <v>337</v>
      </c>
      <c r="B410" s="3">
        <v>9963</v>
      </c>
      <c r="C410" s="185" t="s">
        <v>570</v>
      </c>
      <c r="D410" s="3" t="s">
        <v>571</v>
      </c>
      <c r="E410" s="189" t="s">
        <v>439</v>
      </c>
      <c r="F410" s="185" t="s">
        <v>576</v>
      </c>
      <c r="G410" s="3" t="s">
        <v>577</v>
      </c>
      <c r="H410" s="3" t="s">
        <v>121</v>
      </c>
      <c r="I410" s="3" t="s">
        <v>122</v>
      </c>
      <c r="J410" s="3" t="s">
        <v>30</v>
      </c>
      <c r="K410" s="3" t="s">
        <v>30</v>
      </c>
      <c r="L410" s="3" t="s">
        <v>123</v>
      </c>
      <c r="M410" s="3" t="s">
        <v>31</v>
      </c>
      <c r="N410" s="3" t="s">
        <v>377</v>
      </c>
      <c r="O410" s="3" t="s">
        <v>125</v>
      </c>
      <c r="P410" s="3" t="s">
        <v>260</v>
      </c>
      <c r="Q410" s="3" t="s">
        <v>146</v>
      </c>
      <c r="R410" s="3" t="s">
        <v>128</v>
      </c>
      <c r="S410" s="3" t="s">
        <v>34</v>
      </c>
      <c r="T410" s="143">
        <v>1.2529999999999999</v>
      </c>
      <c r="U410" s="3" t="s">
        <v>578</v>
      </c>
      <c r="V410" s="155">
        <v>5.2499999999999998E-2</v>
      </c>
      <c r="W410" s="155">
        <v>4.9090000000000002E-2</v>
      </c>
      <c r="X410" s="5" t="s">
        <v>129</v>
      </c>
      <c r="Y410" s="5" t="s">
        <v>125</v>
      </c>
      <c r="Z410" s="143">
        <v>2719000</v>
      </c>
      <c r="AA410" s="153">
        <v>1</v>
      </c>
      <c r="AB410" s="163">
        <v>102.93</v>
      </c>
      <c r="AD410" s="143">
        <v>2798.6669999999999</v>
      </c>
      <c r="AG410" s="3" t="s">
        <v>36</v>
      </c>
      <c r="AH410" s="155">
        <v>8.2389999999999998E-3</v>
      </c>
      <c r="AI410" s="155">
        <v>1.3506290716424899E-2</v>
      </c>
      <c r="AJ410" s="155">
        <v>2.4015301448299499E-3</v>
      </c>
    </row>
    <row r="411" spans="1:36">
      <c r="A411" s="3">
        <v>337</v>
      </c>
      <c r="B411" s="3">
        <v>9963</v>
      </c>
      <c r="C411" s="185" t="s">
        <v>570</v>
      </c>
      <c r="D411" s="3" t="s">
        <v>571</v>
      </c>
      <c r="E411" s="189" t="s">
        <v>439</v>
      </c>
      <c r="F411" s="185" t="s">
        <v>579</v>
      </c>
      <c r="G411" s="3" t="s">
        <v>580</v>
      </c>
      <c r="H411" s="3" t="s">
        <v>121</v>
      </c>
      <c r="I411" s="3" t="s">
        <v>122</v>
      </c>
      <c r="J411" s="3" t="s">
        <v>30</v>
      </c>
      <c r="K411" s="3" t="s">
        <v>80</v>
      </c>
      <c r="L411" s="3" t="s">
        <v>123</v>
      </c>
      <c r="M411" s="3" t="s">
        <v>31</v>
      </c>
      <c r="N411" s="3" t="s">
        <v>377</v>
      </c>
      <c r="O411" s="3" t="s">
        <v>125</v>
      </c>
      <c r="P411" s="3" t="s">
        <v>260</v>
      </c>
      <c r="Q411" s="3" t="s">
        <v>146</v>
      </c>
      <c r="R411" s="3" t="s">
        <v>128</v>
      </c>
      <c r="S411" s="3" t="s">
        <v>34</v>
      </c>
      <c r="T411" s="143">
        <v>2.121</v>
      </c>
      <c r="U411" s="3" t="s">
        <v>581</v>
      </c>
      <c r="V411" s="155">
        <v>6.5000000000000002E-2</v>
      </c>
      <c r="W411" s="155">
        <v>4.8140000000000002E-2</v>
      </c>
      <c r="X411" s="5" t="s">
        <v>129</v>
      </c>
      <c r="Y411" s="5" t="s">
        <v>125</v>
      </c>
      <c r="Z411" s="143">
        <v>2000000</v>
      </c>
      <c r="AA411" s="153">
        <v>1</v>
      </c>
      <c r="AB411" s="163">
        <v>103.66</v>
      </c>
      <c r="AD411" s="143">
        <v>2073.1999999999998</v>
      </c>
      <c r="AG411" s="3" t="s">
        <v>36</v>
      </c>
      <c r="AH411" s="155">
        <v>4.0000000000000001E-3</v>
      </c>
      <c r="AI411" s="155">
        <v>1.0005207806021399E-2</v>
      </c>
      <c r="AJ411" s="155">
        <v>1.77900866018145E-3</v>
      </c>
    </row>
    <row r="412" spans="1:36">
      <c r="A412" s="3">
        <v>337</v>
      </c>
      <c r="B412" s="3">
        <v>9963</v>
      </c>
      <c r="C412" s="185" t="s">
        <v>570</v>
      </c>
      <c r="D412" s="3" t="s">
        <v>571</v>
      </c>
      <c r="E412" s="189" t="s">
        <v>439</v>
      </c>
      <c r="F412" s="185" t="s">
        <v>582</v>
      </c>
      <c r="G412" s="3" t="s">
        <v>583</v>
      </c>
      <c r="H412" s="3" t="s">
        <v>121</v>
      </c>
      <c r="I412" s="3" t="s">
        <v>122</v>
      </c>
      <c r="J412" s="3" t="s">
        <v>30</v>
      </c>
      <c r="K412" s="3" t="s">
        <v>30</v>
      </c>
      <c r="L412" s="3" t="s">
        <v>123</v>
      </c>
      <c r="M412" s="3" t="s">
        <v>31</v>
      </c>
      <c r="N412" s="3" t="s">
        <v>377</v>
      </c>
      <c r="O412" s="3" t="s">
        <v>125</v>
      </c>
      <c r="P412" s="3" t="s">
        <v>260</v>
      </c>
      <c r="Q412" s="3" t="s">
        <v>146</v>
      </c>
      <c r="R412" s="3" t="s">
        <v>128</v>
      </c>
      <c r="S412" s="3" t="s">
        <v>34</v>
      </c>
      <c r="T412" s="143">
        <v>2.722</v>
      </c>
      <c r="U412" s="3" t="s">
        <v>193</v>
      </c>
      <c r="V412" s="155">
        <v>6.7000000000000004E-2</v>
      </c>
      <c r="W412" s="155">
        <v>4.811E-2</v>
      </c>
      <c r="X412" s="5" t="s">
        <v>129</v>
      </c>
      <c r="Y412" s="5" t="s">
        <v>125</v>
      </c>
      <c r="Z412" s="143">
        <v>1668000</v>
      </c>
      <c r="AA412" s="153">
        <v>1</v>
      </c>
      <c r="AB412" s="163">
        <v>107.03</v>
      </c>
      <c r="AD412" s="143">
        <v>1785.26</v>
      </c>
      <c r="AG412" s="3" t="s">
        <v>36</v>
      </c>
      <c r="AH412" s="155">
        <v>1.833E-3</v>
      </c>
      <c r="AI412" s="155">
        <v>8.61561898990011E-3</v>
      </c>
      <c r="AJ412" s="155">
        <v>1.5319282810529601E-3</v>
      </c>
    </row>
    <row r="413" spans="1:36">
      <c r="A413" s="3">
        <v>337</v>
      </c>
      <c r="B413" s="3">
        <v>9963</v>
      </c>
      <c r="C413" s="185" t="s">
        <v>584</v>
      </c>
      <c r="D413" s="3" t="s">
        <v>585</v>
      </c>
      <c r="E413" s="189" t="s">
        <v>118</v>
      </c>
      <c r="F413" s="185" t="s">
        <v>586</v>
      </c>
      <c r="G413" s="3" t="s">
        <v>587</v>
      </c>
      <c r="H413" s="3" t="s">
        <v>121</v>
      </c>
      <c r="I413" s="3" t="s">
        <v>132</v>
      </c>
      <c r="J413" s="3" t="s">
        <v>30</v>
      </c>
      <c r="K413" s="3" t="s">
        <v>30</v>
      </c>
      <c r="L413" s="3" t="s">
        <v>123</v>
      </c>
      <c r="M413" s="3" t="s">
        <v>31</v>
      </c>
      <c r="N413" s="3" t="s">
        <v>228</v>
      </c>
      <c r="O413" s="3" t="s">
        <v>125</v>
      </c>
      <c r="P413" s="3" t="s">
        <v>243</v>
      </c>
      <c r="Q413" s="3" t="s">
        <v>127</v>
      </c>
      <c r="R413" s="3" t="s">
        <v>128</v>
      </c>
      <c r="S413" s="3" t="s">
        <v>34</v>
      </c>
      <c r="T413" s="143">
        <v>1.7809999999999999</v>
      </c>
      <c r="U413" s="3" t="s">
        <v>385</v>
      </c>
      <c r="V413" s="155">
        <v>1.4800000000000001E-2</v>
      </c>
      <c r="W413" s="155">
        <v>3.4369999999999998E-2</v>
      </c>
      <c r="X413" s="5" t="s">
        <v>129</v>
      </c>
      <c r="Y413" s="5" t="s">
        <v>125</v>
      </c>
      <c r="Z413" s="143">
        <v>1181265.33</v>
      </c>
      <c r="AA413" s="153">
        <v>1</v>
      </c>
      <c r="AB413" s="163">
        <v>111.89</v>
      </c>
      <c r="AD413" s="143">
        <v>1321.7180000000001</v>
      </c>
      <c r="AG413" s="3" t="s">
        <v>36</v>
      </c>
      <c r="AH413" s="155">
        <v>4.3229999999999996E-3</v>
      </c>
      <c r="AI413" s="155">
        <v>6.3785746802872403E-3</v>
      </c>
      <c r="AJ413" s="155">
        <v>1.13416330933335E-3</v>
      </c>
    </row>
    <row r="414" spans="1:36">
      <c r="A414" s="3">
        <v>337</v>
      </c>
      <c r="B414" s="3">
        <v>9963</v>
      </c>
      <c r="C414" s="185" t="s">
        <v>594</v>
      </c>
      <c r="D414" s="3" t="s">
        <v>595</v>
      </c>
      <c r="E414" s="189" t="s">
        <v>269</v>
      </c>
      <c r="F414" s="185" t="s">
        <v>596</v>
      </c>
      <c r="G414" s="3" t="s">
        <v>597</v>
      </c>
      <c r="H414" s="3" t="s">
        <v>121</v>
      </c>
      <c r="I414" s="3" t="s">
        <v>122</v>
      </c>
      <c r="J414" s="3" t="s">
        <v>30</v>
      </c>
      <c r="K414" s="3" t="s">
        <v>80</v>
      </c>
      <c r="L414" s="3" t="s">
        <v>123</v>
      </c>
      <c r="M414" s="3" t="s">
        <v>31</v>
      </c>
      <c r="N414" s="3" t="s">
        <v>139</v>
      </c>
      <c r="O414" s="3" t="s">
        <v>125</v>
      </c>
      <c r="P414" s="3" t="s">
        <v>145</v>
      </c>
      <c r="Q414" s="3" t="s">
        <v>146</v>
      </c>
      <c r="R414" s="3" t="s">
        <v>128</v>
      </c>
      <c r="S414" s="3" t="s">
        <v>34</v>
      </c>
      <c r="T414" s="143">
        <v>3.173</v>
      </c>
      <c r="U414" s="3" t="s">
        <v>598</v>
      </c>
      <c r="V414" s="155">
        <v>4.4999999999999998E-2</v>
      </c>
      <c r="W414" s="155">
        <v>5.1920000000000001E-2</v>
      </c>
      <c r="X414" s="5" t="s">
        <v>129</v>
      </c>
      <c r="Y414" s="5" t="s">
        <v>125</v>
      </c>
      <c r="Z414" s="143">
        <v>1641705.94</v>
      </c>
      <c r="AA414" s="153">
        <v>1</v>
      </c>
      <c r="AB414" s="163">
        <v>99</v>
      </c>
      <c r="AD414" s="143">
        <v>1625.289</v>
      </c>
      <c r="AG414" s="3" t="s">
        <v>36</v>
      </c>
      <c r="AH414" s="155">
        <v>2.173E-3</v>
      </c>
      <c r="AI414" s="155">
        <v>7.8436007115661403E-3</v>
      </c>
      <c r="AJ414" s="155">
        <v>1.39465704895042E-3</v>
      </c>
    </row>
    <row r="415" spans="1:36">
      <c r="A415" s="3">
        <v>337</v>
      </c>
      <c r="B415" s="3">
        <v>9963</v>
      </c>
      <c r="C415" s="185" t="s">
        <v>594</v>
      </c>
      <c r="D415" s="3" t="s">
        <v>595</v>
      </c>
      <c r="E415" s="189" t="s">
        <v>269</v>
      </c>
      <c r="F415" s="185" t="s">
        <v>599</v>
      </c>
      <c r="G415" s="3" t="s">
        <v>600</v>
      </c>
      <c r="H415" s="3" t="s">
        <v>121</v>
      </c>
      <c r="I415" s="3" t="s">
        <v>122</v>
      </c>
      <c r="J415" s="3" t="s">
        <v>30</v>
      </c>
      <c r="K415" s="3" t="s">
        <v>30</v>
      </c>
      <c r="L415" s="3" t="s">
        <v>123</v>
      </c>
      <c r="M415" s="3" t="s">
        <v>31</v>
      </c>
      <c r="N415" s="3" t="s">
        <v>139</v>
      </c>
      <c r="O415" s="3" t="s">
        <v>125</v>
      </c>
      <c r="P415" s="3" t="s">
        <v>165</v>
      </c>
      <c r="Q415" s="3" t="s">
        <v>146</v>
      </c>
      <c r="R415" s="3" t="s">
        <v>128</v>
      </c>
      <c r="S415" s="3" t="s">
        <v>34</v>
      </c>
      <c r="T415" s="143">
        <v>1.419</v>
      </c>
      <c r="U415" s="3" t="s">
        <v>244</v>
      </c>
      <c r="V415" s="155">
        <v>6.3500000000000001E-2</v>
      </c>
      <c r="W415" s="155">
        <v>5.0569999999999997E-2</v>
      </c>
      <c r="X415" s="5" t="s">
        <v>129</v>
      </c>
      <c r="Y415" s="5" t="s">
        <v>125</v>
      </c>
      <c r="Z415" s="143">
        <v>961270</v>
      </c>
      <c r="AA415" s="153">
        <v>1</v>
      </c>
      <c r="AB415" s="163">
        <v>101.93</v>
      </c>
      <c r="AD415" s="143">
        <v>979.82299999999998</v>
      </c>
      <c r="AG415" s="3" t="s">
        <v>36</v>
      </c>
      <c r="AH415" s="155">
        <v>2.4169999999999999E-3</v>
      </c>
      <c r="AI415" s="155">
        <v>4.7285972581384804E-3</v>
      </c>
      <c r="AJ415" s="155">
        <v>8.4078368344093102E-4</v>
      </c>
    </row>
    <row r="416" spans="1:36">
      <c r="A416" s="3">
        <v>337</v>
      </c>
      <c r="B416" s="3">
        <v>9963</v>
      </c>
      <c r="C416" s="185" t="s">
        <v>594</v>
      </c>
      <c r="D416" s="3" t="s">
        <v>595</v>
      </c>
      <c r="E416" s="189" t="s">
        <v>269</v>
      </c>
      <c r="F416" s="185" t="s">
        <v>601</v>
      </c>
      <c r="G416" s="3" t="s">
        <v>602</v>
      </c>
      <c r="H416" s="3" t="s">
        <v>121</v>
      </c>
      <c r="I416" s="3" t="s">
        <v>122</v>
      </c>
      <c r="J416" s="3" t="s">
        <v>30</v>
      </c>
      <c r="K416" s="3" t="s">
        <v>30</v>
      </c>
      <c r="L416" s="3" t="s">
        <v>123</v>
      </c>
      <c r="M416" s="3" t="s">
        <v>31</v>
      </c>
      <c r="N416" s="3" t="s">
        <v>139</v>
      </c>
      <c r="O416" s="3" t="s">
        <v>125</v>
      </c>
      <c r="P416" s="3" t="s">
        <v>165</v>
      </c>
      <c r="Q416" s="3" t="s">
        <v>146</v>
      </c>
      <c r="R416" s="3" t="s">
        <v>128</v>
      </c>
      <c r="S416" s="3" t="s">
        <v>34</v>
      </c>
      <c r="T416" s="143">
        <v>2.992</v>
      </c>
      <c r="U416" s="3" t="s">
        <v>603</v>
      </c>
      <c r="V416" s="155">
        <v>6.25E-2</v>
      </c>
      <c r="W416" s="155">
        <v>4.9709999999999997E-2</v>
      </c>
      <c r="X416" s="5" t="s">
        <v>129</v>
      </c>
      <c r="Y416" s="5" t="s">
        <v>125</v>
      </c>
      <c r="Z416" s="143">
        <v>968000</v>
      </c>
      <c r="AA416" s="153">
        <v>1</v>
      </c>
      <c r="AB416" s="163">
        <v>105.34</v>
      </c>
      <c r="AD416" s="143">
        <v>1019.691</v>
      </c>
      <c r="AG416" s="3" t="s">
        <v>36</v>
      </c>
      <c r="AH416" s="155">
        <v>1.7600000000000001E-3</v>
      </c>
      <c r="AI416" s="155">
        <v>4.92100248599814E-3</v>
      </c>
      <c r="AJ416" s="155">
        <v>8.74994923553356E-4</v>
      </c>
    </row>
    <row r="417" spans="1:36">
      <c r="A417" s="3">
        <v>337</v>
      </c>
      <c r="B417" s="3">
        <v>9963</v>
      </c>
      <c r="C417" s="185" t="s">
        <v>604</v>
      </c>
      <c r="D417" s="3" t="s">
        <v>605</v>
      </c>
      <c r="E417" s="189" t="s">
        <v>118</v>
      </c>
      <c r="F417" s="185" t="s">
        <v>606</v>
      </c>
      <c r="G417" s="3" t="s">
        <v>607</v>
      </c>
      <c r="H417" s="3" t="s">
        <v>121</v>
      </c>
      <c r="I417" s="3" t="s">
        <v>132</v>
      </c>
      <c r="J417" s="3" t="s">
        <v>30</v>
      </c>
      <c r="K417" s="3" t="s">
        <v>30</v>
      </c>
      <c r="L417" s="3" t="s">
        <v>123</v>
      </c>
      <c r="M417" s="3" t="s">
        <v>31</v>
      </c>
      <c r="N417" s="3" t="s">
        <v>228</v>
      </c>
      <c r="O417" s="3" t="s">
        <v>125</v>
      </c>
      <c r="P417" s="3" t="s">
        <v>178</v>
      </c>
      <c r="Q417" s="3" t="s">
        <v>178</v>
      </c>
      <c r="R417" s="3" t="s">
        <v>178</v>
      </c>
      <c r="S417" s="3" t="s">
        <v>34</v>
      </c>
      <c r="T417" s="143">
        <v>1.639</v>
      </c>
      <c r="U417" s="3" t="s">
        <v>385</v>
      </c>
      <c r="V417" s="155">
        <v>2.3E-2</v>
      </c>
      <c r="W417" s="155">
        <v>2.5600000000000001E-2</v>
      </c>
      <c r="X417" s="5" t="s">
        <v>129</v>
      </c>
      <c r="Y417" s="5" t="s">
        <v>125</v>
      </c>
      <c r="Z417" s="143">
        <v>0.26</v>
      </c>
      <c r="AA417" s="153">
        <v>1</v>
      </c>
      <c r="AB417" s="163">
        <v>114.4</v>
      </c>
      <c r="AD417" s="143">
        <v>0</v>
      </c>
      <c r="AG417" s="3" t="s">
        <v>36</v>
      </c>
      <c r="AH417" s="155">
        <v>0</v>
      </c>
      <c r="AI417" s="155">
        <v>1.4354374926794402E-9</v>
      </c>
      <c r="AJ417" s="155">
        <v>2.5523265284795103E-10</v>
      </c>
    </row>
    <row r="418" spans="1:36">
      <c r="A418" s="3">
        <v>337</v>
      </c>
      <c r="B418" s="3">
        <v>9963</v>
      </c>
      <c r="C418" s="185" t="s">
        <v>612</v>
      </c>
      <c r="D418" s="3" t="s">
        <v>613</v>
      </c>
      <c r="E418" s="189" t="s">
        <v>269</v>
      </c>
      <c r="F418" s="185" t="s">
        <v>614</v>
      </c>
      <c r="G418" s="3" t="s">
        <v>615</v>
      </c>
      <c r="H418" s="3" t="s">
        <v>121</v>
      </c>
      <c r="I418" s="3" t="s">
        <v>410</v>
      </c>
      <c r="J418" s="3" t="s">
        <v>30</v>
      </c>
      <c r="K418" s="3" t="s">
        <v>80</v>
      </c>
      <c r="L418" s="3" t="s">
        <v>123</v>
      </c>
      <c r="M418" s="3" t="s">
        <v>31</v>
      </c>
      <c r="N418" s="3" t="s">
        <v>242</v>
      </c>
      <c r="O418" s="3" t="s">
        <v>125</v>
      </c>
      <c r="P418" s="3" t="s">
        <v>422</v>
      </c>
      <c r="Q418" s="3" t="s">
        <v>127</v>
      </c>
      <c r="R418" s="3" t="s">
        <v>128</v>
      </c>
      <c r="S418" s="3" t="s">
        <v>34</v>
      </c>
      <c r="T418" s="143">
        <v>0.64900000000000002</v>
      </c>
      <c r="U418" s="3" t="s">
        <v>616</v>
      </c>
      <c r="V418" s="155">
        <v>7.2720000000000007E-2</v>
      </c>
      <c r="W418" s="155">
        <v>9.1420000000000001E-2</v>
      </c>
      <c r="X418" s="5" t="s">
        <v>129</v>
      </c>
      <c r="Y418" s="5" t="s">
        <v>125</v>
      </c>
      <c r="Z418" s="143">
        <v>1463000</v>
      </c>
      <c r="AA418" s="153">
        <v>1</v>
      </c>
      <c r="AB418" s="163">
        <v>87</v>
      </c>
      <c r="AD418" s="143">
        <v>1272.81</v>
      </c>
      <c r="AG418" s="3" t="s">
        <v>36</v>
      </c>
      <c r="AH418" s="155">
        <v>3.4749999999999998E-3</v>
      </c>
      <c r="AI418" s="155">
        <v>6.1425470516988804E-3</v>
      </c>
      <c r="AJ418" s="155">
        <v>1.0921956457483901E-3</v>
      </c>
    </row>
    <row r="419" spans="1:36">
      <c r="A419" s="3">
        <v>337</v>
      </c>
      <c r="B419" s="3">
        <v>9963</v>
      </c>
      <c r="C419" s="185" t="s">
        <v>617</v>
      </c>
      <c r="D419" s="3" t="s">
        <v>618</v>
      </c>
      <c r="E419" s="189" t="s">
        <v>269</v>
      </c>
      <c r="F419" s="185" t="s">
        <v>619</v>
      </c>
      <c r="G419" s="3" t="s">
        <v>620</v>
      </c>
      <c r="H419" s="3" t="s">
        <v>121</v>
      </c>
      <c r="I419" s="3" t="s">
        <v>122</v>
      </c>
      <c r="J419" s="3" t="s">
        <v>30</v>
      </c>
      <c r="K419" s="3" t="s">
        <v>80</v>
      </c>
      <c r="L419" s="3" t="s">
        <v>123</v>
      </c>
      <c r="M419" s="3" t="s">
        <v>31</v>
      </c>
      <c r="N419" s="3" t="s">
        <v>139</v>
      </c>
      <c r="O419" s="3" t="s">
        <v>125</v>
      </c>
      <c r="P419" s="3" t="s">
        <v>165</v>
      </c>
      <c r="Q419" s="3" t="s">
        <v>146</v>
      </c>
      <c r="R419" s="3" t="s">
        <v>128</v>
      </c>
      <c r="S419" s="3" t="s">
        <v>34</v>
      </c>
      <c r="T419" s="143">
        <v>3.5720000000000001</v>
      </c>
      <c r="U419" s="3" t="s">
        <v>621</v>
      </c>
      <c r="V419" s="155">
        <v>6.7400000000000002E-2</v>
      </c>
      <c r="W419" s="155">
        <v>5.586E-2</v>
      </c>
      <c r="X419" s="5" t="s">
        <v>129</v>
      </c>
      <c r="Y419" s="5" t="s">
        <v>125</v>
      </c>
      <c r="Z419" s="143">
        <v>1907000</v>
      </c>
      <c r="AA419" s="153">
        <v>1</v>
      </c>
      <c r="AB419" s="163">
        <v>104.35</v>
      </c>
      <c r="AD419" s="143">
        <v>1989.9549999999999</v>
      </c>
      <c r="AG419" s="3" t="s">
        <v>36</v>
      </c>
      <c r="AH419" s="155">
        <v>3.375E-3</v>
      </c>
      <c r="AI419" s="155">
        <v>9.60346724726387E-3</v>
      </c>
      <c r="AJ419" s="155">
        <v>1.70757586767656E-3</v>
      </c>
    </row>
    <row r="420" spans="1:36">
      <c r="A420" s="3">
        <v>337</v>
      </c>
      <c r="B420" s="3">
        <v>9963</v>
      </c>
      <c r="C420" s="185" t="s">
        <v>626</v>
      </c>
      <c r="D420" s="3" t="s">
        <v>627</v>
      </c>
      <c r="E420" s="189" t="s">
        <v>118</v>
      </c>
      <c r="F420" s="185" t="s">
        <v>628</v>
      </c>
      <c r="G420" s="3" t="s">
        <v>629</v>
      </c>
      <c r="H420" s="3" t="s">
        <v>121</v>
      </c>
      <c r="I420" s="3" t="s">
        <v>132</v>
      </c>
      <c r="J420" s="3" t="s">
        <v>30</v>
      </c>
      <c r="K420" s="3" t="s">
        <v>30</v>
      </c>
      <c r="L420" s="3" t="s">
        <v>123</v>
      </c>
      <c r="M420" s="3" t="s">
        <v>31</v>
      </c>
      <c r="N420" s="3" t="s">
        <v>171</v>
      </c>
      <c r="O420" s="3" t="s">
        <v>125</v>
      </c>
      <c r="P420" s="3" t="s">
        <v>630</v>
      </c>
      <c r="Q420" s="3" t="s">
        <v>146</v>
      </c>
      <c r="R420" s="3" t="s">
        <v>128</v>
      </c>
      <c r="S420" s="3" t="s">
        <v>34</v>
      </c>
      <c r="T420" s="143">
        <v>2.4470000000000001</v>
      </c>
      <c r="U420" s="3" t="s">
        <v>631</v>
      </c>
      <c r="V420" s="155">
        <v>1.34E-2</v>
      </c>
      <c r="W420" s="155">
        <v>2.5499999999999998E-2</v>
      </c>
      <c r="X420" s="5" t="s">
        <v>129</v>
      </c>
      <c r="Y420" s="5" t="s">
        <v>125</v>
      </c>
      <c r="Z420" s="143">
        <v>1857247.35</v>
      </c>
      <c r="AA420" s="153">
        <v>1</v>
      </c>
      <c r="AB420" s="163">
        <v>116.05</v>
      </c>
      <c r="AC420" s="143">
        <v>263.09500000000003</v>
      </c>
      <c r="AD420" s="143">
        <v>2418.431</v>
      </c>
      <c r="AG420" s="3" t="s">
        <v>36</v>
      </c>
      <c r="AH420" s="155">
        <v>9.3400000000000004E-4</v>
      </c>
      <c r="AI420" s="155">
        <v>1.16712832414221E-2</v>
      </c>
      <c r="AJ420" s="155">
        <v>2.0752506459110801E-3</v>
      </c>
    </row>
    <row r="421" spans="1:36">
      <c r="A421" s="3">
        <v>337</v>
      </c>
      <c r="B421" s="3">
        <v>9963</v>
      </c>
      <c r="C421" s="185" t="s">
        <v>626</v>
      </c>
      <c r="D421" s="3" t="s">
        <v>627</v>
      </c>
      <c r="E421" s="189" t="s">
        <v>118</v>
      </c>
      <c r="F421" s="185" t="s">
        <v>632</v>
      </c>
      <c r="G421" s="3" t="s">
        <v>633</v>
      </c>
      <c r="H421" s="3" t="s">
        <v>121</v>
      </c>
      <c r="I421" s="3" t="s">
        <v>132</v>
      </c>
      <c r="J421" s="3" t="s">
        <v>30</v>
      </c>
      <c r="K421" s="3" t="s">
        <v>30</v>
      </c>
      <c r="L421" s="3" t="s">
        <v>123</v>
      </c>
      <c r="M421" s="3" t="s">
        <v>31</v>
      </c>
      <c r="N421" s="3" t="s">
        <v>171</v>
      </c>
      <c r="O421" s="3" t="s">
        <v>125</v>
      </c>
      <c r="P421" s="3" t="s">
        <v>82</v>
      </c>
      <c r="Q421" s="3" t="s">
        <v>127</v>
      </c>
      <c r="R421" s="3" t="s">
        <v>128</v>
      </c>
      <c r="S421" s="3" t="s">
        <v>34</v>
      </c>
      <c r="T421" s="143">
        <v>1.47</v>
      </c>
      <c r="U421" s="3" t="s">
        <v>179</v>
      </c>
      <c r="V421" s="155">
        <v>1.77E-2</v>
      </c>
      <c r="W421" s="155">
        <v>2.5729999999999999E-2</v>
      </c>
      <c r="X421" s="5" t="s">
        <v>129</v>
      </c>
      <c r="Y421" s="5" t="s">
        <v>125</v>
      </c>
      <c r="Z421" s="143">
        <v>1537035</v>
      </c>
      <c r="AA421" s="153">
        <v>1</v>
      </c>
      <c r="AB421" s="163">
        <v>116.62</v>
      </c>
      <c r="AD421" s="143">
        <v>1792.49</v>
      </c>
      <c r="AG421" s="3" t="s">
        <v>36</v>
      </c>
      <c r="AH421" s="155">
        <v>6.3199999999999997E-4</v>
      </c>
      <c r="AI421" s="155">
        <v>8.6505098935681195E-3</v>
      </c>
      <c r="AJ421" s="155">
        <v>1.5381321721655099E-3</v>
      </c>
    </row>
    <row r="422" spans="1:36">
      <c r="A422" s="3">
        <v>337</v>
      </c>
      <c r="B422" s="3">
        <v>9963</v>
      </c>
      <c r="C422" s="185" t="s">
        <v>626</v>
      </c>
      <c r="D422" s="3" t="s">
        <v>627</v>
      </c>
      <c r="E422" s="189" t="s">
        <v>118</v>
      </c>
      <c r="F422" s="185" t="s">
        <v>634</v>
      </c>
      <c r="G422" s="3" t="s">
        <v>635</v>
      </c>
      <c r="H422" s="3" t="s">
        <v>121</v>
      </c>
      <c r="I422" s="3" t="s">
        <v>132</v>
      </c>
      <c r="J422" s="3" t="s">
        <v>30</v>
      </c>
      <c r="K422" s="3" t="s">
        <v>30</v>
      </c>
      <c r="L422" s="3" t="s">
        <v>123</v>
      </c>
      <c r="M422" s="3" t="s">
        <v>31</v>
      </c>
      <c r="N422" s="3" t="s">
        <v>171</v>
      </c>
      <c r="O422" s="3" t="s">
        <v>125</v>
      </c>
      <c r="P422" s="3" t="s">
        <v>630</v>
      </c>
      <c r="Q422" s="3" t="s">
        <v>146</v>
      </c>
      <c r="R422" s="3" t="s">
        <v>128</v>
      </c>
      <c r="S422" s="3" t="s">
        <v>34</v>
      </c>
      <c r="T422" s="143">
        <v>5.97</v>
      </c>
      <c r="U422" s="3" t="s">
        <v>636</v>
      </c>
      <c r="V422" s="155">
        <v>8.9999999999999993E-3</v>
      </c>
      <c r="W422" s="155">
        <v>2.4170000000000001E-2</v>
      </c>
      <c r="X422" s="5" t="s">
        <v>129</v>
      </c>
      <c r="Y422" s="5" t="s">
        <v>125</v>
      </c>
      <c r="Z422" s="143">
        <v>2624326.5299999998</v>
      </c>
      <c r="AA422" s="153">
        <v>1</v>
      </c>
      <c r="AB422" s="163">
        <v>106.24</v>
      </c>
      <c r="AC422" s="143">
        <v>13.723000000000001</v>
      </c>
      <c r="AD422" s="143">
        <v>2801.808</v>
      </c>
      <c r="AG422" s="3" t="s">
        <v>36</v>
      </c>
      <c r="AH422" s="155">
        <v>9.7400000000000004E-4</v>
      </c>
      <c r="AI422" s="155">
        <v>1.35214486905705E-2</v>
      </c>
      <c r="AJ422" s="155">
        <v>2.4042253579428098E-3</v>
      </c>
    </row>
    <row r="423" spans="1:36">
      <c r="A423" s="3">
        <v>337</v>
      </c>
      <c r="B423" s="3">
        <v>9963</v>
      </c>
      <c r="C423" s="185" t="s">
        <v>626</v>
      </c>
      <c r="D423" s="3" t="s">
        <v>627</v>
      </c>
      <c r="E423" s="189" t="s">
        <v>118</v>
      </c>
      <c r="F423" s="185" t="s">
        <v>848</v>
      </c>
      <c r="G423" s="3" t="s">
        <v>849</v>
      </c>
      <c r="H423" s="3" t="s">
        <v>121</v>
      </c>
      <c r="I423" s="3" t="s">
        <v>132</v>
      </c>
      <c r="J423" s="3" t="s">
        <v>30</v>
      </c>
      <c r="K423" s="3" t="s">
        <v>30</v>
      </c>
      <c r="L423" s="3" t="s">
        <v>123</v>
      </c>
      <c r="M423" s="3" t="s">
        <v>31</v>
      </c>
      <c r="N423" s="3" t="s">
        <v>171</v>
      </c>
      <c r="O423" s="3" t="s">
        <v>125</v>
      </c>
      <c r="P423" s="3" t="s">
        <v>82</v>
      </c>
      <c r="Q423" s="3" t="s">
        <v>127</v>
      </c>
      <c r="R423" s="3" t="s">
        <v>128</v>
      </c>
      <c r="S423" s="3" t="s">
        <v>34</v>
      </c>
      <c r="T423" s="143">
        <v>11.696999999999999</v>
      </c>
      <c r="U423" s="3" t="s">
        <v>850</v>
      </c>
      <c r="V423" s="155">
        <v>3.6700000000000003E-2</v>
      </c>
      <c r="W423" s="155">
        <v>2.9229999999999999E-2</v>
      </c>
      <c r="X423" s="5" t="s">
        <v>129</v>
      </c>
      <c r="Y423" s="5" t="s">
        <v>125</v>
      </c>
      <c r="Z423" s="143">
        <v>1000000</v>
      </c>
      <c r="AA423" s="153">
        <v>1</v>
      </c>
      <c r="AB423" s="163">
        <v>113.25</v>
      </c>
      <c r="AC423" s="143">
        <v>19.045999999999999</v>
      </c>
      <c r="AD423" s="143">
        <v>1151.546</v>
      </c>
      <c r="AG423" s="3" t="s">
        <v>36</v>
      </c>
      <c r="AH423" s="155">
        <v>1.9599999999999999E-4</v>
      </c>
      <c r="AI423" s="155">
        <v>5.5573305655784704E-3</v>
      </c>
      <c r="AJ423" s="155">
        <v>9.8813931657723195E-4</v>
      </c>
    </row>
    <row r="424" spans="1:36">
      <c r="A424" s="3">
        <v>337</v>
      </c>
      <c r="B424" s="3">
        <v>9963</v>
      </c>
      <c r="C424" s="185" t="s">
        <v>640</v>
      </c>
      <c r="D424" s="3" t="s">
        <v>641</v>
      </c>
      <c r="E424" s="189" t="s">
        <v>118</v>
      </c>
      <c r="F424" s="185" t="s">
        <v>642</v>
      </c>
      <c r="G424" s="3" t="s">
        <v>643</v>
      </c>
      <c r="H424" s="3" t="s">
        <v>121</v>
      </c>
      <c r="I424" s="3" t="s">
        <v>122</v>
      </c>
      <c r="J424" s="3" t="s">
        <v>30</v>
      </c>
      <c r="K424" s="3" t="s">
        <v>30</v>
      </c>
      <c r="L424" s="3" t="s">
        <v>123</v>
      </c>
      <c r="M424" s="3" t="s">
        <v>31</v>
      </c>
      <c r="N424" s="3" t="s">
        <v>124</v>
      </c>
      <c r="O424" s="3" t="s">
        <v>125</v>
      </c>
      <c r="P424" s="3" t="s">
        <v>243</v>
      </c>
      <c r="Q424" s="3" t="s">
        <v>127</v>
      </c>
      <c r="R424" s="3" t="s">
        <v>128</v>
      </c>
      <c r="S424" s="3" t="s">
        <v>34</v>
      </c>
      <c r="T424" s="143">
        <v>0.91300000000000003</v>
      </c>
      <c r="U424" s="3" t="s">
        <v>35</v>
      </c>
      <c r="V424" s="155">
        <v>0.06</v>
      </c>
      <c r="W424" s="155">
        <v>4.8739999999999999E-2</v>
      </c>
      <c r="X424" s="5" t="s">
        <v>129</v>
      </c>
      <c r="Y424" s="5" t="s">
        <v>125</v>
      </c>
      <c r="Z424" s="143">
        <v>7.0000000000000007E-2</v>
      </c>
      <c r="AA424" s="153">
        <v>1</v>
      </c>
      <c r="AB424" s="163">
        <v>101.59</v>
      </c>
      <c r="AD424" s="143">
        <v>0</v>
      </c>
      <c r="AG424" s="3" t="s">
        <v>36</v>
      </c>
      <c r="AH424" s="155">
        <v>0</v>
      </c>
      <c r="AI424" s="155">
        <v>3.4318943792668401E-10</v>
      </c>
      <c r="AJ424" s="155">
        <v>6.102191918362129E-11</v>
      </c>
    </row>
    <row r="425" spans="1:36">
      <c r="A425" s="3">
        <v>337</v>
      </c>
      <c r="B425" s="3">
        <v>9963</v>
      </c>
      <c r="C425" s="185" t="s">
        <v>851</v>
      </c>
      <c r="D425" s="3" t="s">
        <v>852</v>
      </c>
      <c r="E425" s="189" t="s">
        <v>118</v>
      </c>
      <c r="F425" s="185" t="s">
        <v>853</v>
      </c>
      <c r="G425" s="3" t="s">
        <v>854</v>
      </c>
      <c r="H425" s="3" t="s">
        <v>121</v>
      </c>
      <c r="I425" s="3" t="s">
        <v>132</v>
      </c>
      <c r="J425" s="3" t="s">
        <v>30</v>
      </c>
      <c r="K425" s="3" t="s">
        <v>30</v>
      </c>
      <c r="L425" s="3" t="s">
        <v>123</v>
      </c>
      <c r="M425" s="3" t="s">
        <v>31</v>
      </c>
      <c r="N425" s="3" t="s">
        <v>228</v>
      </c>
      <c r="O425" s="3" t="s">
        <v>125</v>
      </c>
      <c r="P425" s="3" t="s">
        <v>178</v>
      </c>
      <c r="Q425" s="3" t="s">
        <v>178</v>
      </c>
      <c r="R425" s="3" t="s">
        <v>178</v>
      </c>
      <c r="S425" s="3" t="s">
        <v>34</v>
      </c>
      <c r="T425" s="143">
        <v>1.5820000000000001</v>
      </c>
      <c r="U425" s="3" t="s">
        <v>385</v>
      </c>
      <c r="V425" s="155">
        <v>2.9499999999999998E-2</v>
      </c>
      <c r="W425" s="155">
        <v>3.5680000000000003E-2</v>
      </c>
      <c r="X425" s="5" t="s">
        <v>129</v>
      </c>
      <c r="Y425" s="5" t="s">
        <v>125</v>
      </c>
      <c r="Z425" s="143">
        <v>448731.46</v>
      </c>
      <c r="AA425" s="153">
        <v>1</v>
      </c>
      <c r="AB425" s="163">
        <v>112.17</v>
      </c>
      <c r="AD425" s="143">
        <v>503.34199999999998</v>
      </c>
      <c r="AG425" s="3" t="s">
        <v>36</v>
      </c>
      <c r="AH425" s="155">
        <v>2.2659999999999998E-3</v>
      </c>
      <c r="AI425" s="155">
        <v>2.4291154228864502E-3</v>
      </c>
      <c r="AJ425" s="155">
        <v>4.31916803496533E-4</v>
      </c>
    </row>
    <row r="426" spans="1:36">
      <c r="A426" s="3">
        <v>337</v>
      </c>
      <c r="B426" s="3">
        <v>9963</v>
      </c>
      <c r="C426" s="185" t="s">
        <v>644</v>
      </c>
      <c r="D426" s="3" t="s">
        <v>645</v>
      </c>
      <c r="E426" s="189" t="s">
        <v>118</v>
      </c>
      <c r="F426" s="185" t="s">
        <v>646</v>
      </c>
      <c r="G426" s="3" t="s">
        <v>647</v>
      </c>
      <c r="H426" s="3" t="s">
        <v>121</v>
      </c>
      <c r="I426" s="3" t="s">
        <v>132</v>
      </c>
      <c r="J426" s="3" t="s">
        <v>30</v>
      </c>
      <c r="K426" s="3" t="s">
        <v>30</v>
      </c>
      <c r="L426" s="3" t="s">
        <v>123</v>
      </c>
      <c r="M426" s="3" t="s">
        <v>31</v>
      </c>
      <c r="N426" s="3" t="s">
        <v>316</v>
      </c>
      <c r="O426" s="3" t="s">
        <v>125</v>
      </c>
      <c r="P426" s="3" t="s">
        <v>357</v>
      </c>
      <c r="Q426" s="3" t="s">
        <v>146</v>
      </c>
      <c r="R426" s="3" t="s">
        <v>128</v>
      </c>
      <c r="S426" s="3" t="s">
        <v>34</v>
      </c>
      <c r="T426" s="143">
        <v>3.3740000000000001</v>
      </c>
      <c r="U426" s="3" t="s">
        <v>648</v>
      </c>
      <c r="V426" s="155">
        <v>1E-3</v>
      </c>
      <c r="W426" s="155">
        <v>2.1420000000000002E-2</v>
      </c>
      <c r="X426" s="5" t="s">
        <v>129</v>
      </c>
      <c r="Y426" s="5" t="s">
        <v>125</v>
      </c>
      <c r="Z426" s="143">
        <v>474521.57</v>
      </c>
      <c r="AA426" s="153">
        <v>1</v>
      </c>
      <c r="AB426" s="163">
        <v>107.43</v>
      </c>
      <c r="AD426" s="143">
        <v>509.779</v>
      </c>
      <c r="AG426" s="3" t="s">
        <v>36</v>
      </c>
      <c r="AH426" s="155">
        <v>5.6300000000000002E-4</v>
      </c>
      <c r="AI426" s="155">
        <v>2.4601775295050401E-3</v>
      </c>
      <c r="AJ426" s="155">
        <v>4.3743990284132598E-4</v>
      </c>
    </row>
    <row r="427" spans="1:36">
      <c r="A427" s="3">
        <v>337</v>
      </c>
      <c r="B427" s="3">
        <v>9963</v>
      </c>
      <c r="C427" s="185" t="s">
        <v>644</v>
      </c>
      <c r="D427" s="3" t="s">
        <v>645</v>
      </c>
      <c r="E427" s="189" t="s">
        <v>118</v>
      </c>
      <c r="F427" s="185" t="s">
        <v>855</v>
      </c>
      <c r="G427" s="3" t="s">
        <v>856</v>
      </c>
      <c r="H427" s="3" t="s">
        <v>121</v>
      </c>
      <c r="I427" s="3" t="s">
        <v>132</v>
      </c>
      <c r="J427" s="3" t="s">
        <v>30</v>
      </c>
      <c r="K427" s="3" t="s">
        <v>30</v>
      </c>
      <c r="L427" s="3" t="s">
        <v>123</v>
      </c>
      <c r="M427" s="3" t="s">
        <v>31</v>
      </c>
      <c r="N427" s="3" t="s">
        <v>316</v>
      </c>
      <c r="O427" s="3" t="s">
        <v>125</v>
      </c>
      <c r="P427" s="3" t="s">
        <v>357</v>
      </c>
      <c r="Q427" s="3" t="s">
        <v>146</v>
      </c>
      <c r="R427" s="3" t="s">
        <v>128</v>
      </c>
      <c r="S427" s="3" t="s">
        <v>34</v>
      </c>
      <c r="T427" s="143">
        <v>3.7730000000000001</v>
      </c>
      <c r="U427" s="3" t="s">
        <v>857</v>
      </c>
      <c r="V427" s="155">
        <v>1.3899999999999999E-2</v>
      </c>
      <c r="W427" s="155">
        <v>2.1940000000000001E-2</v>
      </c>
      <c r="X427" s="5" t="s">
        <v>129</v>
      </c>
      <c r="Y427" s="5" t="s">
        <v>125</v>
      </c>
      <c r="Z427" s="143">
        <v>1386700</v>
      </c>
      <c r="AA427" s="153">
        <v>1</v>
      </c>
      <c r="AB427" s="163">
        <v>106.41</v>
      </c>
      <c r="AD427" s="143">
        <v>1475.587</v>
      </c>
      <c r="AG427" s="3" t="s">
        <v>36</v>
      </c>
      <c r="AH427" s="155">
        <v>9.9099999999999991E-4</v>
      </c>
      <c r="AI427" s="155">
        <v>7.1211457038932004E-3</v>
      </c>
      <c r="AJ427" s="155">
        <v>1.2661985761071E-3</v>
      </c>
    </row>
    <row r="428" spans="1:36">
      <c r="A428" s="3">
        <v>337</v>
      </c>
      <c r="B428" s="3">
        <v>9963</v>
      </c>
      <c r="C428" s="185" t="s">
        <v>644</v>
      </c>
      <c r="D428" s="3" t="s">
        <v>645</v>
      </c>
      <c r="E428" s="189" t="s">
        <v>118</v>
      </c>
      <c r="F428" s="185" t="s">
        <v>858</v>
      </c>
      <c r="G428" s="3" t="s">
        <v>859</v>
      </c>
      <c r="H428" s="3" t="s">
        <v>121</v>
      </c>
      <c r="I428" s="3" t="s">
        <v>132</v>
      </c>
      <c r="J428" s="3" t="s">
        <v>30</v>
      </c>
      <c r="K428" s="3" t="s">
        <v>30</v>
      </c>
      <c r="L428" s="3" t="s">
        <v>123</v>
      </c>
      <c r="M428" s="3" t="s">
        <v>31</v>
      </c>
      <c r="N428" s="3" t="s">
        <v>316</v>
      </c>
      <c r="O428" s="3" t="s">
        <v>125</v>
      </c>
      <c r="P428" s="3" t="s">
        <v>357</v>
      </c>
      <c r="Q428" s="3" t="s">
        <v>146</v>
      </c>
      <c r="R428" s="3" t="s">
        <v>128</v>
      </c>
      <c r="S428" s="3" t="s">
        <v>34</v>
      </c>
      <c r="T428" s="143">
        <v>1.3049999999999999</v>
      </c>
      <c r="U428" s="3" t="s">
        <v>860</v>
      </c>
      <c r="V428" s="155">
        <v>6.0000000000000001E-3</v>
      </c>
      <c r="W428" s="155">
        <v>2.4500000000000001E-2</v>
      </c>
      <c r="X428" s="5" t="s">
        <v>129</v>
      </c>
      <c r="Y428" s="5" t="s">
        <v>125</v>
      </c>
      <c r="Z428" s="143">
        <v>150000</v>
      </c>
      <c r="AA428" s="153">
        <v>1</v>
      </c>
      <c r="AB428" s="163">
        <v>116.67</v>
      </c>
      <c r="AD428" s="143">
        <v>175.005</v>
      </c>
      <c r="AG428" s="3" t="s">
        <v>36</v>
      </c>
      <c r="AH428" s="155">
        <v>2.2499999999999999E-4</v>
      </c>
      <c r="AI428" s="155">
        <v>8.4456945402893E-4</v>
      </c>
      <c r="AJ428" s="155">
        <v>1.5017143091600199E-4</v>
      </c>
    </row>
    <row r="429" spans="1:36">
      <c r="A429" s="3">
        <v>337</v>
      </c>
      <c r="B429" s="3">
        <v>9963</v>
      </c>
      <c r="C429" s="185" t="s">
        <v>644</v>
      </c>
      <c r="D429" s="3" t="s">
        <v>645</v>
      </c>
      <c r="E429" s="189" t="s">
        <v>118</v>
      </c>
      <c r="F429" s="185" t="s">
        <v>652</v>
      </c>
      <c r="G429" s="3" t="s">
        <v>653</v>
      </c>
      <c r="H429" s="3" t="s">
        <v>121</v>
      </c>
      <c r="I429" s="3" t="s">
        <v>132</v>
      </c>
      <c r="J429" s="3" t="s">
        <v>30</v>
      </c>
      <c r="K429" s="3" t="s">
        <v>30</v>
      </c>
      <c r="L429" s="3" t="s">
        <v>123</v>
      </c>
      <c r="M429" s="3" t="s">
        <v>31</v>
      </c>
      <c r="N429" s="3" t="s">
        <v>316</v>
      </c>
      <c r="O429" s="3" t="s">
        <v>125</v>
      </c>
      <c r="P429" s="3" t="s">
        <v>145</v>
      </c>
      <c r="Q429" s="3" t="s">
        <v>146</v>
      </c>
      <c r="R429" s="3" t="s">
        <v>128</v>
      </c>
      <c r="S429" s="3" t="s">
        <v>34</v>
      </c>
      <c r="T429" s="143">
        <v>9.8170000000000002</v>
      </c>
      <c r="U429" s="3" t="s">
        <v>654</v>
      </c>
      <c r="V429" s="155">
        <v>3.1899999999999998E-2</v>
      </c>
      <c r="W429" s="155">
        <v>3.014E-2</v>
      </c>
      <c r="X429" s="5" t="s">
        <v>129</v>
      </c>
      <c r="Y429" s="5" t="s">
        <v>125</v>
      </c>
      <c r="Z429" s="143">
        <v>1100000</v>
      </c>
      <c r="AA429" s="153">
        <v>1</v>
      </c>
      <c r="AB429" s="163">
        <v>102.94</v>
      </c>
      <c r="AD429" s="143">
        <v>1132.3399999999999</v>
      </c>
      <c r="AG429" s="3" t="s">
        <v>36</v>
      </c>
      <c r="AH429" s="155">
        <v>1.16E-3</v>
      </c>
      <c r="AI429" s="155">
        <v>5.4646425849268201E-3</v>
      </c>
      <c r="AJ429" s="155">
        <v>9.7165862737307897E-4</v>
      </c>
    </row>
    <row r="430" spans="1:36">
      <c r="A430" s="3">
        <v>337</v>
      </c>
      <c r="B430" s="3">
        <v>9963</v>
      </c>
      <c r="C430" s="185" t="s">
        <v>644</v>
      </c>
      <c r="D430" s="3" t="s">
        <v>645</v>
      </c>
      <c r="E430" s="189" t="s">
        <v>118</v>
      </c>
      <c r="F430" s="185" t="s">
        <v>655</v>
      </c>
      <c r="G430" s="3" t="s">
        <v>656</v>
      </c>
      <c r="H430" s="3" t="s">
        <v>121</v>
      </c>
      <c r="I430" s="3" t="s">
        <v>132</v>
      </c>
      <c r="J430" s="3" t="s">
        <v>30</v>
      </c>
      <c r="K430" s="3" t="s">
        <v>30</v>
      </c>
      <c r="L430" s="3" t="s">
        <v>123</v>
      </c>
      <c r="M430" s="3" t="s">
        <v>31</v>
      </c>
      <c r="N430" s="3" t="s">
        <v>316</v>
      </c>
      <c r="O430" s="3" t="s">
        <v>125</v>
      </c>
      <c r="P430" s="3" t="s">
        <v>145</v>
      </c>
      <c r="Q430" s="3" t="s">
        <v>146</v>
      </c>
      <c r="R430" s="3" t="s">
        <v>128</v>
      </c>
      <c r="S430" s="3" t="s">
        <v>34</v>
      </c>
      <c r="T430" s="143">
        <v>6.2679999999999998</v>
      </c>
      <c r="U430" s="3" t="s">
        <v>657</v>
      </c>
      <c r="V430" s="155">
        <v>3.4500000000000003E-2</v>
      </c>
      <c r="W430" s="155">
        <v>2.657E-2</v>
      </c>
      <c r="X430" s="5" t="s">
        <v>129</v>
      </c>
      <c r="Y430" s="5" t="s">
        <v>125</v>
      </c>
      <c r="Z430" s="143">
        <v>2000000</v>
      </c>
      <c r="AA430" s="153">
        <v>1</v>
      </c>
      <c r="AB430" s="163">
        <v>107.34</v>
      </c>
      <c r="AD430" s="143">
        <v>2146.8000000000002</v>
      </c>
      <c r="AG430" s="3" t="s">
        <v>36</v>
      </c>
      <c r="AH430" s="155">
        <v>1.359E-3</v>
      </c>
      <c r="AI430" s="155">
        <v>1.03603994394978E-2</v>
      </c>
      <c r="AJ430" s="155">
        <v>1.8421646689550199E-3</v>
      </c>
    </row>
    <row r="431" spans="1:36">
      <c r="A431" s="3">
        <v>337</v>
      </c>
      <c r="B431" s="3">
        <v>9963</v>
      </c>
      <c r="C431" s="185" t="s">
        <v>644</v>
      </c>
      <c r="D431" s="3" t="s">
        <v>645</v>
      </c>
      <c r="E431" s="189" t="s">
        <v>118</v>
      </c>
      <c r="F431" s="185" t="s">
        <v>861</v>
      </c>
      <c r="G431" s="3" t="s">
        <v>862</v>
      </c>
      <c r="H431" s="3" t="s">
        <v>121</v>
      </c>
      <c r="I431" s="3" t="s">
        <v>132</v>
      </c>
      <c r="J431" s="3" t="s">
        <v>30</v>
      </c>
      <c r="K431" s="3" t="s">
        <v>30</v>
      </c>
      <c r="L431" s="3" t="s">
        <v>123</v>
      </c>
      <c r="M431" s="3" t="s">
        <v>31</v>
      </c>
      <c r="N431" s="3" t="s">
        <v>316</v>
      </c>
      <c r="O431" s="3" t="s">
        <v>125</v>
      </c>
      <c r="P431" s="3" t="s">
        <v>145</v>
      </c>
      <c r="Q431" s="3" t="s">
        <v>146</v>
      </c>
      <c r="R431" s="3" t="s">
        <v>128</v>
      </c>
      <c r="S431" s="3" t="s">
        <v>34</v>
      </c>
      <c r="T431" s="143">
        <v>2.1720000000000002</v>
      </c>
      <c r="U431" s="3" t="s">
        <v>863</v>
      </c>
      <c r="V431" s="155">
        <v>8.3999999999999995E-3</v>
      </c>
      <c r="W431" s="155">
        <v>2.5229999999999999E-2</v>
      </c>
      <c r="X431" s="5" t="s">
        <v>129</v>
      </c>
      <c r="Y431" s="5" t="s">
        <v>125</v>
      </c>
      <c r="Z431" s="143">
        <v>2100000</v>
      </c>
      <c r="AA431" s="153">
        <v>1</v>
      </c>
      <c r="AB431" s="163">
        <v>111.32</v>
      </c>
      <c r="AD431" s="143">
        <v>2337.7199999999998</v>
      </c>
      <c r="AG431" s="3" t="s">
        <v>36</v>
      </c>
      <c r="AH431" s="155">
        <v>5.2810000000000001E-3</v>
      </c>
      <c r="AI431" s="155">
        <v>1.1281774258292699E-2</v>
      </c>
      <c r="AJ431" s="155">
        <v>2.00599272867036E-3</v>
      </c>
    </row>
    <row r="432" spans="1:36">
      <c r="A432" s="3">
        <v>337</v>
      </c>
      <c r="B432" s="3">
        <v>9963</v>
      </c>
      <c r="C432" s="185" t="s">
        <v>658</v>
      </c>
      <c r="D432" s="3" t="s">
        <v>659</v>
      </c>
      <c r="E432" s="189" t="s">
        <v>118</v>
      </c>
      <c r="F432" s="185" t="s">
        <v>660</v>
      </c>
      <c r="G432" s="3" t="s">
        <v>661</v>
      </c>
      <c r="H432" s="3" t="s">
        <v>121</v>
      </c>
      <c r="I432" s="3" t="s">
        <v>122</v>
      </c>
      <c r="J432" s="3" t="s">
        <v>30</v>
      </c>
      <c r="K432" s="3" t="s">
        <v>30</v>
      </c>
      <c r="L432" s="3" t="s">
        <v>123</v>
      </c>
      <c r="M432" s="3" t="s">
        <v>31</v>
      </c>
      <c r="N432" s="3" t="s">
        <v>662</v>
      </c>
      <c r="O432" s="3" t="s">
        <v>125</v>
      </c>
      <c r="P432" s="3" t="s">
        <v>145</v>
      </c>
      <c r="Q432" s="3" t="s">
        <v>146</v>
      </c>
      <c r="R432" s="3" t="s">
        <v>128</v>
      </c>
      <c r="S432" s="3" t="s">
        <v>34</v>
      </c>
      <c r="T432" s="143">
        <v>0.90900000000000003</v>
      </c>
      <c r="U432" s="3" t="s">
        <v>663</v>
      </c>
      <c r="V432" s="155">
        <v>2.29E-2</v>
      </c>
      <c r="W432" s="155">
        <v>4.4609999999999997E-2</v>
      </c>
      <c r="X432" s="5" t="s">
        <v>129</v>
      </c>
      <c r="Y432" s="5" t="s">
        <v>125</v>
      </c>
      <c r="Z432" s="143">
        <v>483173.07</v>
      </c>
      <c r="AA432" s="153">
        <v>1</v>
      </c>
      <c r="AB432" s="163">
        <v>98.31</v>
      </c>
      <c r="AD432" s="143">
        <v>475.00700000000001</v>
      </c>
      <c r="AG432" s="3" t="s">
        <v>36</v>
      </c>
      <c r="AH432" s="155">
        <v>2.9169999999999999E-3</v>
      </c>
      <c r="AI432" s="155">
        <v>2.2923732383768598E-3</v>
      </c>
      <c r="AJ432" s="155">
        <v>4.0760291265377598E-4</v>
      </c>
    </row>
    <row r="433" spans="1:36">
      <c r="A433" s="3">
        <v>337</v>
      </c>
      <c r="B433" s="3">
        <v>9963</v>
      </c>
      <c r="C433" s="185" t="s">
        <v>664</v>
      </c>
      <c r="D433" s="3" t="s">
        <v>665</v>
      </c>
      <c r="E433" s="189" t="s">
        <v>118</v>
      </c>
      <c r="F433" s="185" t="s">
        <v>666</v>
      </c>
      <c r="G433" s="3" t="s">
        <v>667</v>
      </c>
      <c r="H433" s="3" t="s">
        <v>121</v>
      </c>
      <c r="I433" s="3" t="s">
        <v>122</v>
      </c>
      <c r="J433" s="3" t="s">
        <v>30</v>
      </c>
      <c r="K433" s="3" t="s">
        <v>30</v>
      </c>
      <c r="L433" s="3" t="s">
        <v>123</v>
      </c>
      <c r="M433" s="3" t="s">
        <v>31</v>
      </c>
      <c r="N433" s="3" t="s">
        <v>159</v>
      </c>
      <c r="O433" s="3" t="s">
        <v>125</v>
      </c>
      <c r="P433" s="3" t="s">
        <v>165</v>
      </c>
      <c r="Q433" s="3" t="s">
        <v>146</v>
      </c>
      <c r="R433" s="3" t="s">
        <v>128</v>
      </c>
      <c r="S433" s="3" t="s">
        <v>34</v>
      </c>
      <c r="T433" s="143">
        <v>5.0960000000000001</v>
      </c>
      <c r="U433" s="3" t="s">
        <v>668</v>
      </c>
      <c r="V433" s="155">
        <v>5.1499999999999997E-2</v>
      </c>
      <c r="W433" s="155">
        <v>4.2450000000000002E-2</v>
      </c>
      <c r="X433" s="5" t="s">
        <v>129</v>
      </c>
      <c r="Y433" s="5" t="s">
        <v>125</v>
      </c>
      <c r="Z433" s="143">
        <v>1500000</v>
      </c>
      <c r="AA433" s="153">
        <v>1</v>
      </c>
      <c r="AB433" s="163">
        <v>105.7</v>
      </c>
      <c r="AD433" s="143">
        <v>1585.5</v>
      </c>
      <c r="AG433" s="3" t="s">
        <v>36</v>
      </c>
      <c r="AH433" s="155">
        <v>1.505E-3</v>
      </c>
      <c r="AI433" s="155">
        <v>7.6515806369124801E-3</v>
      </c>
      <c r="AJ433" s="155">
        <v>1.36051429226206E-3</v>
      </c>
    </row>
    <row r="434" spans="1:36">
      <c r="A434" s="3">
        <v>337</v>
      </c>
      <c r="B434" s="3">
        <v>9963</v>
      </c>
      <c r="C434" s="185" t="s">
        <v>664</v>
      </c>
      <c r="D434" s="3" t="s">
        <v>665</v>
      </c>
      <c r="E434" s="189" t="s">
        <v>118</v>
      </c>
      <c r="F434" s="185" t="s">
        <v>669</v>
      </c>
      <c r="G434" s="3" t="s">
        <v>670</v>
      </c>
      <c r="H434" s="3" t="s">
        <v>121</v>
      </c>
      <c r="I434" s="3" t="s">
        <v>132</v>
      </c>
      <c r="J434" s="3" t="s">
        <v>30</v>
      </c>
      <c r="K434" s="3" t="s">
        <v>30</v>
      </c>
      <c r="L434" s="3" t="s">
        <v>123</v>
      </c>
      <c r="M434" s="3" t="s">
        <v>31</v>
      </c>
      <c r="N434" s="3" t="s">
        <v>159</v>
      </c>
      <c r="O434" s="3" t="s">
        <v>125</v>
      </c>
      <c r="P434" s="3" t="s">
        <v>145</v>
      </c>
      <c r="Q434" s="3" t="s">
        <v>146</v>
      </c>
      <c r="R434" s="3" t="s">
        <v>128</v>
      </c>
      <c r="S434" s="3" t="s">
        <v>34</v>
      </c>
      <c r="T434" s="143">
        <v>5.7039999999999997</v>
      </c>
      <c r="U434" s="3" t="s">
        <v>671</v>
      </c>
      <c r="V434" s="155">
        <v>2.0899999999999998E-2</v>
      </c>
      <c r="W434" s="155">
        <v>2.4760000000000001E-2</v>
      </c>
      <c r="X434" s="5" t="s">
        <v>129</v>
      </c>
      <c r="Y434" s="5" t="s">
        <v>125</v>
      </c>
      <c r="Z434" s="143">
        <v>4100000</v>
      </c>
      <c r="AA434" s="153">
        <v>1</v>
      </c>
      <c r="AB434" s="163">
        <v>114.75</v>
      </c>
      <c r="AD434" s="143">
        <v>4704.75</v>
      </c>
      <c r="AG434" s="3" t="s">
        <v>36</v>
      </c>
      <c r="AH434" s="155">
        <v>2.6559999999999999E-3</v>
      </c>
      <c r="AI434" s="155">
        <v>2.2704997793449401E-2</v>
      </c>
      <c r="AJ434" s="155">
        <v>4.0371363081172602E-3</v>
      </c>
    </row>
    <row r="435" spans="1:36">
      <c r="A435" s="3">
        <v>337</v>
      </c>
      <c r="B435" s="3">
        <v>9963</v>
      </c>
      <c r="C435" s="185" t="s">
        <v>672</v>
      </c>
      <c r="D435" s="3" t="s">
        <v>673</v>
      </c>
      <c r="E435" s="189" t="s">
        <v>118</v>
      </c>
      <c r="F435" s="185" t="s">
        <v>674</v>
      </c>
      <c r="G435" s="3" t="s">
        <v>675</v>
      </c>
      <c r="H435" s="3" t="s">
        <v>121</v>
      </c>
      <c r="I435" s="3" t="s">
        <v>122</v>
      </c>
      <c r="J435" s="3" t="s">
        <v>30</v>
      </c>
      <c r="K435" s="3" t="s">
        <v>30</v>
      </c>
      <c r="L435" s="3" t="s">
        <v>123</v>
      </c>
      <c r="M435" s="3" t="s">
        <v>31</v>
      </c>
      <c r="N435" s="3" t="s">
        <v>139</v>
      </c>
      <c r="O435" s="3" t="s">
        <v>125</v>
      </c>
      <c r="P435" s="3" t="s">
        <v>126</v>
      </c>
      <c r="Q435" s="3" t="s">
        <v>127</v>
      </c>
      <c r="R435" s="3" t="s">
        <v>128</v>
      </c>
      <c r="S435" s="3" t="s">
        <v>34</v>
      </c>
      <c r="T435" s="143">
        <v>5.3339999999999996</v>
      </c>
      <c r="U435" s="3" t="s">
        <v>676</v>
      </c>
      <c r="V435" s="155">
        <v>5.5899999999999998E-2</v>
      </c>
      <c r="W435" s="155">
        <v>4.7629999999999999E-2</v>
      </c>
      <c r="X435" s="5" t="s">
        <v>129</v>
      </c>
      <c r="Y435" s="5" t="s">
        <v>125</v>
      </c>
      <c r="Z435" s="143">
        <v>2803000</v>
      </c>
      <c r="AA435" s="153">
        <v>1</v>
      </c>
      <c r="AB435" s="163">
        <v>106.13</v>
      </c>
      <c r="AD435" s="143">
        <v>2974.8240000000001</v>
      </c>
      <c r="AG435" s="3" t="s">
        <v>36</v>
      </c>
      <c r="AH435" s="155">
        <v>6.5240000000000003E-3</v>
      </c>
      <c r="AI435" s="155">
        <v>1.43564206568682E-2</v>
      </c>
      <c r="AJ435" s="155">
        <v>2.55269027619852E-3</v>
      </c>
    </row>
    <row r="436" spans="1:36">
      <c r="A436" s="3">
        <v>337</v>
      </c>
      <c r="B436" s="3">
        <v>9963</v>
      </c>
      <c r="C436" s="185" t="s">
        <v>679</v>
      </c>
      <c r="D436" s="3" t="s">
        <v>680</v>
      </c>
      <c r="E436" s="189" t="s">
        <v>118</v>
      </c>
      <c r="F436" s="185" t="s">
        <v>681</v>
      </c>
      <c r="G436" s="3" t="s">
        <v>682</v>
      </c>
      <c r="H436" s="3" t="s">
        <v>121</v>
      </c>
      <c r="I436" s="3" t="s">
        <v>122</v>
      </c>
      <c r="J436" s="3" t="s">
        <v>30</v>
      </c>
      <c r="K436" s="3" t="s">
        <v>30</v>
      </c>
      <c r="L436" s="3" t="s">
        <v>123</v>
      </c>
      <c r="M436" s="3" t="s">
        <v>31</v>
      </c>
      <c r="N436" s="3" t="s">
        <v>177</v>
      </c>
      <c r="O436" s="3" t="s">
        <v>125</v>
      </c>
      <c r="P436" s="3" t="s">
        <v>126</v>
      </c>
      <c r="Q436" s="3" t="s">
        <v>127</v>
      </c>
      <c r="R436" s="3" t="s">
        <v>128</v>
      </c>
      <c r="S436" s="3" t="s">
        <v>34</v>
      </c>
      <c r="T436" s="143">
        <v>3.5139999999999998</v>
      </c>
      <c r="U436" s="3" t="s">
        <v>683</v>
      </c>
      <c r="V436" s="155">
        <v>6.3299999999999995E-2</v>
      </c>
      <c r="W436" s="155">
        <v>4.7239999999999997E-2</v>
      </c>
      <c r="X436" s="5" t="s">
        <v>129</v>
      </c>
      <c r="Y436" s="5" t="s">
        <v>125</v>
      </c>
      <c r="Z436" s="143">
        <v>1500000</v>
      </c>
      <c r="AA436" s="153">
        <v>1</v>
      </c>
      <c r="AB436" s="163">
        <v>108.04</v>
      </c>
      <c r="AD436" s="143">
        <v>1620.6</v>
      </c>
      <c r="AG436" s="3" t="s">
        <v>36</v>
      </c>
      <c r="AH436" s="155">
        <v>2.2829999999999999E-3</v>
      </c>
      <c r="AI436" s="155">
        <v>7.8209722990730795E-3</v>
      </c>
      <c r="AJ436" s="155">
        <v>1.39063353014184E-3</v>
      </c>
    </row>
    <row r="437" spans="1:36">
      <c r="A437" s="3">
        <v>337</v>
      </c>
      <c r="B437" s="3">
        <v>9963</v>
      </c>
      <c r="C437" s="185" t="s">
        <v>679</v>
      </c>
      <c r="D437" s="3" t="s">
        <v>680</v>
      </c>
      <c r="E437" s="189" t="s">
        <v>118</v>
      </c>
      <c r="F437" s="185" t="s">
        <v>684</v>
      </c>
      <c r="G437" s="3" t="s">
        <v>685</v>
      </c>
      <c r="H437" s="3" t="s">
        <v>121</v>
      </c>
      <c r="I437" s="3" t="s">
        <v>132</v>
      </c>
      <c r="J437" s="3" t="s">
        <v>30</v>
      </c>
      <c r="K437" s="3" t="s">
        <v>30</v>
      </c>
      <c r="L437" s="3" t="s">
        <v>123</v>
      </c>
      <c r="M437" s="3" t="s">
        <v>31</v>
      </c>
      <c r="N437" s="3" t="s">
        <v>177</v>
      </c>
      <c r="O437" s="3" t="s">
        <v>125</v>
      </c>
      <c r="P437" s="3" t="s">
        <v>126</v>
      </c>
      <c r="Q437" s="3" t="s">
        <v>127</v>
      </c>
      <c r="R437" s="3" t="s">
        <v>128</v>
      </c>
      <c r="S437" s="3" t="s">
        <v>34</v>
      </c>
      <c r="T437" s="143">
        <v>3.2549999999999999</v>
      </c>
      <c r="U437" s="3" t="s">
        <v>296</v>
      </c>
      <c r="V437" s="155">
        <v>3.2500000000000001E-2</v>
      </c>
      <c r="W437" s="155">
        <v>2.648E-2</v>
      </c>
      <c r="X437" s="5" t="s">
        <v>129</v>
      </c>
      <c r="Y437" s="5" t="s">
        <v>125</v>
      </c>
      <c r="Z437" s="143">
        <v>573135.49</v>
      </c>
      <c r="AA437" s="153">
        <v>1</v>
      </c>
      <c r="AB437" s="163">
        <v>113.5</v>
      </c>
      <c r="AD437" s="143">
        <v>650.50900000000001</v>
      </c>
      <c r="AG437" s="3" t="s">
        <v>36</v>
      </c>
      <c r="AH437" s="155">
        <v>1.73E-3</v>
      </c>
      <c r="AI437" s="155">
        <v>3.1393379968394099E-3</v>
      </c>
      <c r="AJ437" s="155">
        <v>5.5820024849987098E-4</v>
      </c>
    </row>
    <row r="438" spans="1:36">
      <c r="A438" s="3">
        <v>337</v>
      </c>
      <c r="B438" s="3">
        <v>9963</v>
      </c>
      <c r="C438" s="185" t="s">
        <v>686</v>
      </c>
      <c r="D438" s="3" t="s">
        <v>687</v>
      </c>
      <c r="E438" s="189" t="s">
        <v>118</v>
      </c>
      <c r="F438" s="185" t="s">
        <v>688</v>
      </c>
      <c r="G438" s="3" t="s">
        <v>689</v>
      </c>
      <c r="H438" s="3" t="s">
        <v>121</v>
      </c>
      <c r="I438" s="3" t="s">
        <v>132</v>
      </c>
      <c r="J438" s="3" t="s">
        <v>30</v>
      </c>
      <c r="K438" s="3" t="s">
        <v>30</v>
      </c>
      <c r="L438" s="3" t="s">
        <v>123</v>
      </c>
      <c r="M438" s="3" t="s">
        <v>31</v>
      </c>
      <c r="N438" s="3" t="s">
        <v>209</v>
      </c>
      <c r="O438" s="3" t="s">
        <v>125</v>
      </c>
      <c r="P438" s="3" t="s">
        <v>178</v>
      </c>
      <c r="Q438" s="3" t="s">
        <v>178</v>
      </c>
      <c r="R438" s="3" t="s">
        <v>178</v>
      </c>
      <c r="S438" s="3" t="s">
        <v>34</v>
      </c>
      <c r="T438" s="143">
        <v>6.3710000000000004</v>
      </c>
      <c r="U438" s="3" t="s">
        <v>690</v>
      </c>
      <c r="V438" s="155">
        <v>4.1000000000000002E-2</v>
      </c>
      <c r="W438" s="155">
        <v>3.5310000000000001E-2</v>
      </c>
      <c r="X438" s="5" t="s">
        <v>129</v>
      </c>
      <c r="Y438" s="5" t="s">
        <v>125</v>
      </c>
      <c r="Z438" s="143">
        <v>1195000</v>
      </c>
      <c r="AA438" s="153">
        <v>1</v>
      </c>
      <c r="AB438" s="163">
        <v>104.62</v>
      </c>
      <c r="AD438" s="143">
        <v>1250.2090000000001</v>
      </c>
      <c r="AG438" s="3" t="s">
        <v>36</v>
      </c>
      <c r="AH438" s="155">
        <v>4.2680000000000001E-3</v>
      </c>
      <c r="AI438" s="155">
        <v>6.0334752295766103E-3</v>
      </c>
      <c r="AJ438" s="155">
        <v>1.07280177408682E-3</v>
      </c>
    </row>
    <row r="439" spans="1:36">
      <c r="A439" s="3">
        <v>337</v>
      </c>
      <c r="B439" s="3">
        <v>9963</v>
      </c>
      <c r="C439" s="185" t="s">
        <v>691</v>
      </c>
      <c r="D439" s="3" t="s">
        <v>692</v>
      </c>
      <c r="E439" s="189" t="s">
        <v>118</v>
      </c>
      <c r="F439" s="185" t="s">
        <v>693</v>
      </c>
      <c r="G439" s="3" t="s">
        <v>694</v>
      </c>
      <c r="H439" s="3" t="s">
        <v>121</v>
      </c>
      <c r="I439" s="3" t="s">
        <v>122</v>
      </c>
      <c r="J439" s="3" t="s">
        <v>30</v>
      </c>
      <c r="K439" s="3" t="s">
        <v>30</v>
      </c>
      <c r="L439" s="3" t="s">
        <v>123</v>
      </c>
      <c r="M439" s="3" t="s">
        <v>31</v>
      </c>
      <c r="N439" s="3" t="s">
        <v>695</v>
      </c>
      <c r="O439" s="3" t="s">
        <v>125</v>
      </c>
      <c r="P439" s="3" t="s">
        <v>145</v>
      </c>
      <c r="Q439" s="3" t="s">
        <v>146</v>
      </c>
      <c r="R439" s="3" t="s">
        <v>128</v>
      </c>
      <c r="S439" s="3" t="s">
        <v>34</v>
      </c>
      <c r="T439" s="143">
        <v>3.18</v>
      </c>
      <c r="U439" s="3" t="s">
        <v>696</v>
      </c>
      <c r="V439" s="155">
        <v>5.04E-2</v>
      </c>
      <c r="W439" s="155">
        <v>4.478E-2</v>
      </c>
      <c r="X439" s="5" t="s">
        <v>129</v>
      </c>
      <c r="Y439" s="5" t="s">
        <v>125</v>
      </c>
      <c r="Z439" s="143">
        <v>1500000</v>
      </c>
      <c r="AA439" s="153">
        <v>1</v>
      </c>
      <c r="AB439" s="163">
        <v>104.07</v>
      </c>
      <c r="AD439" s="143">
        <v>1561.05</v>
      </c>
      <c r="AG439" s="3" t="s">
        <v>36</v>
      </c>
      <c r="AH439" s="155">
        <v>3.0300000000000001E-3</v>
      </c>
      <c r="AI439" s="155">
        <v>7.5335855901937799E-3</v>
      </c>
      <c r="AJ439" s="155">
        <v>1.3395337974996401E-3</v>
      </c>
    </row>
    <row r="440" spans="1:36">
      <c r="A440" s="3">
        <v>337</v>
      </c>
      <c r="B440" s="3">
        <v>9963</v>
      </c>
      <c r="C440" s="185" t="s">
        <v>691</v>
      </c>
      <c r="D440" s="3" t="s">
        <v>692</v>
      </c>
      <c r="E440" s="189" t="s">
        <v>118</v>
      </c>
      <c r="F440" s="185" t="s">
        <v>910</v>
      </c>
      <c r="G440" s="3" t="s">
        <v>911</v>
      </c>
      <c r="H440" s="3" t="s">
        <v>121</v>
      </c>
      <c r="I440" s="3" t="s">
        <v>122</v>
      </c>
      <c r="J440" s="3" t="s">
        <v>30</v>
      </c>
      <c r="K440" s="3" t="s">
        <v>30</v>
      </c>
      <c r="L440" s="3" t="s">
        <v>123</v>
      </c>
      <c r="M440" s="3" t="s">
        <v>31</v>
      </c>
      <c r="N440" s="3" t="s">
        <v>695</v>
      </c>
      <c r="O440" s="3" t="s">
        <v>125</v>
      </c>
      <c r="P440" s="3" t="s">
        <v>145</v>
      </c>
      <c r="Q440" s="3" t="s">
        <v>146</v>
      </c>
      <c r="R440" s="3" t="s">
        <v>128</v>
      </c>
      <c r="S440" s="3" t="s">
        <v>34</v>
      </c>
      <c r="T440" s="143">
        <v>1.462</v>
      </c>
      <c r="U440" s="3" t="s">
        <v>154</v>
      </c>
      <c r="V440" s="155">
        <v>2.1499999999999998E-2</v>
      </c>
      <c r="W440" s="155">
        <v>4.4859999999999997E-2</v>
      </c>
      <c r="X440" s="5" t="s">
        <v>129</v>
      </c>
      <c r="Y440" s="5" t="s">
        <v>125</v>
      </c>
      <c r="Z440" s="143">
        <v>891632.17</v>
      </c>
      <c r="AA440" s="153">
        <v>1</v>
      </c>
      <c r="AB440" s="163">
        <v>96.76</v>
      </c>
      <c r="AC440" s="143">
        <v>86.063999999999993</v>
      </c>
      <c r="AD440" s="143">
        <v>948.80700000000002</v>
      </c>
      <c r="AG440" s="3" t="s">
        <v>36</v>
      </c>
      <c r="AH440" s="155">
        <v>1.493E-3</v>
      </c>
      <c r="AI440" s="155">
        <v>4.5789177022171196E-3</v>
      </c>
      <c r="AJ440" s="155">
        <v>8.1416942100892304E-4</v>
      </c>
    </row>
    <row r="441" spans="1:36">
      <c r="A441" s="3">
        <v>337</v>
      </c>
      <c r="B441" s="3">
        <v>9963</v>
      </c>
      <c r="C441" s="185" t="s">
        <v>697</v>
      </c>
      <c r="D441" s="3" t="s">
        <v>698</v>
      </c>
      <c r="E441" s="189" t="s">
        <v>118</v>
      </c>
      <c r="F441" s="185" t="s">
        <v>699</v>
      </c>
      <c r="G441" s="3" t="s">
        <v>700</v>
      </c>
      <c r="H441" s="3" t="s">
        <v>121</v>
      </c>
      <c r="I441" s="3" t="s">
        <v>122</v>
      </c>
      <c r="J441" s="3" t="s">
        <v>30</v>
      </c>
      <c r="K441" s="3" t="s">
        <v>30</v>
      </c>
      <c r="L441" s="3" t="s">
        <v>123</v>
      </c>
      <c r="M441" s="3" t="s">
        <v>31</v>
      </c>
      <c r="N441" s="3" t="s">
        <v>124</v>
      </c>
      <c r="O441" s="3" t="s">
        <v>125</v>
      </c>
      <c r="P441" s="3" t="s">
        <v>198</v>
      </c>
      <c r="Q441" s="3" t="s">
        <v>146</v>
      </c>
      <c r="R441" s="3" t="s">
        <v>128</v>
      </c>
      <c r="S441" s="3" t="s">
        <v>34</v>
      </c>
      <c r="T441" s="143">
        <v>2.266</v>
      </c>
      <c r="U441" s="3" t="s">
        <v>564</v>
      </c>
      <c r="V441" s="155">
        <v>5.3400000000000003E-2</v>
      </c>
      <c r="W441" s="155">
        <v>4.7079999999999997E-2</v>
      </c>
      <c r="X441" s="5" t="s">
        <v>129</v>
      </c>
      <c r="Y441" s="5" t="s">
        <v>125</v>
      </c>
      <c r="Z441" s="143">
        <v>1600000</v>
      </c>
      <c r="AA441" s="153">
        <v>1</v>
      </c>
      <c r="AB441" s="163">
        <v>101.99</v>
      </c>
      <c r="AD441" s="143">
        <v>1631.84</v>
      </c>
      <c r="AG441" s="3" t="s">
        <v>36</v>
      </c>
      <c r="AH441" s="155">
        <v>2.8709999999999999E-3</v>
      </c>
      <c r="AI441" s="155">
        <v>7.8752162387507197E-3</v>
      </c>
      <c r="AJ441" s="155">
        <v>1.4002785510469299E-3</v>
      </c>
    </row>
    <row r="442" spans="1:36">
      <c r="A442" s="3">
        <v>337</v>
      </c>
      <c r="B442" s="3">
        <v>9963</v>
      </c>
      <c r="C442" s="185" t="s">
        <v>701</v>
      </c>
      <c r="D442" s="3" t="s">
        <v>702</v>
      </c>
      <c r="E442" s="189" t="s">
        <v>118</v>
      </c>
      <c r="F442" s="185" t="s">
        <v>703</v>
      </c>
      <c r="G442" s="3" t="s">
        <v>704</v>
      </c>
      <c r="H442" s="3" t="s">
        <v>121</v>
      </c>
      <c r="I442" s="3" t="s">
        <v>132</v>
      </c>
      <c r="J442" s="3" t="s">
        <v>30</v>
      </c>
      <c r="K442" s="3" t="s">
        <v>30</v>
      </c>
      <c r="L442" s="3" t="s">
        <v>123</v>
      </c>
      <c r="M442" s="3" t="s">
        <v>31</v>
      </c>
      <c r="N442" s="3" t="s">
        <v>171</v>
      </c>
      <c r="O442" s="3" t="s">
        <v>125</v>
      </c>
      <c r="P442" s="3" t="s">
        <v>165</v>
      </c>
      <c r="Q442" s="3" t="s">
        <v>146</v>
      </c>
      <c r="R442" s="3" t="s">
        <v>128</v>
      </c>
      <c r="S442" s="3" t="s">
        <v>34</v>
      </c>
      <c r="T442" s="143">
        <v>5.5910000000000002</v>
      </c>
      <c r="U442" s="3" t="s">
        <v>705</v>
      </c>
      <c r="V442" s="155">
        <v>2.5000000000000001E-2</v>
      </c>
      <c r="W442" s="155">
        <v>2.528E-2</v>
      </c>
      <c r="X442" s="5" t="s">
        <v>129</v>
      </c>
      <c r="Y442" s="5" t="s">
        <v>125</v>
      </c>
      <c r="Z442" s="143">
        <v>2329050</v>
      </c>
      <c r="AA442" s="153">
        <v>1</v>
      </c>
      <c r="AB442" s="163">
        <v>118.69</v>
      </c>
      <c r="AD442" s="143">
        <v>2764.3490000000002</v>
      </c>
      <c r="AG442" s="3" t="s">
        <v>36</v>
      </c>
      <c r="AH442" s="155">
        <v>1.7260000000000001E-3</v>
      </c>
      <c r="AI442" s="155">
        <v>1.33406765607201E-2</v>
      </c>
      <c r="AJ442" s="155">
        <v>2.3720825788263499E-3</v>
      </c>
    </row>
    <row r="443" spans="1:36">
      <c r="A443" s="3">
        <v>337</v>
      </c>
      <c r="B443" s="3">
        <v>9963</v>
      </c>
      <c r="C443" s="185" t="s">
        <v>706</v>
      </c>
      <c r="D443" s="3" t="s">
        <v>707</v>
      </c>
      <c r="E443" s="189" t="s">
        <v>118</v>
      </c>
      <c r="F443" s="185" t="s">
        <v>708</v>
      </c>
      <c r="G443" s="3" t="s">
        <v>709</v>
      </c>
      <c r="H443" s="3" t="s">
        <v>121</v>
      </c>
      <c r="I443" s="3" t="s">
        <v>122</v>
      </c>
      <c r="J443" s="3" t="s">
        <v>30</v>
      </c>
      <c r="K443" s="3" t="s">
        <v>30</v>
      </c>
      <c r="L443" s="3" t="s">
        <v>123</v>
      </c>
      <c r="M443" s="3" t="s">
        <v>31</v>
      </c>
      <c r="N443" s="3" t="s">
        <v>124</v>
      </c>
      <c r="O443" s="3" t="s">
        <v>125</v>
      </c>
      <c r="P443" s="3" t="s">
        <v>126</v>
      </c>
      <c r="Q443" s="3" t="s">
        <v>127</v>
      </c>
      <c r="R443" s="3" t="s">
        <v>128</v>
      </c>
      <c r="S443" s="3" t="s">
        <v>34</v>
      </c>
      <c r="T443" s="143">
        <v>3.4670000000000001</v>
      </c>
      <c r="U443" s="3" t="s">
        <v>98</v>
      </c>
      <c r="V443" s="155">
        <v>5.8200000000000002E-2</v>
      </c>
      <c r="W443" s="155">
        <v>4.4850000000000001E-2</v>
      </c>
      <c r="X443" s="5" t="s">
        <v>129</v>
      </c>
      <c r="Y443" s="5" t="s">
        <v>125</v>
      </c>
      <c r="Z443" s="143">
        <v>1277890.6000000001</v>
      </c>
      <c r="AA443" s="153">
        <v>1</v>
      </c>
      <c r="AB443" s="163">
        <v>105.79</v>
      </c>
      <c r="AD443" s="143">
        <v>1351.88</v>
      </c>
      <c r="AG443" s="3" t="s">
        <v>36</v>
      </c>
      <c r="AH443" s="155">
        <v>7.6870000000000003E-3</v>
      </c>
      <c r="AI443" s="155">
        <v>6.52413900667071E-3</v>
      </c>
      <c r="AJ443" s="155">
        <v>1.1600458499332401E-3</v>
      </c>
    </row>
    <row r="444" spans="1:36">
      <c r="A444" s="3">
        <v>337</v>
      </c>
      <c r="B444" s="3">
        <v>9963</v>
      </c>
      <c r="C444" s="185" t="s">
        <v>871</v>
      </c>
      <c r="D444" s="3" t="s">
        <v>872</v>
      </c>
      <c r="E444" s="189" t="s">
        <v>118</v>
      </c>
      <c r="F444" s="185" t="s">
        <v>873</v>
      </c>
      <c r="G444" s="3" t="s">
        <v>874</v>
      </c>
      <c r="H444" s="3" t="s">
        <v>121</v>
      </c>
      <c r="I444" s="3" t="s">
        <v>132</v>
      </c>
      <c r="J444" s="3" t="s">
        <v>30</v>
      </c>
      <c r="K444" s="3" t="s">
        <v>30</v>
      </c>
      <c r="L444" s="3" t="s">
        <v>123</v>
      </c>
      <c r="M444" s="3" t="s">
        <v>31</v>
      </c>
      <c r="N444" s="3" t="s">
        <v>171</v>
      </c>
      <c r="O444" s="3" t="s">
        <v>125</v>
      </c>
      <c r="P444" s="3" t="s">
        <v>260</v>
      </c>
      <c r="Q444" s="3" t="s">
        <v>146</v>
      </c>
      <c r="R444" s="3" t="s">
        <v>128</v>
      </c>
      <c r="S444" s="3" t="s">
        <v>34</v>
      </c>
      <c r="T444" s="143">
        <v>2.0110000000000001</v>
      </c>
      <c r="U444" s="3" t="s">
        <v>875</v>
      </c>
      <c r="V444" s="155">
        <v>1.0800000000000001E-2</v>
      </c>
      <c r="W444" s="155">
        <v>3.0599999999999999E-2</v>
      </c>
      <c r="X444" s="5" t="s">
        <v>129</v>
      </c>
      <c r="Y444" s="5" t="s">
        <v>125</v>
      </c>
      <c r="Z444" s="143">
        <v>0.02</v>
      </c>
      <c r="AA444" s="153">
        <v>1</v>
      </c>
      <c r="AB444" s="163">
        <v>113.66</v>
      </c>
      <c r="AD444" s="143">
        <v>0</v>
      </c>
      <c r="AG444" s="3" t="s">
        <v>36</v>
      </c>
      <c r="AH444" s="155">
        <v>0</v>
      </c>
      <c r="AI444" s="155">
        <v>1.0970402462207201E-10</v>
      </c>
      <c r="AJ444" s="155">
        <v>1.95062824924005E-11</v>
      </c>
    </row>
    <row r="445" spans="1:36">
      <c r="A445" s="3">
        <v>337</v>
      </c>
      <c r="B445" s="3">
        <v>9963</v>
      </c>
      <c r="C445" s="185" t="s">
        <v>871</v>
      </c>
      <c r="D445" s="3" t="s">
        <v>872</v>
      </c>
      <c r="E445" s="189" t="s">
        <v>118</v>
      </c>
      <c r="F445" s="185" t="s">
        <v>912</v>
      </c>
      <c r="G445" s="3" t="s">
        <v>913</v>
      </c>
      <c r="H445" s="3" t="s">
        <v>121</v>
      </c>
      <c r="I445" s="3" t="s">
        <v>132</v>
      </c>
      <c r="J445" s="3" t="s">
        <v>30</v>
      </c>
      <c r="K445" s="3" t="s">
        <v>30</v>
      </c>
      <c r="L445" s="3" t="s">
        <v>123</v>
      </c>
      <c r="M445" s="3" t="s">
        <v>31</v>
      </c>
      <c r="N445" s="3" t="s">
        <v>171</v>
      </c>
      <c r="O445" s="3" t="s">
        <v>125</v>
      </c>
      <c r="P445" s="3" t="s">
        <v>574</v>
      </c>
      <c r="Q445" s="3" t="s">
        <v>146</v>
      </c>
      <c r="R445" s="3" t="s">
        <v>128</v>
      </c>
      <c r="S445" s="3" t="s">
        <v>34</v>
      </c>
      <c r="T445" s="143">
        <v>2.782</v>
      </c>
      <c r="U445" s="3" t="s">
        <v>199</v>
      </c>
      <c r="V445" s="155">
        <v>9.4000000000000004E-3</v>
      </c>
      <c r="W445" s="155">
        <v>3.3980000000000003E-2</v>
      </c>
      <c r="X445" s="5" t="s">
        <v>129</v>
      </c>
      <c r="Y445" s="5" t="s">
        <v>125</v>
      </c>
      <c r="Z445" s="143">
        <v>0.76</v>
      </c>
      <c r="AA445" s="153">
        <v>1</v>
      </c>
      <c r="AB445" s="163">
        <v>107.7</v>
      </c>
      <c r="AC445" s="143">
        <v>0</v>
      </c>
      <c r="AD445" s="143">
        <v>1E-3</v>
      </c>
      <c r="AG445" s="3" t="s">
        <v>36</v>
      </c>
      <c r="AH445" s="155">
        <v>0</v>
      </c>
      <c r="AI445" s="155">
        <v>4.2397140467615003E-9</v>
      </c>
      <c r="AJ445" s="155">
        <v>7.5385620689880899E-10</v>
      </c>
    </row>
    <row r="446" spans="1:36">
      <c r="A446" s="3">
        <v>337</v>
      </c>
      <c r="B446" s="3">
        <v>9963</v>
      </c>
      <c r="C446" s="185" t="s">
        <v>715</v>
      </c>
      <c r="D446" s="3" t="s">
        <v>716</v>
      </c>
      <c r="E446" s="189" t="s">
        <v>118</v>
      </c>
      <c r="F446" s="185" t="s">
        <v>717</v>
      </c>
      <c r="G446" s="3" t="s">
        <v>718</v>
      </c>
      <c r="H446" s="3" t="s">
        <v>121</v>
      </c>
      <c r="I446" s="3" t="s">
        <v>122</v>
      </c>
      <c r="J446" s="3" t="s">
        <v>30</v>
      </c>
      <c r="K446" s="3" t="s">
        <v>30</v>
      </c>
      <c r="L446" s="3" t="s">
        <v>123</v>
      </c>
      <c r="M446" s="3" t="s">
        <v>31</v>
      </c>
      <c r="N446" s="3" t="s">
        <v>171</v>
      </c>
      <c r="O446" s="3" t="s">
        <v>125</v>
      </c>
      <c r="P446" s="3" t="s">
        <v>126</v>
      </c>
      <c r="Q446" s="3" t="s">
        <v>127</v>
      </c>
      <c r="R446" s="3" t="s">
        <v>128</v>
      </c>
      <c r="S446" s="3" t="s">
        <v>34</v>
      </c>
      <c r="T446" s="143">
        <v>2.6360000000000001</v>
      </c>
      <c r="U446" s="3" t="s">
        <v>719</v>
      </c>
      <c r="V446" s="155">
        <v>4.1000000000000002E-2</v>
      </c>
      <c r="W446" s="155">
        <v>4.8129999999999999E-2</v>
      </c>
      <c r="X446" s="5" t="s">
        <v>129</v>
      </c>
      <c r="Y446" s="5" t="s">
        <v>125</v>
      </c>
      <c r="Z446" s="143">
        <v>0.08</v>
      </c>
      <c r="AA446" s="153">
        <v>1</v>
      </c>
      <c r="AB446" s="163">
        <v>98.99</v>
      </c>
      <c r="AD446" s="143">
        <v>0</v>
      </c>
      <c r="AG446" s="3" t="s">
        <v>36</v>
      </c>
      <c r="AH446" s="155">
        <v>0</v>
      </c>
      <c r="AI446" s="155">
        <v>3.8217847606330702E-10</v>
      </c>
      <c r="AJ446" s="155">
        <v>6.7954492483643499E-11</v>
      </c>
    </row>
    <row r="447" spans="1:36">
      <c r="A447" s="3">
        <v>337</v>
      </c>
      <c r="B447" s="3">
        <v>9963</v>
      </c>
      <c r="C447" s="185" t="s">
        <v>876</v>
      </c>
      <c r="D447" s="3" t="s">
        <v>877</v>
      </c>
      <c r="E447" s="189" t="s">
        <v>118</v>
      </c>
      <c r="F447" s="185" t="s">
        <v>878</v>
      </c>
      <c r="G447" s="3" t="s">
        <v>879</v>
      </c>
      <c r="H447" s="3" t="s">
        <v>121</v>
      </c>
      <c r="I447" s="3" t="s">
        <v>410</v>
      </c>
      <c r="J447" s="3" t="s">
        <v>30</v>
      </c>
      <c r="K447" s="3" t="s">
        <v>30</v>
      </c>
      <c r="L447" s="3" t="s">
        <v>123</v>
      </c>
      <c r="M447" s="3" t="s">
        <v>31</v>
      </c>
      <c r="N447" s="3" t="s">
        <v>377</v>
      </c>
      <c r="O447" s="3" t="s">
        <v>125</v>
      </c>
      <c r="P447" s="3" t="s">
        <v>422</v>
      </c>
      <c r="Q447" s="3" t="s">
        <v>127</v>
      </c>
      <c r="R447" s="3" t="s">
        <v>128</v>
      </c>
      <c r="S447" s="3" t="s">
        <v>34</v>
      </c>
      <c r="T447" s="143">
        <v>2.1040000000000001</v>
      </c>
      <c r="U447" s="3" t="s">
        <v>880</v>
      </c>
      <c r="V447" s="155">
        <v>4.6899999999999997E-2</v>
      </c>
      <c r="W447" s="155">
        <v>5.9369999999999999E-2</v>
      </c>
      <c r="X447" s="5" t="s">
        <v>129</v>
      </c>
      <c r="Y447" s="5" t="s">
        <v>125</v>
      </c>
      <c r="Z447" s="143">
        <v>2967249.01</v>
      </c>
      <c r="AA447" s="153">
        <v>1</v>
      </c>
      <c r="AB447" s="163">
        <v>89.9</v>
      </c>
      <c r="AD447" s="143">
        <v>2667.5569999999998</v>
      </c>
      <c r="AG447" s="3" t="s">
        <v>36</v>
      </c>
      <c r="AH447" s="155">
        <v>2.196E-3</v>
      </c>
      <c r="AI447" s="155">
        <v>1.28735581316698E-2</v>
      </c>
      <c r="AJ447" s="155">
        <v>2.2890250605096698E-3</v>
      </c>
    </row>
    <row r="448" spans="1:36">
      <c r="A448" s="3">
        <v>337</v>
      </c>
      <c r="B448" s="3">
        <v>9963</v>
      </c>
      <c r="C448" s="185" t="s">
        <v>398</v>
      </c>
      <c r="D448" s="3" t="s">
        <v>399</v>
      </c>
      <c r="E448" s="189" t="s">
        <v>118</v>
      </c>
      <c r="F448" s="185" t="s">
        <v>914</v>
      </c>
      <c r="G448" s="3" t="s">
        <v>915</v>
      </c>
      <c r="H448" s="3" t="s">
        <v>121</v>
      </c>
      <c r="I448" s="3" t="s">
        <v>410</v>
      </c>
      <c r="J448" s="3" t="s">
        <v>79</v>
      </c>
      <c r="K448" s="3" t="s">
        <v>30</v>
      </c>
      <c r="L448" s="3" t="s">
        <v>123</v>
      </c>
      <c r="M448" s="3" t="s">
        <v>730</v>
      </c>
      <c r="N448" s="3" t="s">
        <v>152</v>
      </c>
      <c r="O448" s="3" t="s">
        <v>125</v>
      </c>
      <c r="P448" s="3" t="s">
        <v>916</v>
      </c>
      <c r="Q448" s="3" t="s">
        <v>732</v>
      </c>
      <c r="R448" s="3" t="s">
        <v>128</v>
      </c>
      <c r="S448" s="3" t="s">
        <v>84</v>
      </c>
      <c r="T448" s="143">
        <v>16.71</v>
      </c>
      <c r="U448" s="3" t="s">
        <v>917</v>
      </c>
      <c r="V448" s="155">
        <v>8.1000000000000003E-2</v>
      </c>
      <c r="W448" s="155">
        <v>5.9959999999999999E-2</v>
      </c>
      <c r="X448" s="5" t="s">
        <v>129</v>
      </c>
      <c r="Y448" s="5" t="s">
        <v>125</v>
      </c>
      <c r="Z448" s="143">
        <v>700000</v>
      </c>
      <c r="AA448" s="153">
        <v>3.19</v>
      </c>
      <c r="AB448" s="163">
        <v>131.51400000000001</v>
      </c>
      <c r="AD448" s="143">
        <v>2936.7190000000001</v>
      </c>
      <c r="AG448" s="3" t="s">
        <v>36</v>
      </c>
      <c r="AH448" s="155">
        <v>5.5999999999999999E-3</v>
      </c>
      <c r="AI448" s="155">
        <v>1.4172526390011399E-2</v>
      </c>
      <c r="AJ448" s="155">
        <v>2.5199923553118602E-3</v>
      </c>
    </row>
    <row r="449" spans="1:36">
      <c r="A449" s="3">
        <v>337</v>
      </c>
      <c r="B449" s="3">
        <v>9963</v>
      </c>
      <c r="C449" s="185" t="s">
        <v>725</v>
      </c>
      <c r="D449" s="3" t="s">
        <v>726</v>
      </c>
      <c r="E449" s="189" t="s">
        <v>727</v>
      </c>
      <c r="F449" s="185" t="s">
        <v>728</v>
      </c>
      <c r="G449" s="3" t="s">
        <v>729</v>
      </c>
      <c r="H449" s="3" t="s">
        <v>121</v>
      </c>
      <c r="I449" s="3" t="s">
        <v>410</v>
      </c>
      <c r="J449" s="3" t="s">
        <v>79</v>
      </c>
      <c r="K449" s="3" t="s">
        <v>138</v>
      </c>
      <c r="L449" s="3" t="s">
        <v>123</v>
      </c>
      <c r="M449" s="3" t="s">
        <v>730</v>
      </c>
      <c r="N449" s="3" t="s">
        <v>377</v>
      </c>
      <c r="O449" s="3" t="s">
        <v>125</v>
      </c>
      <c r="P449" s="3" t="s">
        <v>731</v>
      </c>
      <c r="Q449" s="3" t="s">
        <v>732</v>
      </c>
      <c r="R449" s="3" t="s">
        <v>128</v>
      </c>
      <c r="S449" s="3" t="s">
        <v>84</v>
      </c>
      <c r="T449" s="143">
        <v>2.1080000000000001</v>
      </c>
      <c r="U449" s="3" t="s">
        <v>733</v>
      </c>
      <c r="V449" s="155">
        <v>5.3749999999999999E-2</v>
      </c>
      <c r="W449" s="155">
        <v>6.0979999999999999E-2</v>
      </c>
      <c r="X449" s="5" t="s">
        <v>129</v>
      </c>
      <c r="Y449" s="5" t="s">
        <v>125</v>
      </c>
      <c r="Z449" s="143">
        <v>400000</v>
      </c>
      <c r="AA449" s="153">
        <v>3.19</v>
      </c>
      <c r="AB449" s="163">
        <v>100.083</v>
      </c>
      <c r="AD449" s="143">
        <v>1277.0550000000001</v>
      </c>
      <c r="AG449" s="3" t="s">
        <v>36</v>
      </c>
      <c r="AH449" s="155">
        <v>6.4000000000000005E-4</v>
      </c>
      <c r="AI449" s="155">
        <v>6.1630345244216896E-3</v>
      </c>
      <c r="AJ449" s="155">
        <v>1.09583848776684E-3</v>
      </c>
    </row>
    <row r="450" spans="1:36">
      <c r="A450" s="3">
        <v>337</v>
      </c>
      <c r="B450" s="3">
        <v>9963</v>
      </c>
      <c r="C450" s="185" t="s">
        <v>725</v>
      </c>
      <c r="D450" s="3" t="s">
        <v>726</v>
      </c>
      <c r="E450" s="189" t="s">
        <v>727</v>
      </c>
      <c r="F450" s="185" t="s">
        <v>734</v>
      </c>
      <c r="G450" s="3" t="s">
        <v>735</v>
      </c>
      <c r="H450" s="3" t="s">
        <v>121</v>
      </c>
      <c r="I450" s="3" t="s">
        <v>410</v>
      </c>
      <c r="J450" s="3" t="s">
        <v>79</v>
      </c>
      <c r="K450" s="3" t="s">
        <v>138</v>
      </c>
      <c r="L450" s="3" t="s">
        <v>123</v>
      </c>
      <c r="M450" s="3" t="s">
        <v>730</v>
      </c>
      <c r="N450" s="3" t="s">
        <v>377</v>
      </c>
      <c r="O450" s="3" t="s">
        <v>125</v>
      </c>
      <c r="P450" s="3" t="s">
        <v>731</v>
      </c>
      <c r="Q450" s="3" t="s">
        <v>732</v>
      </c>
      <c r="R450" s="3" t="s">
        <v>128</v>
      </c>
      <c r="S450" s="3" t="s">
        <v>84</v>
      </c>
      <c r="T450" s="143">
        <v>4.5019999999999998</v>
      </c>
      <c r="U450" s="3" t="s">
        <v>736</v>
      </c>
      <c r="V450" s="155">
        <v>5.8749999999999997E-2</v>
      </c>
      <c r="W450" s="155">
        <v>6.6460000000000005E-2</v>
      </c>
      <c r="X450" s="5" t="s">
        <v>129</v>
      </c>
      <c r="Y450" s="5" t="s">
        <v>125</v>
      </c>
      <c r="Z450" s="143">
        <v>656000</v>
      </c>
      <c r="AA450" s="153">
        <v>3.19</v>
      </c>
      <c r="AB450" s="163">
        <v>98.430999999999997</v>
      </c>
      <c r="AD450" s="143">
        <v>2059.8090000000002</v>
      </c>
      <c r="AG450" s="3" t="s">
        <v>36</v>
      </c>
      <c r="AH450" s="155">
        <v>1.0499999999999999E-3</v>
      </c>
      <c r="AI450" s="155">
        <v>9.9405811276670007E-3</v>
      </c>
      <c r="AJ450" s="155">
        <v>1.7675175025063401E-3</v>
      </c>
    </row>
    <row r="451" spans="1:36">
      <c r="A451" s="3">
        <v>337</v>
      </c>
      <c r="B451" s="3">
        <v>9963</v>
      </c>
      <c r="C451" s="185" t="s">
        <v>459</v>
      </c>
      <c r="D451" s="3" t="s">
        <v>460</v>
      </c>
      <c r="E451" s="189" t="s">
        <v>118</v>
      </c>
      <c r="F451" s="185" t="s">
        <v>737</v>
      </c>
      <c r="G451" s="3" t="s">
        <v>738</v>
      </c>
      <c r="H451" s="3" t="s">
        <v>121</v>
      </c>
      <c r="I451" s="3" t="s">
        <v>410</v>
      </c>
      <c r="J451" s="3" t="s">
        <v>79</v>
      </c>
      <c r="K451" s="3" t="s">
        <v>30</v>
      </c>
      <c r="L451" s="3" t="s">
        <v>123</v>
      </c>
      <c r="M451" s="3" t="s">
        <v>730</v>
      </c>
      <c r="N451" s="3" t="s">
        <v>316</v>
      </c>
      <c r="O451" s="3" t="s">
        <v>125</v>
      </c>
      <c r="P451" s="3" t="s">
        <v>739</v>
      </c>
      <c r="Q451" s="3" t="s">
        <v>732</v>
      </c>
      <c r="R451" s="3" t="s">
        <v>128</v>
      </c>
      <c r="S451" s="3" t="s">
        <v>84</v>
      </c>
      <c r="T451" s="143">
        <v>4.4489999999999998</v>
      </c>
      <c r="U451" s="3" t="s">
        <v>740</v>
      </c>
      <c r="V451" s="155">
        <v>3.2750000000000001E-2</v>
      </c>
      <c r="W451" s="155">
        <v>5.3740000000000003E-2</v>
      </c>
      <c r="X451" s="5" t="s">
        <v>129</v>
      </c>
      <c r="Y451" s="5" t="s">
        <v>125</v>
      </c>
      <c r="Z451" s="143">
        <v>243000</v>
      </c>
      <c r="AA451" s="153">
        <v>3.19</v>
      </c>
      <c r="AB451" s="163">
        <v>101.229</v>
      </c>
      <c r="AD451" s="143">
        <v>784.69799999999998</v>
      </c>
      <c r="AG451" s="3" t="s">
        <v>36</v>
      </c>
      <c r="AH451" s="155">
        <v>3.2400000000000001E-4</v>
      </c>
      <c r="AI451" s="155">
        <v>3.78693346199043E-3</v>
      </c>
      <c r="AJ451" s="155">
        <v>6.7334807582481197E-4</v>
      </c>
    </row>
    <row r="452" spans="1:36">
      <c r="A452" s="3">
        <v>337</v>
      </c>
      <c r="B452" s="3">
        <v>9963</v>
      </c>
      <c r="C452" s="185" t="s">
        <v>741</v>
      </c>
      <c r="D452" s="3" t="s">
        <v>742</v>
      </c>
      <c r="E452" s="189" t="s">
        <v>118</v>
      </c>
      <c r="F452" s="185" t="s">
        <v>743</v>
      </c>
      <c r="G452" s="3" t="s">
        <v>744</v>
      </c>
      <c r="H452" s="3" t="s">
        <v>121</v>
      </c>
      <c r="I452" s="3" t="s">
        <v>410</v>
      </c>
      <c r="J452" s="3" t="s">
        <v>79</v>
      </c>
      <c r="K452" s="3" t="s">
        <v>30</v>
      </c>
      <c r="L452" s="3" t="s">
        <v>123</v>
      </c>
      <c r="M452" s="3" t="s">
        <v>730</v>
      </c>
      <c r="N452" s="3" t="s">
        <v>377</v>
      </c>
      <c r="O452" s="3" t="s">
        <v>125</v>
      </c>
      <c r="P452" s="3" t="s">
        <v>731</v>
      </c>
      <c r="Q452" s="3" t="s">
        <v>732</v>
      </c>
      <c r="R452" s="3" t="s">
        <v>128</v>
      </c>
      <c r="S452" s="3" t="s">
        <v>84</v>
      </c>
      <c r="T452" s="143">
        <v>1.44</v>
      </c>
      <c r="U452" s="3" t="s">
        <v>244</v>
      </c>
      <c r="V452" s="155">
        <v>6.5000000000000002E-2</v>
      </c>
      <c r="W452" s="155">
        <v>6.1420000000000002E-2</v>
      </c>
      <c r="X452" s="5" t="s">
        <v>129</v>
      </c>
      <c r="Y452" s="5" t="s">
        <v>125</v>
      </c>
      <c r="Z452" s="143">
        <v>162000</v>
      </c>
      <c r="AA452" s="153">
        <v>3.19</v>
      </c>
      <c r="AB452" s="163">
        <v>100.851</v>
      </c>
      <c r="AD452" s="143">
        <v>521.17899999999997</v>
      </c>
      <c r="AG452" s="3" t="s">
        <v>36</v>
      </c>
      <c r="AH452" s="155">
        <v>2.7E-4</v>
      </c>
      <c r="AI452" s="155">
        <v>2.5151976086954901E-3</v>
      </c>
      <c r="AJ452" s="155">
        <v>4.47222927768081E-4</v>
      </c>
    </row>
    <row r="453" spans="1:36">
      <c r="A453" s="3">
        <v>337</v>
      </c>
      <c r="B453" s="3">
        <v>9963</v>
      </c>
      <c r="C453" s="185" t="s">
        <v>745</v>
      </c>
      <c r="D453" s="3" t="s">
        <v>746</v>
      </c>
      <c r="E453" s="189" t="s">
        <v>118</v>
      </c>
      <c r="F453" s="185" t="s">
        <v>747</v>
      </c>
      <c r="G453" s="3" t="s">
        <v>748</v>
      </c>
      <c r="H453" s="3" t="s">
        <v>121</v>
      </c>
      <c r="I453" s="3" t="s">
        <v>410</v>
      </c>
      <c r="J453" s="3" t="s">
        <v>79</v>
      </c>
      <c r="K453" s="3" t="s">
        <v>30</v>
      </c>
      <c r="L453" s="3" t="s">
        <v>123</v>
      </c>
      <c r="M453" s="3" t="s">
        <v>730</v>
      </c>
      <c r="N453" s="3" t="s">
        <v>316</v>
      </c>
      <c r="O453" s="3" t="s">
        <v>125</v>
      </c>
      <c r="P453" s="3" t="s">
        <v>739</v>
      </c>
      <c r="Q453" s="3" t="s">
        <v>732</v>
      </c>
      <c r="R453" s="3" t="s">
        <v>128</v>
      </c>
      <c r="S453" s="3" t="s">
        <v>84</v>
      </c>
      <c r="T453" s="143">
        <v>0.25600000000000001</v>
      </c>
      <c r="U453" s="3" t="s">
        <v>749</v>
      </c>
      <c r="V453" s="155">
        <v>3.0769999999999999E-2</v>
      </c>
      <c r="W453" s="155">
        <v>5.9290000000000002E-2</v>
      </c>
      <c r="X453" s="5" t="s">
        <v>129</v>
      </c>
      <c r="Y453" s="5" t="s">
        <v>125</v>
      </c>
      <c r="Z453" s="143">
        <v>243000</v>
      </c>
      <c r="AA453" s="153">
        <v>3.19</v>
      </c>
      <c r="AB453" s="163">
        <v>99.954999999999998</v>
      </c>
      <c r="AD453" s="143">
        <v>774.82100000000003</v>
      </c>
      <c r="AG453" s="3" t="s">
        <v>36</v>
      </c>
      <c r="AH453" s="155">
        <v>4.0499999999999998E-4</v>
      </c>
      <c r="AI453" s="155">
        <v>3.73926628080883E-3</v>
      </c>
      <c r="AJ453" s="155">
        <v>6.6487245694986298E-4</v>
      </c>
    </row>
    <row r="454" spans="1:36">
      <c r="A454" s="3">
        <v>337</v>
      </c>
      <c r="B454" s="3">
        <v>9963</v>
      </c>
      <c r="C454" s="185" t="s">
        <v>750</v>
      </c>
      <c r="D454" s="3" t="s">
        <v>751</v>
      </c>
      <c r="E454" s="189" t="s">
        <v>118</v>
      </c>
      <c r="F454" s="185" t="s">
        <v>752</v>
      </c>
      <c r="G454" s="3" t="s">
        <v>753</v>
      </c>
      <c r="H454" s="3" t="s">
        <v>121</v>
      </c>
      <c r="I454" s="3" t="s">
        <v>410</v>
      </c>
      <c r="J454" s="3" t="s">
        <v>79</v>
      </c>
      <c r="K454" s="3" t="s">
        <v>80</v>
      </c>
      <c r="L454" s="3" t="s">
        <v>123</v>
      </c>
      <c r="M454" s="3" t="s">
        <v>730</v>
      </c>
      <c r="N454" s="3" t="s">
        <v>754</v>
      </c>
      <c r="O454" s="3" t="s">
        <v>125</v>
      </c>
      <c r="P454" s="3" t="s">
        <v>731</v>
      </c>
      <c r="Q454" s="3" t="s">
        <v>732</v>
      </c>
      <c r="R454" s="3" t="s">
        <v>128</v>
      </c>
      <c r="S454" s="3" t="s">
        <v>755</v>
      </c>
      <c r="T454" s="143">
        <v>3.778</v>
      </c>
      <c r="U454" s="3" t="s">
        <v>756</v>
      </c>
      <c r="V454" s="155">
        <v>4.3749999999999997E-2</v>
      </c>
      <c r="W454" s="155">
        <v>3.7679999999999998E-2</v>
      </c>
      <c r="X454" s="5" t="s">
        <v>129</v>
      </c>
      <c r="Y454" s="5" t="s">
        <v>125</v>
      </c>
      <c r="Z454" s="143">
        <v>709000</v>
      </c>
      <c r="AA454" s="153">
        <v>3.7454999999999998</v>
      </c>
      <c r="AB454" s="163">
        <v>103.566</v>
      </c>
      <c r="AD454" s="143">
        <v>2750.2460000000001</v>
      </c>
      <c r="AG454" s="3" t="s">
        <v>36</v>
      </c>
      <c r="AH454" s="155">
        <v>4.73E-4</v>
      </c>
      <c r="AI454" s="155">
        <v>1.3272614337099101E-2</v>
      </c>
      <c r="AJ454" s="155">
        <v>2.3599805528014398E-3</v>
      </c>
    </row>
    <row r="455" spans="1:36">
      <c r="A455" s="3">
        <v>337</v>
      </c>
      <c r="B455" s="3">
        <v>9963</v>
      </c>
      <c r="C455" s="185" t="s">
        <v>750</v>
      </c>
      <c r="D455" s="3" t="s">
        <v>751</v>
      </c>
      <c r="E455" s="189" t="s">
        <v>118</v>
      </c>
      <c r="F455" s="185" t="s">
        <v>757</v>
      </c>
      <c r="G455" s="3" t="s">
        <v>758</v>
      </c>
      <c r="H455" s="3" t="s">
        <v>121</v>
      </c>
      <c r="I455" s="3" t="s">
        <v>410</v>
      </c>
      <c r="J455" s="3" t="s">
        <v>79</v>
      </c>
      <c r="K455" s="3" t="s">
        <v>80</v>
      </c>
      <c r="L455" s="3" t="s">
        <v>123</v>
      </c>
      <c r="M455" s="3" t="s">
        <v>730</v>
      </c>
      <c r="N455" s="3" t="s">
        <v>754</v>
      </c>
      <c r="O455" s="3" t="s">
        <v>125</v>
      </c>
      <c r="P455" s="3" t="s">
        <v>731</v>
      </c>
      <c r="Q455" s="3" t="s">
        <v>732</v>
      </c>
      <c r="R455" s="3" t="s">
        <v>128</v>
      </c>
      <c r="S455" s="3" t="s">
        <v>84</v>
      </c>
      <c r="T455" s="143">
        <v>2.8879999999999999</v>
      </c>
      <c r="U455" s="3" t="s">
        <v>759</v>
      </c>
      <c r="V455" s="155">
        <v>5.1249999999999997E-2</v>
      </c>
      <c r="W455" s="155">
        <v>4.8779999999999997E-2</v>
      </c>
      <c r="X455" s="5" t="s">
        <v>129</v>
      </c>
      <c r="Y455" s="5" t="s">
        <v>125</v>
      </c>
      <c r="Z455" s="143">
        <v>559000</v>
      </c>
      <c r="AA455" s="153">
        <v>3.19</v>
      </c>
      <c r="AB455" s="163">
        <v>102.399</v>
      </c>
      <c r="AD455" s="143">
        <v>1825.981</v>
      </c>
      <c r="AG455" s="3" t="s">
        <v>36</v>
      </c>
      <c r="AH455" s="155">
        <v>5.5900000000000004E-4</v>
      </c>
      <c r="AI455" s="155">
        <v>8.8121356854321993E-3</v>
      </c>
      <c r="AJ455" s="155">
        <v>1.56687057410673E-3</v>
      </c>
    </row>
    <row r="456" spans="1:36">
      <c r="A456" s="3">
        <v>337</v>
      </c>
      <c r="B456" s="3">
        <v>9964</v>
      </c>
      <c r="C456" s="185" t="s">
        <v>116</v>
      </c>
      <c r="D456" s="3" t="s">
        <v>117</v>
      </c>
      <c r="E456" s="189" t="s">
        <v>118</v>
      </c>
      <c r="F456" s="185" t="s">
        <v>119</v>
      </c>
      <c r="G456" s="3" t="s">
        <v>120</v>
      </c>
      <c r="H456" s="3" t="s">
        <v>121</v>
      </c>
      <c r="I456" s="3" t="s">
        <v>122</v>
      </c>
      <c r="J456" s="3" t="s">
        <v>30</v>
      </c>
      <c r="K456" s="3" t="s">
        <v>30</v>
      </c>
      <c r="L456" s="3" t="s">
        <v>123</v>
      </c>
      <c r="M456" s="3" t="s">
        <v>31</v>
      </c>
      <c r="N456" s="3" t="s">
        <v>124</v>
      </c>
      <c r="O456" s="3" t="s">
        <v>125</v>
      </c>
      <c r="P456" s="3" t="s">
        <v>126</v>
      </c>
      <c r="Q456" s="3" t="s">
        <v>127</v>
      </c>
      <c r="R456" s="3" t="s">
        <v>128</v>
      </c>
      <c r="S456" s="3" t="s">
        <v>34</v>
      </c>
      <c r="T456" s="143">
        <v>0.97099999999999997</v>
      </c>
      <c r="U456" s="3" t="s">
        <v>91</v>
      </c>
      <c r="V456" s="155">
        <v>3.5000000000000003E-2</v>
      </c>
      <c r="W456" s="155">
        <v>4.8559999999999999E-2</v>
      </c>
      <c r="X456" s="5" t="s">
        <v>129</v>
      </c>
      <c r="Y456" s="5" t="s">
        <v>125</v>
      </c>
      <c r="Z456" s="143">
        <v>27145</v>
      </c>
      <c r="AA456" s="153">
        <v>1</v>
      </c>
      <c r="AB456" s="163">
        <v>99.65</v>
      </c>
      <c r="AD456" s="143">
        <v>27.05</v>
      </c>
      <c r="AG456" s="3" t="s">
        <v>36</v>
      </c>
      <c r="AH456" s="155">
        <v>2.4399999999999999E-4</v>
      </c>
      <c r="AI456" s="155">
        <v>3.0814445172082602E-3</v>
      </c>
      <c r="AJ456" s="155">
        <v>6.2021564659583202E-4</v>
      </c>
    </row>
    <row r="457" spans="1:36">
      <c r="A457" s="3">
        <v>337</v>
      </c>
      <c r="B457" s="3">
        <v>9964</v>
      </c>
      <c r="C457" s="185" t="s">
        <v>116</v>
      </c>
      <c r="D457" s="3" t="s">
        <v>117</v>
      </c>
      <c r="E457" s="189" t="s">
        <v>118</v>
      </c>
      <c r="F457" s="185" t="s">
        <v>130</v>
      </c>
      <c r="G457" s="3" t="s">
        <v>131</v>
      </c>
      <c r="H457" s="3" t="s">
        <v>121</v>
      </c>
      <c r="I457" s="3" t="s">
        <v>132</v>
      </c>
      <c r="J457" s="3" t="s">
        <v>30</v>
      </c>
      <c r="K457" s="3" t="s">
        <v>30</v>
      </c>
      <c r="L457" s="3" t="s">
        <v>123</v>
      </c>
      <c r="M457" s="3" t="s">
        <v>31</v>
      </c>
      <c r="N457" s="3" t="s">
        <v>124</v>
      </c>
      <c r="O457" s="3" t="s">
        <v>125</v>
      </c>
      <c r="P457" s="3" t="s">
        <v>126</v>
      </c>
      <c r="Q457" s="3" t="s">
        <v>127</v>
      </c>
      <c r="R457" s="3" t="s">
        <v>128</v>
      </c>
      <c r="S457" s="3" t="s">
        <v>34</v>
      </c>
      <c r="T457" s="143">
        <v>1.657</v>
      </c>
      <c r="U457" s="3" t="s">
        <v>133</v>
      </c>
      <c r="V457" s="155">
        <v>3.85E-2</v>
      </c>
      <c r="W457" s="155">
        <v>2.962E-2</v>
      </c>
      <c r="X457" s="5" t="s">
        <v>129</v>
      </c>
      <c r="Y457" s="5" t="s">
        <v>125</v>
      </c>
      <c r="Z457" s="143">
        <v>54000</v>
      </c>
      <c r="AA457" s="153">
        <v>1</v>
      </c>
      <c r="AB457" s="163">
        <v>112.15</v>
      </c>
      <c r="AD457" s="143">
        <v>60.561</v>
      </c>
      <c r="AG457" s="3" t="s">
        <v>36</v>
      </c>
      <c r="AH457" s="155">
        <v>1.8000000000000001E-4</v>
      </c>
      <c r="AI457" s="155">
        <v>6.89890621620872E-3</v>
      </c>
      <c r="AJ457" s="155">
        <v>1.38857265019538E-3</v>
      </c>
    </row>
    <row r="458" spans="1:36">
      <c r="A458" s="3">
        <v>337</v>
      </c>
      <c r="B458" s="3">
        <v>9964</v>
      </c>
      <c r="C458" s="185" t="s">
        <v>134</v>
      </c>
      <c r="D458" s="3" t="s">
        <v>135</v>
      </c>
      <c r="E458" s="189" t="s">
        <v>118</v>
      </c>
      <c r="F458" s="185" t="s">
        <v>881</v>
      </c>
      <c r="G458" s="3" t="s">
        <v>882</v>
      </c>
      <c r="H458" s="3" t="s">
        <v>121</v>
      </c>
      <c r="I458" s="3" t="s">
        <v>132</v>
      </c>
      <c r="J458" s="3" t="s">
        <v>30</v>
      </c>
      <c r="K458" s="3" t="s">
        <v>138</v>
      </c>
      <c r="L458" s="3" t="s">
        <v>123</v>
      </c>
      <c r="M458" s="3" t="s">
        <v>31</v>
      </c>
      <c r="N458" s="3" t="s">
        <v>139</v>
      </c>
      <c r="O458" s="3" t="s">
        <v>125</v>
      </c>
      <c r="P458" s="3" t="s">
        <v>126</v>
      </c>
      <c r="Q458" s="3" t="s">
        <v>127</v>
      </c>
      <c r="R458" s="3" t="s">
        <v>128</v>
      </c>
      <c r="S458" s="3" t="s">
        <v>34</v>
      </c>
      <c r="T458" s="143">
        <v>1.141</v>
      </c>
      <c r="U458" s="3" t="s">
        <v>883</v>
      </c>
      <c r="V458" s="155">
        <v>2.8500000000000001E-2</v>
      </c>
      <c r="W458" s="155">
        <v>2.9909999999999999E-2</v>
      </c>
      <c r="X458" s="5" t="s">
        <v>129</v>
      </c>
      <c r="Y458" s="5" t="s">
        <v>125</v>
      </c>
      <c r="Z458" s="143">
        <v>8000</v>
      </c>
      <c r="AA458" s="153">
        <v>1</v>
      </c>
      <c r="AB458" s="163">
        <v>120.34</v>
      </c>
      <c r="AD458" s="143">
        <v>9.6270000000000007</v>
      </c>
      <c r="AG458" s="3" t="s">
        <v>36</v>
      </c>
      <c r="AH458" s="155">
        <v>2.9E-5</v>
      </c>
      <c r="AI458" s="155">
        <v>1.0966983689946401E-3</v>
      </c>
      <c r="AJ458" s="155">
        <v>2.2073721731743199E-4</v>
      </c>
    </row>
    <row r="459" spans="1:36">
      <c r="A459" s="3">
        <v>337</v>
      </c>
      <c r="B459" s="3">
        <v>9964</v>
      </c>
      <c r="C459" s="185" t="s">
        <v>134</v>
      </c>
      <c r="D459" s="3" t="s">
        <v>135</v>
      </c>
      <c r="E459" s="189" t="s">
        <v>118</v>
      </c>
      <c r="F459" s="185" t="s">
        <v>136</v>
      </c>
      <c r="G459" s="3" t="s">
        <v>137</v>
      </c>
      <c r="H459" s="3" t="s">
        <v>121</v>
      </c>
      <c r="I459" s="3" t="s">
        <v>132</v>
      </c>
      <c r="J459" s="3" t="s">
        <v>30</v>
      </c>
      <c r="K459" s="3" t="s">
        <v>138</v>
      </c>
      <c r="L459" s="3" t="s">
        <v>123</v>
      </c>
      <c r="M459" s="3" t="s">
        <v>31</v>
      </c>
      <c r="N459" s="3" t="s">
        <v>139</v>
      </c>
      <c r="O459" s="3" t="s">
        <v>125</v>
      </c>
      <c r="P459" s="3" t="s">
        <v>126</v>
      </c>
      <c r="Q459" s="3" t="s">
        <v>127</v>
      </c>
      <c r="R459" s="3" t="s">
        <v>128</v>
      </c>
      <c r="S459" s="3" t="s">
        <v>34</v>
      </c>
      <c r="T459" s="143">
        <v>2.1539999999999999</v>
      </c>
      <c r="U459" s="3" t="s">
        <v>70</v>
      </c>
      <c r="V459" s="155">
        <v>2.4500000000000001E-2</v>
      </c>
      <c r="W459" s="155">
        <v>2.9590000000000002E-2</v>
      </c>
      <c r="X459" s="5" t="s">
        <v>129</v>
      </c>
      <c r="Y459" s="5" t="s">
        <v>125</v>
      </c>
      <c r="Z459" s="143">
        <v>13695.66</v>
      </c>
      <c r="AA459" s="153">
        <v>1</v>
      </c>
      <c r="AB459" s="163">
        <v>117.22</v>
      </c>
      <c r="AD459" s="143">
        <v>16.053999999999998</v>
      </c>
      <c r="AG459" s="3" t="s">
        <v>36</v>
      </c>
      <c r="AH459" s="155">
        <v>2.9E-5</v>
      </c>
      <c r="AI459" s="155">
        <v>1.8288238905603399E-3</v>
      </c>
      <c r="AJ459" s="155">
        <v>3.6809528305945801E-4</v>
      </c>
    </row>
    <row r="460" spans="1:36">
      <c r="A460" s="3">
        <v>337</v>
      </c>
      <c r="B460" s="3">
        <v>9964</v>
      </c>
      <c r="C460" s="185" t="s">
        <v>140</v>
      </c>
      <c r="D460" s="3" t="s">
        <v>141</v>
      </c>
      <c r="E460" s="189" t="s">
        <v>118</v>
      </c>
      <c r="F460" s="185" t="s">
        <v>142</v>
      </c>
      <c r="G460" s="3" t="s">
        <v>143</v>
      </c>
      <c r="H460" s="3" t="s">
        <v>121</v>
      </c>
      <c r="I460" s="3" t="s">
        <v>132</v>
      </c>
      <c r="J460" s="3" t="s">
        <v>30</v>
      </c>
      <c r="K460" s="3" t="s">
        <v>30</v>
      </c>
      <c r="L460" s="3" t="s">
        <v>123</v>
      </c>
      <c r="M460" s="3" t="s">
        <v>31</v>
      </c>
      <c r="N460" s="3" t="s">
        <v>144</v>
      </c>
      <c r="O460" s="3" t="s">
        <v>125</v>
      </c>
      <c r="P460" s="3" t="s">
        <v>145</v>
      </c>
      <c r="Q460" s="3" t="s">
        <v>146</v>
      </c>
      <c r="R460" s="3" t="s">
        <v>128</v>
      </c>
      <c r="S460" s="3" t="s">
        <v>34</v>
      </c>
      <c r="T460" s="143">
        <v>5.1340000000000003</v>
      </c>
      <c r="U460" s="3" t="s">
        <v>147</v>
      </c>
      <c r="V460" s="155">
        <v>5.1499999999999997E-2</v>
      </c>
      <c r="W460" s="155">
        <v>3.3709999999999997E-2</v>
      </c>
      <c r="X460" s="5" t="s">
        <v>129</v>
      </c>
      <c r="Y460" s="5" t="s">
        <v>125</v>
      </c>
      <c r="Z460" s="143">
        <v>0.64</v>
      </c>
      <c r="AA460" s="153">
        <v>1</v>
      </c>
      <c r="AB460" s="163">
        <v>156.16999999999999</v>
      </c>
      <c r="AD460" s="143">
        <v>1E-3</v>
      </c>
      <c r="AG460" s="3" t="s">
        <v>36</v>
      </c>
      <c r="AH460" s="155">
        <v>0</v>
      </c>
      <c r="AI460" s="155">
        <v>1.1385832427182501E-7</v>
      </c>
      <c r="AJ460" s="155">
        <v>2.29167566750629E-8</v>
      </c>
    </row>
    <row r="461" spans="1:36">
      <c r="A461" s="3">
        <v>337</v>
      </c>
      <c r="B461" s="3">
        <v>9964</v>
      </c>
      <c r="C461" s="185" t="s">
        <v>148</v>
      </c>
      <c r="D461" s="3" t="s">
        <v>149</v>
      </c>
      <c r="E461" s="189" t="s">
        <v>118</v>
      </c>
      <c r="F461" s="185" t="s">
        <v>150</v>
      </c>
      <c r="G461" s="3" t="s">
        <v>151</v>
      </c>
      <c r="H461" s="3" t="s">
        <v>121</v>
      </c>
      <c r="I461" s="3" t="s">
        <v>132</v>
      </c>
      <c r="J461" s="3" t="s">
        <v>30</v>
      </c>
      <c r="K461" s="3" t="s">
        <v>30</v>
      </c>
      <c r="L461" s="3" t="s">
        <v>123</v>
      </c>
      <c r="M461" s="3" t="s">
        <v>31</v>
      </c>
      <c r="N461" s="3" t="s">
        <v>152</v>
      </c>
      <c r="O461" s="3" t="s">
        <v>125</v>
      </c>
      <c r="P461" s="3" t="s">
        <v>153</v>
      </c>
      <c r="Q461" s="3" t="s">
        <v>146</v>
      </c>
      <c r="R461" s="3" t="s">
        <v>128</v>
      </c>
      <c r="S461" s="3" t="s">
        <v>34</v>
      </c>
      <c r="T461" s="143">
        <v>2.1619999999999999</v>
      </c>
      <c r="U461" s="3" t="s">
        <v>154</v>
      </c>
      <c r="V461" s="155">
        <v>2.75E-2</v>
      </c>
      <c r="W461" s="155">
        <v>2.4850000000000001E-2</v>
      </c>
      <c r="X461" s="5" t="s">
        <v>129</v>
      </c>
      <c r="Y461" s="5" t="s">
        <v>125</v>
      </c>
      <c r="Z461" s="143">
        <v>69967.16</v>
      </c>
      <c r="AA461" s="153">
        <v>1</v>
      </c>
      <c r="AB461" s="163">
        <v>118.88</v>
      </c>
      <c r="AD461" s="143">
        <v>83.177000000000007</v>
      </c>
      <c r="AG461" s="3" t="s">
        <v>36</v>
      </c>
      <c r="AH461" s="155">
        <v>1.5799999999999999E-4</v>
      </c>
      <c r="AI461" s="155">
        <v>9.4752405849433397E-3</v>
      </c>
      <c r="AJ461" s="155">
        <v>1.9071225956603999E-3</v>
      </c>
    </row>
    <row r="462" spans="1:36">
      <c r="A462" s="3">
        <v>337</v>
      </c>
      <c r="B462" s="3">
        <v>9964</v>
      </c>
      <c r="C462" s="185" t="s">
        <v>155</v>
      </c>
      <c r="D462" s="3" t="s">
        <v>156</v>
      </c>
      <c r="E462" s="189" t="s">
        <v>118</v>
      </c>
      <c r="F462" s="185" t="s">
        <v>157</v>
      </c>
      <c r="G462" s="3" t="s">
        <v>158</v>
      </c>
      <c r="H462" s="3" t="s">
        <v>121</v>
      </c>
      <c r="I462" s="3" t="s">
        <v>122</v>
      </c>
      <c r="J462" s="3" t="s">
        <v>30</v>
      </c>
      <c r="K462" s="3" t="s">
        <v>30</v>
      </c>
      <c r="L462" s="3" t="s">
        <v>123</v>
      </c>
      <c r="M462" s="3" t="s">
        <v>31</v>
      </c>
      <c r="N462" s="3" t="s">
        <v>159</v>
      </c>
      <c r="O462" s="3" t="s">
        <v>125</v>
      </c>
      <c r="P462" s="3" t="s">
        <v>126</v>
      </c>
      <c r="Q462" s="3" t="s">
        <v>127</v>
      </c>
      <c r="R462" s="3" t="s">
        <v>128</v>
      </c>
      <c r="S462" s="3" t="s">
        <v>34</v>
      </c>
      <c r="T462" s="143">
        <v>5.7190000000000003</v>
      </c>
      <c r="U462" s="3" t="s">
        <v>160</v>
      </c>
      <c r="V462" s="155">
        <v>5.1299999999999998E-2</v>
      </c>
      <c r="W462" s="155">
        <v>4.5629999999999997E-2</v>
      </c>
      <c r="X462" s="5" t="s">
        <v>129</v>
      </c>
      <c r="Y462" s="5" t="s">
        <v>125</v>
      </c>
      <c r="Z462" s="143">
        <v>53000</v>
      </c>
      <c r="AA462" s="153">
        <v>1</v>
      </c>
      <c r="AB462" s="163">
        <v>104.92</v>
      </c>
      <c r="AD462" s="143">
        <v>55.607999999999997</v>
      </c>
      <c r="AG462" s="3" t="s">
        <v>36</v>
      </c>
      <c r="AH462" s="155">
        <v>1.56E-4</v>
      </c>
      <c r="AI462" s="155">
        <v>6.3346314840978203E-3</v>
      </c>
      <c r="AJ462" s="155">
        <v>1.2749986377867701E-3</v>
      </c>
    </row>
    <row r="463" spans="1:36">
      <c r="A463" s="3">
        <v>337</v>
      </c>
      <c r="B463" s="3">
        <v>9964</v>
      </c>
      <c r="C463" s="185" t="s">
        <v>161</v>
      </c>
      <c r="D463" s="3" t="s">
        <v>162</v>
      </c>
      <c r="E463" s="189" t="s">
        <v>118</v>
      </c>
      <c r="F463" s="185" t="s">
        <v>163</v>
      </c>
      <c r="G463" s="3" t="s">
        <v>164</v>
      </c>
      <c r="H463" s="3" t="s">
        <v>121</v>
      </c>
      <c r="I463" s="3" t="s">
        <v>122</v>
      </c>
      <c r="J463" s="3" t="s">
        <v>30</v>
      </c>
      <c r="K463" s="3" t="s">
        <v>30</v>
      </c>
      <c r="L463" s="3" t="s">
        <v>123</v>
      </c>
      <c r="M463" s="3" t="s">
        <v>31</v>
      </c>
      <c r="N463" s="3" t="s">
        <v>144</v>
      </c>
      <c r="O463" s="3" t="s">
        <v>125</v>
      </c>
      <c r="P463" s="3" t="s">
        <v>165</v>
      </c>
      <c r="Q463" s="3" t="s">
        <v>146</v>
      </c>
      <c r="R463" s="3" t="s">
        <v>128</v>
      </c>
      <c r="S463" s="3" t="s">
        <v>34</v>
      </c>
      <c r="T463" s="143">
        <v>7.1239999999999997</v>
      </c>
      <c r="U463" s="3" t="s">
        <v>166</v>
      </c>
      <c r="V463" s="155">
        <v>2.4E-2</v>
      </c>
      <c r="W463" s="155">
        <v>4.3560000000000001E-2</v>
      </c>
      <c r="X463" s="5" t="s">
        <v>129</v>
      </c>
      <c r="Y463" s="5" t="s">
        <v>125</v>
      </c>
      <c r="Z463" s="143">
        <v>73404.259999999995</v>
      </c>
      <c r="AA463" s="153">
        <v>1</v>
      </c>
      <c r="AB463" s="163">
        <v>87.37</v>
      </c>
      <c r="AD463" s="143">
        <v>64.132999999999996</v>
      </c>
      <c r="AG463" s="3" t="s">
        <v>36</v>
      </c>
      <c r="AH463" s="155">
        <v>4.8000000000000001E-5</v>
      </c>
      <c r="AI463" s="155">
        <v>7.3058508870664698E-3</v>
      </c>
      <c r="AJ463" s="155">
        <v>1.4704801616742601E-3</v>
      </c>
    </row>
    <row r="464" spans="1:36">
      <c r="A464" s="3">
        <v>337</v>
      </c>
      <c r="B464" s="3">
        <v>9964</v>
      </c>
      <c r="C464" s="185" t="s">
        <v>167</v>
      </c>
      <c r="D464" s="3" t="s">
        <v>168</v>
      </c>
      <c r="E464" s="189" t="s">
        <v>118</v>
      </c>
      <c r="F464" s="185" t="s">
        <v>169</v>
      </c>
      <c r="G464" s="3" t="s">
        <v>170</v>
      </c>
      <c r="H464" s="3" t="s">
        <v>121</v>
      </c>
      <c r="I464" s="3" t="s">
        <v>132</v>
      </c>
      <c r="J464" s="3" t="s">
        <v>30</v>
      </c>
      <c r="K464" s="3" t="s">
        <v>30</v>
      </c>
      <c r="L464" s="3" t="s">
        <v>123</v>
      </c>
      <c r="M464" s="3" t="s">
        <v>31</v>
      </c>
      <c r="N464" s="3" t="s">
        <v>171</v>
      </c>
      <c r="O464" s="3" t="s">
        <v>125</v>
      </c>
      <c r="P464" s="3" t="s">
        <v>165</v>
      </c>
      <c r="Q464" s="3" t="s">
        <v>146</v>
      </c>
      <c r="R464" s="3" t="s">
        <v>128</v>
      </c>
      <c r="S464" s="3" t="s">
        <v>34</v>
      </c>
      <c r="T464" s="143">
        <v>1.5149999999999999</v>
      </c>
      <c r="U464" s="3" t="s">
        <v>104</v>
      </c>
      <c r="V464" s="155">
        <v>2.3400000000000001E-2</v>
      </c>
      <c r="W464" s="155">
        <v>2.6200000000000001E-2</v>
      </c>
      <c r="X464" s="5" t="s">
        <v>129</v>
      </c>
      <c r="Y464" s="5" t="s">
        <v>125</v>
      </c>
      <c r="Z464" s="143">
        <v>75478.17</v>
      </c>
      <c r="AA464" s="153">
        <v>1</v>
      </c>
      <c r="AB464" s="163">
        <v>119.52</v>
      </c>
      <c r="AD464" s="143">
        <v>90.212000000000003</v>
      </c>
      <c r="AG464" s="3" t="s">
        <v>36</v>
      </c>
      <c r="AH464" s="155">
        <v>4.6E-5</v>
      </c>
      <c r="AI464" s="155">
        <v>1.0276592835711199E-2</v>
      </c>
      <c r="AJ464" s="155">
        <v>2.068414224176E-3</v>
      </c>
    </row>
    <row r="465" spans="1:36">
      <c r="A465" s="3">
        <v>337</v>
      </c>
      <c r="B465" s="3">
        <v>9964</v>
      </c>
      <c r="C465" s="185" t="s">
        <v>180</v>
      </c>
      <c r="D465" s="3" t="s">
        <v>181</v>
      </c>
      <c r="E465" s="189" t="s">
        <v>118</v>
      </c>
      <c r="F465" s="185" t="s">
        <v>182</v>
      </c>
      <c r="G465" s="3" t="s">
        <v>183</v>
      </c>
      <c r="H465" s="3" t="s">
        <v>121</v>
      </c>
      <c r="I465" s="3" t="s">
        <v>132</v>
      </c>
      <c r="J465" s="3" t="s">
        <v>30</v>
      </c>
      <c r="K465" s="3" t="s">
        <v>30</v>
      </c>
      <c r="L465" s="3" t="s">
        <v>123</v>
      </c>
      <c r="M465" s="3" t="s">
        <v>31</v>
      </c>
      <c r="N465" s="3" t="s">
        <v>184</v>
      </c>
      <c r="O465" s="3" t="s">
        <v>125</v>
      </c>
      <c r="P465" s="3" t="s">
        <v>153</v>
      </c>
      <c r="Q465" s="3" t="s">
        <v>146</v>
      </c>
      <c r="R465" s="3" t="s">
        <v>128</v>
      </c>
      <c r="S465" s="3" t="s">
        <v>34</v>
      </c>
      <c r="T465" s="143">
        <v>1.2150000000000001</v>
      </c>
      <c r="U465" s="3" t="s">
        <v>185</v>
      </c>
      <c r="V465" s="155">
        <v>3.2000000000000001E-2</v>
      </c>
      <c r="W465" s="155">
        <v>2.9610000000000001E-2</v>
      </c>
      <c r="X465" s="5" t="s">
        <v>129</v>
      </c>
      <c r="Y465" s="5" t="s">
        <v>125</v>
      </c>
      <c r="Z465" s="143">
        <v>15500</v>
      </c>
      <c r="AA465" s="153">
        <v>1</v>
      </c>
      <c r="AB465" s="163">
        <v>110.32</v>
      </c>
      <c r="AD465" s="143">
        <v>17.100000000000001</v>
      </c>
      <c r="AG465" s="3" t="s">
        <v>36</v>
      </c>
      <c r="AH465" s="155">
        <v>2.8E-5</v>
      </c>
      <c r="AI465" s="155">
        <v>1.94792914143892E-3</v>
      </c>
      <c r="AJ465" s="155">
        <v>3.9206811131389801E-4</v>
      </c>
    </row>
    <row r="466" spans="1:36">
      <c r="A466" s="3">
        <v>337</v>
      </c>
      <c r="B466" s="3">
        <v>9964</v>
      </c>
      <c r="C466" s="185" t="s">
        <v>180</v>
      </c>
      <c r="D466" s="3" t="s">
        <v>181</v>
      </c>
      <c r="E466" s="189" t="s">
        <v>118</v>
      </c>
      <c r="F466" s="185" t="s">
        <v>186</v>
      </c>
      <c r="G466" s="3" t="s">
        <v>187</v>
      </c>
      <c r="H466" s="3" t="s">
        <v>121</v>
      </c>
      <c r="I466" s="3" t="s">
        <v>122</v>
      </c>
      <c r="J466" s="3" t="s">
        <v>30</v>
      </c>
      <c r="K466" s="3" t="s">
        <v>30</v>
      </c>
      <c r="L466" s="3" t="s">
        <v>123</v>
      </c>
      <c r="M466" s="3" t="s">
        <v>31</v>
      </c>
      <c r="N466" s="3" t="s">
        <v>184</v>
      </c>
      <c r="O466" s="3" t="s">
        <v>125</v>
      </c>
      <c r="P466" s="3" t="s">
        <v>153</v>
      </c>
      <c r="Q466" s="3" t="s">
        <v>146</v>
      </c>
      <c r="R466" s="3" t="s">
        <v>128</v>
      </c>
      <c r="S466" s="3" t="s">
        <v>34</v>
      </c>
      <c r="T466" s="143">
        <v>1.2909999999999999</v>
      </c>
      <c r="U466" s="3" t="s">
        <v>188</v>
      </c>
      <c r="V466" s="155">
        <v>5.7000000000000002E-2</v>
      </c>
      <c r="W466" s="155">
        <v>4.7969999999999999E-2</v>
      </c>
      <c r="X466" s="5" t="s">
        <v>129</v>
      </c>
      <c r="Y466" s="5" t="s">
        <v>125</v>
      </c>
      <c r="Z466" s="143">
        <v>15000</v>
      </c>
      <c r="AA466" s="153">
        <v>1</v>
      </c>
      <c r="AB466" s="163">
        <v>101.45</v>
      </c>
      <c r="AD466" s="143">
        <v>15.217000000000001</v>
      </c>
      <c r="AG466" s="3" t="s">
        <v>36</v>
      </c>
      <c r="AH466" s="155">
        <v>2.3E-5</v>
      </c>
      <c r="AI466" s="155">
        <v>1.7335266152335E-3</v>
      </c>
      <c r="AJ466" s="155">
        <v>3.4891438886986998E-4</v>
      </c>
    </row>
    <row r="467" spans="1:36">
      <c r="A467" s="3">
        <v>337</v>
      </c>
      <c r="B467" s="3">
        <v>9964</v>
      </c>
      <c r="C467" s="185" t="s">
        <v>189</v>
      </c>
      <c r="D467" s="3" t="s">
        <v>190</v>
      </c>
      <c r="E467" s="189" t="s">
        <v>118</v>
      </c>
      <c r="F467" s="185" t="s">
        <v>191</v>
      </c>
      <c r="G467" s="3" t="s">
        <v>192</v>
      </c>
      <c r="H467" s="3" t="s">
        <v>121</v>
      </c>
      <c r="I467" s="3" t="s">
        <v>132</v>
      </c>
      <c r="J467" s="3" t="s">
        <v>30</v>
      </c>
      <c r="K467" s="3" t="s">
        <v>30</v>
      </c>
      <c r="L467" s="3" t="s">
        <v>123</v>
      </c>
      <c r="M467" s="3" t="s">
        <v>31</v>
      </c>
      <c r="N467" s="3" t="s">
        <v>184</v>
      </c>
      <c r="O467" s="3" t="s">
        <v>125</v>
      </c>
      <c r="P467" s="3" t="s">
        <v>153</v>
      </c>
      <c r="Q467" s="3" t="s">
        <v>146</v>
      </c>
      <c r="R467" s="3" t="s">
        <v>128</v>
      </c>
      <c r="S467" s="3" t="s">
        <v>34</v>
      </c>
      <c r="T467" s="143">
        <v>2.1589999999999998</v>
      </c>
      <c r="U467" s="3" t="s">
        <v>193</v>
      </c>
      <c r="V467" s="155">
        <v>3.2300000000000002E-2</v>
      </c>
      <c r="W467" s="155">
        <v>2.5850000000000001E-2</v>
      </c>
      <c r="X467" s="5" t="s">
        <v>129</v>
      </c>
      <c r="Y467" s="5" t="s">
        <v>125</v>
      </c>
      <c r="Z467" s="143">
        <v>21080</v>
      </c>
      <c r="AA467" s="153">
        <v>1</v>
      </c>
      <c r="AB467" s="163">
        <v>111.83</v>
      </c>
      <c r="AD467" s="143">
        <v>23.574000000000002</v>
      </c>
      <c r="AG467" s="3" t="s">
        <v>36</v>
      </c>
      <c r="AH467" s="155">
        <v>5.0000000000000002E-5</v>
      </c>
      <c r="AI467" s="155">
        <v>2.6854442132566701E-3</v>
      </c>
      <c r="AJ467" s="155">
        <v>5.4051095511237397E-4</v>
      </c>
    </row>
    <row r="468" spans="1:36">
      <c r="A468" s="3">
        <v>337</v>
      </c>
      <c r="B468" s="3">
        <v>9964</v>
      </c>
      <c r="C468" s="185" t="s">
        <v>194</v>
      </c>
      <c r="D468" s="3" t="s">
        <v>195</v>
      </c>
      <c r="E468" s="189" t="s">
        <v>118</v>
      </c>
      <c r="F468" s="185" t="s">
        <v>196</v>
      </c>
      <c r="G468" s="3" t="s">
        <v>197</v>
      </c>
      <c r="H468" s="3" t="s">
        <v>121</v>
      </c>
      <c r="I468" s="3" t="s">
        <v>132</v>
      </c>
      <c r="J468" s="3" t="s">
        <v>30</v>
      </c>
      <c r="K468" s="3" t="s">
        <v>30</v>
      </c>
      <c r="L468" s="3" t="s">
        <v>123</v>
      </c>
      <c r="M468" s="3" t="s">
        <v>31</v>
      </c>
      <c r="N468" s="3" t="s">
        <v>171</v>
      </c>
      <c r="O468" s="3" t="s">
        <v>125</v>
      </c>
      <c r="P468" s="3" t="s">
        <v>198</v>
      </c>
      <c r="Q468" s="3" t="s">
        <v>146</v>
      </c>
      <c r="R468" s="3" t="s">
        <v>128</v>
      </c>
      <c r="S468" s="3" t="s">
        <v>34</v>
      </c>
      <c r="T468" s="143">
        <v>1.944</v>
      </c>
      <c r="U468" s="3" t="s">
        <v>199</v>
      </c>
      <c r="V468" s="155">
        <v>2.4899999999999999E-2</v>
      </c>
      <c r="W468" s="155">
        <v>2.8840000000000001E-2</v>
      </c>
      <c r="X468" s="5" t="s">
        <v>129</v>
      </c>
      <c r="Y468" s="5" t="s">
        <v>125</v>
      </c>
      <c r="Z468" s="143">
        <v>43400</v>
      </c>
      <c r="AA468" s="153">
        <v>1</v>
      </c>
      <c r="AB468" s="163">
        <v>109.55</v>
      </c>
      <c r="AD468" s="143">
        <v>47.545000000000002</v>
      </c>
      <c r="AG468" s="3" t="s">
        <v>36</v>
      </c>
      <c r="AH468" s="155">
        <v>2.6600000000000001E-4</v>
      </c>
      <c r="AI468" s="155">
        <v>5.4161329300668496E-3</v>
      </c>
      <c r="AJ468" s="155">
        <v>1.0901284668639001E-3</v>
      </c>
    </row>
    <row r="469" spans="1:36">
      <c r="A469" s="3">
        <v>337</v>
      </c>
      <c r="B469" s="3">
        <v>9964</v>
      </c>
      <c r="C469" s="185" t="s">
        <v>200</v>
      </c>
      <c r="D469" s="3" t="s">
        <v>201</v>
      </c>
      <c r="E469" s="189" t="s">
        <v>118</v>
      </c>
      <c r="F469" s="185" t="s">
        <v>764</v>
      </c>
      <c r="G469" s="3" t="s">
        <v>765</v>
      </c>
      <c r="H469" s="3" t="s">
        <v>121</v>
      </c>
      <c r="I469" s="3" t="s">
        <v>122</v>
      </c>
      <c r="J469" s="3" t="s">
        <v>30</v>
      </c>
      <c r="K469" s="3" t="s">
        <v>30</v>
      </c>
      <c r="L469" s="3" t="s">
        <v>123</v>
      </c>
      <c r="M469" s="3" t="s">
        <v>31</v>
      </c>
      <c r="N469" s="3" t="s">
        <v>171</v>
      </c>
      <c r="O469" s="3" t="s">
        <v>125</v>
      </c>
      <c r="P469" s="3" t="s">
        <v>145</v>
      </c>
      <c r="Q469" s="3" t="s">
        <v>146</v>
      </c>
      <c r="R469" s="3" t="s">
        <v>128</v>
      </c>
      <c r="S469" s="3" t="s">
        <v>34</v>
      </c>
      <c r="T469" s="143">
        <v>5.4930000000000003</v>
      </c>
      <c r="U469" s="3" t="s">
        <v>766</v>
      </c>
      <c r="V469" s="155">
        <v>4.9399999999999999E-2</v>
      </c>
      <c r="W469" s="155">
        <v>4.648E-2</v>
      </c>
      <c r="X469" s="5" t="s">
        <v>129</v>
      </c>
      <c r="Y469" s="5" t="s">
        <v>125</v>
      </c>
      <c r="Z469" s="143">
        <v>62318</v>
      </c>
      <c r="AA469" s="153">
        <v>1</v>
      </c>
      <c r="AB469" s="163">
        <v>105.72</v>
      </c>
      <c r="AD469" s="143">
        <v>65.882999999999996</v>
      </c>
      <c r="AG469" s="3" t="s">
        <v>36</v>
      </c>
      <c r="AH469" s="155">
        <v>3.3000000000000003E-5</v>
      </c>
      <c r="AI469" s="155">
        <v>7.5051238739678597E-3</v>
      </c>
      <c r="AJ469" s="155">
        <v>1.51058869639878E-3</v>
      </c>
    </row>
    <row r="470" spans="1:36">
      <c r="A470" s="3">
        <v>337</v>
      </c>
      <c r="B470" s="3">
        <v>9964</v>
      </c>
      <c r="C470" s="185" t="s">
        <v>205</v>
      </c>
      <c r="D470" s="3" t="s">
        <v>206</v>
      </c>
      <c r="E470" s="189" t="s">
        <v>118</v>
      </c>
      <c r="F470" s="185" t="s">
        <v>884</v>
      </c>
      <c r="G470" s="3" t="s">
        <v>885</v>
      </c>
      <c r="H470" s="3" t="s">
        <v>121</v>
      </c>
      <c r="I470" s="3" t="s">
        <v>122</v>
      </c>
      <c r="J470" s="3" t="s">
        <v>30</v>
      </c>
      <c r="K470" s="3" t="s">
        <v>30</v>
      </c>
      <c r="L470" s="3" t="s">
        <v>123</v>
      </c>
      <c r="M470" s="3" t="s">
        <v>31</v>
      </c>
      <c r="N470" s="3" t="s">
        <v>209</v>
      </c>
      <c r="O470" s="3" t="s">
        <v>125</v>
      </c>
      <c r="P470" s="3" t="s">
        <v>145</v>
      </c>
      <c r="Q470" s="3" t="s">
        <v>146</v>
      </c>
      <c r="R470" s="3" t="s">
        <v>128</v>
      </c>
      <c r="S470" s="3" t="s">
        <v>34</v>
      </c>
      <c r="T470" s="143">
        <v>3.5790000000000002</v>
      </c>
      <c r="U470" s="3" t="s">
        <v>886</v>
      </c>
      <c r="V470" s="155">
        <v>2.9899999999999999E-2</v>
      </c>
      <c r="W470" s="155">
        <v>4.3720000000000002E-2</v>
      </c>
      <c r="X470" s="5" t="s">
        <v>129</v>
      </c>
      <c r="Y470" s="5" t="s">
        <v>125</v>
      </c>
      <c r="Z470" s="143">
        <v>85500</v>
      </c>
      <c r="AA470" s="153">
        <v>1</v>
      </c>
      <c r="AB470" s="163">
        <v>106.45</v>
      </c>
      <c r="AD470" s="143">
        <v>91.015000000000001</v>
      </c>
      <c r="AG470" s="3" t="s">
        <v>36</v>
      </c>
      <c r="AH470" s="155">
        <v>2.0599999999999999E-4</v>
      </c>
      <c r="AI470" s="155">
        <v>1.03680953838557E-2</v>
      </c>
      <c r="AJ470" s="155">
        <v>2.0868313372363399E-3</v>
      </c>
    </row>
    <row r="471" spans="1:36">
      <c r="A471" s="3">
        <v>337</v>
      </c>
      <c r="B471" s="3">
        <v>9964</v>
      </c>
      <c r="C471" s="185" t="s">
        <v>205</v>
      </c>
      <c r="D471" s="3" t="s">
        <v>206</v>
      </c>
      <c r="E471" s="189" t="s">
        <v>118</v>
      </c>
      <c r="F471" s="185" t="s">
        <v>207</v>
      </c>
      <c r="G471" s="3" t="s">
        <v>208</v>
      </c>
      <c r="H471" s="3" t="s">
        <v>121</v>
      </c>
      <c r="I471" s="3" t="s">
        <v>122</v>
      </c>
      <c r="J471" s="3" t="s">
        <v>30</v>
      </c>
      <c r="K471" s="3" t="s">
        <v>30</v>
      </c>
      <c r="L471" s="3" t="s">
        <v>123</v>
      </c>
      <c r="M471" s="3" t="s">
        <v>31</v>
      </c>
      <c r="N471" s="3" t="s">
        <v>209</v>
      </c>
      <c r="O471" s="3" t="s">
        <v>125</v>
      </c>
      <c r="P471" s="3" t="s">
        <v>145</v>
      </c>
      <c r="Q471" s="3" t="s">
        <v>146</v>
      </c>
      <c r="R471" s="3" t="s">
        <v>128</v>
      </c>
      <c r="S471" s="3" t="s">
        <v>34</v>
      </c>
      <c r="T471" s="143">
        <v>2.1150000000000002</v>
      </c>
      <c r="U471" s="3" t="s">
        <v>210</v>
      </c>
      <c r="V471" s="155">
        <v>2.0400000000000001E-2</v>
      </c>
      <c r="W471" s="155">
        <v>4.3630000000000002E-2</v>
      </c>
      <c r="X471" s="5" t="s">
        <v>129</v>
      </c>
      <c r="Y471" s="5" t="s">
        <v>125</v>
      </c>
      <c r="Z471" s="143">
        <v>36000</v>
      </c>
      <c r="AA471" s="153">
        <v>1</v>
      </c>
      <c r="AB471" s="163">
        <v>95.91</v>
      </c>
      <c r="AD471" s="143">
        <v>34.527999999999999</v>
      </c>
      <c r="AG471" s="3" t="s">
        <v>36</v>
      </c>
      <c r="AH471" s="155">
        <v>1.2E-4</v>
      </c>
      <c r="AI471" s="155">
        <v>3.93326851060531E-3</v>
      </c>
      <c r="AJ471" s="155">
        <v>7.9166594073555704E-4</v>
      </c>
    </row>
    <row r="472" spans="1:36">
      <c r="A472" s="3">
        <v>337</v>
      </c>
      <c r="B472" s="3">
        <v>9964</v>
      </c>
      <c r="C472" s="185" t="s">
        <v>211</v>
      </c>
      <c r="D472" s="3" t="s">
        <v>212</v>
      </c>
      <c r="E472" s="189" t="s">
        <v>118</v>
      </c>
      <c r="F472" s="185" t="s">
        <v>213</v>
      </c>
      <c r="G472" s="3" t="s">
        <v>214</v>
      </c>
      <c r="H472" s="3" t="s">
        <v>121</v>
      </c>
      <c r="I472" s="3" t="s">
        <v>122</v>
      </c>
      <c r="J472" s="3" t="s">
        <v>30</v>
      </c>
      <c r="K472" s="3" t="s">
        <v>30</v>
      </c>
      <c r="L472" s="3" t="s">
        <v>123</v>
      </c>
      <c r="M472" s="3" t="s">
        <v>31</v>
      </c>
      <c r="N472" s="3" t="s">
        <v>209</v>
      </c>
      <c r="O472" s="3" t="s">
        <v>125</v>
      </c>
      <c r="P472" s="3" t="s">
        <v>153</v>
      </c>
      <c r="Q472" s="3" t="s">
        <v>146</v>
      </c>
      <c r="R472" s="3" t="s">
        <v>128</v>
      </c>
      <c r="S472" s="3" t="s">
        <v>34</v>
      </c>
      <c r="T472" s="143">
        <v>2.3180000000000001</v>
      </c>
      <c r="U472" s="3" t="s">
        <v>215</v>
      </c>
      <c r="V472" s="155">
        <v>0.04</v>
      </c>
      <c r="W472" s="155">
        <v>4.5150000000000003E-2</v>
      </c>
      <c r="X472" s="5" t="s">
        <v>129</v>
      </c>
      <c r="Y472" s="5" t="s">
        <v>125</v>
      </c>
      <c r="Z472" s="143">
        <v>24000.01</v>
      </c>
      <c r="AA472" s="153">
        <v>1</v>
      </c>
      <c r="AB472" s="163">
        <v>100.82</v>
      </c>
      <c r="AD472" s="143">
        <v>24.196999999999999</v>
      </c>
      <c r="AG472" s="3" t="s">
        <v>36</v>
      </c>
      <c r="AH472" s="155">
        <v>4.1E-5</v>
      </c>
      <c r="AI472" s="155">
        <v>2.7564195354622899E-3</v>
      </c>
      <c r="AJ472" s="155">
        <v>5.5479646475185503E-4</v>
      </c>
    </row>
    <row r="473" spans="1:36">
      <c r="A473" s="3">
        <v>337</v>
      </c>
      <c r="B473" s="3">
        <v>9964</v>
      </c>
      <c r="C473" s="185" t="s">
        <v>211</v>
      </c>
      <c r="D473" s="3" t="s">
        <v>212</v>
      </c>
      <c r="E473" s="189" t="s">
        <v>118</v>
      </c>
      <c r="F473" s="185" t="s">
        <v>216</v>
      </c>
      <c r="G473" s="3" t="s">
        <v>217</v>
      </c>
      <c r="H473" s="3" t="s">
        <v>121</v>
      </c>
      <c r="I473" s="3" t="s">
        <v>122</v>
      </c>
      <c r="J473" s="3" t="s">
        <v>30</v>
      </c>
      <c r="K473" s="3" t="s">
        <v>30</v>
      </c>
      <c r="L473" s="3" t="s">
        <v>123</v>
      </c>
      <c r="M473" s="3" t="s">
        <v>31</v>
      </c>
      <c r="N473" s="3" t="s">
        <v>209</v>
      </c>
      <c r="O473" s="3" t="s">
        <v>125</v>
      </c>
      <c r="P473" s="3" t="s">
        <v>153</v>
      </c>
      <c r="Q473" s="3" t="s">
        <v>146</v>
      </c>
      <c r="R473" s="3" t="s">
        <v>128</v>
      </c>
      <c r="S473" s="3" t="s">
        <v>34</v>
      </c>
      <c r="T473" s="143">
        <v>4.8570000000000002</v>
      </c>
      <c r="U473" s="3" t="s">
        <v>218</v>
      </c>
      <c r="V473" s="155">
        <v>2.07E-2</v>
      </c>
      <c r="W473" s="155">
        <v>4.6010000000000002E-2</v>
      </c>
      <c r="X473" s="5" t="s">
        <v>129</v>
      </c>
      <c r="Y473" s="5" t="s">
        <v>125</v>
      </c>
      <c r="Z473" s="143">
        <v>63579.88</v>
      </c>
      <c r="AA473" s="153">
        <v>1</v>
      </c>
      <c r="AB473" s="163">
        <v>88.72</v>
      </c>
      <c r="AD473" s="143">
        <v>56.408000000000001</v>
      </c>
      <c r="AG473" s="3" t="s">
        <v>36</v>
      </c>
      <c r="AH473" s="155">
        <v>9.6000000000000002E-5</v>
      </c>
      <c r="AI473" s="155">
        <v>6.42581829174293E-3</v>
      </c>
      <c r="AJ473" s="155">
        <v>1.29335220039314E-3</v>
      </c>
    </row>
    <row r="474" spans="1:36">
      <c r="A474" s="3">
        <v>337</v>
      </c>
      <c r="B474" s="3">
        <v>9964</v>
      </c>
      <c r="C474" s="185" t="s">
        <v>219</v>
      </c>
      <c r="D474" s="3" t="s">
        <v>220</v>
      </c>
      <c r="E474" s="189" t="s">
        <v>118</v>
      </c>
      <c r="F474" s="185" t="s">
        <v>221</v>
      </c>
      <c r="G474" s="3" t="s">
        <v>222</v>
      </c>
      <c r="H474" s="3" t="s">
        <v>121</v>
      </c>
      <c r="I474" s="3" t="s">
        <v>132</v>
      </c>
      <c r="J474" s="3" t="s">
        <v>30</v>
      </c>
      <c r="K474" s="3" t="s">
        <v>30</v>
      </c>
      <c r="L474" s="3" t="s">
        <v>123</v>
      </c>
      <c r="M474" s="3" t="s">
        <v>31</v>
      </c>
      <c r="N474" s="3" t="s">
        <v>171</v>
      </c>
      <c r="O474" s="3" t="s">
        <v>125</v>
      </c>
      <c r="P474" s="3" t="s">
        <v>165</v>
      </c>
      <c r="Q474" s="3" t="s">
        <v>146</v>
      </c>
      <c r="R474" s="3" t="s">
        <v>128</v>
      </c>
      <c r="S474" s="3" t="s">
        <v>34</v>
      </c>
      <c r="T474" s="143">
        <v>2.3809999999999998</v>
      </c>
      <c r="U474" s="3" t="s">
        <v>223</v>
      </c>
      <c r="V474" s="155">
        <v>1.14E-2</v>
      </c>
      <c r="W474" s="155">
        <v>2.46E-2</v>
      </c>
      <c r="X474" s="5" t="s">
        <v>129</v>
      </c>
      <c r="Y474" s="5" t="s">
        <v>125</v>
      </c>
      <c r="Z474" s="143">
        <v>90000</v>
      </c>
      <c r="AA474" s="153">
        <v>1</v>
      </c>
      <c r="AB474" s="163">
        <v>112.98</v>
      </c>
      <c r="AD474" s="143">
        <v>101.682</v>
      </c>
      <c r="AG474" s="3" t="s">
        <v>36</v>
      </c>
      <c r="AH474" s="155">
        <v>4.1999999999999998E-5</v>
      </c>
      <c r="AI474" s="155">
        <v>1.1583272764263099E-2</v>
      </c>
      <c r="AJ474" s="155">
        <v>2.3314153368862302E-3</v>
      </c>
    </row>
    <row r="475" spans="1:36">
      <c r="A475" s="3">
        <v>337</v>
      </c>
      <c r="B475" s="3">
        <v>9964</v>
      </c>
      <c r="C475" s="185" t="s">
        <v>219</v>
      </c>
      <c r="D475" s="3" t="s">
        <v>220</v>
      </c>
      <c r="E475" s="189" t="s">
        <v>118</v>
      </c>
      <c r="F475" s="185" t="s">
        <v>767</v>
      </c>
      <c r="G475" s="3" t="s">
        <v>768</v>
      </c>
      <c r="H475" s="3" t="s">
        <v>121</v>
      </c>
      <c r="I475" s="3" t="s">
        <v>122</v>
      </c>
      <c r="J475" s="3" t="s">
        <v>30</v>
      </c>
      <c r="K475" s="3" t="s">
        <v>30</v>
      </c>
      <c r="L475" s="3" t="s">
        <v>123</v>
      </c>
      <c r="M475" s="3" t="s">
        <v>31</v>
      </c>
      <c r="N475" s="3" t="s">
        <v>171</v>
      </c>
      <c r="O475" s="3" t="s">
        <v>125</v>
      </c>
      <c r="P475" s="3" t="s">
        <v>165</v>
      </c>
      <c r="Q475" s="3" t="s">
        <v>146</v>
      </c>
      <c r="R475" s="3" t="s">
        <v>128</v>
      </c>
      <c r="S475" s="3" t="s">
        <v>34</v>
      </c>
      <c r="T475" s="143">
        <v>4.2869999999999999</v>
      </c>
      <c r="U475" s="3" t="s">
        <v>769</v>
      </c>
      <c r="V475" s="155">
        <v>2.4400000000000002E-2</v>
      </c>
      <c r="W475" s="155">
        <v>4.3729999999999998E-2</v>
      </c>
      <c r="X475" s="5" t="s">
        <v>129</v>
      </c>
      <c r="Y475" s="5" t="s">
        <v>125</v>
      </c>
      <c r="Z475" s="143">
        <v>69388</v>
      </c>
      <c r="AA475" s="153">
        <v>1</v>
      </c>
      <c r="AB475" s="163">
        <v>92.24</v>
      </c>
      <c r="AC475" s="143">
        <v>1.6930000000000001</v>
      </c>
      <c r="AD475" s="143">
        <v>65.697000000000003</v>
      </c>
      <c r="AG475" s="3" t="s">
        <v>36</v>
      </c>
      <c r="AH475" s="155">
        <v>5.7000000000000003E-5</v>
      </c>
      <c r="AI475" s="155">
        <v>7.4839321419100796E-3</v>
      </c>
      <c r="AJ475" s="155">
        <v>1.5063233449614001E-3</v>
      </c>
    </row>
    <row r="476" spans="1:36">
      <c r="A476" s="3">
        <v>337</v>
      </c>
      <c r="B476" s="3">
        <v>9964</v>
      </c>
      <c r="C476" s="185" t="s">
        <v>224</v>
      </c>
      <c r="D476" s="3" t="s">
        <v>225</v>
      </c>
      <c r="E476" s="189" t="s">
        <v>118</v>
      </c>
      <c r="F476" s="185" t="s">
        <v>226</v>
      </c>
      <c r="G476" s="3" t="s">
        <v>227</v>
      </c>
      <c r="H476" s="3" t="s">
        <v>121</v>
      </c>
      <c r="I476" s="3" t="s">
        <v>122</v>
      </c>
      <c r="J476" s="3" t="s">
        <v>30</v>
      </c>
      <c r="K476" s="3" t="s">
        <v>80</v>
      </c>
      <c r="L476" s="3" t="s">
        <v>123</v>
      </c>
      <c r="M476" s="3" t="s">
        <v>31</v>
      </c>
      <c r="N476" s="3" t="s">
        <v>228</v>
      </c>
      <c r="O476" s="3" t="s">
        <v>125</v>
      </c>
      <c r="P476" s="3" t="s">
        <v>198</v>
      </c>
      <c r="Q476" s="3" t="s">
        <v>146</v>
      </c>
      <c r="R476" s="3" t="s">
        <v>128</v>
      </c>
      <c r="S476" s="3" t="s">
        <v>34</v>
      </c>
      <c r="T476" s="143">
        <v>0.65700000000000003</v>
      </c>
      <c r="U476" s="3" t="s">
        <v>229</v>
      </c>
      <c r="V476" s="155">
        <v>3.4500000000000003E-2</v>
      </c>
      <c r="W476" s="155">
        <v>4.8649999999999999E-2</v>
      </c>
      <c r="X476" s="5" t="s">
        <v>129</v>
      </c>
      <c r="Y476" s="5" t="s">
        <v>125</v>
      </c>
      <c r="Z476" s="143">
        <v>48043.48</v>
      </c>
      <c r="AA476" s="153">
        <v>1</v>
      </c>
      <c r="AB476" s="163">
        <v>100.27</v>
      </c>
      <c r="AD476" s="143">
        <v>48.173000000000002</v>
      </c>
      <c r="AG476" s="3" t="s">
        <v>36</v>
      </c>
      <c r="AH476" s="155">
        <v>8.6000000000000003E-5</v>
      </c>
      <c r="AI476" s="155">
        <v>5.4877292476992398E-3</v>
      </c>
      <c r="AJ476" s="155">
        <v>1.10453896693497E-3</v>
      </c>
    </row>
    <row r="477" spans="1:36">
      <c r="A477" s="3">
        <v>337</v>
      </c>
      <c r="B477" s="3">
        <v>9964</v>
      </c>
      <c r="C477" s="185" t="s">
        <v>224</v>
      </c>
      <c r="D477" s="3" t="s">
        <v>225</v>
      </c>
      <c r="E477" s="189" t="s">
        <v>118</v>
      </c>
      <c r="F477" s="185" t="s">
        <v>770</v>
      </c>
      <c r="G477" s="3" t="s">
        <v>771</v>
      </c>
      <c r="H477" s="3" t="s">
        <v>121</v>
      </c>
      <c r="I477" s="3" t="s">
        <v>122</v>
      </c>
      <c r="J477" s="3" t="s">
        <v>30</v>
      </c>
      <c r="K477" s="3" t="s">
        <v>80</v>
      </c>
      <c r="L477" s="3" t="s">
        <v>123</v>
      </c>
      <c r="M477" s="3" t="s">
        <v>31</v>
      </c>
      <c r="N477" s="3" t="s">
        <v>228</v>
      </c>
      <c r="O477" s="3" t="s">
        <v>125</v>
      </c>
      <c r="P477" s="3" t="s">
        <v>198</v>
      </c>
      <c r="Q477" s="3" t="s">
        <v>146</v>
      </c>
      <c r="R477" s="3" t="s">
        <v>128</v>
      </c>
      <c r="S477" s="3" t="s">
        <v>34</v>
      </c>
      <c r="T477" s="143">
        <v>2.5739999999999998</v>
      </c>
      <c r="U477" s="3" t="s">
        <v>772</v>
      </c>
      <c r="V477" s="155">
        <v>1.4999999999999999E-2</v>
      </c>
      <c r="W477" s="155">
        <v>4.546E-2</v>
      </c>
      <c r="X477" s="5" t="s">
        <v>129</v>
      </c>
      <c r="Y477" s="5" t="s">
        <v>125</v>
      </c>
      <c r="Z477" s="143">
        <v>150000</v>
      </c>
      <c r="AA477" s="153">
        <v>1</v>
      </c>
      <c r="AB477" s="163">
        <v>93.1</v>
      </c>
      <c r="AD477" s="143">
        <v>139.65</v>
      </c>
      <c r="AG477" s="3" t="s">
        <v>36</v>
      </c>
      <c r="AH477" s="155">
        <v>1.27E-4</v>
      </c>
      <c r="AI477" s="155">
        <v>1.5908460116139899E-2</v>
      </c>
      <c r="AJ477" s="155">
        <v>3.2019644754839802E-3</v>
      </c>
    </row>
    <row r="478" spans="1:36">
      <c r="A478" s="3">
        <v>337</v>
      </c>
      <c r="B478" s="3">
        <v>9964</v>
      </c>
      <c r="C478" s="185" t="s">
        <v>230</v>
      </c>
      <c r="D478" s="3" t="s">
        <v>231</v>
      </c>
      <c r="E478" s="189" t="s">
        <v>118</v>
      </c>
      <c r="F478" s="185" t="s">
        <v>232</v>
      </c>
      <c r="G478" s="3" t="s">
        <v>233</v>
      </c>
      <c r="H478" s="3" t="s">
        <v>121</v>
      </c>
      <c r="I478" s="3" t="s">
        <v>122</v>
      </c>
      <c r="J478" s="3" t="s">
        <v>30</v>
      </c>
      <c r="K478" s="3" t="s">
        <v>30</v>
      </c>
      <c r="L478" s="3" t="s">
        <v>123</v>
      </c>
      <c r="M478" s="3" t="s">
        <v>31</v>
      </c>
      <c r="N478" s="3" t="s">
        <v>228</v>
      </c>
      <c r="O478" s="3" t="s">
        <v>125</v>
      </c>
      <c r="P478" s="3" t="s">
        <v>198</v>
      </c>
      <c r="Q478" s="3" t="s">
        <v>146</v>
      </c>
      <c r="R478" s="3" t="s">
        <v>128</v>
      </c>
      <c r="S478" s="3" t="s">
        <v>34</v>
      </c>
      <c r="T478" s="143">
        <v>2.2010000000000001</v>
      </c>
      <c r="U478" s="3" t="s">
        <v>234</v>
      </c>
      <c r="V478" s="155">
        <v>2.0500000000000001E-2</v>
      </c>
      <c r="W478" s="155">
        <v>4.6739999999999997E-2</v>
      </c>
      <c r="X478" s="5" t="s">
        <v>129</v>
      </c>
      <c r="Y478" s="5" t="s">
        <v>125</v>
      </c>
      <c r="Z478" s="143">
        <v>48181.83</v>
      </c>
      <c r="AA478" s="153">
        <v>1</v>
      </c>
      <c r="AB478" s="163">
        <v>95.33</v>
      </c>
      <c r="AD478" s="143">
        <v>45.932000000000002</v>
      </c>
      <c r="AG478" s="3" t="s">
        <v>36</v>
      </c>
      <c r="AH478" s="155">
        <v>5.5000000000000002E-5</v>
      </c>
      <c r="AI478" s="155">
        <v>5.2323897645015901E-3</v>
      </c>
      <c r="AJ478" s="155">
        <v>1.05314568635228E-3</v>
      </c>
    </row>
    <row r="479" spans="1:36">
      <c r="A479" s="3">
        <v>337</v>
      </c>
      <c r="B479" s="3">
        <v>9964</v>
      </c>
      <c r="C479" s="185" t="s">
        <v>230</v>
      </c>
      <c r="D479" s="3" t="s">
        <v>231</v>
      </c>
      <c r="E479" s="189" t="s">
        <v>118</v>
      </c>
      <c r="F479" s="185" t="s">
        <v>235</v>
      </c>
      <c r="G479" s="3" t="s">
        <v>236</v>
      </c>
      <c r="H479" s="3" t="s">
        <v>121</v>
      </c>
      <c r="I479" s="3" t="s">
        <v>176</v>
      </c>
      <c r="J479" s="3" t="s">
        <v>30</v>
      </c>
      <c r="K479" s="3" t="s">
        <v>30</v>
      </c>
      <c r="L479" s="3" t="s">
        <v>123</v>
      </c>
      <c r="M479" s="3" t="s">
        <v>31</v>
      </c>
      <c r="N479" s="3" t="s">
        <v>228</v>
      </c>
      <c r="O479" s="3" t="s">
        <v>125</v>
      </c>
      <c r="P479" s="3" t="s">
        <v>198</v>
      </c>
      <c r="Q479" s="3" t="s">
        <v>146</v>
      </c>
      <c r="R479" s="3" t="s">
        <v>128</v>
      </c>
      <c r="S479" s="3" t="s">
        <v>34</v>
      </c>
      <c r="T479" s="143">
        <v>1.577</v>
      </c>
      <c r="U479" s="3" t="s">
        <v>237</v>
      </c>
      <c r="V479" s="155">
        <v>1.25E-3</v>
      </c>
      <c r="W479" s="155">
        <v>4.8980000000000003E-2</v>
      </c>
      <c r="X479" s="5" t="s">
        <v>129</v>
      </c>
      <c r="Y479" s="5" t="s">
        <v>125</v>
      </c>
      <c r="Z479" s="143">
        <v>16000</v>
      </c>
      <c r="AA479" s="153">
        <v>1</v>
      </c>
      <c r="AB479" s="163">
        <v>93.2</v>
      </c>
      <c r="AD479" s="143">
        <v>14.912000000000001</v>
      </c>
      <c r="AG479" s="3" t="s">
        <v>36</v>
      </c>
      <c r="AH479" s="155">
        <v>2.8E-5</v>
      </c>
      <c r="AI479" s="155">
        <v>1.6987250787818E-3</v>
      </c>
      <c r="AJ479" s="155">
        <v>3.4190973332199801E-4</v>
      </c>
    </row>
    <row r="480" spans="1:36">
      <c r="A480" s="3">
        <v>337</v>
      </c>
      <c r="B480" s="3">
        <v>9964</v>
      </c>
      <c r="C480" s="185" t="s">
        <v>238</v>
      </c>
      <c r="D480" s="3" t="s">
        <v>239</v>
      </c>
      <c r="E480" s="189" t="s">
        <v>118</v>
      </c>
      <c r="F480" s="185" t="s">
        <v>240</v>
      </c>
      <c r="G480" s="3" t="s">
        <v>241</v>
      </c>
      <c r="H480" s="3" t="s">
        <v>121</v>
      </c>
      <c r="I480" s="3" t="s">
        <v>132</v>
      </c>
      <c r="J480" s="3" t="s">
        <v>30</v>
      </c>
      <c r="K480" s="3" t="s">
        <v>30</v>
      </c>
      <c r="L480" s="3" t="s">
        <v>123</v>
      </c>
      <c r="M480" s="3" t="s">
        <v>31</v>
      </c>
      <c r="N480" s="3" t="s">
        <v>242</v>
      </c>
      <c r="O480" s="3" t="s">
        <v>125</v>
      </c>
      <c r="P480" s="3" t="s">
        <v>243</v>
      </c>
      <c r="Q480" s="3" t="s">
        <v>127</v>
      </c>
      <c r="R480" s="3" t="s">
        <v>128</v>
      </c>
      <c r="S480" s="3" t="s">
        <v>34</v>
      </c>
      <c r="T480" s="143">
        <v>0.98599999999999999</v>
      </c>
      <c r="U480" s="3" t="s">
        <v>244</v>
      </c>
      <c r="V480" s="155">
        <v>1.2500000000000001E-2</v>
      </c>
      <c r="W480" s="155">
        <v>4.011E-2</v>
      </c>
      <c r="X480" s="5" t="s">
        <v>129</v>
      </c>
      <c r="Y480" s="5" t="s">
        <v>125</v>
      </c>
      <c r="Z480" s="143">
        <v>0.49</v>
      </c>
      <c r="AA480" s="153">
        <v>1</v>
      </c>
      <c r="AB480" s="163">
        <v>108.77</v>
      </c>
      <c r="AD480" s="143">
        <v>1E-3</v>
      </c>
      <c r="AG480" s="3" t="s">
        <v>36</v>
      </c>
      <c r="AH480" s="155">
        <v>0</v>
      </c>
      <c r="AI480" s="155">
        <v>6.0714498485352106E-8</v>
      </c>
      <c r="AJ480" s="155">
        <v>1.22202693332769E-8</v>
      </c>
    </row>
    <row r="481" spans="1:36">
      <c r="A481" s="3">
        <v>337</v>
      </c>
      <c r="B481" s="3">
        <v>9964</v>
      </c>
      <c r="C481" s="185" t="s">
        <v>245</v>
      </c>
      <c r="D481" s="3" t="s">
        <v>246</v>
      </c>
      <c r="E481" s="189" t="s">
        <v>118</v>
      </c>
      <c r="F481" s="185" t="s">
        <v>247</v>
      </c>
      <c r="G481" s="3" t="s">
        <v>248</v>
      </c>
      <c r="H481" s="3" t="s">
        <v>121</v>
      </c>
      <c r="I481" s="3" t="s">
        <v>132</v>
      </c>
      <c r="J481" s="3" t="s">
        <v>30</v>
      </c>
      <c r="K481" s="3" t="s">
        <v>30</v>
      </c>
      <c r="L481" s="3" t="s">
        <v>123</v>
      </c>
      <c r="M481" s="3" t="s">
        <v>31</v>
      </c>
      <c r="N481" s="3" t="s">
        <v>139</v>
      </c>
      <c r="O481" s="3" t="s">
        <v>125</v>
      </c>
      <c r="P481" s="3" t="s">
        <v>153</v>
      </c>
      <c r="Q481" s="3" t="s">
        <v>146</v>
      </c>
      <c r="R481" s="3" t="s">
        <v>128</v>
      </c>
      <c r="S481" s="3" t="s">
        <v>34</v>
      </c>
      <c r="T481" s="143">
        <v>2.9510000000000001</v>
      </c>
      <c r="U481" s="3" t="s">
        <v>199</v>
      </c>
      <c r="V481" s="155">
        <v>1.09E-2</v>
      </c>
      <c r="W481" s="155">
        <v>2.7E-2</v>
      </c>
      <c r="X481" s="5" t="s">
        <v>129</v>
      </c>
      <c r="Y481" s="5" t="s">
        <v>125</v>
      </c>
      <c r="Z481" s="143">
        <v>34000</v>
      </c>
      <c r="AA481" s="153">
        <v>1</v>
      </c>
      <c r="AB481" s="163">
        <v>111.03</v>
      </c>
      <c r="AD481" s="143">
        <v>37.75</v>
      </c>
      <c r="AG481" s="3" t="s">
        <v>36</v>
      </c>
      <c r="AH481" s="155">
        <v>4.8000000000000001E-5</v>
      </c>
      <c r="AI481" s="155">
        <v>4.3003763055947299E-3</v>
      </c>
      <c r="AJ481" s="155">
        <v>8.6555531215478103E-4</v>
      </c>
    </row>
    <row r="482" spans="1:36">
      <c r="A482" s="3">
        <v>337</v>
      </c>
      <c r="B482" s="3">
        <v>9964</v>
      </c>
      <c r="C482" s="185" t="s">
        <v>245</v>
      </c>
      <c r="D482" s="3" t="s">
        <v>246</v>
      </c>
      <c r="E482" s="189" t="s">
        <v>118</v>
      </c>
      <c r="F482" s="185" t="s">
        <v>249</v>
      </c>
      <c r="G482" s="3" t="s">
        <v>250</v>
      </c>
      <c r="H482" s="3" t="s">
        <v>121</v>
      </c>
      <c r="I482" s="3" t="s">
        <v>132</v>
      </c>
      <c r="J482" s="3" t="s">
        <v>30</v>
      </c>
      <c r="K482" s="3" t="s">
        <v>30</v>
      </c>
      <c r="L482" s="3" t="s">
        <v>123</v>
      </c>
      <c r="M482" s="3" t="s">
        <v>31</v>
      </c>
      <c r="N482" s="3" t="s">
        <v>139</v>
      </c>
      <c r="O482" s="3" t="s">
        <v>125</v>
      </c>
      <c r="P482" s="3" t="s">
        <v>153</v>
      </c>
      <c r="Q482" s="3" t="s">
        <v>146</v>
      </c>
      <c r="R482" s="3" t="s">
        <v>128</v>
      </c>
      <c r="S482" s="3" t="s">
        <v>34</v>
      </c>
      <c r="T482" s="143">
        <v>6.2389999999999999</v>
      </c>
      <c r="U482" s="3" t="s">
        <v>251</v>
      </c>
      <c r="V482" s="155">
        <v>4.02E-2</v>
      </c>
      <c r="W482" s="155">
        <v>2.759E-2</v>
      </c>
      <c r="X482" s="5" t="s">
        <v>129</v>
      </c>
      <c r="Y482" s="5" t="s">
        <v>125</v>
      </c>
      <c r="Z482" s="143">
        <v>53000</v>
      </c>
      <c r="AA482" s="153">
        <v>1</v>
      </c>
      <c r="AB482" s="163">
        <v>112.72</v>
      </c>
      <c r="AD482" s="143">
        <v>59.741999999999997</v>
      </c>
      <c r="AG482" s="3" t="s">
        <v>36</v>
      </c>
      <c r="AH482" s="155">
        <v>6.6000000000000005E-5</v>
      </c>
      <c r="AI482" s="155">
        <v>6.8055629135294103E-3</v>
      </c>
      <c r="AJ482" s="155">
        <v>1.3697850405196799E-3</v>
      </c>
    </row>
    <row r="483" spans="1:36">
      <c r="A483" s="3">
        <v>337</v>
      </c>
      <c r="B483" s="3">
        <v>9964</v>
      </c>
      <c r="C483" s="185" t="s">
        <v>252</v>
      </c>
      <c r="D483" s="3" t="s">
        <v>253</v>
      </c>
      <c r="E483" s="189" t="s">
        <v>118</v>
      </c>
      <c r="F483" s="185" t="s">
        <v>254</v>
      </c>
      <c r="G483" s="3" t="s">
        <v>255</v>
      </c>
      <c r="H483" s="3" t="s">
        <v>121</v>
      </c>
      <c r="I483" s="3" t="s">
        <v>122</v>
      </c>
      <c r="J483" s="3" t="s">
        <v>30</v>
      </c>
      <c r="K483" s="3" t="s">
        <v>30</v>
      </c>
      <c r="L483" s="3" t="s">
        <v>123</v>
      </c>
      <c r="M483" s="3" t="s">
        <v>31</v>
      </c>
      <c r="N483" s="3" t="s">
        <v>124</v>
      </c>
      <c r="O483" s="3" t="s">
        <v>125</v>
      </c>
      <c r="P483" s="3" t="s">
        <v>178</v>
      </c>
      <c r="Q483" s="3" t="s">
        <v>178</v>
      </c>
      <c r="R483" s="3" t="s">
        <v>178</v>
      </c>
      <c r="S483" s="3" t="s">
        <v>34</v>
      </c>
      <c r="T483" s="143">
        <v>0.97299999999999998</v>
      </c>
      <c r="U483" s="3" t="s">
        <v>244</v>
      </c>
      <c r="V483" s="155">
        <v>8.5000000000000006E-2</v>
      </c>
      <c r="W483" s="155">
        <v>5.5739999999999998E-2</v>
      </c>
      <c r="X483" s="5" t="s">
        <v>129</v>
      </c>
      <c r="Y483" s="5" t="s">
        <v>125</v>
      </c>
      <c r="Z483" s="143">
        <v>29000</v>
      </c>
      <c r="AA483" s="153">
        <v>1</v>
      </c>
      <c r="AB483" s="163">
        <v>102.9</v>
      </c>
      <c r="AD483" s="143">
        <v>29.841000000000001</v>
      </c>
      <c r="AG483" s="3" t="s">
        <v>36</v>
      </c>
      <c r="AH483" s="155">
        <v>2.23E-4</v>
      </c>
      <c r="AI483" s="155">
        <v>3.3993867406067299E-3</v>
      </c>
      <c r="AJ483" s="155">
        <v>6.84209251077102E-4</v>
      </c>
    </row>
    <row r="484" spans="1:36">
      <c r="A484" s="3">
        <v>337</v>
      </c>
      <c r="B484" s="3">
        <v>9964</v>
      </c>
      <c r="C484" s="185" t="s">
        <v>256</v>
      </c>
      <c r="D484" s="3" t="s">
        <v>257</v>
      </c>
      <c r="E484" s="189" t="s">
        <v>118</v>
      </c>
      <c r="F484" s="185" t="s">
        <v>258</v>
      </c>
      <c r="G484" s="3" t="s">
        <v>259</v>
      </c>
      <c r="H484" s="3" t="s">
        <v>121</v>
      </c>
      <c r="I484" s="3" t="s">
        <v>132</v>
      </c>
      <c r="J484" s="3" t="s">
        <v>30</v>
      </c>
      <c r="K484" s="3" t="s">
        <v>30</v>
      </c>
      <c r="L484" s="3" t="s">
        <v>123</v>
      </c>
      <c r="M484" s="3" t="s">
        <v>31</v>
      </c>
      <c r="N484" s="3" t="s">
        <v>209</v>
      </c>
      <c r="O484" s="3" t="s">
        <v>125</v>
      </c>
      <c r="P484" s="3" t="s">
        <v>260</v>
      </c>
      <c r="Q484" s="3" t="s">
        <v>146</v>
      </c>
      <c r="R484" s="3" t="s">
        <v>128</v>
      </c>
      <c r="S484" s="3" t="s">
        <v>34</v>
      </c>
      <c r="T484" s="143">
        <v>1.7310000000000001</v>
      </c>
      <c r="U484" s="3" t="s">
        <v>261</v>
      </c>
      <c r="V484" s="155">
        <v>2.8799999999999999E-2</v>
      </c>
      <c r="W484" s="155">
        <v>2.7604500000000001</v>
      </c>
      <c r="X484" s="5" t="s">
        <v>129</v>
      </c>
      <c r="Y484" s="5" t="s">
        <v>125</v>
      </c>
      <c r="Z484" s="143">
        <v>45111.11</v>
      </c>
      <c r="AA484" s="153">
        <v>1</v>
      </c>
      <c r="AB484" s="163">
        <v>119.09</v>
      </c>
      <c r="AD484" s="143">
        <v>53.722999999999999</v>
      </c>
      <c r="AG484" s="3" t="s">
        <v>36</v>
      </c>
      <c r="AH484" s="155">
        <v>1.9900000000000001E-4</v>
      </c>
      <c r="AI484" s="155">
        <v>6.1199237636825497E-3</v>
      </c>
      <c r="AJ484" s="155">
        <v>1.2317834875860099E-3</v>
      </c>
    </row>
    <row r="485" spans="1:36">
      <c r="A485" s="3">
        <v>337</v>
      </c>
      <c r="B485" s="3">
        <v>9964</v>
      </c>
      <c r="C485" s="185" t="s">
        <v>262</v>
      </c>
      <c r="D485" s="3" t="s">
        <v>263</v>
      </c>
      <c r="E485" s="189" t="s">
        <v>118</v>
      </c>
      <c r="F485" s="185" t="s">
        <v>264</v>
      </c>
      <c r="G485" s="3" t="s">
        <v>265</v>
      </c>
      <c r="H485" s="3" t="s">
        <v>121</v>
      </c>
      <c r="I485" s="3" t="s">
        <v>122</v>
      </c>
      <c r="J485" s="3" t="s">
        <v>30</v>
      </c>
      <c r="K485" s="3" t="s">
        <v>30</v>
      </c>
      <c r="L485" s="3" t="s">
        <v>123</v>
      </c>
      <c r="M485" s="3" t="s">
        <v>31</v>
      </c>
      <c r="N485" s="3" t="s">
        <v>209</v>
      </c>
      <c r="O485" s="3" t="s">
        <v>125</v>
      </c>
      <c r="P485" s="3" t="s">
        <v>165</v>
      </c>
      <c r="Q485" s="3" t="s">
        <v>146</v>
      </c>
      <c r="R485" s="3" t="s">
        <v>128</v>
      </c>
      <c r="S485" s="3" t="s">
        <v>34</v>
      </c>
      <c r="T485" s="143">
        <v>5.5049999999999999</v>
      </c>
      <c r="U485" s="3" t="s">
        <v>266</v>
      </c>
      <c r="V485" s="155">
        <v>5.3100000000000001E-2</v>
      </c>
      <c r="W485" s="155">
        <v>4.4269999999999997E-2</v>
      </c>
      <c r="X485" s="5" t="s">
        <v>129</v>
      </c>
      <c r="Y485" s="5" t="s">
        <v>125</v>
      </c>
      <c r="Z485" s="143">
        <v>17000</v>
      </c>
      <c r="AA485" s="153">
        <v>1</v>
      </c>
      <c r="AB485" s="163">
        <v>107.51</v>
      </c>
      <c r="AD485" s="143">
        <v>18.277000000000001</v>
      </c>
      <c r="AG485" s="3" t="s">
        <v>36</v>
      </c>
      <c r="AH485" s="155">
        <v>5.3000000000000001E-5</v>
      </c>
      <c r="AI485" s="155">
        <v>2.0820204296788701E-3</v>
      </c>
      <c r="AJ485" s="155">
        <v>4.1905724403206601E-4</v>
      </c>
    </row>
    <row r="486" spans="1:36">
      <c r="A486" s="3">
        <v>337</v>
      </c>
      <c r="B486" s="3">
        <v>9964</v>
      </c>
      <c r="C486" s="185" t="s">
        <v>267</v>
      </c>
      <c r="D486" s="3" t="s">
        <v>268</v>
      </c>
      <c r="E486" s="189" t="s">
        <v>269</v>
      </c>
      <c r="F486" s="185" t="s">
        <v>270</v>
      </c>
      <c r="G486" s="3" t="s">
        <v>271</v>
      </c>
      <c r="H486" s="3" t="s">
        <v>121</v>
      </c>
      <c r="I486" s="3" t="s">
        <v>122</v>
      </c>
      <c r="J486" s="3" t="s">
        <v>30</v>
      </c>
      <c r="K486" s="3" t="s">
        <v>30</v>
      </c>
      <c r="L486" s="3" t="s">
        <v>123</v>
      </c>
      <c r="M486" s="3" t="s">
        <v>31</v>
      </c>
      <c r="N486" s="3" t="s">
        <v>139</v>
      </c>
      <c r="O486" s="3" t="s">
        <v>125</v>
      </c>
      <c r="P486" s="3" t="s">
        <v>243</v>
      </c>
      <c r="Q486" s="3" t="s">
        <v>127</v>
      </c>
      <c r="R486" s="3" t="s">
        <v>128</v>
      </c>
      <c r="S486" s="3" t="s">
        <v>34</v>
      </c>
      <c r="T486" s="143">
        <v>0.24399999999999999</v>
      </c>
      <c r="U486" s="3" t="s">
        <v>272</v>
      </c>
      <c r="V486" s="155">
        <v>7.0000000000000007E-2</v>
      </c>
      <c r="W486" s="155">
        <v>7.0709999999999995E-2</v>
      </c>
      <c r="X486" s="5" t="s">
        <v>129</v>
      </c>
      <c r="Y486" s="5" t="s">
        <v>125</v>
      </c>
      <c r="Z486" s="143">
        <v>0.17</v>
      </c>
      <c r="AA486" s="153">
        <v>1</v>
      </c>
      <c r="AB486" s="163">
        <v>101.79</v>
      </c>
      <c r="AD486" s="143">
        <v>0</v>
      </c>
      <c r="AG486" s="3" t="s">
        <v>36</v>
      </c>
      <c r="AH486" s="155">
        <v>0</v>
      </c>
      <c r="AI486" s="155">
        <v>1.97124787961131E-8</v>
      </c>
      <c r="AJ486" s="155">
        <v>3.9676157445841304E-9</v>
      </c>
    </row>
    <row r="487" spans="1:36">
      <c r="A487" s="3">
        <v>337</v>
      </c>
      <c r="B487" s="3">
        <v>9964</v>
      </c>
      <c r="C487" s="185" t="s">
        <v>167</v>
      </c>
      <c r="D487" s="3" t="s">
        <v>168</v>
      </c>
      <c r="E487" s="189" t="s">
        <v>118</v>
      </c>
      <c r="F487" s="185" t="s">
        <v>278</v>
      </c>
      <c r="G487" s="3" t="s">
        <v>279</v>
      </c>
      <c r="H487" s="3" t="s">
        <v>121</v>
      </c>
      <c r="I487" s="3" t="s">
        <v>132</v>
      </c>
      <c r="J487" s="3" t="s">
        <v>30</v>
      </c>
      <c r="K487" s="3" t="s">
        <v>30</v>
      </c>
      <c r="L487" s="3" t="s">
        <v>123</v>
      </c>
      <c r="M487" s="3" t="s">
        <v>31</v>
      </c>
      <c r="N487" s="3" t="s">
        <v>171</v>
      </c>
      <c r="O487" s="3" t="s">
        <v>125</v>
      </c>
      <c r="P487" s="3" t="s">
        <v>165</v>
      </c>
      <c r="Q487" s="3" t="s">
        <v>146</v>
      </c>
      <c r="R487" s="3" t="s">
        <v>128</v>
      </c>
      <c r="S487" s="3" t="s">
        <v>34</v>
      </c>
      <c r="T487" s="143">
        <v>4.6390000000000002</v>
      </c>
      <c r="U487" s="3" t="s">
        <v>280</v>
      </c>
      <c r="V487" s="155">
        <v>6.4999999999999997E-3</v>
      </c>
      <c r="W487" s="155">
        <v>2.487E-2</v>
      </c>
      <c r="X487" s="5" t="s">
        <v>129</v>
      </c>
      <c r="Y487" s="5" t="s">
        <v>125</v>
      </c>
      <c r="Z487" s="143">
        <v>85492.19</v>
      </c>
      <c r="AA487" s="153">
        <v>1</v>
      </c>
      <c r="AB487" s="163">
        <v>107.91</v>
      </c>
      <c r="AD487" s="143">
        <v>92.254999999999995</v>
      </c>
      <c r="AG487" s="3" t="s">
        <v>36</v>
      </c>
      <c r="AH487" s="155">
        <v>4.1E-5</v>
      </c>
      <c r="AI487" s="155">
        <v>1.0509337474110999E-2</v>
      </c>
      <c r="AJ487" s="155">
        <v>2.1152597427601299E-3</v>
      </c>
    </row>
    <row r="488" spans="1:36">
      <c r="A488" s="3">
        <v>337</v>
      </c>
      <c r="B488" s="3">
        <v>9964</v>
      </c>
      <c r="C488" s="185" t="s">
        <v>167</v>
      </c>
      <c r="D488" s="3" t="s">
        <v>168</v>
      </c>
      <c r="E488" s="189" t="s">
        <v>118</v>
      </c>
      <c r="F488" s="185" t="s">
        <v>281</v>
      </c>
      <c r="G488" s="3" t="s">
        <v>282</v>
      </c>
      <c r="H488" s="3" t="s">
        <v>121</v>
      </c>
      <c r="I488" s="3" t="s">
        <v>132</v>
      </c>
      <c r="J488" s="3" t="s">
        <v>30</v>
      </c>
      <c r="K488" s="3" t="s">
        <v>30</v>
      </c>
      <c r="L488" s="3" t="s">
        <v>123</v>
      </c>
      <c r="M488" s="3" t="s">
        <v>31</v>
      </c>
      <c r="N488" s="3" t="s">
        <v>171</v>
      </c>
      <c r="O488" s="3" t="s">
        <v>125</v>
      </c>
      <c r="P488" s="3" t="s">
        <v>165</v>
      </c>
      <c r="Q488" s="3" t="s">
        <v>146</v>
      </c>
      <c r="R488" s="3" t="s">
        <v>128</v>
      </c>
      <c r="S488" s="3" t="s">
        <v>34</v>
      </c>
      <c r="T488" s="143">
        <v>6.8630000000000004</v>
      </c>
      <c r="U488" s="3" t="s">
        <v>283</v>
      </c>
      <c r="V488" s="155">
        <v>3.5999999999999997E-2</v>
      </c>
      <c r="W488" s="155">
        <v>2.5940000000000001E-2</v>
      </c>
      <c r="X488" s="5" t="s">
        <v>129</v>
      </c>
      <c r="Y488" s="5" t="s">
        <v>125</v>
      </c>
      <c r="Z488" s="143">
        <v>70000</v>
      </c>
      <c r="AA488" s="153">
        <v>1</v>
      </c>
      <c r="AB488" s="163">
        <v>110.2</v>
      </c>
      <c r="AD488" s="143">
        <v>77.14</v>
      </c>
      <c r="AG488" s="3" t="s">
        <v>36</v>
      </c>
      <c r="AH488" s="155">
        <v>8.0000000000000007E-5</v>
      </c>
      <c r="AI488" s="155">
        <v>8.7875303498677407E-3</v>
      </c>
      <c r="AJ488" s="155">
        <v>1.76870418645782E-3</v>
      </c>
    </row>
    <row r="489" spans="1:36">
      <c r="A489" s="3">
        <v>337</v>
      </c>
      <c r="B489" s="3">
        <v>9964</v>
      </c>
      <c r="C489" s="185" t="s">
        <v>284</v>
      </c>
      <c r="D489" s="3" t="s">
        <v>285</v>
      </c>
      <c r="E489" s="189" t="s">
        <v>118</v>
      </c>
      <c r="F489" s="185" t="s">
        <v>286</v>
      </c>
      <c r="G489" s="3" t="s">
        <v>287</v>
      </c>
      <c r="H489" s="3" t="s">
        <v>121</v>
      </c>
      <c r="I489" s="3" t="s">
        <v>132</v>
      </c>
      <c r="J489" s="3" t="s">
        <v>30</v>
      </c>
      <c r="K489" s="3" t="s">
        <v>30</v>
      </c>
      <c r="L489" s="3" t="s">
        <v>123</v>
      </c>
      <c r="M489" s="3" t="s">
        <v>31</v>
      </c>
      <c r="N489" s="3" t="s">
        <v>171</v>
      </c>
      <c r="O489" s="3" t="s">
        <v>125</v>
      </c>
      <c r="P489" s="3" t="s">
        <v>198</v>
      </c>
      <c r="Q489" s="3" t="s">
        <v>146</v>
      </c>
      <c r="R489" s="3" t="s">
        <v>128</v>
      </c>
      <c r="S489" s="3" t="s">
        <v>34</v>
      </c>
      <c r="T489" s="143">
        <v>5.1769999999999996</v>
      </c>
      <c r="U489" s="3" t="s">
        <v>288</v>
      </c>
      <c r="V489" s="155">
        <v>3.6799999999999999E-2</v>
      </c>
      <c r="W489" s="155">
        <v>2.8209999999999999E-2</v>
      </c>
      <c r="X489" s="5" t="s">
        <v>129</v>
      </c>
      <c r="Y489" s="5" t="s">
        <v>125</v>
      </c>
      <c r="Z489" s="143">
        <v>70000</v>
      </c>
      <c r="AA489" s="153">
        <v>1</v>
      </c>
      <c r="AB489" s="163">
        <v>110.69</v>
      </c>
      <c r="AD489" s="143">
        <v>77.483000000000004</v>
      </c>
      <c r="AG489" s="3" t="s">
        <v>36</v>
      </c>
      <c r="AH489" s="155">
        <v>1.06E-4</v>
      </c>
      <c r="AI489" s="155">
        <v>8.8266037606793205E-3</v>
      </c>
      <c r="AJ489" s="155">
        <v>1.7765686606081299E-3</v>
      </c>
    </row>
    <row r="490" spans="1:36">
      <c r="A490" s="3">
        <v>337</v>
      </c>
      <c r="B490" s="3">
        <v>9964</v>
      </c>
      <c r="C490" s="185" t="s">
        <v>292</v>
      </c>
      <c r="D490" s="3" t="s">
        <v>293</v>
      </c>
      <c r="E490" s="189" t="s">
        <v>118</v>
      </c>
      <c r="F490" s="185" t="s">
        <v>294</v>
      </c>
      <c r="G490" s="3" t="s">
        <v>295</v>
      </c>
      <c r="H490" s="3" t="s">
        <v>121</v>
      </c>
      <c r="I490" s="3" t="s">
        <v>132</v>
      </c>
      <c r="J490" s="3" t="s">
        <v>30</v>
      </c>
      <c r="K490" s="3" t="s">
        <v>30</v>
      </c>
      <c r="L490" s="3" t="s">
        <v>123</v>
      </c>
      <c r="M490" s="3" t="s">
        <v>31</v>
      </c>
      <c r="N490" s="3" t="s">
        <v>124</v>
      </c>
      <c r="O490" s="3" t="s">
        <v>125</v>
      </c>
      <c r="P490" s="3" t="s">
        <v>198</v>
      </c>
      <c r="Q490" s="3" t="s">
        <v>146</v>
      </c>
      <c r="R490" s="3" t="s">
        <v>128</v>
      </c>
      <c r="S490" s="3" t="s">
        <v>34</v>
      </c>
      <c r="T490" s="143">
        <v>4.7859999999999996</v>
      </c>
      <c r="U490" s="3" t="s">
        <v>296</v>
      </c>
      <c r="V490" s="155">
        <v>4.0800000000000003E-2</v>
      </c>
      <c r="W490" s="155">
        <v>2.878E-2</v>
      </c>
      <c r="X490" s="5" t="s">
        <v>129</v>
      </c>
      <c r="Y490" s="5" t="s">
        <v>125</v>
      </c>
      <c r="Z490" s="143">
        <v>57000</v>
      </c>
      <c r="AA490" s="153">
        <v>1</v>
      </c>
      <c r="AB490" s="163">
        <v>112.75</v>
      </c>
      <c r="AD490" s="143">
        <v>64.266999999999996</v>
      </c>
      <c r="AG490" s="3" t="s">
        <v>36</v>
      </c>
      <c r="AH490" s="155">
        <v>6.8999999999999997E-5</v>
      </c>
      <c r="AI490" s="155">
        <v>7.3211382779378399E-3</v>
      </c>
      <c r="AJ490" s="155">
        <v>1.4735571208604799E-3</v>
      </c>
    </row>
    <row r="491" spans="1:36">
      <c r="A491" s="3">
        <v>337</v>
      </c>
      <c r="B491" s="3">
        <v>9964</v>
      </c>
      <c r="C491" s="185" t="s">
        <v>297</v>
      </c>
      <c r="D491" s="3" t="s">
        <v>298</v>
      </c>
      <c r="E491" s="189" t="s">
        <v>118</v>
      </c>
      <c r="F491" s="185" t="s">
        <v>299</v>
      </c>
      <c r="G491" s="3" t="s">
        <v>300</v>
      </c>
      <c r="H491" s="3" t="s">
        <v>121</v>
      </c>
      <c r="I491" s="3" t="s">
        <v>122</v>
      </c>
      <c r="J491" s="3" t="s">
        <v>30</v>
      </c>
      <c r="K491" s="3" t="s">
        <v>30</v>
      </c>
      <c r="L491" s="3" t="s">
        <v>123</v>
      </c>
      <c r="M491" s="3" t="s">
        <v>31</v>
      </c>
      <c r="N491" s="3" t="s">
        <v>301</v>
      </c>
      <c r="O491" s="3" t="s">
        <v>125</v>
      </c>
      <c r="P491" s="3" t="s">
        <v>165</v>
      </c>
      <c r="Q491" s="3" t="s">
        <v>146</v>
      </c>
      <c r="R491" s="3" t="s">
        <v>128</v>
      </c>
      <c r="S491" s="3" t="s">
        <v>34</v>
      </c>
      <c r="T491" s="143">
        <v>7.0430000000000001</v>
      </c>
      <c r="U491" s="3" t="s">
        <v>302</v>
      </c>
      <c r="V491" s="155">
        <v>2.7900000000000001E-2</v>
      </c>
      <c r="W491" s="155">
        <v>4.4069999999999998E-2</v>
      </c>
      <c r="X491" s="5" t="s">
        <v>129</v>
      </c>
      <c r="Y491" s="5" t="s">
        <v>125</v>
      </c>
      <c r="Z491" s="143">
        <v>70000</v>
      </c>
      <c r="AA491" s="153">
        <v>1</v>
      </c>
      <c r="AB491" s="163">
        <v>89.85</v>
      </c>
      <c r="AD491" s="143">
        <v>62.895000000000003</v>
      </c>
      <c r="AG491" s="3" t="s">
        <v>36</v>
      </c>
      <c r="AH491" s="155">
        <v>3.0000000000000001E-5</v>
      </c>
      <c r="AI491" s="155">
        <v>7.1647876763667601E-3</v>
      </c>
      <c r="AJ491" s="155">
        <v>1.4420877600111999E-3</v>
      </c>
    </row>
    <row r="492" spans="1:36">
      <c r="A492" s="3">
        <v>337</v>
      </c>
      <c r="B492" s="3">
        <v>9964</v>
      </c>
      <c r="C492" s="185" t="s">
        <v>303</v>
      </c>
      <c r="D492" s="3" t="s">
        <v>304</v>
      </c>
      <c r="E492" s="189" t="s">
        <v>118</v>
      </c>
      <c r="F492" s="185" t="s">
        <v>305</v>
      </c>
      <c r="G492" s="3" t="s">
        <v>306</v>
      </c>
      <c r="H492" s="3" t="s">
        <v>121</v>
      </c>
      <c r="I492" s="3" t="s">
        <v>132</v>
      </c>
      <c r="J492" s="3" t="s">
        <v>30</v>
      </c>
      <c r="K492" s="3" t="s">
        <v>30</v>
      </c>
      <c r="L492" s="3" t="s">
        <v>123</v>
      </c>
      <c r="M492" s="3" t="s">
        <v>31</v>
      </c>
      <c r="N492" s="3" t="s">
        <v>171</v>
      </c>
      <c r="O492" s="3" t="s">
        <v>125</v>
      </c>
      <c r="P492" s="3" t="s">
        <v>145</v>
      </c>
      <c r="Q492" s="3" t="s">
        <v>146</v>
      </c>
      <c r="R492" s="3" t="s">
        <v>128</v>
      </c>
      <c r="S492" s="3" t="s">
        <v>34</v>
      </c>
      <c r="T492" s="143">
        <v>4.4950000000000001</v>
      </c>
      <c r="U492" s="3" t="s">
        <v>307</v>
      </c>
      <c r="V492" s="155">
        <v>1.8700000000000001E-2</v>
      </c>
      <c r="W492" s="155">
        <v>2.6079999999999999E-2</v>
      </c>
      <c r="X492" s="5" t="s">
        <v>129</v>
      </c>
      <c r="Y492" s="5" t="s">
        <v>125</v>
      </c>
      <c r="Z492" s="143">
        <v>143181.82</v>
      </c>
      <c r="AA492" s="153">
        <v>1</v>
      </c>
      <c r="AB492" s="163">
        <v>109.95</v>
      </c>
      <c r="AD492" s="143">
        <v>157.428</v>
      </c>
      <c r="AG492" s="3" t="s">
        <v>36</v>
      </c>
      <c r="AH492" s="155">
        <v>1.47E-4</v>
      </c>
      <c r="AI492" s="155">
        <v>1.79337171426605E-2</v>
      </c>
      <c r="AJ492" s="155">
        <v>3.6095967042038498E-3</v>
      </c>
    </row>
    <row r="493" spans="1:36">
      <c r="A493" s="3">
        <v>337</v>
      </c>
      <c r="B493" s="3">
        <v>9964</v>
      </c>
      <c r="C493" s="185" t="s">
        <v>303</v>
      </c>
      <c r="D493" s="3" t="s">
        <v>304</v>
      </c>
      <c r="E493" s="189" t="s">
        <v>118</v>
      </c>
      <c r="F493" s="185" t="s">
        <v>308</v>
      </c>
      <c r="G493" s="3" t="s">
        <v>309</v>
      </c>
      <c r="H493" s="3" t="s">
        <v>121</v>
      </c>
      <c r="I493" s="3" t="s">
        <v>132</v>
      </c>
      <c r="J493" s="3" t="s">
        <v>30</v>
      </c>
      <c r="K493" s="3" t="s">
        <v>30</v>
      </c>
      <c r="L493" s="3" t="s">
        <v>123</v>
      </c>
      <c r="M493" s="3" t="s">
        <v>31</v>
      </c>
      <c r="N493" s="3" t="s">
        <v>171</v>
      </c>
      <c r="O493" s="3" t="s">
        <v>125</v>
      </c>
      <c r="P493" s="3" t="s">
        <v>310</v>
      </c>
      <c r="Q493" s="3" t="s">
        <v>127</v>
      </c>
      <c r="R493" s="3" t="s">
        <v>128</v>
      </c>
      <c r="S493" s="3" t="s">
        <v>34</v>
      </c>
      <c r="T493" s="143">
        <v>6.7759999999999998</v>
      </c>
      <c r="U493" s="3" t="s">
        <v>311</v>
      </c>
      <c r="V493" s="155">
        <v>3.0599999999999999E-2</v>
      </c>
      <c r="W493" s="155">
        <v>2.7029999999999998E-2</v>
      </c>
      <c r="X493" s="5" t="s">
        <v>129</v>
      </c>
      <c r="Y493" s="5" t="s">
        <v>125</v>
      </c>
      <c r="Z493" s="143">
        <v>60000</v>
      </c>
      <c r="AA493" s="153">
        <v>1</v>
      </c>
      <c r="AB493" s="163">
        <v>104.26</v>
      </c>
      <c r="AD493" s="143">
        <v>62.555999999999997</v>
      </c>
      <c r="AG493" s="3" t="s">
        <v>36</v>
      </c>
      <c r="AH493" s="155">
        <v>5.5000000000000002E-5</v>
      </c>
      <c r="AI493" s="155">
        <v>7.1261699321535704E-3</v>
      </c>
      <c r="AJ493" s="155">
        <v>1.4343149998451499E-3</v>
      </c>
    </row>
    <row r="494" spans="1:36">
      <c r="A494" s="3">
        <v>337</v>
      </c>
      <c r="B494" s="3">
        <v>9964</v>
      </c>
      <c r="C494" s="185" t="s">
        <v>312</v>
      </c>
      <c r="D494" s="3" t="s">
        <v>313</v>
      </c>
      <c r="E494" s="189" t="s">
        <v>118</v>
      </c>
      <c r="F494" s="185" t="s">
        <v>314</v>
      </c>
      <c r="G494" s="3" t="s">
        <v>315</v>
      </c>
      <c r="H494" s="3" t="s">
        <v>121</v>
      </c>
      <c r="I494" s="3" t="s">
        <v>132</v>
      </c>
      <c r="J494" s="3" t="s">
        <v>30</v>
      </c>
      <c r="K494" s="3" t="s">
        <v>30</v>
      </c>
      <c r="L494" s="3" t="s">
        <v>123</v>
      </c>
      <c r="M494" s="3" t="s">
        <v>31</v>
      </c>
      <c r="N494" s="3" t="s">
        <v>316</v>
      </c>
      <c r="O494" s="3" t="s">
        <v>125</v>
      </c>
      <c r="P494" s="3" t="s">
        <v>145</v>
      </c>
      <c r="Q494" s="3" t="s">
        <v>146</v>
      </c>
      <c r="R494" s="3" t="s">
        <v>128</v>
      </c>
      <c r="S494" s="3" t="s">
        <v>34</v>
      </c>
      <c r="T494" s="143">
        <v>2.214</v>
      </c>
      <c r="U494" s="3" t="s">
        <v>317</v>
      </c>
      <c r="V494" s="155">
        <v>1.09E-2</v>
      </c>
      <c r="W494" s="155">
        <v>2.5430000000000001E-2</v>
      </c>
      <c r="X494" s="5" t="s">
        <v>129</v>
      </c>
      <c r="Y494" s="5" t="s">
        <v>125</v>
      </c>
      <c r="Z494" s="143">
        <v>50000</v>
      </c>
      <c r="AA494" s="153">
        <v>1</v>
      </c>
      <c r="AB494" s="163">
        <v>111.21</v>
      </c>
      <c r="AD494" s="143">
        <v>55.604999999999997</v>
      </c>
      <c r="AG494" s="3" t="s">
        <v>36</v>
      </c>
      <c r="AH494" s="155">
        <v>5.5000000000000002E-5</v>
      </c>
      <c r="AI494" s="155">
        <v>6.3343353008088604E-3</v>
      </c>
      <c r="AJ494" s="155">
        <v>1.274939023697E-3</v>
      </c>
    </row>
    <row r="495" spans="1:36">
      <c r="A495" s="3">
        <v>337</v>
      </c>
      <c r="B495" s="3">
        <v>9964</v>
      </c>
      <c r="C495" s="185" t="s">
        <v>312</v>
      </c>
      <c r="D495" s="3" t="s">
        <v>313</v>
      </c>
      <c r="E495" s="189" t="s">
        <v>118</v>
      </c>
      <c r="F495" s="185" t="s">
        <v>318</v>
      </c>
      <c r="G495" s="3" t="s">
        <v>319</v>
      </c>
      <c r="H495" s="3" t="s">
        <v>121</v>
      </c>
      <c r="I495" s="3" t="s">
        <v>132</v>
      </c>
      <c r="J495" s="3" t="s">
        <v>30</v>
      </c>
      <c r="K495" s="3" t="s">
        <v>30</v>
      </c>
      <c r="L495" s="3" t="s">
        <v>123</v>
      </c>
      <c r="M495" s="3" t="s">
        <v>31</v>
      </c>
      <c r="N495" s="3" t="s">
        <v>316</v>
      </c>
      <c r="O495" s="3" t="s">
        <v>125</v>
      </c>
      <c r="P495" s="3" t="s">
        <v>145</v>
      </c>
      <c r="Q495" s="3" t="s">
        <v>146</v>
      </c>
      <c r="R495" s="3" t="s">
        <v>128</v>
      </c>
      <c r="S495" s="3" t="s">
        <v>34</v>
      </c>
      <c r="T495" s="143">
        <v>3.028</v>
      </c>
      <c r="U495" s="3" t="s">
        <v>320</v>
      </c>
      <c r="V495" s="155">
        <v>2.9899999999999999E-2</v>
      </c>
      <c r="W495" s="155">
        <v>2.5389999999999999E-2</v>
      </c>
      <c r="X495" s="5" t="s">
        <v>129</v>
      </c>
      <c r="Y495" s="5" t="s">
        <v>125</v>
      </c>
      <c r="Z495" s="143">
        <v>33183</v>
      </c>
      <c r="AA495" s="153">
        <v>1</v>
      </c>
      <c r="AB495" s="163">
        <v>114.16</v>
      </c>
      <c r="AD495" s="143">
        <v>37.881999999999998</v>
      </c>
      <c r="AG495" s="3" t="s">
        <v>36</v>
      </c>
      <c r="AH495" s="155">
        <v>4.1E-5</v>
      </c>
      <c r="AI495" s="155">
        <v>4.3153578031497703E-3</v>
      </c>
      <c r="AJ495" s="155">
        <v>8.6857070287208501E-4</v>
      </c>
    </row>
    <row r="496" spans="1:36">
      <c r="A496" s="3">
        <v>337</v>
      </c>
      <c r="B496" s="3">
        <v>9964</v>
      </c>
      <c r="C496" s="185" t="s">
        <v>321</v>
      </c>
      <c r="D496" s="3" t="s">
        <v>322</v>
      </c>
      <c r="E496" s="189" t="s">
        <v>118</v>
      </c>
      <c r="F496" s="185" t="s">
        <v>323</v>
      </c>
      <c r="G496" s="3" t="s">
        <v>324</v>
      </c>
      <c r="H496" s="3" t="s">
        <v>121</v>
      </c>
      <c r="I496" s="3" t="s">
        <v>122</v>
      </c>
      <c r="J496" s="3" t="s">
        <v>30</v>
      </c>
      <c r="K496" s="3" t="s">
        <v>30</v>
      </c>
      <c r="L496" s="3" t="s">
        <v>123</v>
      </c>
      <c r="M496" s="3" t="s">
        <v>31</v>
      </c>
      <c r="N496" s="3" t="s">
        <v>152</v>
      </c>
      <c r="O496" s="3" t="s">
        <v>125</v>
      </c>
      <c r="P496" s="3" t="s">
        <v>325</v>
      </c>
      <c r="Q496" s="3" t="s">
        <v>127</v>
      </c>
      <c r="R496" s="3" t="s">
        <v>128</v>
      </c>
      <c r="S496" s="3" t="s">
        <v>34</v>
      </c>
      <c r="T496" s="143">
        <v>2.3479999999999999</v>
      </c>
      <c r="U496" s="3" t="s">
        <v>326</v>
      </c>
      <c r="V496" s="155">
        <v>7.2499999999999995E-2</v>
      </c>
      <c r="W496" s="155">
        <v>5.8560000000000001E-2</v>
      </c>
      <c r="X496" s="5" t="s">
        <v>129</v>
      </c>
      <c r="Y496" s="5" t="s">
        <v>125</v>
      </c>
      <c r="Z496" s="143">
        <v>123200</v>
      </c>
      <c r="AA496" s="153">
        <v>1</v>
      </c>
      <c r="AB496" s="163">
        <v>105.31</v>
      </c>
      <c r="AD496" s="143">
        <v>129.74199999999999</v>
      </c>
      <c r="AG496" s="3" t="s">
        <v>36</v>
      </c>
      <c r="AH496" s="155">
        <v>1.92E-4</v>
      </c>
      <c r="AI496" s="155">
        <v>1.47797648386066E-2</v>
      </c>
      <c r="AJ496" s="155">
        <v>2.9747871021917902E-3</v>
      </c>
    </row>
    <row r="497" spans="1:36">
      <c r="A497" s="3">
        <v>337</v>
      </c>
      <c r="B497" s="3">
        <v>9964</v>
      </c>
      <c r="C497" s="185" t="s">
        <v>332</v>
      </c>
      <c r="D497" s="3" t="s">
        <v>333</v>
      </c>
      <c r="E497" s="189" t="s">
        <v>118</v>
      </c>
      <c r="F497" s="185" t="s">
        <v>337</v>
      </c>
      <c r="G497" s="3" t="s">
        <v>338</v>
      </c>
      <c r="H497" s="3" t="s">
        <v>121</v>
      </c>
      <c r="I497" s="3" t="s">
        <v>132</v>
      </c>
      <c r="J497" s="3" t="s">
        <v>30</v>
      </c>
      <c r="K497" s="3" t="s">
        <v>30</v>
      </c>
      <c r="L497" s="3" t="s">
        <v>123</v>
      </c>
      <c r="M497" s="3" t="s">
        <v>31</v>
      </c>
      <c r="N497" s="3" t="s">
        <v>171</v>
      </c>
      <c r="O497" s="3" t="s">
        <v>125</v>
      </c>
      <c r="P497" s="3" t="s">
        <v>165</v>
      </c>
      <c r="Q497" s="3" t="s">
        <v>146</v>
      </c>
      <c r="R497" s="3" t="s">
        <v>128</v>
      </c>
      <c r="S497" s="3" t="s">
        <v>34</v>
      </c>
      <c r="T497" s="143">
        <v>3.524</v>
      </c>
      <c r="U497" s="3" t="s">
        <v>339</v>
      </c>
      <c r="V497" s="155">
        <v>5.0000000000000001E-3</v>
      </c>
      <c r="W497" s="155">
        <v>2.462E-2</v>
      </c>
      <c r="X497" s="5" t="s">
        <v>129</v>
      </c>
      <c r="Y497" s="5" t="s">
        <v>125</v>
      </c>
      <c r="Z497" s="143">
        <v>87170.38</v>
      </c>
      <c r="AA497" s="153">
        <v>1</v>
      </c>
      <c r="AB497" s="163">
        <v>109.85</v>
      </c>
      <c r="AD497" s="143">
        <v>95.757000000000005</v>
      </c>
      <c r="AG497" s="3" t="s">
        <v>36</v>
      </c>
      <c r="AH497" s="155">
        <v>6.4999999999999994E-5</v>
      </c>
      <c r="AI497" s="155">
        <v>1.09082781605609E-2</v>
      </c>
      <c r="AJ497" s="155">
        <v>2.1955562577283998E-3</v>
      </c>
    </row>
    <row r="498" spans="1:36">
      <c r="A498" s="3">
        <v>337</v>
      </c>
      <c r="B498" s="3">
        <v>9964</v>
      </c>
      <c r="C498" s="185" t="s">
        <v>332</v>
      </c>
      <c r="D498" s="3" t="s">
        <v>333</v>
      </c>
      <c r="E498" s="189" t="s">
        <v>118</v>
      </c>
      <c r="F498" s="185" t="s">
        <v>889</v>
      </c>
      <c r="G498" s="3" t="s">
        <v>890</v>
      </c>
      <c r="H498" s="3" t="s">
        <v>121</v>
      </c>
      <c r="I498" s="3" t="s">
        <v>132</v>
      </c>
      <c r="J498" s="3" t="s">
        <v>30</v>
      </c>
      <c r="K498" s="3" t="s">
        <v>30</v>
      </c>
      <c r="L498" s="3" t="s">
        <v>123</v>
      </c>
      <c r="M498" s="3" t="s">
        <v>31</v>
      </c>
      <c r="N498" s="3" t="s">
        <v>171</v>
      </c>
      <c r="O498" s="3" t="s">
        <v>125</v>
      </c>
      <c r="P498" s="3" t="s">
        <v>165</v>
      </c>
      <c r="Q498" s="3" t="s">
        <v>146</v>
      </c>
      <c r="R498" s="3" t="s">
        <v>128</v>
      </c>
      <c r="S498" s="3" t="s">
        <v>34</v>
      </c>
      <c r="T498" s="143">
        <v>3.9870000000000001</v>
      </c>
      <c r="U498" s="3" t="s">
        <v>891</v>
      </c>
      <c r="V498" s="155">
        <v>5.8999999999999999E-3</v>
      </c>
      <c r="W498" s="155">
        <v>2.513E-2</v>
      </c>
      <c r="X498" s="5" t="s">
        <v>129</v>
      </c>
      <c r="Y498" s="5" t="s">
        <v>125</v>
      </c>
      <c r="Z498" s="143">
        <v>121847</v>
      </c>
      <c r="AA498" s="153">
        <v>1</v>
      </c>
      <c r="AB498" s="163">
        <v>106.15</v>
      </c>
      <c r="AD498" s="143">
        <v>129.34100000000001</v>
      </c>
      <c r="AG498" s="3" t="s">
        <v>36</v>
      </c>
      <c r="AH498" s="155">
        <v>8.7000000000000001E-5</v>
      </c>
      <c r="AI498" s="155">
        <v>1.4734046726582401E-2</v>
      </c>
      <c r="AJ498" s="155">
        <v>2.9655852203302599E-3</v>
      </c>
    </row>
    <row r="499" spans="1:36">
      <c r="A499" s="3">
        <v>337</v>
      </c>
      <c r="B499" s="3">
        <v>9964</v>
      </c>
      <c r="C499" s="185" t="s">
        <v>342</v>
      </c>
      <c r="D499" s="3" t="s">
        <v>343</v>
      </c>
      <c r="E499" s="189" t="s">
        <v>118</v>
      </c>
      <c r="F499" s="185" t="s">
        <v>344</v>
      </c>
      <c r="G499" s="3" t="s">
        <v>345</v>
      </c>
      <c r="H499" s="3" t="s">
        <v>121</v>
      </c>
      <c r="I499" s="3" t="s">
        <v>122</v>
      </c>
      <c r="J499" s="3" t="s">
        <v>30</v>
      </c>
      <c r="K499" s="3" t="s">
        <v>30</v>
      </c>
      <c r="L499" s="3" t="s">
        <v>123</v>
      </c>
      <c r="M499" s="3" t="s">
        <v>31</v>
      </c>
      <c r="N499" s="3" t="s">
        <v>124</v>
      </c>
      <c r="O499" s="3" t="s">
        <v>125</v>
      </c>
      <c r="P499" s="3" t="s">
        <v>178</v>
      </c>
      <c r="Q499" s="3" t="s">
        <v>178</v>
      </c>
      <c r="R499" s="3" t="s">
        <v>178</v>
      </c>
      <c r="S499" s="3" t="s">
        <v>34</v>
      </c>
      <c r="T499" s="143">
        <v>1.9E-2</v>
      </c>
      <c r="U499" s="3" t="s">
        <v>346</v>
      </c>
      <c r="V499" s="155">
        <v>3.8699999999999998E-2</v>
      </c>
      <c r="W499" s="155">
        <v>1E-4</v>
      </c>
      <c r="X499" s="5" t="s">
        <v>129</v>
      </c>
      <c r="Y499" s="5" t="s">
        <v>125</v>
      </c>
      <c r="Z499" s="143">
        <v>0.81</v>
      </c>
      <c r="AA499" s="153">
        <v>1</v>
      </c>
      <c r="AB499" s="163">
        <v>100.16</v>
      </c>
      <c r="AD499" s="143">
        <v>1E-3</v>
      </c>
      <c r="AG499" s="3" t="s">
        <v>36</v>
      </c>
      <c r="AH499" s="155">
        <v>0</v>
      </c>
      <c r="AI499" s="155">
        <v>9.2420122150976101E-8</v>
      </c>
      <c r="AJ499" s="155">
        <v>1.8601797143589301E-8</v>
      </c>
    </row>
    <row r="500" spans="1:36">
      <c r="A500" s="3">
        <v>337</v>
      </c>
      <c r="B500" s="3">
        <v>9964</v>
      </c>
      <c r="C500" s="185" t="s">
        <v>342</v>
      </c>
      <c r="D500" s="3" t="s">
        <v>343</v>
      </c>
      <c r="E500" s="189" t="s">
        <v>118</v>
      </c>
      <c r="F500" s="185" t="s">
        <v>347</v>
      </c>
      <c r="G500" s="3" t="s">
        <v>348</v>
      </c>
      <c r="H500" s="3" t="s">
        <v>121</v>
      </c>
      <c r="I500" s="3" t="s">
        <v>122</v>
      </c>
      <c r="J500" s="3" t="s">
        <v>30</v>
      </c>
      <c r="K500" s="3" t="s">
        <v>30</v>
      </c>
      <c r="L500" s="3" t="s">
        <v>123</v>
      </c>
      <c r="M500" s="3" t="s">
        <v>31</v>
      </c>
      <c r="N500" s="3" t="s">
        <v>124</v>
      </c>
      <c r="O500" s="3" t="s">
        <v>125</v>
      </c>
      <c r="P500" s="3" t="s">
        <v>178</v>
      </c>
      <c r="Q500" s="3" t="s">
        <v>178</v>
      </c>
      <c r="R500" s="3" t="s">
        <v>178</v>
      </c>
      <c r="S500" s="3" t="s">
        <v>34</v>
      </c>
      <c r="T500" s="143">
        <v>0.96699999999999997</v>
      </c>
      <c r="U500" s="3" t="s">
        <v>244</v>
      </c>
      <c r="V500" s="155">
        <v>6.25E-2</v>
      </c>
      <c r="W500" s="155">
        <v>8.1570000000000004E-2</v>
      </c>
      <c r="X500" s="5" t="s">
        <v>129</v>
      </c>
      <c r="Y500" s="5" t="s">
        <v>125</v>
      </c>
      <c r="Z500" s="143">
        <v>0.33</v>
      </c>
      <c r="AA500" s="153">
        <v>1</v>
      </c>
      <c r="AB500" s="163">
        <v>99.79</v>
      </c>
      <c r="AD500" s="143">
        <v>0</v>
      </c>
      <c r="AG500" s="3" t="s">
        <v>36</v>
      </c>
      <c r="AH500" s="155">
        <v>0</v>
      </c>
      <c r="AI500" s="155">
        <v>3.7513550128647903E-8</v>
      </c>
      <c r="AJ500" s="155">
        <v>7.5505142536928212E-9</v>
      </c>
    </row>
    <row r="501" spans="1:36">
      <c r="A501" s="3">
        <v>337</v>
      </c>
      <c r="B501" s="3">
        <v>9964</v>
      </c>
      <c r="C501" s="185" t="s">
        <v>349</v>
      </c>
      <c r="D501" s="3" t="s">
        <v>350</v>
      </c>
      <c r="E501" s="189" t="s">
        <v>118</v>
      </c>
      <c r="F501" s="185" t="s">
        <v>351</v>
      </c>
      <c r="G501" s="3" t="s">
        <v>352</v>
      </c>
      <c r="H501" s="3" t="s">
        <v>121</v>
      </c>
      <c r="I501" s="3" t="s">
        <v>176</v>
      </c>
      <c r="J501" s="3" t="s">
        <v>30</v>
      </c>
      <c r="K501" s="3" t="s">
        <v>30</v>
      </c>
      <c r="L501" s="3" t="s">
        <v>123</v>
      </c>
      <c r="M501" s="3" t="s">
        <v>31</v>
      </c>
      <c r="N501" s="3" t="s">
        <v>124</v>
      </c>
      <c r="O501" s="3" t="s">
        <v>125</v>
      </c>
      <c r="P501" s="3" t="s">
        <v>178</v>
      </c>
      <c r="Q501" s="3" t="s">
        <v>178</v>
      </c>
      <c r="R501" s="3" t="s">
        <v>178</v>
      </c>
      <c r="S501" s="3" t="s">
        <v>34</v>
      </c>
      <c r="T501" s="143">
        <v>2.5609999999999999</v>
      </c>
      <c r="U501" s="3" t="s">
        <v>154</v>
      </c>
      <c r="V501" s="155">
        <v>7.0000000000000007E-2</v>
      </c>
      <c r="W501" s="155">
        <v>1E-4</v>
      </c>
      <c r="X501" s="5" t="s">
        <v>129</v>
      </c>
      <c r="Y501" s="5" t="s">
        <v>125</v>
      </c>
      <c r="Z501" s="143">
        <v>13000</v>
      </c>
      <c r="AA501" s="153">
        <v>1</v>
      </c>
      <c r="AB501" s="163">
        <v>150.6</v>
      </c>
      <c r="AD501" s="143">
        <v>19.577999999999999</v>
      </c>
      <c r="AG501" s="3" t="s">
        <v>36</v>
      </c>
      <c r="AH501" s="155">
        <v>2.5999999999999998E-4</v>
      </c>
      <c r="AI501" s="155">
        <v>2.2302601657986898E-3</v>
      </c>
      <c r="AJ501" s="155">
        <v>4.4889409596151302E-4</v>
      </c>
    </row>
    <row r="502" spans="1:36">
      <c r="A502" s="3">
        <v>337</v>
      </c>
      <c r="B502" s="3">
        <v>9964</v>
      </c>
      <c r="C502" s="185" t="s">
        <v>353</v>
      </c>
      <c r="D502" s="3" t="s">
        <v>354</v>
      </c>
      <c r="E502" s="189" t="s">
        <v>118</v>
      </c>
      <c r="F502" s="185" t="s">
        <v>355</v>
      </c>
      <c r="G502" s="3" t="s">
        <v>356</v>
      </c>
      <c r="H502" s="3" t="s">
        <v>121</v>
      </c>
      <c r="I502" s="3" t="s">
        <v>132</v>
      </c>
      <c r="J502" s="3" t="s">
        <v>30</v>
      </c>
      <c r="K502" s="3" t="s">
        <v>30</v>
      </c>
      <c r="L502" s="3" t="s">
        <v>123</v>
      </c>
      <c r="M502" s="3" t="s">
        <v>31</v>
      </c>
      <c r="N502" s="3" t="s">
        <v>316</v>
      </c>
      <c r="O502" s="3" t="s">
        <v>125</v>
      </c>
      <c r="P502" s="3" t="s">
        <v>357</v>
      </c>
      <c r="Q502" s="3" t="s">
        <v>146</v>
      </c>
      <c r="R502" s="3" t="s">
        <v>128</v>
      </c>
      <c r="S502" s="3" t="s">
        <v>34</v>
      </c>
      <c r="T502" s="143">
        <v>3.2749999999999999</v>
      </c>
      <c r="U502" s="3" t="s">
        <v>358</v>
      </c>
      <c r="V502" s="155">
        <v>2E-3</v>
      </c>
      <c r="W502" s="155">
        <v>2.2429999999999999E-2</v>
      </c>
      <c r="X502" s="5" t="s">
        <v>129</v>
      </c>
      <c r="Y502" s="5" t="s">
        <v>125</v>
      </c>
      <c r="Z502" s="143">
        <v>115294.13</v>
      </c>
      <c r="AA502" s="153">
        <v>1</v>
      </c>
      <c r="AB502" s="163">
        <v>107.7</v>
      </c>
      <c r="AD502" s="143">
        <v>124.172</v>
      </c>
      <c r="AG502" s="3" t="s">
        <v>36</v>
      </c>
      <c r="AH502" s="155">
        <v>3.6000000000000001E-5</v>
      </c>
      <c r="AI502" s="155">
        <v>1.4145232925329499E-2</v>
      </c>
      <c r="AJ502" s="155">
        <v>2.8470721234923201E-3</v>
      </c>
    </row>
    <row r="503" spans="1:36">
      <c r="A503" s="3">
        <v>337</v>
      </c>
      <c r="B503" s="3">
        <v>9964</v>
      </c>
      <c r="C503" s="185" t="s">
        <v>353</v>
      </c>
      <c r="D503" s="3" t="s">
        <v>354</v>
      </c>
      <c r="E503" s="189" t="s">
        <v>118</v>
      </c>
      <c r="F503" s="185" t="s">
        <v>359</v>
      </c>
      <c r="G503" s="3" t="s">
        <v>360</v>
      </c>
      <c r="H503" s="3" t="s">
        <v>121</v>
      </c>
      <c r="I503" s="3" t="s">
        <v>132</v>
      </c>
      <c r="J503" s="3" t="s">
        <v>30</v>
      </c>
      <c r="K503" s="3" t="s">
        <v>30</v>
      </c>
      <c r="L503" s="3" t="s">
        <v>123</v>
      </c>
      <c r="M503" s="3" t="s">
        <v>31</v>
      </c>
      <c r="N503" s="3" t="s">
        <v>316</v>
      </c>
      <c r="O503" s="3" t="s">
        <v>125</v>
      </c>
      <c r="P503" s="3" t="s">
        <v>357</v>
      </c>
      <c r="Q503" s="3" t="s">
        <v>146</v>
      </c>
      <c r="R503" s="3" t="s">
        <v>128</v>
      </c>
      <c r="S503" s="3" t="s">
        <v>34</v>
      </c>
      <c r="T503" s="143">
        <v>4.34</v>
      </c>
      <c r="U503" s="3" t="s">
        <v>361</v>
      </c>
      <c r="V503" s="155">
        <v>2.4E-2</v>
      </c>
      <c r="W503" s="155">
        <v>2.281E-2</v>
      </c>
      <c r="X503" s="5" t="s">
        <v>129</v>
      </c>
      <c r="Y503" s="5" t="s">
        <v>125</v>
      </c>
      <c r="Z503" s="143">
        <v>56000</v>
      </c>
      <c r="AA503" s="153">
        <v>1</v>
      </c>
      <c r="AB503" s="163">
        <v>105.25</v>
      </c>
      <c r="AD503" s="143">
        <v>58.94</v>
      </c>
      <c r="AG503" s="3" t="s">
        <v>36</v>
      </c>
      <c r="AH503" s="155">
        <v>1.2999999999999999E-5</v>
      </c>
      <c r="AI503" s="155">
        <v>6.7142473272129204E-3</v>
      </c>
      <c r="AJ503" s="155">
        <v>1.3514055580739399E-3</v>
      </c>
    </row>
    <row r="504" spans="1:36">
      <c r="A504" s="3">
        <v>337</v>
      </c>
      <c r="B504" s="3">
        <v>9964</v>
      </c>
      <c r="C504" s="185" t="s">
        <v>353</v>
      </c>
      <c r="D504" s="3" t="s">
        <v>354</v>
      </c>
      <c r="E504" s="189" t="s">
        <v>118</v>
      </c>
      <c r="F504" s="185" t="s">
        <v>779</v>
      </c>
      <c r="G504" s="3" t="s">
        <v>780</v>
      </c>
      <c r="H504" s="3" t="s">
        <v>121</v>
      </c>
      <c r="I504" s="3" t="s">
        <v>132</v>
      </c>
      <c r="J504" s="3" t="s">
        <v>30</v>
      </c>
      <c r="K504" s="3" t="s">
        <v>30</v>
      </c>
      <c r="L504" s="3" t="s">
        <v>123</v>
      </c>
      <c r="M504" s="3" t="s">
        <v>31</v>
      </c>
      <c r="N504" s="3" t="s">
        <v>316</v>
      </c>
      <c r="O504" s="3" t="s">
        <v>125</v>
      </c>
      <c r="P504" s="3" t="s">
        <v>145</v>
      </c>
      <c r="Q504" s="3" t="s">
        <v>146</v>
      </c>
      <c r="R504" s="3" t="s">
        <v>128</v>
      </c>
      <c r="S504" s="3" t="s">
        <v>34</v>
      </c>
      <c r="T504" s="143">
        <v>1.831</v>
      </c>
      <c r="U504" s="3" t="s">
        <v>781</v>
      </c>
      <c r="V504" s="155">
        <v>2E-3</v>
      </c>
      <c r="W504" s="155">
        <v>2.6950000000000002E-2</v>
      </c>
      <c r="X504" s="5" t="s">
        <v>129</v>
      </c>
      <c r="Y504" s="5" t="s">
        <v>125</v>
      </c>
      <c r="Z504" s="143">
        <v>50000</v>
      </c>
      <c r="AA504" s="153">
        <v>1</v>
      </c>
      <c r="AB504" s="163">
        <v>110.04</v>
      </c>
      <c r="AD504" s="143">
        <v>55.02</v>
      </c>
      <c r="AG504" s="3" t="s">
        <v>36</v>
      </c>
      <c r="AH504" s="155">
        <v>8.7000000000000001E-5</v>
      </c>
      <c r="AI504" s="155">
        <v>6.2676940607949601E-3</v>
      </c>
      <c r="AJ504" s="155">
        <v>1.26152585349895E-3</v>
      </c>
    </row>
    <row r="505" spans="1:36">
      <c r="A505" s="3">
        <v>337</v>
      </c>
      <c r="B505" s="3">
        <v>9964</v>
      </c>
      <c r="C505" s="185" t="s">
        <v>365</v>
      </c>
      <c r="D505" s="3" t="s">
        <v>366</v>
      </c>
      <c r="E505" s="189" t="s">
        <v>118</v>
      </c>
      <c r="F505" s="185" t="s">
        <v>367</v>
      </c>
      <c r="G505" s="3" t="s">
        <v>368</v>
      </c>
      <c r="H505" s="3" t="s">
        <v>121</v>
      </c>
      <c r="I505" s="3" t="s">
        <v>132</v>
      </c>
      <c r="J505" s="3" t="s">
        <v>30</v>
      </c>
      <c r="K505" s="3" t="s">
        <v>30</v>
      </c>
      <c r="L505" s="3" t="s">
        <v>123</v>
      </c>
      <c r="M505" s="3" t="s">
        <v>31</v>
      </c>
      <c r="N505" s="3" t="s">
        <v>152</v>
      </c>
      <c r="O505" s="3" t="s">
        <v>125</v>
      </c>
      <c r="P505" s="3" t="s">
        <v>243</v>
      </c>
      <c r="Q505" s="3" t="s">
        <v>127</v>
      </c>
      <c r="R505" s="3" t="s">
        <v>128</v>
      </c>
      <c r="S505" s="3" t="s">
        <v>34</v>
      </c>
      <c r="T505" s="143">
        <v>2.9849999999999999</v>
      </c>
      <c r="U505" s="3" t="s">
        <v>369</v>
      </c>
      <c r="V505" s="155">
        <v>1.7999999999999999E-2</v>
      </c>
      <c r="W505" s="155">
        <v>2.7730000000000001E-2</v>
      </c>
      <c r="X505" s="5" t="s">
        <v>129</v>
      </c>
      <c r="Y505" s="5" t="s">
        <v>125</v>
      </c>
      <c r="Z505" s="143">
        <v>35053.160000000003</v>
      </c>
      <c r="AA505" s="153">
        <v>1</v>
      </c>
      <c r="AB505" s="163">
        <v>115.18</v>
      </c>
      <c r="AD505" s="143">
        <v>40.374000000000002</v>
      </c>
      <c r="AG505" s="3" t="s">
        <v>36</v>
      </c>
      <c r="AH505" s="155">
        <v>4.3000000000000002E-5</v>
      </c>
      <c r="AI505" s="155">
        <v>4.5992969760932203E-3</v>
      </c>
      <c r="AJ505" s="155">
        <v>9.2572036653065901E-4</v>
      </c>
    </row>
    <row r="506" spans="1:36">
      <c r="A506" s="3">
        <v>337</v>
      </c>
      <c r="B506" s="3">
        <v>9964</v>
      </c>
      <c r="C506" s="185" t="s">
        <v>365</v>
      </c>
      <c r="D506" s="3" t="s">
        <v>366</v>
      </c>
      <c r="E506" s="189" t="s">
        <v>118</v>
      </c>
      <c r="F506" s="185" t="s">
        <v>370</v>
      </c>
      <c r="G506" s="3" t="s">
        <v>371</v>
      </c>
      <c r="H506" s="3" t="s">
        <v>121</v>
      </c>
      <c r="I506" s="3" t="s">
        <v>132</v>
      </c>
      <c r="J506" s="3" t="s">
        <v>30</v>
      </c>
      <c r="K506" s="3" t="s">
        <v>30</v>
      </c>
      <c r="L506" s="3" t="s">
        <v>123</v>
      </c>
      <c r="M506" s="3" t="s">
        <v>31</v>
      </c>
      <c r="N506" s="3" t="s">
        <v>152</v>
      </c>
      <c r="O506" s="3" t="s">
        <v>125</v>
      </c>
      <c r="P506" s="3" t="s">
        <v>243</v>
      </c>
      <c r="Q506" s="3" t="s">
        <v>127</v>
      </c>
      <c r="R506" s="3" t="s">
        <v>128</v>
      </c>
      <c r="S506" s="3" t="s">
        <v>34</v>
      </c>
      <c r="T506" s="143">
        <v>7.5019999999999998</v>
      </c>
      <c r="U506" s="3" t="s">
        <v>372</v>
      </c>
      <c r="V506" s="155">
        <v>3.3399999999999999E-2</v>
      </c>
      <c r="W506" s="155">
        <v>3.1140000000000001E-2</v>
      </c>
      <c r="X506" s="5" t="s">
        <v>129</v>
      </c>
      <c r="Y506" s="5" t="s">
        <v>125</v>
      </c>
      <c r="Z506" s="143">
        <v>48000</v>
      </c>
      <c r="AA506" s="153">
        <v>1</v>
      </c>
      <c r="AB506" s="163">
        <v>101.51</v>
      </c>
      <c r="AD506" s="143">
        <v>48.725000000000001</v>
      </c>
      <c r="AG506" s="3" t="s">
        <v>36</v>
      </c>
      <c r="AH506" s="155">
        <v>3.2000000000000003E-4</v>
      </c>
      <c r="AI506" s="155">
        <v>5.5505659682555802E-3</v>
      </c>
      <c r="AJ506" s="155">
        <v>1.11718638507026E-3</v>
      </c>
    </row>
    <row r="507" spans="1:36">
      <c r="A507" s="3">
        <v>337</v>
      </c>
      <c r="B507" s="3">
        <v>9964</v>
      </c>
      <c r="C507" s="185" t="s">
        <v>373</v>
      </c>
      <c r="D507" s="3" t="s">
        <v>374</v>
      </c>
      <c r="E507" s="189" t="s">
        <v>118</v>
      </c>
      <c r="F507" s="185" t="s">
        <v>375</v>
      </c>
      <c r="G507" s="3" t="s">
        <v>376</v>
      </c>
      <c r="H507" s="3" t="s">
        <v>121</v>
      </c>
      <c r="I507" s="3" t="s">
        <v>122</v>
      </c>
      <c r="J507" s="3" t="s">
        <v>30</v>
      </c>
      <c r="K507" s="3" t="s">
        <v>30</v>
      </c>
      <c r="L507" s="3" t="s">
        <v>123</v>
      </c>
      <c r="M507" s="3" t="s">
        <v>31</v>
      </c>
      <c r="N507" s="3" t="s">
        <v>377</v>
      </c>
      <c r="O507" s="3" t="s">
        <v>125</v>
      </c>
      <c r="P507" s="3" t="s">
        <v>260</v>
      </c>
      <c r="Q507" s="3" t="s">
        <v>146</v>
      </c>
      <c r="R507" s="3" t="s">
        <v>128</v>
      </c>
      <c r="S507" s="3" t="s">
        <v>34</v>
      </c>
      <c r="T507" s="143">
        <v>5.2539999999999996</v>
      </c>
      <c r="U507" s="3" t="s">
        <v>339</v>
      </c>
      <c r="V507" s="155">
        <v>5.6899999999999999E-2</v>
      </c>
      <c r="W507" s="155">
        <v>5.0369999999999998E-2</v>
      </c>
      <c r="X507" s="5" t="s">
        <v>129</v>
      </c>
      <c r="Y507" s="5" t="s">
        <v>125</v>
      </c>
      <c r="Z507" s="143">
        <v>53000</v>
      </c>
      <c r="AA507" s="153">
        <v>1</v>
      </c>
      <c r="AB507" s="163">
        <v>103.73</v>
      </c>
      <c r="AD507" s="143">
        <v>54.976999999999997</v>
      </c>
      <c r="AG507" s="3" t="s">
        <v>36</v>
      </c>
      <c r="AH507" s="155">
        <v>3.4E-5</v>
      </c>
      <c r="AI507" s="155">
        <v>6.2627842531973498E-3</v>
      </c>
      <c r="AJ507" s="155">
        <v>1.2605376353185501E-3</v>
      </c>
    </row>
    <row r="508" spans="1:36">
      <c r="A508" s="3">
        <v>337</v>
      </c>
      <c r="B508" s="3">
        <v>9964</v>
      </c>
      <c r="C508" s="185" t="s">
        <v>373</v>
      </c>
      <c r="D508" s="3" t="s">
        <v>374</v>
      </c>
      <c r="E508" s="189" t="s">
        <v>118</v>
      </c>
      <c r="F508" s="185" t="s">
        <v>378</v>
      </c>
      <c r="G508" s="3" t="s">
        <v>379</v>
      </c>
      <c r="H508" s="3" t="s">
        <v>121</v>
      </c>
      <c r="I508" s="3" t="s">
        <v>122</v>
      </c>
      <c r="J508" s="3" t="s">
        <v>30</v>
      </c>
      <c r="K508" s="3" t="s">
        <v>30</v>
      </c>
      <c r="L508" s="3" t="s">
        <v>123</v>
      </c>
      <c r="M508" s="3" t="s">
        <v>31</v>
      </c>
      <c r="N508" s="3" t="s">
        <v>377</v>
      </c>
      <c r="O508" s="3" t="s">
        <v>125</v>
      </c>
      <c r="P508" s="3" t="s">
        <v>126</v>
      </c>
      <c r="Q508" s="3" t="s">
        <v>127</v>
      </c>
      <c r="R508" s="3" t="s">
        <v>128</v>
      </c>
      <c r="S508" s="3" t="s">
        <v>34</v>
      </c>
      <c r="T508" s="143">
        <v>6.0750000000000002</v>
      </c>
      <c r="U508" s="3" t="s">
        <v>380</v>
      </c>
      <c r="V508" s="155">
        <v>5.6800000000000003E-2</v>
      </c>
      <c r="W508" s="155">
        <v>5.1319999999999998E-2</v>
      </c>
      <c r="X508" s="5" t="s">
        <v>129</v>
      </c>
      <c r="Y508" s="5" t="s">
        <v>125</v>
      </c>
      <c r="Z508" s="143">
        <v>56000</v>
      </c>
      <c r="AA508" s="153">
        <v>1</v>
      </c>
      <c r="AB508" s="163">
        <v>105.5</v>
      </c>
      <c r="AD508" s="143">
        <v>59.08</v>
      </c>
      <c r="AG508" s="3" t="s">
        <v>36</v>
      </c>
      <c r="AH508" s="155">
        <v>3.1999999999999999E-5</v>
      </c>
      <c r="AI508" s="155">
        <v>6.7301956581564196E-3</v>
      </c>
      <c r="AJ508" s="155">
        <v>1.3546155475230501E-3</v>
      </c>
    </row>
    <row r="509" spans="1:36">
      <c r="A509" s="3">
        <v>337</v>
      </c>
      <c r="B509" s="3">
        <v>9964</v>
      </c>
      <c r="C509" s="185" t="s">
        <v>373</v>
      </c>
      <c r="D509" s="3" t="s">
        <v>374</v>
      </c>
      <c r="E509" s="189" t="s">
        <v>118</v>
      </c>
      <c r="F509" s="185" t="s">
        <v>782</v>
      </c>
      <c r="G509" s="3" t="s">
        <v>783</v>
      </c>
      <c r="H509" s="3" t="s">
        <v>121</v>
      </c>
      <c r="I509" s="3" t="s">
        <v>122</v>
      </c>
      <c r="J509" s="3" t="s">
        <v>30</v>
      </c>
      <c r="K509" s="3" t="s">
        <v>30</v>
      </c>
      <c r="L509" s="3" t="s">
        <v>123</v>
      </c>
      <c r="M509" s="3" t="s">
        <v>31</v>
      </c>
      <c r="N509" s="3" t="s">
        <v>377</v>
      </c>
      <c r="O509" s="3" t="s">
        <v>125</v>
      </c>
      <c r="P509" s="3" t="s">
        <v>260</v>
      </c>
      <c r="Q509" s="3" t="s">
        <v>146</v>
      </c>
      <c r="R509" s="3" t="s">
        <v>128</v>
      </c>
      <c r="S509" s="3" t="s">
        <v>34</v>
      </c>
      <c r="T509" s="143">
        <v>4.6150000000000002</v>
      </c>
      <c r="U509" s="3" t="s">
        <v>296</v>
      </c>
      <c r="V509" s="155">
        <v>6.3799999999999996E-2</v>
      </c>
      <c r="W509" s="155">
        <v>4.6219999999999997E-2</v>
      </c>
      <c r="X509" s="5" t="s">
        <v>129</v>
      </c>
      <c r="Y509" s="5" t="s">
        <v>125</v>
      </c>
      <c r="Z509" s="143">
        <v>58485</v>
      </c>
      <c r="AA509" s="153">
        <v>1</v>
      </c>
      <c r="AB509" s="163">
        <v>108.4</v>
      </c>
      <c r="AD509" s="143">
        <v>63.398000000000003</v>
      </c>
      <c r="AG509" s="3" t="s">
        <v>36</v>
      </c>
      <c r="AH509" s="155">
        <v>5.8E-5</v>
      </c>
      <c r="AI509" s="155">
        <v>7.2220581327848603E-3</v>
      </c>
      <c r="AJ509" s="155">
        <v>1.45361483212295E-3</v>
      </c>
    </row>
    <row r="510" spans="1:36">
      <c r="A510" s="3">
        <v>337</v>
      </c>
      <c r="B510" s="3">
        <v>9964</v>
      </c>
      <c r="C510" s="185" t="s">
        <v>381</v>
      </c>
      <c r="D510" s="3" t="s">
        <v>382</v>
      </c>
      <c r="E510" s="189" t="s">
        <v>118</v>
      </c>
      <c r="F510" s="185" t="s">
        <v>383</v>
      </c>
      <c r="G510" s="3" t="s">
        <v>384</v>
      </c>
      <c r="H510" s="3" t="s">
        <v>121</v>
      </c>
      <c r="I510" s="3" t="s">
        <v>132</v>
      </c>
      <c r="J510" s="3" t="s">
        <v>30</v>
      </c>
      <c r="K510" s="3" t="s">
        <v>30</v>
      </c>
      <c r="L510" s="3" t="s">
        <v>123</v>
      </c>
      <c r="M510" s="3" t="s">
        <v>31</v>
      </c>
      <c r="N510" s="3" t="s">
        <v>171</v>
      </c>
      <c r="O510" s="3" t="s">
        <v>125</v>
      </c>
      <c r="P510" s="3" t="s">
        <v>198</v>
      </c>
      <c r="Q510" s="3" t="s">
        <v>146</v>
      </c>
      <c r="R510" s="3" t="s">
        <v>128</v>
      </c>
      <c r="S510" s="3" t="s">
        <v>34</v>
      </c>
      <c r="T510" s="143">
        <v>1.8959999999999999</v>
      </c>
      <c r="U510" s="3" t="s">
        <v>385</v>
      </c>
      <c r="V510" s="155">
        <v>1.7999999999999999E-2</v>
      </c>
      <c r="W510" s="155">
        <v>2.6780000000000002E-2</v>
      </c>
      <c r="X510" s="5" t="s">
        <v>129</v>
      </c>
      <c r="Y510" s="5" t="s">
        <v>125</v>
      </c>
      <c r="Z510" s="143">
        <v>110526.3</v>
      </c>
      <c r="AA510" s="153">
        <v>1</v>
      </c>
      <c r="AB510" s="163">
        <v>117.12</v>
      </c>
      <c r="AD510" s="143">
        <v>129.44800000000001</v>
      </c>
      <c r="AG510" s="3" t="s">
        <v>36</v>
      </c>
      <c r="AH510" s="155">
        <v>1.6000000000000001E-4</v>
      </c>
      <c r="AI510" s="155">
        <v>1.47463283152437E-2</v>
      </c>
      <c r="AJ510" s="155">
        <v>2.9680571887237299E-3</v>
      </c>
    </row>
    <row r="511" spans="1:36">
      <c r="A511" s="3">
        <v>337</v>
      </c>
      <c r="B511" s="3">
        <v>9964</v>
      </c>
      <c r="C511" s="185" t="s">
        <v>386</v>
      </c>
      <c r="D511" s="3" t="s">
        <v>387</v>
      </c>
      <c r="E511" s="189" t="s">
        <v>118</v>
      </c>
      <c r="F511" s="185" t="s">
        <v>390</v>
      </c>
      <c r="G511" s="3" t="s">
        <v>391</v>
      </c>
      <c r="H511" s="3" t="s">
        <v>121</v>
      </c>
      <c r="I511" s="3" t="s">
        <v>122</v>
      </c>
      <c r="J511" s="3" t="s">
        <v>30</v>
      </c>
      <c r="K511" s="3" t="s">
        <v>30</v>
      </c>
      <c r="L511" s="3" t="s">
        <v>123</v>
      </c>
      <c r="M511" s="3" t="s">
        <v>31</v>
      </c>
      <c r="N511" s="3" t="s">
        <v>159</v>
      </c>
      <c r="O511" s="3" t="s">
        <v>125</v>
      </c>
      <c r="P511" s="3" t="s">
        <v>145</v>
      </c>
      <c r="Q511" s="3" t="s">
        <v>146</v>
      </c>
      <c r="R511" s="3" t="s">
        <v>128</v>
      </c>
      <c r="S511" s="3" t="s">
        <v>34</v>
      </c>
      <c r="T511" s="143">
        <v>7.5170000000000003</v>
      </c>
      <c r="U511" s="3" t="s">
        <v>392</v>
      </c>
      <c r="V511" s="155">
        <v>5.8500000000000003E-2</v>
      </c>
      <c r="W511" s="155">
        <v>4.795E-2</v>
      </c>
      <c r="X511" s="5" t="s">
        <v>129</v>
      </c>
      <c r="Y511" s="5" t="s">
        <v>125</v>
      </c>
      <c r="Z511" s="143">
        <v>70000</v>
      </c>
      <c r="AA511" s="153">
        <v>1</v>
      </c>
      <c r="AB511" s="163">
        <v>108.42</v>
      </c>
      <c r="AD511" s="143">
        <v>75.894000000000005</v>
      </c>
      <c r="AG511" s="3" t="s">
        <v>36</v>
      </c>
      <c r="AH511" s="155">
        <v>6.9999999999999994E-5</v>
      </c>
      <c r="AI511" s="155">
        <v>8.6455902044706E-3</v>
      </c>
      <c r="AJ511" s="155">
        <v>1.74013528036077E-3</v>
      </c>
    </row>
    <row r="512" spans="1:36">
      <c r="A512" s="3">
        <v>337</v>
      </c>
      <c r="B512" s="3">
        <v>9964</v>
      </c>
      <c r="C512" s="185" t="s">
        <v>393</v>
      </c>
      <c r="D512" s="3" t="s">
        <v>394</v>
      </c>
      <c r="E512" s="189" t="s">
        <v>118</v>
      </c>
      <c r="F512" s="185" t="s">
        <v>395</v>
      </c>
      <c r="G512" s="3" t="s">
        <v>396</v>
      </c>
      <c r="H512" s="3" t="s">
        <v>121</v>
      </c>
      <c r="I512" s="3" t="s">
        <v>132</v>
      </c>
      <c r="J512" s="3" t="s">
        <v>30</v>
      </c>
      <c r="K512" s="3" t="s">
        <v>30</v>
      </c>
      <c r="L512" s="3" t="s">
        <v>123</v>
      </c>
      <c r="M512" s="3" t="s">
        <v>31</v>
      </c>
      <c r="N512" s="3" t="s">
        <v>171</v>
      </c>
      <c r="O512" s="3" t="s">
        <v>125</v>
      </c>
      <c r="P512" s="3" t="s">
        <v>126</v>
      </c>
      <c r="Q512" s="3" t="s">
        <v>127</v>
      </c>
      <c r="R512" s="3" t="s">
        <v>128</v>
      </c>
      <c r="S512" s="3" t="s">
        <v>34</v>
      </c>
      <c r="T512" s="143">
        <v>4.6909999999999998</v>
      </c>
      <c r="U512" s="3" t="s">
        <v>397</v>
      </c>
      <c r="V512" s="155">
        <v>3.1800000000000002E-2</v>
      </c>
      <c r="W512" s="155">
        <v>2.7150000000000001E-2</v>
      </c>
      <c r="X512" s="5" t="s">
        <v>129</v>
      </c>
      <c r="Y512" s="5" t="s">
        <v>125</v>
      </c>
      <c r="Z512" s="143">
        <v>70000</v>
      </c>
      <c r="AA512" s="153">
        <v>1</v>
      </c>
      <c r="AB512" s="163">
        <v>104.97</v>
      </c>
      <c r="AD512" s="143">
        <v>73.478999999999999</v>
      </c>
      <c r="AG512" s="3" t="s">
        <v>36</v>
      </c>
      <c r="AH512" s="155">
        <v>3.1399999999999999E-4</v>
      </c>
      <c r="AI512" s="155">
        <v>8.3704814956952495E-3</v>
      </c>
      <c r="AJ512" s="155">
        <v>1.6847629623636699E-3</v>
      </c>
    </row>
    <row r="513" spans="1:36">
      <c r="A513" s="3">
        <v>337</v>
      </c>
      <c r="B513" s="3">
        <v>9964</v>
      </c>
      <c r="C513" s="185" t="s">
        <v>791</v>
      </c>
      <c r="D513" s="3" t="s">
        <v>792</v>
      </c>
      <c r="E513" s="189" t="s">
        <v>118</v>
      </c>
      <c r="F513" s="185" t="s">
        <v>793</v>
      </c>
      <c r="G513" s="3" t="s">
        <v>794</v>
      </c>
      <c r="H513" s="3" t="s">
        <v>121</v>
      </c>
      <c r="I513" s="3" t="s">
        <v>132</v>
      </c>
      <c r="J513" s="3" t="s">
        <v>30</v>
      </c>
      <c r="K513" s="3" t="s">
        <v>30</v>
      </c>
      <c r="L513" s="3" t="s">
        <v>123</v>
      </c>
      <c r="M513" s="3" t="s">
        <v>31</v>
      </c>
      <c r="N513" s="3" t="s">
        <v>124</v>
      </c>
      <c r="O513" s="3" t="s">
        <v>125</v>
      </c>
      <c r="P513" s="3" t="s">
        <v>178</v>
      </c>
      <c r="Q513" s="3" t="s">
        <v>178</v>
      </c>
      <c r="R513" s="3" t="s">
        <v>178</v>
      </c>
      <c r="S513" s="3" t="s">
        <v>34</v>
      </c>
      <c r="T513" s="143">
        <v>0.98899999999999999</v>
      </c>
      <c r="U513" s="3" t="s">
        <v>795</v>
      </c>
      <c r="V513" s="155">
        <v>3.5000000000000003E-2</v>
      </c>
      <c r="W513" s="155">
        <v>3.9059999999999997E-2</v>
      </c>
      <c r="X513" s="5" t="s">
        <v>129</v>
      </c>
      <c r="Y513" s="5" t="s">
        <v>125</v>
      </c>
      <c r="Z513" s="143">
        <v>19500</v>
      </c>
      <c r="AA513" s="153">
        <v>1</v>
      </c>
      <c r="AB513" s="163">
        <v>111.3</v>
      </c>
      <c r="AD513" s="143">
        <v>21.702999999999999</v>
      </c>
      <c r="AG513" s="3" t="s">
        <v>36</v>
      </c>
      <c r="AH513" s="155">
        <v>2.05E-4</v>
      </c>
      <c r="AI513" s="155">
        <v>2.47239000451587E-3</v>
      </c>
      <c r="AJ513" s="155">
        <v>4.9762861434777303E-4</v>
      </c>
    </row>
    <row r="514" spans="1:36">
      <c r="A514" s="3">
        <v>337</v>
      </c>
      <c r="B514" s="3">
        <v>9964</v>
      </c>
      <c r="C514" s="185" t="s">
        <v>398</v>
      </c>
      <c r="D514" s="3" t="s">
        <v>399</v>
      </c>
      <c r="E514" s="189" t="s">
        <v>118</v>
      </c>
      <c r="F514" s="185" t="s">
        <v>805</v>
      </c>
      <c r="G514" s="3" t="s">
        <v>806</v>
      </c>
      <c r="H514" s="3" t="s">
        <v>121</v>
      </c>
      <c r="I514" s="3" t="s">
        <v>132</v>
      </c>
      <c r="J514" s="3" t="s">
        <v>30</v>
      </c>
      <c r="K514" s="3" t="s">
        <v>30</v>
      </c>
      <c r="L514" s="3" t="s">
        <v>123</v>
      </c>
      <c r="M514" s="3" t="s">
        <v>31</v>
      </c>
      <c r="N514" s="3" t="s">
        <v>152</v>
      </c>
      <c r="O514" s="3" t="s">
        <v>125</v>
      </c>
      <c r="P514" s="3" t="s">
        <v>357</v>
      </c>
      <c r="Q514" s="3" t="s">
        <v>146</v>
      </c>
      <c r="R514" s="3" t="s">
        <v>128</v>
      </c>
      <c r="S514" s="3" t="s">
        <v>34</v>
      </c>
      <c r="T514" s="143">
        <v>0.16200000000000001</v>
      </c>
      <c r="U514" s="3" t="s">
        <v>807</v>
      </c>
      <c r="V514" s="155">
        <v>4.4999999999999998E-2</v>
      </c>
      <c r="W514" s="155">
        <v>6.4369999999999997E-2</v>
      </c>
      <c r="X514" s="5" t="s">
        <v>129</v>
      </c>
      <c r="Y514" s="5" t="s">
        <v>125</v>
      </c>
      <c r="Z514" s="143">
        <v>75000</v>
      </c>
      <c r="AA514" s="153">
        <v>1</v>
      </c>
      <c r="AB514" s="163">
        <v>121.07</v>
      </c>
      <c r="AD514" s="143">
        <v>90.802000000000007</v>
      </c>
      <c r="AG514" s="3" t="s">
        <v>36</v>
      </c>
      <c r="AH514" s="155">
        <v>5.1E-5</v>
      </c>
      <c r="AI514" s="155">
        <v>1.0343916574978801E-2</v>
      </c>
      <c r="AJ514" s="155">
        <v>2.0819647639465401E-3</v>
      </c>
    </row>
    <row r="515" spans="1:36">
      <c r="A515" s="3">
        <v>337</v>
      </c>
      <c r="B515" s="3">
        <v>9964</v>
      </c>
      <c r="C515" s="185" t="s">
        <v>398</v>
      </c>
      <c r="D515" s="3" t="s">
        <v>399</v>
      </c>
      <c r="E515" s="189" t="s">
        <v>118</v>
      </c>
      <c r="F515" s="185" t="s">
        <v>400</v>
      </c>
      <c r="G515" s="3" t="s">
        <v>401</v>
      </c>
      <c r="H515" s="3" t="s">
        <v>121</v>
      </c>
      <c r="I515" s="3" t="s">
        <v>132</v>
      </c>
      <c r="J515" s="3" t="s">
        <v>30</v>
      </c>
      <c r="K515" s="3" t="s">
        <v>30</v>
      </c>
      <c r="L515" s="3" t="s">
        <v>123</v>
      </c>
      <c r="M515" s="3" t="s">
        <v>31</v>
      </c>
      <c r="N515" s="3" t="s">
        <v>152</v>
      </c>
      <c r="O515" s="3" t="s">
        <v>125</v>
      </c>
      <c r="P515" s="3" t="s">
        <v>357</v>
      </c>
      <c r="Q515" s="3" t="s">
        <v>146</v>
      </c>
      <c r="R515" s="3" t="s">
        <v>128</v>
      </c>
      <c r="S515" s="3" t="s">
        <v>34</v>
      </c>
      <c r="T515" s="143">
        <v>9.7279999999999998</v>
      </c>
      <c r="U515" s="3" t="s">
        <v>402</v>
      </c>
      <c r="V515" s="155">
        <v>3.2000000000000001E-2</v>
      </c>
      <c r="W515" s="155">
        <v>2.572E-2</v>
      </c>
      <c r="X515" s="5" t="s">
        <v>129</v>
      </c>
      <c r="Y515" s="5" t="s">
        <v>125</v>
      </c>
      <c r="Z515" s="143">
        <v>85000</v>
      </c>
      <c r="AA515" s="153">
        <v>1</v>
      </c>
      <c r="AB515" s="163">
        <v>113.96</v>
      </c>
      <c r="AD515" s="143">
        <v>96.866</v>
      </c>
      <c r="AG515" s="3" t="s">
        <v>36</v>
      </c>
      <c r="AH515" s="155">
        <v>1.7E-5</v>
      </c>
      <c r="AI515" s="155">
        <v>1.1034650179806701E-2</v>
      </c>
      <c r="AJ515" s="155">
        <v>2.2209916998369599E-3</v>
      </c>
    </row>
    <row r="516" spans="1:36">
      <c r="A516" s="3">
        <v>337</v>
      </c>
      <c r="B516" s="3">
        <v>9964</v>
      </c>
      <c r="C516" s="185" t="s">
        <v>398</v>
      </c>
      <c r="D516" s="3" t="s">
        <v>399</v>
      </c>
      <c r="E516" s="189" t="s">
        <v>118</v>
      </c>
      <c r="F516" s="185" t="s">
        <v>403</v>
      </c>
      <c r="G516" s="3" t="s">
        <v>404</v>
      </c>
      <c r="H516" s="3" t="s">
        <v>121</v>
      </c>
      <c r="I516" s="3" t="s">
        <v>132</v>
      </c>
      <c r="J516" s="3" t="s">
        <v>30</v>
      </c>
      <c r="K516" s="3" t="s">
        <v>30</v>
      </c>
      <c r="L516" s="3" t="s">
        <v>123</v>
      </c>
      <c r="M516" s="3" t="s">
        <v>31</v>
      </c>
      <c r="N516" s="3" t="s">
        <v>152</v>
      </c>
      <c r="O516" s="3" t="s">
        <v>125</v>
      </c>
      <c r="P516" s="3" t="s">
        <v>357</v>
      </c>
      <c r="Q516" s="3" t="s">
        <v>146</v>
      </c>
      <c r="R516" s="3" t="s">
        <v>128</v>
      </c>
      <c r="S516" s="3" t="s">
        <v>34</v>
      </c>
      <c r="T516" s="143">
        <v>7.452</v>
      </c>
      <c r="U516" s="3" t="s">
        <v>405</v>
      </c>
      <c r="V516" s="155">
        <v>2.9899999999999999E-2</v>
      </c>
      <c r="W516" s="155">
        <v>2.4979999999999999E-2</v>
      </c>
      <c r="X516" s="5" t="s">
        <v>129</v>
      </c>
      <c r="Y516" s="5" t="s">
        <v>125</v>
      </c>
      <c r="Z516" s="143">
        <v>10000</v>
      </c>
      <c r="AA516" s="153">
        <v>1</v>
      </c>
      <c r="AB516" s="163">
        <v>105.86</v>
      </c>
      <c r="AD516" s="143">
        <v>10.586</v>
      </c>
      <c r="AG516" s="3" t="s">
        <v>36</v>
      </c>
      <c r="AH516" s="155">
        <v>2.5999999999999998E-5</v>
      </c>
      <c r="AI516" s="155">
        <v>1.2059216526276899E-3</v>
      </c>
      <c r="AJ516" s="155">
        <v>2.427210593446E-4</v>
      </c>
    </row>
    <row r="517" spans="1:36">
      <c r="A517" s="3">
        <v>337</v>
      </c>
      <c r="B517" s="3">
        <v>9964</v>
      </c>
      <c r="C517" s="185" t="s">
        <v>406</v>
      </c>
      <c r="D517" s="3" t="s">
        <v>407</v>
      </c>
      <c r="E517" s="189" t="s">
        <v>269</v>
      </c>
      <c r="F517" s="185" t="s">
        <v>408</v>
      </c>
      <c r="G517" s="3" t="s">
        <v>409</v>
      </c>
      <c r="H517" s="3" t="s">
        <v>121</v>
      </c>
      <c r="I517" s="3" t="s">
        <v>410</v>
      </c>
      <c r="J517" s="3" t="s">
        <v>30</v>
      </c>
      <c r="K517" s="3" t="s">
        <v>80</v>
      </c>
      <c r="L517" s="3" t="s">
        <v>123</v>
      </c>
      <c r="M517" s="3" t="s">
        <v>31</v>
      </c>
      <c r="N517" s="3" t="s">
        <v>139</v>
      </c>
      <c r="O517" s="3" t="s">
        <v>125</v>
      </c>
      <c r="P517" s="3" t="s">
        <v>145</v>
      </c>
      <c r="Q517" s="3" t="s">
        <v>146</v>
      </c>
      <c r="R517" s="3" t="s">
        <v>128</v>
      </c>
      <c r="S517" s="3" t="s">
        <v>84</v>
      </c>
      <c r="T517" s="143">
        <v>1.1240000000000001</v>
      </c>
      <c r="U517" s="3" t="s">
        <v>411</v>
      </c>
      <c r="V517" s="155">
        <v>4.7199999999999999E-2</v>
      </c>
      <c r="W517" s="155">
        <v>6.4030000000000004E-2</v>
      </c>
      <c r="X517" s="5" t="s">
        <v>129</v>
      </c>
      <c r="Y517" s="5" t="s">
        <v>125</v>
      </c>
      <c r="Z517" s="143">
        <v>48000</v>
      </c>
      <c r="AA517" s="153">
        <v>3.19</v>
      </c>
      <c r="AB517" s="163">
        <v>31.187999999999999</v>
      </c>
      <c r="AD517" s="143">
        <v>47.755000000000003</v>
      </c>
      <c r="AG517" s="3" t="s">
        <v>36</v>
      </c>
      <c r="AH517" s="155">
        <v>1.46E-4</v>
      </c>
      <c r="AI517" s="155">
        <v>5.4401123848069003E-3</v>
      </c>
      <c r="AJ517" s="155">
        <v>1.0949549152855899E-3</v>
      </c>
    </row>
    <row r="518" spans="1:36">
      <c r="A518" s="3">
        <v>337</v>
      </c>
      <c r="B518" s="3">
        <v>9964</v>
      </c>
      <c r="C518" s="185" t="s">
        <v>417</v>
      </c>
      <c r="D518" s="3" t="s">
        <v>418</v>
      </c>
      <c r="E518" s="189" t="s">
        <v>118</v>
      </c>
      <c r="F518" s="185" t="s">
        <v>419</v>
      </c>
      <c r="G518" s="3" t="s">
        <v>420</v>
      </c>
      <c r="H518" s="3" t="s">
        <v>121</v>
      </c>
      <c r="I518" s="3" t="s">
        <v>122</v>
      </c>
      <c r="J518" s="3" t="s">
        <v>30</v>
      </c>
      <c r="K518" s="3" t="s">
        <v>30</v>
      </c>
      <c r="L518" s="3" t="s">
        <v>123</v>
      </c>
      <c r="M518" s="3" t="s">
        <v>31</v>
      </c>
      <c r="N518" s="3" t="s">
        <v>421</v>
      </c>
      <c r="O518" s="3" t="s">
        <v>125</v>
      </c>
      <c r="P518" s="3" t="s">
        <v>422</v>
      </c>
      <c r="Q518" s="3" t="s">
        <v>127</v>
      </c>
      <c r="R518" s="3" t="s">
        <v>128</v>
      </c>
      <c r="S518" s="3" t="s">
        <v>34</v>
      </c>
      <c r="T518" s="143">
        <v>3.2320000000000002</v>
      </c>
      <c r="U518" s="3" t="s">
        <v>423</v>
      </c>
      <c r="V518" s="155">
        <v>3.9399999999999998E-2</v>
      </c>
      <c r="W518" s="155">
        <v>4.3380000000000002E-2</v>
      </c>
      <c r="X518" s="5" t="s">
        <v>129</v>
      </c>
      <c r="Y518" s="5" t="s">
        <v>125</v>
      </c>
      <c r="Z518" s="143">
        <v>4622.8</v>
      </c>
      <c r="AA518" s="153">
        <v>1</v>
      </c>
      <c r="AB518" s="163">
        <v>98.89</v>
      </c>
      <c r="AC518" s="143">
        <v>0.45400000000000001</v>
      </c>
      <c r="AD518" s="143">
        <v>5.0250000000000004</v>
      </c>
      <c r="AG518" s="3" t="s">
        <v>36</v>
      </c>
      <c r="AH518" s="155">
        <v>3.4999999999999997E-5</v>
      </c>
      <c r="AI518" s="155">
        <v>5.7244904002265895E-4</v>
      </c>
      <c r="AJ518" s="155">
        <v>1.1521929066647E-4</v>
      </c>
    </row>
    <row r="519" spans="1:36">
      <c r="A519" s="3">
        <v>337</v>
      </c>
      <c r="B519" s="3">
        <v>9964</v>
      </c>
      <c r="C519" s="185" t="s">
        <v>424</v>
      </c>
      <c r="D519" s="3" t="s">
        <v>425</v>
      </c>
      <c r="E519" s="189" t="s">
        <v>118</v>
      </c>
      <c r="F519" s="185" t="s">
        <v>426</v>
      </c>
      <c r="G519" s="3" t="s">
        <v>427</v>
      </c>
      <c r="H519" s="3" t="s">
        <v>121</v>
      </c>
      <c r="I519" s="3" t="s">
        <v>132</v>
      </c>
      <c r="J519" s="3" t="s">
        <v>30</v>
      </c>
      <c r="K519" s="3" t="s">
        <v>30</v>
      </c>
      <c r="L519" s="3" t="s">
        <v>123</v>
      </c>
      <c r="M519" s="3" t="s">
        <v>31</v>
      </c>
      <c r="N519" s="3" t="s">
        <v>316</v>
      </c>
      <c r="O519" s="3" t="s">
        <v>125</v>
      </c>
      <c r="P519" s="3" t="s">
        <v>145</v>
      </c>
      <c r="Q519" s="3" t="s">
        <v>146</v>
      </c>
      <c r="R519" s="3" t="s">
        <v>128</v>
      </c>
      <c r="S519" s="3" t="s">
        <v>34</v>
      </c>
      <c r="T519" s="143">
        <v>3.3780000000000001</v>
      </c>
      <c r="U519" s="3" t="s">
        <v>428</v>
      </c>
      <c r="V519" s="155">
        <v>2.5899999999999999E-2</v>
      </c>
      <c r="W519" s="155">
        <v>2.3769999999999999E-2</v>
      </c>
      <c r="X519" s="5" t="s">
        <v>129</v>
      </c>
      <c r="Y519" s="5" t="s">
        <v>125</v>
      </c>
      <c r="Z519" s="143">
        <v>30000</v>
      </c>
      <c r="AA519" s="153">
        <v>1</v>
      </c>
      <c r="AB519" s="163">
        <v>108.83</v>
      </c>
      <c r="AD519" s="143">
        <v>32.649000000000001</v>
      </c>
      <c r="AG519" s="3" t="s">
        <v>36</v>
      </c>
      <c r="AH519" s="155">
        <v>4.3999999999999999E-5</v>
      </c>
      <c r="AI519" s="155">
        <v>3.7192646926734801E-3</v>
      </c>
      <c r="AJ519" s="155">
        <v>7.4859246802775801E-4</v>
      </c>
    </row>
    <row r="520" spans="1:36">
      <c r="A520" s="3">
        <v>337</v>
      </c>
      <c r="B520" s="3">
        <v>9964</v>
      </c>
      <c r="C520" s="185" t="s">
        <v>429</v>
      </c>
      <c r="D520" s="3" t="s">
        <v>430</v>
      </c>
      <c r="E520" s="189" t="s">
        <v>118</v>
      </c>
      <c r="F520" s="185" t="s">
        <v>431</v>
      </c>
      <c r="G520" s="3" t="s">
        <v>432</v>
      </c>
      <c r="H520" s="3" t="s">
        <v>121</v>
      </c>
      <c r="I520" s="3" t="s">
        <v>132</v>
      </c>
      <c r="J520" s="3" t="s">
        <v>30</v>
      </c>
      <c r="K520" s="3" t="s">
        <v>30</v>
      </c>
      <c r="L520" s="3" t="s">
        <v>123</v>
      </c>
      <c r="M520" s="3" t="s">
        <v>31</v>
      </c>
      <c r="N520" s="3" t="s">
        <v>171</v>
      </c>
      <c r="O520" s="3" t="s">
        <v>125</v>
      </c>
      <c r="P520" s="3" t="s">
        <v>178</v>
      </c>
      <c r="Q520" s="3" t="s">
        <v>178</v>
      </c>
      <c r="R520" s="3" t="s">
        <v>178</v>
      </c>
      <c r="S520" s="3" t="s">
        <v>34</v>
      </c>
      <c r="T520" s="143">
        <v>1.9019999999999999</v>
      </c>
      <c r="U520" s="3" t="s">
        <v>385</v>
      </c>
      <c r="V520" s="155">
        <v>4.4999999999999998E-2</v>
      </c>
      <c r="W520" s="155">
        <v>3.2640000000000002E-2</v>
      </c>
      <c r="X520" s="5" t="s">
        <v>129</v>
      </c>
      <c r="Y520" s="5" t="s">
        <v>125</v>
      </c>
      <c r="Z520" s="143">
        <v>48000</v>
      </c>
      <c r="AA520" s="153">
        <v>1</v>
      </c>
      <c r="AB520" s="163">
        <v>108.81</v>
      </c>
      <c r="AD520" s="143">
        <v>52.228999999999999</v>
      </c>
      <c r="AG520" s="3" t="s">
        <v>36</v>
      </c>
      <c r="AH520" s="155">
        <v>4.8999999999999998E-5</v>
      </c>
      <c r="AI520" s="155">
        <v>5.9497299084414401E-3</v>
      </c>
      <c r="AJ520" s="155">
        <v>1.1975278352821901E-3</v>
      </c>
    </row>
    <row r="521" spans="1:36">
      <c r="A521" s="3">
        <v>337</v>
      </c>
      <c r="B521" s="3">
        <v>9964</v>
      </c>
      <c r="C521" s="185" t="s">
        <v>433</v>
      </c>
      <c r="D521" s="3" t="s">
        <v>434</v>
      </c>
      <c r="E521" s="189" t="s">
        <v>118</v>
      </c>
      <c r="F521" s="185" t="s">
        <v>435</v>
      </c>
      <c r="G521" s="3" t="s">
        <v>436</v>
      </c>
      <c r="H521" s="3" t="s">
        <v>121</v>
      </c>
      <c r="I521" s="3" t="s">
        <v>122</v>
      </c>
      <c r="J521" s="3" t="s">
        <v>30</v>
      </c>
      <c r="K521" s="3" t="s">
        <v>30</v>
      </c>
      <c r="L521" s="3" t="s">
        <v>123</v>
      </c>
      <c r="M521" s="3" t="s">
        <v>31</v>
      </c>
      <c r="N521" s="3" t="s">
        <v>124</v>
      </c>
      <c r="O521" s="3" t="s">
        <v>125</v>
      </c>
      <c r="P521" s="3" t="s">
        <v>260</v>
      </c>
      <c r="Q521" s="3" t="s">
        <v>146</v>
      </c>
      <c r="R521" s="3" t="s">
        <v>128</v>
      </c>
      <c r="S521" s="3" t="s">
        <v>34</v>
      </c>
      <c r="T521" s="143">
        <v>0.97599999999999998</v>
      </c>
      <c r="U521" s="3" t="s">
        <v>244</v>
      </c>
      <c r="V521" s="155">
        <v>3.95E-2</v>
      </c>
      <c r="W521" s="155">
        <v>5.0709999999999998E-2</v>
      </c>
      <c r="X521" s="5" t="s">
        <v>129</v>
      </c>
      <c r="Y521" s="5" t="s">
        <v>125</v>
      </c>
      <c r="Z521" s="143">
        <v>44800</v>
      </c>
      <c r="AA521" s="153">
        <v>1</v>
      </c>
      <c r="AB521" s="163">
        <v>99.02</v>
      </c>
      <c r="AD521" s="143">
        <v>44.360999999999997</v>
      </c>
      <c r="AG521" s="3" t="s">
        <v>36</v>
      </c>
      <c r="AH521" s="155">
        <v>7.6000000000000004E-5</v>
      </c>
      <c r="AI521" s="155">
        <v>5.0534519360807498E-3</v>
      </c>
      <c r="AJ521" s="155">
        <v>1.01713009680176E-3</v>
      </c>
    </row>
    <row r="522" spans="1:36">
      <c r="A522" s="3">
        <v>337</v>
      </c>
      <c r="B522" s="3">
        <v>9964</v>
      </c>
      <c r="C522" s="185" t="s">
        <v>443</v>
      </c>
      <c r="D522" s="3" t="s">
        <v>444</v>
      </c>
      <c r="E522" s="189" t="s">
        <v>118</v>
      </c>
      <c r="F522" s="185" t="s">
        <v>445</v>
      </c>
      <c r="G522" s="3" t="s">
        <v>446</v>
      </c>
      <c r="H522" s="3" t="s">
        <v>121</v>
      </c>
      <c r="I522" s="3" t="s">
        <v>132</v>
      </c>
      <c r="J522" s="3" t="s">
        <v>30</v>
      </c>
      <c r="K522" s="3" t="s">
        <v>30</v>
      </c>
      <c r="L522" s="3" t="s">
        <v>123</v>
      </c>
      <c r="M522" s="3" t="s">
        <v>31</v>
      </c>
      <c r="N522" s="3" t="s">
        <v>171</v>
      </c>
      <c r="O522" s="3" t="s">
        <v>125</v>
      </c>
      <c r="P522" s="3" t="s">
        <v>165</v>
      </c>
      <c r="Q522" s="3" t="s">
        <v>146</v>
      </c>
      <c r="R522" s="3" t="s">
        <v>128</v>
      </c>
      <c r="S522" s="3" t="s">
        <v>34</v>
      </c>
      <c r="T522" s="143">
        <v>1.2669999999999999</v>
      </c>
      <c r="U522" s="3" t="s">
        <v>447</v>
      </c>
      <c r="V522" s="155">
        <v>1.5800000000000002E-2</v>
      </c>
      <c r="W522" s="155">
        <v>2.6530000000000001E-2</v>
      </c>
      <c r="X522" s="5" t="s">
        <v>129</v>
      </c>
      <c r="Y522" s="5" t="s">
        <v>125</v>
      </c>
      <c r="Z522" s="143">
        <v>23014.37</v>
      </c>
      <c r="AA522" s="153">
        <v>1</v>
      </c>
      <c r="AB522" s="163">
        <v>117.8</v>
      </c>
      <c r="AD522" s="143">
        <v>27.111000000000001</v>
      </c>
      <c r="AG522" s="3" t="s">
        <v>36</v>
      </c>
      <c r="AH522" s="155">
        <v>5.8E-5</v>
      </c>
      <c r="AI522" s="155">
        <v>3.0883860692614098E-3</v>
      </c>
      <c r="AJ522" s="155">
        <v>6.2161280275781401E-4</v>
      </c>
    </row>
    <row r="523" spans="1:36">
      <c r="A523" s="3">
        <v>337</v>
      </c>
      <c r="B523" s="3">
        <v>9964</v>
      </c>
      <c r="C523" s="185" t="s">
        <v>443</v>
      </c>
      <c r="D523" s="3" t="s">
        <v>444</v>
      </c>
      <c r="E523" s="189" t="s">
        <v>118</v>
      </c>
      <c r="F523" s="185" t="s">
        <v>451</v>
      </c>
      <c r="G523" s="3" t="s">
        <v>452</v>
      </c>
      <c r="H523" s="3" t="s">
        <v>121</v>
      </c>
      <c r="I523" s="3" t="s">
        <v>132</v>
      </c>
      <c r="J523" s="3" t="s">
        <v>30</v>
      </c>
      <c r="K523" s="3" t="s">
        <v>30</v>
      </c>
      <c r="L523" s="3" t="s">
        <v>123</v>
      </c>
      <c r="M523" s="3" t="s">
        <v>31</v>
      </c>
      <c r="N523" s="3" t="s">
        <v>171</v>
      </c>
      <c r="O523" s="3" t="s">
        <v>125</v>
      </c>
      <c r="P523" s="3" t="s">
        <v>165</v>
      </c>
      <c r="Q523" s="3" t="s">
        <v>146</v>
      </c>
      <c r="R523" s="3" t="s">
        <v>128</v>
      </c>
      <c r="S523" s="3" t="s">
        <v>34</v>
      </c>
      <c r="T523" s="143">
        <v>3.9</v>
      </c>
      <c r="U523" s="3" t="s">
        <v>453</v>
      </c>
      <c r="V523" s="155">
        <v>8.3999999999999995E-3</v>
      </c>
      <c r="W523" s="155">
        <v>2.4899999999999999E-2</v>
      </c>
      <c r="X523" s="5" t="s">
        <v>129</v>
      </c>
      <c r="Y523" s="5" t="s">
        <v>125</v>
      </c>
      <c r="Z523" s="143">
        <v>57670.33</v>
      </c>
      <c r="AA523" s="153">
        <v>1</v>
      </c>
      <c r="AB523" s="163">
        <v>110.04</v>
      </c>
      <c r="AD523" s="143">
        <v>63.46</v>
      </c>
      <c r="AG523" s="3" t="s">
        <v>36</v>
      </c>
      <c r="AH523" s="155">
        <v>7.7999999999999999E-5</v>
      </c>
      <c r="AI523" s="155">
        <v>7.22919969650171E-3</v>
      </c>
      <c r="AJ523" s="155">
        <v>1.45505224549632E-3</v>
      </c>
    </row>
    <row r="524" spans="1:36">
      <c r="A524" s="3">
        <v>337</v>
      </c>
      <c r="B524" s="3">
        <v>9964</v>
      </c>
      <c r="C524" s="185" t="s">
        <v>811</v>
      </c>
      <c r="D524" s="3" t="s">
        <v>812</v>
      </c>
      <c r="E524" s="189" t="s">
        <v>118</v>
      </c>
      <c r="F524" s="185" t="s">
        <v>816</v>
      </c>
      <c r="G524" s="3" t="s">
        <v>817</v>
      </c>
      <c r="H524" s="3" t="s">
        <v>121</v>
      </c>
      <c r="I524" s="3" t="s">
        <v>122</v>
      </c>
      <c r="J524" s="3" t="s">
        <v>30</v>
      </c>
      <c r="K524" s="3" t="s">
        <v>30</v>
      </c>
      <c r="L524" s="3" t="s">
        <v>123</v>
      </c>
      <c r="M524" s="3" t="s">
        <v>31</v>
      </c>
      <c r="N524" s="3" t="s">
        <v>159</v>
      </c>
      <c r="O524" s="3" t="s">
        <v>125</v>
      </c>
      <c r="P524" s="3" t="s">
        <v>145</v>
      </c>
      <c r="Q524" s="3" t="s">
        <v>146</v>
      </c>
      <c r="R524" s="3" t="s">
        <v>128</v>
      </c>
      <c r="S524" s="3" t="s">
        <v>34</v>
      </c>
      <c r="T524" s="143">
        <v>4.3109999999999999</v>
      </c>
      <c r="U524" s="3" t="s">
        <v>818</v>
      </c>
      <c r="V524" s="155">
        <v>5.2499999999999998E-2</v>
      </c>
      <c r="W524" s="155">
        <v>4.2909999999999997E-2</v>
      </c>
      <c r="X524" s="5" t="s">
        <v>129</v>
      </c>
      <c r="Y524" s="5" t="s">
        <v>125</v>
      </c>
      <c r="Z524" s="143">
        <v>46000</v>
      </c>
      <c r="AA524" s="153">
        <v>1</v>
      </c>
      <c r="AB524" s="163">
        <v>105.2</v>
      </c>
      <c r="AD524" s="143">
        <v>48.392000000000003</v>
      </c>
      <c r="AG524" s="3" t="s">
        <v>36</v>
      </c>
      <c r="AH524" s="155">
        <v>5.3999999999999998E-5</v>
      </c>
      <c r="AI524" s="155">
        <v>5.5126545072699002E-3</v>
      </c>
      <c r="AJ524" s="155">
        <v>1.1095557815798099E-3</v>
      </c>
    </row>
    <row r="525" spans="1:36">
      <c r="A525" s="3">
        <v>337</v>
      </c>
      <c r="B525" s="3">
        <v>9964</v>
      </c>
      <c r="C525" s="185" t="s">
        <v>454</v>
      </c>
      <c r="D525" s="3" t="s">
        <v>455</v>
      </c>
      <c r="E525" s="189" t="s">
        <v>118</v>
      </c>
      <c r="F525" s="185" t="s">
        <v>456</v>
      </c>
      <c r="G525" s="3" t="s">
        <v>457</v>
      </c>
      <c r="H525" s="3" t="s">
        <v>121</v>
      </c>
      <c r="I525" s="3" t="s">
        <v>122</v>
      </c>
      <c r="J525" s="3" t="s">
        <v>30</v>
      </c>
      <c r="K525" s="3" t="s">
        <v>30</v>
      </c>
      <c r="L525" s="3" t="s">
        <v>123</v>
      </c>
      <c r="M525" s="3" t="s">
        <v>31</v>
      </c>
      <c r="N525" s="3" t="s">
        <v>159</v>
      </c>
      <c r="O525" s="3" t="s">
        <v>125</v>
      </c>
      <c r="P525" s="3" t="s">
        <v>145</v>
      </c>
      <c r="Q525" s="3" t="s">
        <v>146</v>
      </c>
      <c r="R525" s="3" t="s">
        <v>128</v>
      </c>
      <c r="S525" s="3" t="s">
        <v>34</v>
      </c>
      <c r="T525" s="143">
        <v>8.2469999999999999</v>
      </c>
      <c r="U525" s="3" t="s">
        <v>458</v>
      </c>
      <c r="V525" s="155">
        <v>5.5100000000000003E-2</v>
      </c>
      <c r="W525" s="155">
        <v>4.7230000000000001E-2</v>
      </c>
      <c r="X525" s="5" t="s">
        <v>129</v>
      </c>
      <c r="Y525" s="5" t="s">
        <v>125</v>
      </c>
      <c r="Z525" s="143">
        <v>70000</v>
      </c>
      <c r="AA525" s="153">
        <v>1</v>
      </c>
      <c r="AB525" s="163">
        <v>108.41</v>
      </c>
      <c r="AD525" s="143">
        <v>75.887</v>
      </c>
      <c r="AG525" s="3" t="s">
        <v>36</v>
      </c>
      <c r="AH525" s="155">
        <v>1.3999999999999999E-4</v>
      </c>
      <c r="AI525" s="155">
        <v>8.6447927879234297E-3</v>
      </c>
      <c r="AJ525" s="155">
        <v>1.73997478088831E-3</v>
      </c>
    </row>
    <row r="526" spans="1:36">
      <c r="A526" s="3">
        <v>337</v>
      </c>
      <c r="B526" s="3">
        <v>9964</v>
      </c>
      <c r="C526" s="185" t="s">
        <v>459</v>
      </c>
      <c r="D526" s="3" t="s">
        <v>460</v>
      </c>
      <c r="E526" s="189" t="s">
        <v>118</v>
      </c>
      <c r="F526" s="185" t="s">
        <v>461</v>
      </c>
      <c r="G526" s="3" t="s">
        <v>462</v>
      </c>
      <c r="H526" s="3" t="s">
        <v>121</v>
      </c>
      <c r="I526" s="3" t="s">
        <v>132</v>
      </c>
      <c r="J526" s="3" t="s">
        <v>30</v>
      </c>
      <c r="K526" s="3" t="s">
        <v>30</v>
      </c>
      <c r="L526" s="3" t="s">
        <v>123</v>
      </c>
      <c r="M526" s="3" t="s">
        <v>31</v>
      </c>
      <c r="N526" s="3" t="s">
        <v>316</v>
      </c>
      <c r="O526" s="3" t="s">
        <v>125</v>
      </c>
      <c r="P526" s="3" t="s">
        <v>357</v>
      </c>
      <c r="Q526" s="3" t="s">
        <v>146</v>
      </c>
      <c r="R526" s="3" t="s">
        <v>128</v>
      </c>
      <c r="S526" s="3" t="s">
        <v>34</v>
      </c>
      <c r="T526" s="143">
        <v>1.8580000000000001</v>
      </c>
      <c r="U526" s="3" t="s">
        <v>52</v>
      </c>
      <c r="V526" s="155">
        <v>1.8599999999999998E-2</v>
      </c>
      <c r="W526" s="155">
        <v>2.3609999999999999E-2</v>
      </c>
      <c r="X526" s="5" t="s">
        <v>129</v>
      </c>
      <c r="Y526" s="5" t="s">
        <v>125</v>
      </c>
      <c r="Z526" s="143">
        <v>38400</v>
      </c>
      <c r="AA526" s="153">
        <v>1</v>
      </c>
      <c r="AB526" s="163">
        <v>105.58</v>
      </c>
      <c r="AD526" s="143">
        <v>40.542999999999999</v>
      </c>
      <c r="AG526" s="3" t="s">
        <v>36</v>
      </c>
      <c r="AH526" s="155">
        <v>1.5E-5</v>
      </c>
      <c r="AI526" s="155">
        <v>4.6184908279257196E-3</v>
      </c>
      <c r="AJ526" s="155">
        <v>9.2958359598635E-4</v>
      </c>
    </row>
    <row r="527" spans="1:36">
      <c r="A527" s="3">
        <v>337</v>
      </c>
      <c r="B527" s="3">
        <v>9964</v>
      </c>
      <c r="C527" s="185" t="s">
        <v>459</v>
      </c>
      <c r="D527" s="3" t="s">
        <v>460</v>
      </c>
      <c r="E527" s="189" t="s">
        <v>118</v>
      </c>
      <c r="F527" s="185" t="s">
        <v>463</v>
      </c>
      <c r="G527" s="3" t="s">
        <v>464</v>
      </c>
      <c r="H527" s="3" t="s">
        <v>121</v>
      </c>
      <c r="I527" s="3" t="s">
        <v>132</v>
      </c>
      <c r="J527" s="3" t="s">
        <v>30</v>
      </c>
      <c r="K527" s="3" t="s">
        <v>30</v>
      </c>
      <c r="L527" s="3" t="s">
        <v>123</v>
      </c>
      <c r="M527" s="3" t="s">
        <v>31</v>
      </c>
      <c r="N527" s="3" t="s">
        <v>316</v>
      </c>
      <c r="O527" s="3" t="s">
        <v>125</v>
      </c>
      <c r="P527" s="3" t="s">
        <v>357</v>
      </c>
      <c r="Q527" s="3" t="s">
        <v>146</v>
      </c>
      <c r="R527" s="3" t="s">
        <v>128</v>
      </c>
      <c r="S527" s="3" t="s">
        <v>34</v>
      </c>
      <c r="T527" s="143">
        <v>1.8979999999999999</v>
      </c>
      <c r="U527" s="3" t="s">
        <v>465</v>
      </c>
      <c r="V527" s="155">
        <v>1E-3</v>
      </c>
      <c r="W527" s="155">
        <v>2.3199999999999998E-2</v>
      </c>
      <c r="X527" s="5" t="s">
        <v>129</v>
      </c>
      <c r="Y527" s="5" t="s">
        <v>125</v>
      </c>
      <c r="Z527" s="143">
        <v>584976</v>
      </c>
      <c r="AA527" s="153">
        <v>1</v>
      </c>
      <c r="AB527" s="163">
        <v>110.39</v>
      </c>
      <c r="AD527" s="143">
        <v>645.755</v>
      </c>
      <c r="AG527" s="3" t="s">
        <v>36</v>
      </c>
      <c r="AH527" s="155">
        <v>1.8599999999999999E-4</v>
      </c>
      <c r="AI527" s="155">
        <v>7.3562246789201896E-2</v>
      </c>
      <c r="AJ527" s="155">
        <v>1.48061911232276E-2</v>
      </c>
    </row>
    <row r="528" spans="1:36">
      <c r="A528" s="3">
        <v>337</v>
      </c>
      <c r="B528" s="3">
        <v>9964</v>
      </c>
      <c r="C528" s="185" t="s">
        <v>459</v>
      </c>
      <c r="D528" s="3" t="s">
        <v>460</v>
      </c>
      <c r="E528" s="189" t="s">
        <v>118</v>
      </c>
      <c r="F528" s="185" t="s">
        <v>821</v>
      </c>
      <c r="G528" s="3" t="s">
        <v>822</v>
      </c>
      <c r="H528" s="3" t="s">
        <v>121</v>
      </c>
      <c r="I528" s="3" t="s">
        <v>132</v>
      </c>
      <c r="J528" s="3" t="s">
        <v>30</v>
      </c>
      <c r="K528" s="3" t="s">
        <v>30</v>
      </c>
      <c r="L528" s="3" t="s">
        <v>123</v>
      </c>
      <c r="M528" s="3" t="s">
        <v>31</v>
      </c>
      <c r="N528" s="3" t="s">
        <v>316</v>
      </c>
      <c r="O528" s="3" t="s">
        <v>125</v>
      </c>
      <c r="P528" s="3" t="s">
        <v>357</v>
      </c>
      <c r="Q528" s="3" t="s">
        <v>146</v>
      </c>
      <c r="R528" s="3" t="s">
        <v>128</v>
      </c>
      <c r="S528" s="3" t="s">
        <v>34</v>
      </c>
      <c r="T528" s="143">
        <v>3.9510000000000001</v>
      </c>
      <c r="U528" s="3" t="s">
        <v>823</v>
      </c>
      <c r="V528" s="155">
        <v>2.0199999999999999E-2</v>
      </c>
      <c r="W528" s="155">
        <v>2.1909999999999999E-2</v>
      </c>
      <c r="X528" s="5" t="s">
        <v>129</v>
      </c>
      <c r="Y528" s="5" t="s">
        <v>125</v>
      </c>
      <c r="Z528" s="143">
        <v>148000</v>
      </c>
      <c r="AA528" s="153">
        <v>1</v>
      </c>
      <c r="AB528" s="163">
        <v>105.39</v>
      </c>
      <c r="AD528" s="143">
        <v>155.977</v>
      </c>
      <c r="AG528" s="3" t="s">
        <v>36</v>
      </c>
      <c r="AH528" s="155">
        <v>4.1E-5</v>
      </c>
      <c r="AI528" s="155">
        <v>1.77684000374305E-2</v>
      </c>
      <c r="AJ528" s="155">
        <v>3.5763226164372301E-3</v>
      </c>
    </row>
    <row r="529" spans="1:36">
      <c r="A529" s="3">
        <v>337</v>
      </c>
      <c r="B529" s="3">
        <v>9964</v>
      </c>
      <c r="C529" s="185" t="s">
        <v>459</v>
      </c>
      <c r="D529" s="3" t="s">
        <v>460</v>
      </c>
      <c r="E529" s="189" t="s">
        <v>118</v>
      </c>
      <c r="F529" s="185" t="s">
        <v>824</v>
      </c>
      <c r="G529" s="3" t="s">
        <v>825</v>
      </c>
      <c r="H529" s="3" t="s">
        <v>121</v>
      </c>
      <c r="I529" s="3" t="s">
        <v>132</v>
      </c>
      <c r="J529" s="3" t="s">
        <v>30</v>
      </c>
      <c r="K529" s="3" t="s">
        <v>30</v>
      </c>
      <c r="L529" s="3" t="s">
        <v>123</v>
      </c>
      <c r="M529" s="3" t="s">
        <v>31</v>
      </c>
      <c r="N529" s="3" t="s">
        <v>316</v>
      </c>
      <c r="O529" s="3" t="s">
        <v>125</v>
      </c>
      <c r="P529" s="3" t="s">
        <v>357</v>
      </c>
      <c r="Q529" s="3" t="s">
        <v>146</v>
      </c>
      <c r="R529" s="3" t="s">
        <v>128</v>
      </c>
      <c r="S529" s="3" t="s">
        <v>34</v>
      </c>
      <c r="T529" s="143">
        <v>3.895</v>
      </c>
      <c r="U529" s="3" t="s">
        <v>826</v>
      </c>
      <c r="V529" s="155">
        <v>1E-3</v>
      </c>
      <c r="W529" s="155">
        <v>2.1850000000000001E-2</v>
      </c>
      <c r="X529" s="5" t="s">
        <v>129</v>
      </c>
      <c r="Y529" s="5" t="s">
        <v>125</v>
      </c>
      <c r="Z529" s="143">
        <v>48000</v>
      </c>
      <c r="AA529" s="153">
        <v>1</v>
      </c>
      <c r="AB529" s="163">
        <v>106.2</v>
      </c>
      <c r="AD529" s="143">
        <v>50.975999999999999</v>
      </c>
      <c r="AG529" s="3" t="s">
        <v>36</v>
      </c>
      <c r="AH529" s="155">
        <v>1.1E-5</v>
      </c>
      <c r="AI529" s="155">
        <v>5.8070151298270402E-3</v>
      </c>
      <c r="AJ529" s="155">
        <v>1.1688030154119E-3</v>
      </c>
    </row>
    <row r="530" spans="1:36">
      <c r="A530" s="3">
        <v>337</v>
      </c>
      <c r="B530" s="3">
        <v>9964</v>
      </c>
      <c r="C530" s="185" t="s">
        <v>459</v>
      </c>
      <c r="D530" s="3" t="s">
        <v>460</v>
      </c>
      <c r="E530" s="189" t="s">
        <v>118</v>
      </c>
      <c r="F530" s="185" t="s">
        <v>466</v>
      </c>
      <c r="G530" s="3" t="s">
        <v>467</v>
      </c>
      <c r="H530" s="3" t="s">
        <v>121</v>
      </c>
      <c r="I530" s="3" t="s">
        <v>132</v>
      </c>
      <c r="J530" s="3" t="s">
        <v>30</v>
      </c>
      <c r="K530" s="3" t="s">
        <v>30</v>
      </c>
      <c r="L530" s="3" t="s">
        <v>123</v>
      </c>
      <c r="M530" s="3" t="s">
        <v>31</v>
      </c>
      <c r="N530" s="3" t="s">
        <v>316</v>
      </c>
      <c r="O530" s="3" t="s">
        <v>125</v>
      </c>
      <c r="P530" s="3" t="s">
        <v>145</v>
      </c>
      <c r="Q530" s="3" t="s">
        <v>146</v>
      </c>
      <c r="R530" s="3" t="s">
        <v>128</v>
      </c>
      <c r="S530" s="3" t="s">
        <v>34</v>
      </c>
      <c r="T530" s="143">
        <v>2.1909999999999998</v>
      </c>
      <c r="U530" s="3" t="s">
        <v>468</v>
      </c>
      <c r="V530" s="155">
        <v>1.4999999999999999E-2</v>
      </c>
      <c r="W530" s="155">
        <v>2.726E-2</v>
      </c>
      <c r="X530" s="5" t="s">
        <v>129</v>
      </c>
      <c r="Y530" s="5" t="s">
        <v>125</v>
      </c>
      <c r="Z530" s="143">
        <v>50000</v>
      </c>
      <c r="AA530" s="153">
        <v>1</v>
      </c>
      <c r="AB530" s="163">
        <v>112.16</v>
      </c>
      <c r="AD530" s="143">
        <v>56.08</v>
      </c>
      <c r="AG530" s="3" t="s">
        <v>36</v>
      </c>
      <c r="AH530" s="155">
        <v>3.6000000000000001E-5</v>
      </c>
      <c r="AI530" s="155">
        <v>6.38844570936716E-3</v>
      </c>
      <c r="AJ530" s="155">
        <v>1.2858300593279E-3</v>
      </c>
    </row>
    <row r="531" spans="1:36">
      <c r="A531" s="3">
        <v>337</v>
      </c>
      <c r="B531" s="3">
        <v>9964</v>
      </c>
      <c r="C531" s="185" t="s">
        <v>459</v>
      </c>
      <c r="D531" s="3" t="s">
        <v>460</v>
      </c>
      <c r="E531" s="189" t="s">
        <v>118</v>
      </c>
      <c r="F531" s="185" t="s">
        <v>469</v>
      </c>
      <c r="G531" s="3" t="s">
        <v>470</v>
      </c>
      <c r="H531" s="3" t="s">
        <v>121</v>
      </c>
      <c r="I531" s="3" t="s">
        <v>132</v>
      </c>
      <c r="J531" s="3" t="s">
        <v>30</v>
      </c>
      <c r="K531" s="3" t="s">
        <v>30</v>
      </c>
      <c r="L531" s="3" t="s">
        <v>123</v>
      </c>
      <c r="M531" s="3" t="s">
        <v>31</v>
      </c>
      <c r="N531" s="3" t="s">
        <v>316</v>
      </c>
      <c r="O531" s="3" t="s">
        <v>125</v>
      </c>
      <c r="P531" s="3" t="s">
        <v>145</v>
      </c>
      <c r="Q531" s="3" t="s">
        <v>146</v>
      </c>
      <c r="R531" s="3" t="s">
        <v>128</v>
      </c>
      <c r="S531" s="3" t="s">
        <v>34</v>
      </c>
      <c r="T531" s="143">
        <v>4.7350000000000003</v>
      </c>
      <c r="U531" s="3" t="s">
        <v>471</v>
      </c>
      <c r="V531" s="155">
        <v>3.1E-2</v>
      </c>
      <c r="W531" s="155">
        <v>2.6349999999999998E-2</v>
      </c>
      <c r="X531" s="5" t="s">
        <v>129</v>
      </c>
      <c r="Y531" s="5" t="s">
        <v>125</v>
      </c>
      <c r="Z531" s="143">
        <v>70000</v>
      </c>
      <c r="AA531" s="153">
        <v>1</v>
      </c>
      <c r="AB531" s="163">
        <v>107.58</v>
      </c>
      <c r="AD531" s="143">
        <v>75.305999999999997</v>
      </c>
      <c r="AG531" s="3" t="s">
        <v>36</v>
      </c>
      <c r="AH531" s="155">
        <v>4.6E-5</v>
      </c>
      <c r="AI531" s="155">
        <v>8.5786072145079099E-3</v>
      </c>
      <c r="AJ531" s="155">
        <v>1.72665332467452E-3</v>
      </c>
    </row>
    <row r="532" spans="1:36">
      <c r="A532" s="3">
        <v>337</v>
      </c>
      <c r="B532" s="3">
        <v>9964</v>
      </c>
      <c r="C532" s="185" t="s">
        <v>832</v>
      </c>
      <c r="D532" s="3" t="s">
        <v>833</v>
      </c>
      <c r="E532" s="189" t="s">
        <v>118</v>
      </c>
      <c r="F532" s="185" t="s">
        <v>834</v>
      </c>
      <c r="G532" s="3" t="s">
        <v>835</v>
      </c>
      <c r="H532" s="3" t="s">
        <v>121</v>
      </c>
      <c r="I532" s="3" t="s">
        <v>122</v>
      </c>
      <c r="J532" s="3" t="s">
        <v>30</v>
      </c>
      <c r="K532" s="3" t="s">
        <v>30</v>
      </c>
      <c r="L532" s="3" t="s">
        <v>123</v>
      </c>
      <c r="M532" s="3" t="s">
        <v>31</v>
      </c>
      <c r="N532" s="3" t="s">
        <v>124</v>
      </c>
      <c r="O532" s="3" t="s">
        <v>125</v>
      </c>
      <c r="P532" s="3" t="s">
        <v>178</v>
      </c>
      <c r="Q532" s="3" t="s">
        <v>178</v>
      </c>
      <c r="R532" s="3" t="s">
        <v>178</v>
      </c>
      <c r="S532" s="3" t="s">
        <v>34</v>
      </c>
      <c r="T532" s="143">
        <v>3.6309999999999998</v>
      </c>
      <c r="U532" s="3" t="s">
        <v>836</v>
      </c>
      <c r="V532" s="155">
        <v>6.7299999999999999E-2</v>
      </c>
      <c r="W532" s="155">
        <v>5.1769999999999997E-2</v>
      </c>
      <c r="X532" s="5" t="s">
        <v>129</v>
      </c>
      <c r="Y532" s="5" t="s">
        <v>125</v>
      </c>
      <c r="Z532" s="143">
        <v>10368.4</v>
      </c>
      <c r="AA532" s="153">
        <v>1</v>
      </c>
      <c r="AB532" s="163">
        <v>106.39</v>
      </c>
      <c r="AD532" s="143">
        <v>11.031000000000001</v>
      </c>
      <c r="AG532" s="3" t="s">
        <v>36</v>
      </c>
      <c r="AH532" s="155">
        <v>4.0000000000000003E-5</v>
      </c>
      <c r="AI532" s="155">
        <v>1.2566078132757699E-3</v>
      </c>
      <c r="AJ532" s="155">
        <v>2.5292288180943899E-4</v>
      </c>
    </row>
    <row r="533" spans="1:36">
      <c r="A533" s="3">
        <v>337</v>
      </c>
      <c r="B533" s="3">
        <v>9964</v>
      </c>
      <c r="C533" s="185" t="s">
        <v>472</v>
      </c>
      <c r="D533" s="3" t="s">
        <v>473</v>
      </c>
      <c r="E533" s="189" t="s">
        <v>118</v>
      </c>
      <c r="F533" s="185" t="s">
        <v>474</v>
      </c>
      <c r="G533" s="3" t="s">
        <v>475</v>
      </c>
      <c r="H533" s="3" t="s">
        <v>121</v>
      </c>
      <c r="I533" s="3" t="s">
        <v>122</v>
      </c>
      <c r="J533" s="3" t="s">
        <v>30</v>
      </c>
      <c r="K533" s="3" t="s">
        <v>30</v>
      </c>
      <c r="L533" s="3" t="s">
        <v>123</v>
      </c>
      <c r="M533" s="3" t="s">
        <v>31</v>
      </c>
      <c r="N533" s="3" t="s">
        <v>124</v>
      </c>
      <c r="O533" s="3" t="s">
        <v>125</v>
      </c>
      <c r="P533" s="3" t="s">
        <v>178</v>
      </c>
      <c r="Q533" s="3" t="s">
        <v>178</v>
      </c>
      <c r="R533" s="3" t="s">
        <v>178</v>
      </c>
      <c r="S533" s="3" t="s">
        <v>34</v>
      </c>
      <c r="T533" s="143">
        <v>2.4369999999999998</v>
      </c>
      <c r="U533" s="3" t="s">
        <v>476</v>
      </c>
      <c r="V533" s="155">
        <v>8.1500000000000003E-2</v>
      </c>
      <c r="W533" s="155">
        <v>5.8470000000000001E-2</v>
      </c>
      <c r="X533" s="5" t="s">
        <v>129</v>
      </c>
      <c r="Y533" s="5" t="s">
        <v>125</v>
      </c>
      <c r="Z533" s="143">
        <v>31000</v>
      </c>
      <c r="AA533" s="153">
        <v>1</v>
      </c>
      <c r="AB533" s="163">
        <v>108</v>
      </c>
      <c r="AD533" s="143">
        <v>33.479999999999997</v>
      </c>
      <c r="AG533" s="3" t="s">
        <v>36</v>
      </c>
      <c r="AH533" s="155">
        <v>1.13E-4</v>
      </c>
      <c r="AI533" s="155">
        <v>3.8139294284880998E-3</v>
      </c>
      <c r="AJ533" s="155">
        <v>7.67646048257812E-4</v>
      </c>
    </row>
    <row r="534" spans="1:36">
      <c r="A534" s="3">
        <v>337</v>
      </c>
      <c r="B534" s="3">
        <v>9964</v>
      </c>
      <c r="C534" s="185" t="s">
        <v>477</v>
      </c>
      <c r="D534" s="3" t="s">
        <v>478</v>
      </c>
      <c r="E534" s="189" t="s">
        <v>118</v>
      </c>
      <c r="F534" s="185" t="s">
        <v>479</v>
      </c>
      <c r="G534" s="3" t="s">
        <v>480</v>
      </c>
      <c r="H534" s="3" t="s">
        <v>121</v>
      </c>
      <c r="I534" s="3" t="s">
        <v>122</v>
      </c>
      <c r="J534" s="3" t="s">
        <v>30</v>
      </c>
      <c r="K534" s="3" t="s">
        <v>30</v>
      </c>
      <c r="L534" s="3" t="s">
        <v>123</v>
      </c>
      <c r="M534" s="3" t="s">
        <v>31</v>
      </c>
      <c r="N534" s="3" t="s">
        <v>139</v>
      </c>
      <c r="O534" s="3" t="s">
        <v>125</v>
      </c>
      <c r="P534" s="3" t="s">
        <v>153</v>
      </c>
      <c r="Q534" s="3" t="s">
        <v>146</v>
      </c>
      <c r="R534" s="3" t="s">
        <v>128</v>
      </c>
      <c r="S534" s="3" t="s">
        <v>34</v>
      </c>
      <c r="T534" s="143">
        <v>3.766</v>
      </c>
      <c r="U534" s="3" t="s">
        <v>481</v>
      </c>
      <c r="V534" s="155">
        <v>7.0699999999999999E-2</v>
      </c>
      <c r="W534" s="155">
        <v>6.3229999999999995E-2</v>
      </c>
      <c r="X534" s="5" t="s">
        <v>129</v>
      </c>
      <c r="Y534" s="5" t="s">
        <v>125</v>
      </c>
      <c r="Z534" s="143">
        <v>53000</v>
      </c>
      <c r="AA534" s="153">
        <v>1</v>
      </c>
      <c r="AB534" s="163">
        <v>104.35</v>
      </c>
      <c r="AD534" s="143">
        <v>55.305999999999997</v>
      </c>
      <c r="AG534" s="3" t="s">
        <v>36</v>
      </c>
      <c r="AH534" s="155">
        <v>5.3000000000000001E-5</v>
      </c>
      <c r="AI534" s="155">
        <v>6.3002172642547399E-3</v>
      </c>
      <c r="AJ534" s="155">
        <v>1.2680719391255199E-3</v>
      </c>
    </row>
    <row r="535" spans="1:36">
      <c r="A535" s="3">
        <v>337</v>
      </c>
      <c r="B535" s="3">
        <v>9964</v>
      </c>
      <c r="C535" s="185" t="s">
        <v>482</v>
      </c>
      <c r="D535" s="3" t="s">
        <v>483</v>
      </c>
      <c r="E535" s="189" t="s">
        <v>118</v>
      </c>
      <c r="F535" s="185" t="s">
        <v>487</v>
      </c>
      <c r="G535" s="3" t="s">
        <v>488</v>
      </c>
      <c r="H535" s="3" t="s">
        <v>121</v>
      </c>
      <c r="I535" s="3" t="s">
        <v>132</v>
      </c>
      <c r="J535" s="3" t="s">
        <v>30</v>
      </c>
      <c r="K535" s="3" t="s">
        <v>30</v>
      </c>
      <c r="L535" s="3" t="s">
        <v>123</v>
      </c>
      <c r="M535" s="3" t="s">
        <v>31</v>
      </c>
      <c r="N535" s="3" t="s">
        <v>171</v>
      </c>
      <c r="O535" s="3" t="s">
        <v>125</v>
      </c>
      <c r="P535" s="3" t="s">
        <v>165</v>
      </c>
      <c r="Q535" s="3" t="s">
        <v>146</v>
      </c>
      <c r="R535" s="3" t="s">
        <v>128</v>
      </c>
      <c r="S535" s="3" t="s">
        <v>34</v>
      </c>
      <c r="T535" s="143">
        <v>2.6659999999999999</v>
      </c>
      <c r="U535" s="3" t="s">
        <v>489</v>
      </c>
      <c r="V535" s="155">
        <v>2.81E-2</v>
      </c>
      <c r="W535" s="155">
        <v>2.5430000000000001E-2</v>
      </c>
      <c r="X535" s="5" t="s">
        <v>129</v>
      </c>
      <c r="Y535" s="5" t="s">
        <v>125</v>
      </c>
      <c r="Z535" s="143">
        <v>81033.33</v>
      </c>
      <c r="AA535" s="153">
        <v>1</v>
      </c>
      <c r="AB535" s="163">
        <v>120.26</v>
      </c>
      <c r="AD535" s="143">
        <v>97.450999999999993</v>
      </c>
      <c r="AG535" s="3" t="s">
        <v>36</v>
      </c>
      <c r="AH535" s="155">
        <v>6.7999999999999999E-5</v>
      </c>
      <c r="AI535" s="155">
        <v>1.1101255269283201E-2</v>
      </c>
      <c r="AJ535" s="155">
        <v>2.2343975938602101E-3</v>
      </c>
    </row>
    <row r="536" spans="1:36">
      <c r="A536" s="3">
        <v>337</v>
      </c>
      <c r="B536" s="3">
        <v>9964</v>
      </c>
      <c r="C536" s="185" t="s">
        <v>482</v>
      </c>
      <c r="D536" s="3" t="s">
        <v>483</v>
      </c>
      <c r="E536" s="189" t="s">
        <v>118</v>
      </c>
      <c r="F536" s="185" t="s">
        <v>837</v>
      </c>
      <c r="G536" s="3" t="s">
        <v>838</v>
      </c>
      <c r="H536" s="3" t="s">
        <v>121</v>
      </c>
      <c r="I536" s="3" t="s">
        <v>132</v>
      </c>
      <c r="J536" s="3" t="s">
        <v>30</v>
      </c>
      <c r="K536" s="3" t="s">
        <v>30</v>
      </c>
      <c r="L536" s="3" t="s">
        <v>123</v>
      </c>
      <c r="M536" s="3" t="s">
        <v>31</v>
      </c>
      <c r="N536" s="3" t="s">
        <v>171</v>
      </c>
      <c r="O536" s="3" t="s">
        <v>125</v>
      </c>
      <c r="P536" s="3" t="s">
        <v>165</v>
      </c>
      <c r="Q536" s="3" t="s">
        <v>146</v>
      </c>
      <c r="R536" s="3" t="s">
        <v>128</v>
      </c>
      <c r="S536" s="3" t="s">
        <v>34</v>
      </c>
      <c r="T536" s="143">
        <v>1.4630000000000001</v>
      </c>
      <c r="U536" s="3" t="s">
        <v>179</v>
      </c>
      <c r="V536" s="155">
        <v>3.6999999999999998E-2</v>
      </c>
      <c r="W536" s="155">
        <v>2.5409999999999999E-2</v>
      </c>
      <c r="X536" s="5" t="s">
        <v>129</v>
      </c>
      <c r="Y536" s="5" t="s">
        <v>125</v>
      </c>
      <c r="Z536" s="143">
        <v>28248.76</v>
      </c>
      <c r="AA536" s="153">
        <v>1</v>
      </c>
      <c r="AB536" s="163">
        <v>120.09</v>
      </c>
      <c r="AD536" s="143">
        <v>33.923999999999999</v>
      </c>
      <c r="AG536" s="3" t="s">
        <v>36</v>
      </c>
      <c r="AH536" s="155">
        <v>1.25E-4</v>
      </c>
      <c r="AI536" s="155">
        <v>3.864501117029E-3</v>
      </c>
      <c r="AJ536" s="155">
        <v>7.7782483042723998E-4</v>
      </c>
    </row>
    <row r="537" spans="1:36">
      <c r="A537" s="3">
        <v>337</v>
      </c>
      <c r="B537" s="3">
        <v>9964</v>
      </c>
      <c r="C537" s="185" t="s">
        <v>490</v>
      </c>
      <c r="D537" s="3" t="s">
        <v>491</v>
      </c>
      <c r="E537" s="189" t="s">
        <v>118</v>
      </c>
      <c r="F537" s="185" t="s">
        <v>492</v>
      </c>
      <c r="G537" s="3" t="s">
        <v>493</v>
      </c>
      <c r="H537" s="3" t="s">
        <v>121</v>
      </c>
      <c r="I537" s="3" t="s">
        <v>122</v>
      </c>
      <c r="J537" s="3" t="s">
        <v>30</v>
      </c>
      <c r="K537" s="3" t="s">
        <v>30</v>
      </c>
      <c r="L537" s="3" t="s">
        <v>123</v>
      </c>
      <c r="M537" s="3" t="s">
        <v>31</v>
      </c>
      <c r="N537" s="3" t="s">
        <v>159</v>
      </c>
      <c r="O537" s="3" t="s">
        <v>125</v>
      </c>
      <c r="P537" s="3" t="s">
        <v>422</v>
      </c>
      <c r="Q537" s="3" t="s">
        <v>127</v>
      </c>
      <c r="R537" s="3" t="s">
        <v>128</v>
      </c>
      <c r="S537" s="3" t="s">
        <v>34</v>
      </c>
      <c r="T537" s="143">
        <v>7.3789999999999996</v>
      </c>
      <c r="U537" s="3" t="s">
        <v>494</v>
      </c>
      <c r="V537" s="155">
        <v>5.0200000000000002E-2</v>
      </c>
      <c r="W537" s="155">
        <v>4.6769999999999999E-2</v>
      </c>
      <c r="X537" s="5" t="s">
        <v>129</v>
      </c>
      <c r="Y537" s="5" t="s">
        <v>125</v>
      </c>
      <c r="Z537" s="143">
        <v>35000</v>
      </c>
      <c r="AA537" s="153">
        <v>1</v>
      </c>
      <c r="AB537" s="163">
        <v>102.89</v>
      </c>
      <c r="AD537" s="143">
        <v>36.011000000000003</v>
      </c>
      <c r="AG537" s="3" t="s">
        <v>36</v>
      </c>
      <c r="AH537" s="155">
        <v>1.25E-4</v>
      </c>
      <c r="AI537" s="155">
        <v>4.1023094269414303E-3</v>
      </c>
      <c r="AJ537" s="155">
        <v>8.2568953604648205E-4</v>
      </c>
    </row>
    <row r="538" spans="1:36">
      <c r="A538" s="3">
        <v>337</v>
      </c>
      <c r="B538" s="3">
        <v>9964</v>
      </c>
      <c r="C538" s="185" t="s">
        <v>490</v>
      </c>
      <c r="D538" s="3" t="s">
        <v>491</v>
      </c>
      <c r="E538" s="189" t="s">
        <v>118</v>
      </c>
      <c r="F538" s="185" t="s">
        <v>495</v>
      </c>
      <c r="G538" s="3" t="s">
        <v>496</v>
      </c>
      <c r="H538" s="3" t="s">
        <v>121</v>
      </c>
      <c r="I538" s="3" t="s">
        <v>122</v>
      </c>
      <c r="J538" s="3" t="s">
        <v>30</v>
      </c>
      <c r="K538" s="3" t="s">
        <v>30</v>
      </c>
      <c r="L538" s="3" t="s">
        <v>123</v>
      </c>
      <c r="M538" s="3" t="s">
        <v>31</v>
      </c>
      <c r="N538" s="3" t="s">
        <v>159</v>
      </c>
      <c r="O538" s="3" t="s">
        <v>125</v>
      </c>
      <c r="P538" s="3" t="s">
        <v>422</v>
      </c>
      <c r="Q538" s="3" t="s">
        <v>127</v>
      </c>
      <c r="R538" s="3" t="s">
        <v>128</v>
      </c>
      <c r="S538" s="3" t="s">
        <v>34</v>
      </c>
      <c r="T538" s="143">
        <v>8.0139999999999993</v>
      </c>
      <c r="U538" s="3" t="s">
        <v>497</v>
      </c>
      <c r="V538" s="155">
        <v>5.0200000000000002E-2</v>
      </c>
      <c r="W538" s="155">
        <v>4.7440000000000003E-2</v>
      </c>
      <c r="X538" s="5" t="s">
        <v>129</v>
      </c>
      <c r="Y538" s="5" t="s">
        <v>125</v>
      </c>
      <c r="Z538" s="143">
        <v>35000</v>
      </c>
      <c r="AA538" s="153">
        <v>1</v>
      </c>
      <c r="AB538" s="163">
        <v>102.61</v>
      </c>
      <c r="AD538" s="143">
        <v>35.912999999999997</v>
      </c>
      <c r="AG538" s="3" t="s">
        <v>36</v>
      </c>
      <c r="AH538" s="155">
        <v>1.25E-4</v>
      </c>
      <c r="AI538" s="155">
        <v>4.0911455952809799E-3</v>
      </c>
      <c r="AJ538" s="155">
        <v>8.2344254343210701E-4</v>
      </c>
    </row>
    <row r="539" spans="1:36">
      <c r="A539" s="3">
        <v>337</v>
      </c>
      <c r="B539" s="3">
        <v>9964</v>
      </c>
      <c r="C539" s="185" t="s">
        <v>502</v>
      </c>
      <c r="D539" s="3" t="s">
        <v>503</v>
      </c>
      <c r="E539" s="189" t="s">
        <v>118</v>
      </c>
      <c r="F539" s="185" t="s">
        <v>504</v>
      </c>
      <c r="G539" s="3" t="s">
        <v>505</v>
      </c>
      <c r="H539" s="3" t="s">
        <v>121</v>
      </c>
      <c r="I539" s="3" t="s">
        <v>132</v>
      </c>
      <c r="J539" s="3" t="s">
        <v>30</v>
      </c>
      <c r="K539" s="3" t="s">
        <v>30</v>
      </c>
      <c r="L539" s="3" t="s">
        <v>123</v>
      </c>
      <c r="M539" s="3" t="s">
        <v>31</v>
      </c>
      <c r="N539" s="3" t="s">
        <v>171</v>
      </c>
      <c r="O539" s="3" t="s">
        <v>125</v>
      </c>
      <c r="P539" s="3" t="s">
        <v>153</v>
      </c>
      <c r="Q539" s="3" t="s">
        <v>146</v>
      </c>
      <c r="R539" s="3" t="s">
        <v>128</v>
      </c>
      <c r="S539" s="3" t="s">
        <v>34</v>
      </c>
      <c r="T539" s="143">
        <v>1.141</v>
      </c>
      <c r="U539" s="3" t="s">
        <v>506</v>
      </c>
      <c r="V539" s="155">
        <v>2.0500000000000001E-2</v>
      </c>
      <c r="W539" s="155">
        <v>2.8219999999999999E-2</v>
      </c>
      <c r="X539" s="5" t="s">
        <v>129</v>
      </c>
      <c r="Y539" s="5" t="s">
        <v>125</v>
      </c>
      <c r="Z539" s="143">
        <v>32807.68</v>
      </c>
      <c r="AA539" s="153">
        <v>1</v>
      </c>
      <c r="AB539" s="163">
        <v>119.3</v>
      </c>
      <c r="AD539" s="143">
        <v>39.14</v>
      </c>
      <c r="AG539" s="3" t="s">
        <v>36</v>
      </c>
      <c r="AH539" s="155">
        <v>6.4999999999999994E-5</v>
      </c>
      <c r="AI539" s="155">
        <v>4.4586477970512996E-3</v>
      </c>
      <c r="AJ539" s="155">
        <v>8.9741129880754802E-4</v>
      </c>
    </row>
    <row r="540" spans="1:36">
      <c r="A540" s="3">
        <v>337</v>
      </c>
      <c r="B540" s="3">
        <v>9964</v>
      </c>
      <c r="C540" s="185" t="s">
        <v>502</v>
      </c>
      <c r="D540" s="3" t="s">
        <v>503</v>
      </c>
      <c r="E540" s="189" t="s">
        <v>118</v>
      </c>
      <c r="F540" s="185" t="s">
        <v>510</v>
      </c>
      <c r="G540" s="3" t="s">
        <v>511</v>
      </c>
      <c r="H540" s="3" t="s">
        <v>121</v>
      </c>
      <c r="I540" s="3" t="s">
        <v>132</v>
      </c>
      <c r="J540" s="3" t="s">
        <v>30</v>
      </c>
      <c r="K540" s="3" t="s">
        <v>30</v>
      </c>
      <c r="L540" s="3" t="s">
        <v>123</v>
      </c>
      <c r="M540" s="3" t="s">
        <v>31</v>
      </c>
      <c r="N540" s="3" t="s">
        <v>171</v>
      </c>
      <c r="O540" s="3" t="s">
        <v>125</v>
      </c>
      <c r="P540" s="3" t="s">
        <v>153</v>
      </c>
      <c r="Q540" s="3" t="s">
        <v>146</v>
      </c>
      <c r="R540" s="3" t="s">
        <v>128</v>
      </c>
      <c r="S540" s="3" t="s">
        <v>34</v>
      </c>
      <c r="T540" s="143">
        <v>4.8230000000000004</v>
      </c>
      <c r="U540" s="3" t="s">
        <v>512</v>
      </c>
      <c r="V540" s="155">
        <v>9.7000000000000003E-3</v>
      </c>
      <c r="W540" s="155">
        <v>2.7609999999999999E-2</v>
      </c>
      <c r="X540" s="5" t="s">
        <v>129</v>
      </c>
      <c r="Y540" s="5" t="s">
        <v>125</v>
      </c>
      <c r="Z540" s="143">
        <v>104728.48</v>
      </c>
      <c r="AA540" s="153">
        <v>1</v>
      </c>
      <c r="AB540" s="163">
        <v>107.07</v>
      </c>
      <c r="AD540" s="143">
        <v>112.133</v>
      </c>
      <c r="AG540" s="3" t="s">
        <v>36</v>
      </c>
      <c r="AH540" s="155">
        <v>1.7899999999999999E-4</v>
      </c>
      <c r="AI540" s="155">
        <v>1.27737910103416E-2</v>
      </c>
      <c r="AJ540" s="155">
        <v>2.5710360860680698E-3</v>
      </c>
    </row>
    <row r="541" spans="1:36">
      <c r="A541" s="3">
        <v>337</v>
      </c>
      <c r="B541" s="3">
        <v>9964</v>
      </c>
      <c r="C541" s="185" t="s">
        <v>513</v>
      </c>
      <c r="D541" s="3" t="s">
        <v>514</v>
      </c>
      <c r="E541" s="189" t="s">
        <v>118</v>
      </c>
      <c r="F541" s="185" t="s">
        <v>518</v>
      </c>
      <c r="G541" s="3" t="s">
        <v>519</v>
      </c>
      <c r="H541" s="3" t="s">
        <v>121</v>
      </c>
      <c r="I541" s="3" t="s">
        <v>132</v>
      </c>
      <c r="J541" s="3" t="s">
        <v>30</v>
      </c>
      <c r="K541" s="3" t="s">
        <v>30</v>
      </c>
      <c r="L541" s="3" t="s">
        <v>123</v>
      </c>
      <c r="M541" s="3" t="s">
        <v>31</v>
      </c>
      <c r="N541" s="3" t="s">
        <v>316</v>
      </c>
      <c r="O541" s="3" t="s">
        <v>125</v>
      </c>
      <c r="P541" s="3" t="s">
        <v>357</v>
      </c>
      <c r="Q541" s="3" t="s">
        <v>146</v>
      </c>
      <c r="R541" s="3" t="s">
        <v>128</v>
      </c>
      <c r="S541" s="3" t="s">
        <v>34</v>
      </c>
      <c r="T541" s="143">
        <v>2.8050000000000002</v>
      </c>
      <c r="U541" s="3" t="s">
        <v>520</v>
      </c>
      <c r="V541" s="155">
        <v>1E-3</v>
      </c>
      <c r="W541" s="155">
        <v>2.1919999999999999E-2</v>
      </c>
      <c r="X541" s="5" t="s">
        <v>129</v>
      </c>
      <c r="Y541" s="5" t="s">
        <v>125</v>
      </c>
      <c r="Z541" s="143">
        <v>63000</v>
      </c>
      <c r="AA541" s="153">
        <v>1</v>
      </c>
      <c r="AB541" s="163">
        <v>108.71</v>
      </c>
      <c r="AD541" s="143">
        <v>68.486999999999995</v>
      </c>
      <c r="AG541" s="3" t="s">
        <v>36</v>
      </c>
      <c r="AH541" s="155">
        <v>1.9000000000000001E-5</v>
      </c>
      <c r="AI541" s="155">
        <v>7.8018437559048102E-3</v>
      </c>
      <c r="AJ541" s="155">
        <v>1.5703107885557701E-3</v>
      </c>
    </row>
    <row r="542" spans="1:36">
      <c r="A542" s="3">
        <v>337</v>
      </c>
      <c r="B542" s="3">
        <v>9964</v>
      </c>
      <c r="C542" s="185" t="s">
        <v>513</v>
      </c>
      <c r="D542" s="3" t="s">
        <v>514</v>
      </c>
      <c r="E542" s="189" t="s">
        <v>118</v>
      </c>
      <c r="F542" s="185" t="s">
        <v>839</v>
      </c>
      <c r="G542" s="3" t="s">
        <v>840</v>
      </c>
      <c r="H542" s="3" t="s">
        <v>121</v>
      </c>
      <c r="I542" s="3" t="s">
        <v>132</v>
      </c>
      <c r="J542" s="3" t="s">
        <v>30</v>
      </c>
      <c r="K542" s="3" t="s">
        <v>30</v>
      </c>
      <c r="L542" s="3" t="s">
        <v>123</v>
      </c>
      <c r="M542" s="3" t="s">
        <v>31</v>
      </c>
      <c r="N542" s="3" t="s">
        <v>316</v>
      </c>
      <c r="O542" s="3" t="s">
        <v>125</v>
      </c>
      <c r="P542" s="3" t="s">
        <v>357</v>
      </c>
      <c r="Q542" s="3" t="s">
        <v>146</v>
      </c>
      <c r="R542" s="3" t="s">
        <v>128</v>
      </c>
      <c r="S542" s="3" t="s">
        <v>34</v>
      </c>
      <c r="T542" s="143">
        <v>4.4770000000000003</v>
      </c>
      <c r="U542" s="3" t="s">
        <v>548</v>
      </c>
      <c r="V542" s="155">
        <v>2E-3</v>
      </c>
      <c r="W542" s="155">
        <v>2.281E-2</v>
      </c>
      <c r="X542" s="5" t="s">
        <v>129</v>
      </c>
      <c r="Y542" s="5" t="s">
        <v>125</v>
      </c>
      <c r="Z542" s="143">
        <v>70000</v>
      </c>
      <c r="AA542" s="153">
        <v>1</v>
      </c>
      <c r="AB542" s="163">
        <v>107.79</v>
      </c>
      <c r="AD542" s="143">
        <v>75.453000000000003</v>
      </c>
      <c r="AG542" s="3" t="s">
        <v>36</v>
      </c>
      <c r="AH542" s="155">
        <v>2.0000000000000002E-5</v>
      </c>
      <c r="AI542" s="155">
        <v>8.5953529619985803E-3</v>
      </c>
      <c r="AJ542" s="155">
        <v>1.7300238135960801E-3</v>
      </c>
    </row>
    <row r="543" spans="1:36">
      <c r="A543" s="3">
        <v>337</v>
      </c>
      <c r="B543" s="3">
        <v>9964</v>
      </c>
      <c r="C543" s="185" t="s">
        <v>513</v>
      </c>
      <c r="D543" s="3" t="s">
        <v>514</v>
      </c>
      <c r="E543" s="189" t="s">
        <v>118</v>
      </c>
      <c r="F543" s="185" t="s">
        <v>903</v>
      </c>
      <c r="G543" s="3" t="s">
        <v>904</v>
      </c>
      <c r="H543" s="3" t="s">
        <v>121</v>
      </c>
      <c r="I543" s="3" t="s">
        <v>132</v>
      </c>
      <c r="J543" s="3" t="s">
        <v>30</v>
      </c>
      <c r="K543" s="3" t="s">
        <v>30</v>
      </c>
      <c r="L543" s="3" t="s">
        <v>123</v>
      </c>
      <c r="M543" s="3" t="s">
        <v>31</v>
      </c>
      <c r="N543" s="3" t="s">
        <v>316</v>
      </c>
      <c r="O543" s="3" t="s">
        <v>125</v>
      </c>
      <c r="P543" s="3" t="s">
        <v>145</v>
      </c>
      <c r="Q543" s="3" t="s">
        <v>146</v>
      </c>
      <c r="R543" s="3" t="s">
        <v>128</v>
      </c>
      <c r="S543" s="3" t="s">
        <v>34</v>
      </c>
      <c r="T543" s="143">
        <v>3.2949999999999999</v>
      </c>
      <c r="U543" s="3" t="s">
        <v>905</v>
      </c>
      <c r="V543" s="155">
        <v>3.3599999999999998E-2</v>
      </c>
      <c r="W543" s="155">
        <v>2.4459999999999999E-2</v>
      </c>
      <c r="X543" s="5" t="s">
        <v>129</v>
      </c>
      <c r="Y543" s="5" t="s">
        <v>125</v>
      </c>
      <c r="Z543" s="143">
        <v>20000</v>
      </c>
      <c r="AA543" s="153">
        <v>1</v>
      </c>
      <c r="AB543" s="163">
        <v>110.89</v>
      </c>
      <c r="AD543" s="143">
        <v>22.178000000000001</v>
      </c>
      <c r="AG543" s="3" t="s">
        <v>36</v>
      </c>
      <c r="AH543" s="155">
        <v>1.7E-5</v>
      </c>
      <c r="AI543" s="155">
        <v>2.5264434547493798E-3</v>
      </c>
      <c r="AJ543" s="155">
        <v>5.0850818573063797E-4</v>
      </c>
    </row>
    <row r="544" spans="1:36">
      <c r="A544" s="3">
        <v>337</v>
      </c>
      <c r="B544" s="3">
        <v>9964</v>
      </c>
      <c r="C544" s="185" t="s">
        <v>526</v>
      </c>
      <c r="D544" s="3" t="s">
        <v>527</v>
      </c>
      <c r="E544" s="189" t="s">
        <v>118</v>
      </c>
      <c r="F544" s="185" t="s">
        <v>528</v>
      </c>
      <c r="G544" s="3" t="s">
        <v>529</v>
      </c>
      <c r="H544" s="3" t="s">
        <v>121</v>
      </c>
      <c r="I544" s="3" t="s">
        <v>132</v>
      </c>
      <c r="J544" s="3" t="s">
        <v>30</v>
      </c>
      <c r="K544" s="3" t="s">
        <v>30</v>
      </c>
      <c r="L544" s="3" t="s">
        <v>123</v>
      </c>
      <c r="M544" s="3" t="s">
        <v>31</v>
      </c>
      <c r="N544" s="3" t="s">
        <v>242</v>
      </c>
      <c r="O544" s="3" t="s">
        <v>125</v>
      </c>
      <c r="P544" s="3" t="s">
        <v>422</v>
      </c>
      <c r="Q544" s="3" t="s">
        <v>127</v>
      </c>
      <c r="R544" s="3" t="s">
        <v>128</v>
      </c>
      <c r="S544" s="3" t="s">
        <v>34</v>
      </c>
      <c r="T544" s="143">
        <v>2.5609999999999999</v>
      </c>
      <c r="U544" s="3" t="s">
        <v>530</v>
      </c>
      <c r="V544" s="155">
        <v>0.01</v>
      </c>
      <c r="W544" s="155">
        <v>2.7400000000000001E-2</v>
      </c>
      <c r="X544" s="5" t="s">
        <v>129</v>
      </c>
      <c r="Y544" s="5" t="s">
        <v>125</v>
      </c>
      <c r="Z544" s="143">
        <v>66360</v>
      </c>
      <c r="AA544" s="153">
        <v>1</v>
      </c>
      <c r="AB544" s="163">
        <v>110.57</v>
      </c>
      <c r="AD544" s="143">
        <v>73.373999999999995</v>
      </c>
      <c r="AG544" s="3" t="s">
        <v>36</v>
      </c>
      <c r="AH544" s="155">
        <v>3.6000000000000001E-5</v>
      </c>
      <c r="AI544" s="155">
        <v>8.3585489544833295E-3</v>
      </c>
      <c r="AJ544" s="155">
        <v>1.6823612482578501E-3</v>
      </c>
    </row>
    <row r="545" spans="1:36">
      <c r="A545" s="3">
        <v>337</v>
      </c>
      <c r="B545" s="3">
        <v>9964</v>
      </c>
      <c r="C545" s="185" t="s">
        <v>526</v>
      </c>
      <c r="D545" s="3" t="s">
        <v>527</v>
      </c>
      <c r="E545" s="189" t="s">
        <v>118</v>
      </c>
      <c r="F545" s="185" t="s">
        <v>531</v>
      </c>
      <c r="G545" s="3" t="s">
        <v>532</v>
      </c>
      <c r="H545" s="3" t="s">
        <v>121</v>
      </c>
      <c r="I545" s="3" t="s">
        <v>132</v>
      </c>
      <c r="J545" s="3" t="s">
        <v>30</v>
      </c>
      <c r="K545" s="3" t="s">
        <v>30</v>
      </c>
      <c r="L545" s="3" t="s">
        <v>123</v>
      </c>
      <c r="M545" s="3" t="s">
        <v>31</v>
      </c>
      <c r="N545" s="3" t="s">
        <v>242</v>
      </c>
      <c r="O545" s="3" t="s">
        <v>125</v>
      </c>
      <c r="P545" s="3" t="s">
        <v>422</v>
      </c>
      <c r="Q545" s="3" t="s">
        <v>127</v>
      </c>
      <c r="R545" s="3" t="s">
        <v>128</v>
      </c>
      <c r="S545" s="3" t="s">
        <v>34</v>
      </c>
      <c r="T545" s="143">
        <v>0.73299999999999998</v>
      </c>
      <c r="U545" s="3" t="s">
        <v>46</v>
      </c>
      <c r="V545" s="155">
        <v>3.5400000000000001E-2</v>
      </c>
      <c r="W545" s="155">
        <v>3.209E-2</v>
      </c>
      <c r="X545" s="5" t="s">
        <v>129</v>
      </c>
      <c r="Y545" s="5" t="s">
        <v>125</v>
      </c>
      <c r="Z545" s="143">
        <v>42000</v>
      </c>
      <c r="AA545" s="153">
        <v>1</v>
      </c>
      <c r="AB545" s="163">
        <v>110.78</v>
      </c>
      <c r="AD545" s="143">
        <v>46.527999999999999</v>
      </c>
      <c r="AG545" s="3" t="s">
        <v>36</v>
      </c>
      <c r="AH545" s="155">
        <v>5.0000000000000002E-5</v>
      </c>
      <c r="AI545" s="155">
        <v>5.3002683057623299E-3</v>
      </c>
      <c r="AJ545" s="155">
        <v>1.0668078935161299E-3</v>
      </c>
    </row>
    <row r="546" spans="1:36">
      <c r="A546" s="3">
        <v>337</v>
      </c>
      <c r="B546" s="3">
        <v>9964</v>
      </c>
      <c r="C546" s="185" t="s">
        <v>526</v>
      </c>
      <c r="D546" s="3" t="s">
        <v>527</v>
      </c>
      <c r="E546" s="189" t="s">
        <v>118</v>
      </c>
      <c r="F546" s="185" t="s">
        <v>533</v>
      </c>
      <c r="G546" s="3" t="s">
        <v>534</v>
      </c>
      <c r="H546" s="3" t="s">
        <v>121</v>
      </c>
      <c r="I546" s="3" t="s">
        <v>132</v>
      </c>
      <c r="J546" s="3" t="s">
        <v>30</v>
      </c>
      <c r="K546" s="3" t="s">
        <v>30</v>
      </c>
      <c r="L546" s="3" t="s">
        <v>123</v>
      </c>
      <c r="M546" s="3" t="s">
        <v>31</v>
      </c>
      <c r="N546" s="3" t="s">
        <v>242</v>
      </c>
      <c r="O546" s="3" t="s">
        <v>125</v>
      </c>
      <c r="P546" s="3" t="s">
        <v>422</v>
      </c>
      <c r="Q546" s="3" t="s">
        <v>127</v>
      </c>
      <c r="R546" s="3" t="s">
        <v>128</v>
      </c>
      <c r="S546" s="3" t="s">
        <v>34</v>
      </c>
      <c r="T546" s="143">
        <v>8.5000000000000006E-2</v>
      </c>
      <c r="U546" s="3" t="s">
        <v>535</v>
      </c>
      <c r="V546" s="155">
        <v>0.01</v>
      </c>
      <c r="W546" s="155">
        <v>7.775E-2</v>
      </c>
      <c r="X546" s="5" t="s">
        <v>129</v>
      </c>
      <c r="Y546" s="5" t="s">
        <v>125</v>
      </c>
      <c r="Z546" s="143">
        <v>5051.28</v>
      </c>
      <c r="AA546" s="153">
        <v>1</v>
      </c>
      <c r="AB546" s="163">
        <v>116.62</v>
      </c>
      <c r="AD546" s="143">
        <v>5.891</v>
      </c>
      <c r="AG546" s="3" t="s">
        <v>36</v>
      </c>
      <c r="AH546" s="155">
        <v>1.4899999999999999E-4</v>
      </c>
      <c r="AI546" s="155">
        <v>6.7106051111853705E-4</v>
      </c>
      <c r="AJ546" s="155">
        <v>1.35067247352351E-4</v>
      </c>
    </row>
    <row r="547" spans="1:36">
      <c r="A547" s="3">
        <v>337</v>
      </c>
      <c r="B547" s="3">
        <v>9964</v>
      </c>
      <c r="C547" s="185" t="s">
        <v>536</v>
      </c>
      <c r="D547" s="3" t="s">
        <v>537</v>
      </c>
      <c r="E547" s="189" t="s">
        <v>118</v>
      </c>
      <c r="F547" s="185" t="s">
        <v>538</v>
      </c>
      <c r="G547" s="3" t="s">
        <v>539</v>
      </c>
      <c r="H547" s="3" t="s">
        <v>121</v>
      </c>
      <c r="I547" s="3" t="s">
        <v>132</v>
      </c>
      <c r="J547" s="3" t="s">
        <v>30</v>
      </c>
      <c r="K547" s="3" t="s">
        <v>30</v>
      </c>
      <c r="L547" s="3" t="s">
        <v>123</v>
      </c>
      <c r="M547" s="3" t="s">
        <v>31</v>
      </c>
      <c r="N547" s="3" t="s">
        <v>171</v>
      </c>
      <c r="O547" s="3" t="s">
        <v>125</v>
      </c>
      <c r="P547" s="3" t="s">
        <v>165</v>
      </c>
      <c r="Q547" s="3" t="s">
        <v>146</v>
      </c>
      <c r="R547" s="3" t="s">
        <v>128</v>
      </c>
      <c r="S547" s="3" t="s">
        <v>34</v>
      </c>
      <c r="T547" s="143">
        <v>3.3069999999999999</v>
      </c>
      <c r="U547" s="3" t="s">
        <v>199</v>
      </c>
      <c r="V547" s="155">
        <v>1.43E-2</v>
      </c>
      <c r="W547" s="155">
        <v>2.4580000000000001E-2</v>
      </c>
      <c r="X547" s="5" t="s">
        <v>129</v>
      </c>
      <c r="Y547" s="5" t="s">
        <v>125</v>
      </c>
      <c r="Z547" s="143">
        <v>130665.84</v>
      </c>
      <c r="AA547" s="153">
        <v>1</v>
      </c>
      <c r="AB547" s="163">
        <v>114.1</v>
      </c>
      <c r="AC547" s="143">
        <v>2.8460000000000001</v>
      </c>
      <c r="AD547" s="143">
        <v>151.93600000000001</v>
      </c>
      <c r="AG547" s="3" t="s">
        <v>36</v>
      </c>
      <c r="AH547" s="155">
        <v>6.8999999999999997E-5</v>
      </c>
      <c r="AI547" s="155">
        <v>1.7308009707459399E-2</v>
      </c>
      <c r="AJ547" s="155">
        <v>3.4836578663192501E-3</v>
      </c>
    </row>
    <row r="548" spans="1:36">
      <c r="A548" s="3">
        <v>337</v>
      </c>
      <c r="B548" s="3">
        <v>9964</v>
      </c>
      <c r="C548" s="185" t="s">
        <v>536</v>
      </c>
      <c r="D548" s="3" t="s">
        <v>537</v>
      </c>
      <c r="E548" s="189" t="s">
        <v>118</v>
      </c>
      <c r="F548" s="185" t="s">
        <v>540</v>
      </c>
      <c r="G548" s="3" t="s">
        <v>541</v>
      </c>
      <c r="H548" s="3" t="s">
        <v>121</v>
      </c>
      <c r="I548" s="3" t="s">
        <v>132</v>
      </c>
      <c r="J548" s="3" t="s">
        <v>30</v>
      </c>
      <c r="K548" s="3" t="s">
        <v>30</v>
      </c>
      <c r="L548" s="3" t="s">
        <v>123</v>
      </c>
      <c r="M548" s="3" t="s">
        <v>31</v>
      </c>
      <c r="N548" s="3" t="s">
        <v>171</v>
      </c>
      <c r="O548" s="3" t="s">
        <v>125</v>
      </c>
      <c r="P548" s="3" t="s">
        <v>165</v>
      </c>
      <c r="Q548" s="3" t="s">
        <v>146</v>
      </c>
      <c r="R548" s="3" t="s">
        <v>128</v>
      </c>
      <c r="S548" s="3" t="s">
        <v>34</v>
      </c>
      <c r="T548" s="143">
        <v>5.32</v>
      </c>
      <c r="U548" s="3" t="s">
        <v>542</v>
      </c>
      <c r="V548" s="155">
        <v>3.61E-2</v>
      </c>
      <c r="W548" s="155">
        <v>2.6009999999999998E-2</v>
      </c>
      <c r="X548" s="5" t="s">
        <v>129</v>
      </c>
      <c r="Y548" s="5" t="s">
        <v>125</v>
      </c>
      <c r="Z548" s="143">
        <v>68214.289999999994</v>
      </c>
      <c r="AA548" s="153">
        <v>1</v>
      </c>
      <c r="AB548" s="163">
        <v>114.15</v>
      </c>
      <c r="AC548" s="143">
        <v>2.907</v>
      </c>
      <c r="AD548" s="143">
        <v>80.772999999999996</v>
      </c>
      <c r="AG548" s="3" t="s">
        <v>36</v>
      </c>
      <c r="AH548" s="155">
        <v>2.8E-5</v>
      </c>
      <c r="AI548" s="155">
        <v>9.2014364754982505E-3</v>
      </c>
      <c r="AJ548" s="155">
        <v>1.85201286000501E-3</v>
      </c>
    </row>
    <row r="549" spans="1:36">
      <c r="A549" s="3">
        <v>337</v>
      </c>
      <c r="B549" s="3">
        <v>9964</v>
      </c>
      <c r="C549" s="185" t="s">
        <v>536</v>
      </c>
      <c r="D549" s="3" t="s">
        <v>537</v>
      </c>
      <c r="E549" s="189" t="s">
        <v>118</v>
      </c>
      <c r="F549" s="185" t="s">
        <v>546</v>
      </c>
      <c r="G549" s="3" t="s">
        <v>547</v>
      </c>
      <c r="H549" s="3" t="s">
        <v>121</v>
      </c>
      <c r="I549" s="3" t="s">
        <v>132</v>
      </c>
      <c r="J549" s="3" t="s">
        <v>30</v>
      </c>
      <c r="K549" s="3" t="s">
        <v>30</v>
      </c>
      <c r="L549" s="3" t="s">
        <v>123</v>
      </c>
      <c r="M549" s="3" t="s">
        <v>31</v>
      </c>
      <c r="N549" s="3" t="s">
        <v>171</v>
      </c>
      <c r="O549" s="3" t="s">
        <v>125</v>
      </c>
      <c r="P549" s="3" t="s">
        <v>165</v>
      </c>
      <c r="Q549" s="3" t="s">
        <v>146</v>
      </c>
      <c r="R549" s="3" t="s">
        <v>128</v>
      </c>
      <c r="S549" s="3" t="s">
        <v>34</v>
      </c>
      <c r="T549" s="143">
        <v>4.2519999999999998</v>
      </c>
      <c r="U549" s="3" t="s">
        <v>548</v>
      </c>
      <c r="V549" s="155">
        <v>2.5000000000000001E-3</v>
      </c>
      <c r="W549" s="155">
        <v>2.4879999999999999E-2</v>
      </c>
      <c r="X549" s="5" t="s">
        <v>129</v>
      </c>
      <c r="Y549" s="5" t="s">
        <v>125</v>
      </c>
      <c r="Z549" s="143">
        <v>51000</v>
      </c>
      <c r="AA549" s="153">
        <v>1</v>
      </c>
      <c r="AB549" s="163">
        <v>105.36</v>
      </c>
      <c r="AC549" s="143">
        <v>0.76900000000000002</v>
      </c>
      <c r="AD549" s="143">
        <v>54.503</v>
      </c>
      <c r="AG549" s="3" t="s">
        <v>36</v>
      </c>
      <c r="AH549" s="155">
        <v>3.8999999999999999E-5</v>
      </c>
      <c r="AI549" s="155">
        <v>6.2087706737912101E-3</v>
      </c>
      <c r="AJ549" s="155">
        <v>1.2496660889093E-3</v>
      </c>
    </row>
    <row r="550" spans="1:36">
      <c r="A550" s="3">
        <v>337</v>
      </c>
      <c r="B550" s="3">
        <v>9964</v>
      </c>
      <c r="C550" s="185" t="s">
        <v>536</v>
      </c>
      <c r="D550" s="3" t="s">
        <v>537</v>
      </c>
      <c r="E550" s="189" t="s">
        <v>118</v>
      </c>
      <c r="F550" s="185" t="s">
        <v>549</v>
      </c>
      <c r="G550" s="3" t="s">
        <v>550</v>
      </c>
      <c r="H550" s="3" t="s">
        <v>121</v>
      </c>
      <c r="I550" s="3" t="s">
        <v>132</v>
      </c>
      <c r="J550" s="3" t="s">
        <v>30</v>
      </c>
      <c r="K550" s="3" t="s">
        <v>30</v>
      </c>
      <c r="L550" s="3" t="s">
        <v>123</v>
      </c>
      <c r="M550" s="3" t="s">
        <v>31</v>
      </c>
      <c r="N550" s="3" t="s">
        <v>171</v>
      </c>
      <c r="O550" s="3" t="s">
        <v>125</v>
      </c>
      <c r="P550" s="3" t="s">
        <v>165</v>
      </c>
      <c r="Q550" s="3" t="s">
        <v>146</v>
      </c>
      <c r="R550" s="3" t="s">
        <v>128</v>
      </c>
      <c r="S550" s="3" t="s">
        <v>34</v>
      </c>
      <c r="T550" s="143">
        <v>7.51</v>
      </c>
      <c r="U550" s="3" t="s">
        <v>551</v>
      </c>
      <c r="V550" s="155">
        <v>2.9499999999999998E-2</v>
      </c>
      <c r="W550" s="155">
        <v>2.683E-2</v>
      </c>
      <c r="X550" s="5" t="s">
        <v>129</v>
      </c>
      <c r="Y550" s="5" t="s">
        <v>125</v>
      </c>
      <c r="Z550" s="143">
        <v>40000</v>
      </c>
      <c r="AA550" s="153">
        <v>1</v>
      </c>
      <c r="AB550" s="163">
        <v>101.78</v>
      </c>
      <c r="AD550" s="143">
        <v>40.712000000000003</v>
      </c>
      <c r="AG550" s="3" t="s">
        <v>36</v>
      </c>
      <c r="AH550" s="155">
        <v>9.0000000000000006E-5</v>
      </c>
      <c r="AI550" s="155">
        <v>4.6377746383693998E-3</v>
      </c>
      <c r="AJ550" s="155">
        <v>9.3346493180024098E-4</v>
      </c>
    </row>
    <row r="551" spans="1:36">
      <c r="A551" s="3">
        <v>337</v>
      </c>
      <c r="B551" s="3">
        <v>9964</v>
      </c>
      <c r="C551" s="185" t="s">
        <v>552</v>
      </c>
      <c r="D551" s="3" t="s">
        <v>553</v>
      </c>
      <c r="E551" s="189" t="s">
        <v>118</v>
      </c>
      <c r="F551" s="185" t="s">
        <v>554</v>
      </c>
      <c r="G551" s="3" t="s">
        <v>555</v>
      </c>
      <c r="H551" s="3" t="s">
        <v>121</v>
      </c>
      <c r="I551" s="3" t="s">
        <v>122</v>
      </c>
      <c r="J551" s="3" t="s">
        <v>30</v>
      </c>
      <c r="K551" s="3" t="s">
        <v>30</v>
      </c>
      <c r="L551" s="3" t="s">
        <v>123</v>
      </c>
      <c r="M551" s="3" t="s">
        <v>31</v>
      </c>
      <c r="N551" s="3" t="s">
        <v>159</v>
      </c>
      <c r="O551" s="3" t="s">
        <v>125</v>
      </c>
      <c r="P551" s="3" t="s">
        <v>310</v>
      </c>
      <c r="Q551" s="3" t="s">
        <v>127</v>
      </c>
      <c r="R551" s="3" t="s">
        <v>128</v>
      </c>
      <c r="S551" s="3" t="s">
        <v>34</v>
      </c>
      <c r="T551" s="143">
        <v>5.766</v>
      </c>
      <c r="U551" s="3" t="s">
        <v>556</v>
      </c>
      <c r="V551" s="155">
        <v>5.0200000000000002E-2</v>
      </c>
      <c r="W551" s="155">
        <v>4.2610000000000002E-2</v>
      </c>
      <c r="X551" s="5" t="s">
        <v>129</v>
      </c>
      <c r="Y551" s="5" t="s">
        <v>125</v>
      </c>
      <c r="Z551" s="143">
        <v>55000</v>
      </c>
      <c r="AA551" s="153">
        <v>1</v>
      </c>
      <c r="AB551" s="163">
        <v>105.93</v>
      </c>
      <c r="AD551" s="143">
        <v>58.262</v>
      </c>
      <c r="AG551" s="3" t="s">
        <v>36</v>
      </c>
      <c r="AH551" s="155">
        <v>1.3799999999999999E-4</v>
      </c>
      <c r="AI551" s="155">
        <v>6.63695488046175E-3</v>
      </c>
      <c r="AJ551" s="155">
        <v>1.3358485734937999E-3</v>
      </c>
    </row>
    <row r="552" spans="1:36">
      <c r="A552" s="3">
        <v>337</v>
      </c>
      <c r="B552" s="3">
        <v>9964</v>
      </c>
      <c r="C552" s="185" t="s">
        <v>557</v>
      </c>
      <c r="D552" s="3" t="s">
        <v>558</v>
      </c>
      <c r="E552" s="189" t="s">
        <v>118</v>
      </c>
      <c r="F552" s="185" t="s">
        <v>559</v>
      </c>
      <c r="G552" s="3" t="s">
        <v>560</v>
      </c>
      <c r="H552" s="3" t="s">
        <v>121</v>
      </c>
      <c r="I552" s="3" t="s">
        <v>122</v>
      </c>
      <c r="J552" s="3" t="s">
        <v>30</v>
      </c>
      <c r="K552" s="3" t="s">
        <v>30</v>
      </c>
      <c r="L552" s="3" t="s">
        <v>123</v>
      </c>
      <c r="M552" s="3" t="s">
        <v>31</v>
      </c>
      <c r="N552" s="3" t="s">
        <v>242</v>
      </c>
      <c r="O552" s="3" t="s">
        <v>125</v>
      </c>
      <c r="P552" s="3" t="s">
        <v>243</v>
      </c>
      <c r="Q552" s="3" t="s">
        <v>127</v>
      </c>
      <c r="R552" s="3" t="s">
        <v>128</v>
      </c>
      <c r="S552" s="3" t="s">
        <v>34</v>
      </c>
      <c r="T552" s="143">
        <v>0.72899999999999998</v>
      </c>
      <c r="U552" s="3" t="s">
        <v>561</v>
      </c>
      <c r="V552" s="155">
        <v>0.1115</v>
      </c>
      <c r="W552" s="155">
        <v>6.1030000000000001E-2</v>
      </c>
      <c r="X552" s="5" t="s">
        <v>129</v>
      </c>
      <c r="Y552" s="5" t="s">
        <v>125</v>
      </c>
      <c r="Z552" s="143">
        <v>20400</v>
      </c>
      <c r="AA552" s="153">
        <v>1</v>
      </c>
      <c r="AB552" s="163">
        <v>102.14</v>
      </c>
      <c r="AD552" s="143">
        <v>20.837</v>
      </c>
      <c r="AG552" s="3" t="s">
        <v>36</v>
      </c>
      <c r="AH552" s="155">
        <v>1.66E-4</v>
      </c>
      <c r="AI552" s="155">
        <v>2.3736311043147601E-3</v>
      </c>
      <c r="AJ552" s="155">
        <v>4.7775098396913998E-4</v>
      </c>
    </row>
    <row r="553" spans="1:36">
      <c r="A553" s="3">
        <v>337</v>
      </c>
      <c r="B553" s="3">
        <v>9964</v>
      </c>
      <c r="C553" s="185" t="s">
        <v>557</v>
      </c>
      <c r="D553" s="3" t="s">
        <v>558</v>
      </c>
      <c r="E553" s="189" t="s">
        <v>118</v>
      </c>
      <c r="F553" s="185" t="s">
        <v>562</v>
      </c>
      <c r="G553" s="3" t="s">
        <v>563</v>
      </c>
      <c r="H553" s="3" t="s">
        <v>121</v>
      </c>
      <c r="I553" s="3" t="s">
        <v>122</v>
      </c>
      <c r="J553" s="3" t="s">
        <v>30</v>
      </c>
      <c r="K553" s="3" t="s">
        <v>30</v>
      </c>
      <c r="L553" s="3" t="s">
        <v>123</v>
      </c>
      <c r="M553" s="3" t="s">
        <v>31</v>
      </c>
      <c r="N553" s="3" t="s">
        <v>242</v>
      </c>
      <c r="O553" s="3" t="s">
        <v>125</v>
      </c>
      <c r="P553" s="3" t="s">
        <v>243</v>
      </c>
      <c r="Q553" s="3" t="s">
        <v>127</v>
      </c>
      <c r="R553" s="3" t="s">
        <v>128</v>
      </c>
      <c r="S553" s="3" t="s">
        <v>34</v>
      </c>
      <c r="T553" s="143">
        <v>2.6909999999999998</v>
      </c>
      <c r="U553" s="3" t="s">
        <v>564</v>
      </c>
      <c r="V553" s="155">
        <v>6.4000000000000001E-2</v>
      </c>
      <c r="W553" s="155">
        <v>5.3670000000000002E-2</v>
      </c>
      <c r="X553" s="5" t="s">
        <v>129</v>
      </c>
      <c r="Y553" s="5" t="s">
        <v>125</v>
      </c>
      <c r="Z553" s="143">
        <v>34000</v>
      </c>
      <c r="AA553" s="153">
        <v>1</v>
      </c>
      <c r="AB553" s="163">
        <v>103.48</v>
      </c>
      <c r="AD553" s="143">
        <v>35.183</v>
      </c>
      <c r="AG553" s="3" t="s">
        <v>36</v>
      </c>
      <c r="AH553" s="155">
        <v>9.7999999999999997E-5</v>
      </c>
      <c r="AI553" s="155">
        <v>4.0079522660807203E-3</v>
      </c>
      <c r="AJ553" s="155">
        <v>8.0669786275580299E-4</v>
      </c>
    </row>
    <row r="554" spans="1:36">
      <c r="A554" s="3">
        <v>337</v>
      </c>
      <c r="B554" s="3">
        <v>9964</v>
      </c>
      <c r="C554" s="185" t="s">
        <v>565</v>
      </c>
      <c r="D554" s="3" t="s">
        <v>566</v>
      </c>
      <c r="E554" s="189" t="s">
        <v>118</v>
      </c>
      <c r="F554" s="185" t="s">
        <v>567</v>
      </c>
      <c r="G554" s="3" t="s">
        <v>568</v>
      </c>
      <c r="H554" s="3" t="s">
        <v>121</v>
      </c>
      <c r="I554" s="3" t="s">
        <v>132</v>
      </c>
      <c r="J554" s="3" t="s">
        <v>30</v>
      </c>
      <c r="K554" s="3" t="s">
        <v>30</v>
      </c>
      <c r="L554" s="3" t="s">
        <v>123</v>
      </c>
      <c r="M554" s="3" t="s">
        <v>31</v>
      </c>
      <c r="N554" s="3" t="s">
        <v>124</v>
      </c>
      <c r="O554" s="3" t="s">
        <v>125</v>
      </c>
      <c r="P554" s="3" t="s">
        <v>325</v>
      </c>
      <c r="Q554" s="3" t="s">
        <v>127</v>
      </c>
      <c r="R554" s="3" t="s">
        <v>128</v>
      </c>
      <c r="S554" s="3" t="s">
        <v>34</v>
      </c>
      <c r="T554" s="143">
        <v>3.0939999999999999</v>
      </c>
      <c r="U554" s="3" t="s">
        <v>569</v>
      </c>
      <c r="V554" s="155">
        <v>2.07E-2</v>
      </c>
      <c r="W554" s="155">
        <v>3.3739999999999999E-2</v>
      </c>
      <c r="X554" s="5" t="s">
        <v>129</v>
      </c>
      <c r="Y554" s="5" t="s">
        <v>125</v>
      </c>
      <c r="Z554" s="143">
        <v>80891.199999999997</v>
      </c>
      <c r="AA554" s="153">
        <v>1</v>
      </c>
      <c r="AB554" s="163">
        <v>110.69</v>
      </c>
      <c r="AD554" s="143">
        <v>89.537999999999997</v>
      </c>
      <c r="AG554" s="3" t="s">
        <v>36</v>
      </c>
      <c r="AH554" s="155">
        <v>1.94E-4</v>
      </c>
      <c r="AI554" s="155">
        <v>1.0199922430369501E-2</v>
      </c>
      <c r="AJ554" s="155">
        <v>2.05298244055692E-3</v>
      </c>
    </row>
    <row r="555" spans="1:36">
      <c r="A555" s="3">
        <v>337</v>
      </c>
      <c r="B555" s="3">
        <v>9964</v>
      </c>
      <c r="C555" s="185" t="s">
        <v>841</v>
      </c>
      <c r="D555" s="3" t="s">
        <v>842</v>
      </c>
      <c r="E555" s="189" t="s">
        <v>118</v>
      </c>
      <c r="F555" s="185" t="s">
        <v>843</v>
      </c>
      <c r="G555" s="3" t="s">
        <v>844</v>
      </c>
      <c r="H555" s="3" t="s">
        <v>121</v>
      </c>
      <c r="I555" s="3" t="s">
        <v>132</v>
      </c>
      <c r="J555" s="3" t="s">
        <v>30</v>
      </c>
      <c r="K555" s="3" t="s">
        <v>30</v>
      </c>
      <c r="L555" s="3" t="s">
        <v>123</v>
      </c>
      <c r="M555" s="3" t="s">
        <v>31</v>
      </c>
      <c r="N555" s="3" t="s">
        <v>184</v>
      </c>
      <c r="O555" s="3" t="s">
        <v>125</v>
      </c>
      <c r="P555" s="3" t="s">
        <v>357</v>
      </c>
      <c r="Q555" s="3" t="s">
        <v>146</v>
      </c>
      <c r="R555" s="3" t="s">
        <v>128</v>
      </c>
      <c r="S555" s="3" t="s">
        <v>34</v>
      </c>
      <c r="T555" s="143">
        <v>11.851000000000001</v>
      </c>
      <c r="U555" s="3" t="s">
        <v>845</v>
      </c>
      <c r="V555" s="155">
        <v>2.07E-2</v>
      </c>
      <c r="W555" s="155">
        <v>2.666E-2</v>
      </c>
      <c r="X555" s="5" t="s">
        <v>129</v>
      </c>
      <c r="Y555" s="5" t="s">
        <v>125</v>
      </c>
      <c r="Z555" s="143">
        <v>55842.2</v>
      </c>
      <c r="AA555" s="153">
        <v>1</v>
      </c>
      <c r="AB555" s="163">
        <v>108.47</v>
      </c>
      <c r="AD555" s="143">
        <v>60.572000000000003</v>
      </c>
      <c r="AG555" s="3" t="s">
        <v>36</v>
      </c>
      <c r="AH555" s="155">
        <v>7.9999999999999996E-6</v>
      </c>
      <c r="AI555" s="155">
        <v>6.9001632112520202E-3</v>
      </c>
      <c r="AJ555" s="155">
        <v>1.3888256510166501E-3</v>
      </c>
    </row>
    <row r="556" spans="1:36">
      <c r="A556" s="3">
        <v>337</v>
      </c>
      <c r="B556" s="3">
        <v>9964</v>
      </c>
      <c r="C556" s="185" t="s">
        <v>570</v>
      </c>
      <c r="D556" s="3" t="s">
        <v>571</v>
      </c>
      <c r="E556" s="189" t="s">
        <v>439</v>
      </c>
      <c r="F556" s="185" t="s">
        <v>572</v>
      </c>
      <c r="G556" s="3" t="s">
        <v>573</v>
      </c>
      <c r="H556" s="3" t="s">
        <v>121</v>
      </c>
      <c r="I556" s="3" t="s">
        <v>410</v>
      </c>
      <c r="J556" s="3" t="s">
        <v>30</v>
      </c>
      <c r="K556" s="3" t="s">
        <v>30</v>
      </c>
      <c r="L556" s="3" t="s">
        <v>123</v>
      </c>
      <c r="M556" s="3" t="s">
        <v>31</v>
      </c>
      <c r="N556" s="3" t="s">
        <v>377</v>
      </c>
      <c r="O556" s="3" t="s">
        <v>125</v>
      </c>
      <c r="P556" s="3" t="s">
        <v>574</v>
      </c>
      <c r="Q556" s="3" t="s">
        <v>146</v>
      </c>
      <c r="R556" s="3" t="s">
        <v>128</v>
      </c>
      <c r="S556" s="3" t="s">
        <v>34</v>
      </c>
      <c r="T556" s="143">
        <v>4.5460000000000003</v>
      </c>
      <c r="U556" s="3" t="s">
        <v>575</v>
      </c>
      <c r="V556" s="155">
        <v>7.9500000000000001E-2</v>
      </c>
      <c r="W556" s="155">
        <v>7.0550000000000002E-2</v>
      </c>
      <c r="X556" s="5" t="s">
        <v>129</v>
      </c>
      <c r="Y556" s="5" t="s">
        <v>125</v>
      </c>
      <c r="Z556" s="143">
        <v>42000</v>
      </c>
      <c r="AA556" s="153">
        <v>1</v>
      </c>
      <c r="AB556" s="163">
        <v>103.03</v>
      </c>
      <c r="AD556" s="143">
        <v>43.273000000000003</v>
      </c>
      <c r="AG556" s="3" t="s">
        <v>36</v>
      </c>
      <c r="AH556" s="155">
        <v>0</v>
      </c>
      <c r="AI556" s="155">
        <v>4.9294696113259904E-3</v>
      </c>
      <c r="AJ556" s="155">
        <v>9.9217563882440297E-4</v>
      </c>
    </row>
    <row r="557" spans="1:36">
      <c r="A557" s="3">
        <v>337</v>
      </c>
      <c r="B557" s="3">
        <v>9964</v>
      </c>
      <c r="C557" s="185" t="s">
        <v>570</v>
      </c>
      <c r="D557" s="3" t="s">
        <v>571</v>
      </c>
      <c r="E557" s="189" t="s">
        <v>439</v>
      </c>
      <c r="F557" s="185" t="s">
        <v>576</v>
      </c>
      <c r="G557" s="3" t="s">
        <v>577</v>
      </c>
      <c r="H557" s="3" t="s">
        <v>121</v>
      </c>
      <c r="I557" s="3" t="s">
        <v>122</v>
      </c>
      <c r="J557" s="3" t="s">
        <v>30</v>
      </c>
      <c r="K557" s="3" t="s">
        <v>30</v>
      </c>
      <c r="L557" s="3" t="s">
        <v>123</v>
      </c>
      <c r="M557" s="3" t="s">
        <v>31</v>
      </c>
      <c r="N557" s="3" t="s">
        <v>377</v>
      </c>
      <c r="O557" s="3" t="s">
        <v>125</v>
      </c>
      <c r="P557" s="3" t="s">
        <v>260</v>
      </c>
      <c r="Q557" s="3" t="s">
        <v>146</v>
      </c>
      <c r="R557" s="3" t="s">
        <v>128</v>
      </c>
      <c r="S557" s="3" t="s">
        <v>34</v>
      </c>
      <c r="T557" s="143">
        <v>1.2529999999999999</v>
      </c>
      <c r="U557" s="3" t="s">
        <v>578</v>
      </c>
      <c r="V557" s="155">
        <v>5.2499999999999998E-2</v>
      </c>
      <c r="W557" s="155">
        <v>4.9090000000000002E-2</v>
      </c>
      <c r="X557" s="5" t="s">
        <v>129</v>
      </c>
      <c r="Y557" s="5" t="s">
        <v>125</v>
      </c>
      <c r="Z557" s="143">
        <v>82000</v>
      </c>
      <c r="AA557" s="153">
        <v>1</v>
      </c>
      <c r="AB557" s="163">
        <v>102.93</v>
      </c>
      <c r="AD557" s="143">
        <v>84.403000000000006</v>
      </c>
      <c r="AG557" s="3" t="s">
        <v>36</v>
      </c>
      <c r="AH557" s="155">
        <v>2.4800000000000001E-4</v>
      </c>
      <c r="AI557" s="155">
        <v>9.6148614092267E-3</v>
      </c>
      <c r="AJ557" s="155">
        <v>1.93522468197983E-3</v>
      </c>
    </row>
    <row r="558" spans="1:36">
      <c r="A558" s="3">
        <v>337</v>
      </c>
      <c r="B558" s="3">
        <v>9964</v>
      </c>
      <c r="C558" s="185" t="s">
        <v>570</v>
      </c>
      <c r="D558" s="3" t="s">
        <v>571</v>
      </c>
      <c r="E558" s="189" t="s">
        <v>439</v>
      </c>
      <c r="F558" s="185" t="s">
        <v>579</v>
      </c>
      <c r="G558" s="3" t="s">
        <v>580</v>
      </c>
      <c r="H558" s="3" t="s">
        <v>121</v>
      </c>
      <c r="I558" s="3" t="s">
        <v>122</v>
      </c>
      <c r="J558" s="3" t="s">
        <v>30</v>
      </c>
      <c r="K558" s="3" t="s">
        <v>80</v>
      </c>
      <c r="L558" s="3" t="s">
        <v>123</v>
      </c>
      <c r="M558" s="3" t="s">
        <v>31</v>
      </c>
      <c r="N558" s="3" t="s">
        <v>377</v>
      </c>
      <c r="O558" s="3" t="s">
        <v>125</v>
      </c>
      <c r="P558" s="3" t="s">
        <v>260</v>
      </c>
      <c r="Q558" s="3" t="s">
        <v>146</v>
      </c>
      <c r="R558" s="3" t="s">
        <v>128</v>
      </c>
      <c r="S558" s="3" t="s">
        <v>34</v>
      </c>
      <c r="T558" s="143">
        <v>2.121</v>
      </c>
      <c r="U558" s="3" t="s">
        <v>581</v>
      </c>
      <c r="V558" s="155">
        <v>6.5000000000000002E-2</v>
      </c>
      <c r="W558" s="155">
        <v>4.8140000000000002E-2</v>
      </c>
      <c r="X558" s="5" t="s">
        <v>129</v>
      </c>
      <c r="Y558" s="5" t="s">
        <v>125</v>
      </c>
      <c r="Z558" s="143">
        <v>67000</v>
      </c>
      <c r="AA558" s="153">
        <v>1</v>
      </c>
      <c r="AB558" s="163">
        <v>103.66</v>
      </c>
      <c r="AD558" s="143">
        <v>69.451999999999998</v>
      </c>
      <c r="AG558" s="3" t="s">
        <v>36</v>
      </c>
      <c r="AH558" s="155">
        <v>1.34E-4</v>
      </c>
      <c r="AI558" s="155">
        <v>7.9117619311003893E-3</v>
      </c>
      <c r="AJ558" s="155">
        <v>1.59243449440894E-3</v>
      </c>
    </row>
    <row r="559" spans="1:36">
      <c r="A559" s="3">
        <v>337</v>
      </c>
      <c r="B559" s="3">
        <v>9964</v>
      </c>
      <c r="C559" s="185" t="s">
        <v>570</v>
      </c>
      <c r="D559" s="3" t="s">
        <v>571</v>
      </c>
      <c r="E559" s="189" t="s">
        <v>439</v>
      </c>
      <c r="F559" s="185" t="s">
        <v>582</v>
      </c>
      <c r="G559" s="3" t="s">
        <v>583</v>
      </c>
      <c r="H559" s="3" t="s">
        <v>121</v>
      </c>
      <c r="I559" s="3" t="s">
        <v>122</v>
      </c>
      <c r="J559" s="3" t="s">
        <v>30</v>
      </c>
      <c r="K559" s="3" t="s">
        <v>30</v>
      </c>
      <c r="L559" s="3" t="s">
        <v>123</v>
      </c>
      <c r="M559" s="3" t="s">
        <v>31</v>
      </c>
      <c r="N559" s="3" t="s">
        <v>377</v>
      </c>
      <c r="O559" s="3" t="s">
        <v>125</v>
      </c>
      <c r="P559" s="3" t="s">
        <v>260</v>
      </c>
      <c r="Q559" s="3" t="s">
        <v>146</v>
      </c>
      <c r="R559" s="3" t="s">
        <v>128</v>
      </c>
      <c r="S559" s="3" t="s">
        <v>34</v>
      </c>
      <c r="T559" s="143">
        <v>2.722</v>
      </c>
      <c r="U559" s="3" t="s">
        <v>193</v>
      </c>
      <c r="V559" s="155">
        <v>6.7000000000000004E-2</v>
      </c>
      <c r="W559" s="155">
        <v>4.811E-2</v>
      </c>
      <c r="X559" s="5" t="s">
        <v>129</v>
      </c>
      <c r="Y559" s="5" t="s">
        <v>125</v>
      </c>
      <c r="Z559" s="143">
        <v>55000</v>
      </c>
      <c r="AA559" s="153">
        <v>1</v>
      </c>
      <c r="AB559" s="163">
        <v>107.03</v>
      </c>
      <c r="AD559" s="143">
        <v>58.866999999999997</v>
      </c>
      <c r="AG559" s="3" t="s">
        <v>36</v>
      </c>
      <c r="AH559" s="155">
        <v>6.0000000000000002E-5</v>
      </c>
      <c r="AI559" s="155">
        <v>6.70587445346758E-3</v>
      </c>
      <c r="AJ559" s="155">
        <v>1.34972031361316E-3</v>
      </c>
    </row>
    <row r="560" spans="1:36">
      <c r="A560" s="3">
        <v>337</v>
      </c>
      <c r="B560" s="3">
        <v>9964</v>
      </c>
      <c r="C560" s="185" t="s">
        <v>584</v>
      </c>
      <c r="D560" s="3" t="s">
        <v>585</v>
      </c>
      <c r="E560" s="189" t="s">
        <v>118</v>
      </c>
      <c r="F560" s="185" t="s">
        <v>586</v>
      </c>
      <c r="G560" s="3" t="s">
        <v>587</v>
      </c>
      <c r="H560" s="3" t="s">
        <v>121</v>
      </c>
      <c r="I560" s="3" t="s">
        <v>132</v>
      </c>
      <c r="J560" s="3" t="s">
        <v>30</v>
      </c>
      <c r="K560" s="3" t="s">
        <v>30</v>
      </c>
      <c r="L560" s="3" t="s">
        <v>123</v>
      </c>
      <c r="M560" s="3" t="s">
        <v>31</v>
      </c>
      <c r="N560" s="3" t="s">
        <v>228</v>
      </c>
      <c r="O560" s="3" t="s">
        <v>125</v>
      </c>
      <c r="P560" s="3" t="s">
        <v>243</v>
      </c>
      <c r="Q560" s="3" t="s">
        <v>127</v>
      </c>
      <c r="R560" s="3" t="s">
        <v>128</v>
      </c>
      <c r="S560" s="3" t="s">
        <v>34</v>
      </c>
      <c r="T560" s="143">
        <v>1.7809999999999999</v>
      </c>
      <c r="U560" s="3" t="s">
        <v>385</v>
      </c>
      <c r="V560" s="155">
        <v>1.4800000000000001E-2</v>
      </c>
      <c r="W560" s="155">
        <v>3.4369999999999998E-2</v>
      </c>
      <c r="X560" s="5" t="s">
        <v>129</v>
      </c>
      <c r="Y560" s="5" t="s">
        <v>125</v>
      </c>
      <c r="Z560" s="143">
        <v>55800</v>
      </c>
      <c r="AA560" s="153">
        <v>1</v>
      </c>
      <c r="AB560" s="163">
        <v>111.89</v>
      </c>
      <c r="AD560" s="143">
        <v>62.435000000000002</v>
      </c>
      <c r="AG560" s="3" t="s">
        <v>36</v>
      </c>
      <c r="AH560" s="155">
        <v>2.04E-4</v>
      </c>
      <c r="AI560" s="155">
        <v>7.1123427292255599E-3</v>
      </c>
      <c r="AJ560" s="155">
        <v>1.43153193899278E-3</v>
      </c>
    </row>
    <row r="561" spans="1:36">
      <c r="A561" s="3">
        <v>337</v>
      </c>
      <c r="B561" s="3">
        <v>9964</v>
      </c>
      <c r="C561" s="185" t="s">
        <v>588</v>
      </c>
      <c r="D561" s="3" t="s">
        <v>589</v>
      </c>
      <c r="E561" s="189" t="s">
        <v>118</v>
      </c>
      <c r="F561" s="185" t="s">
        <v>592</v>
      </c>
      <c r="G561" s="3" t="s">
        <v>593</v>
      </c>
      <c r="H561" s="3" t="s">
        <v>121</v>
      </c>
      <c r="I561" s="3" t="s">
        <v>132</v>
      </c>
      <c r="J561" s="3" t="s">
        <v>30</v>
      </c>
      <c r="K561" s="3" t="s">
        <v>30</v>
      </c>
      <c r="L561" s="3" t="s">
        <v>123</v>
      </c>
      <c r="M561" s="3" t="s">
        <v>31</v>
      </c>
      <c r="N561" s="3" t="s">
        <v>171</v>
      </c>
      <c r="O561" s="3" t="s">
        <v>125</v>
      </c>
      <c r="P561" s="3" t="s">
        <v>198</v>
      </c>
      <c r="Q561" s="3" t="s">
        <v>146</v>
      </c>
      <c r="R561" s="3" t="s">
        <v>128</v>
      </c>
      <c r="S561" s="3" t="s">
        <v>34</v>
      </c>
      <c r="T561" s="143">
        <v>3.1629999999999998</v>
      </c>
      <c r="U561" s="3" t="s">
        <v>199</v>
      </c>
      <c r="V561" s="155">
        <v>3.6200000000000003E-2</v>
      </c>
      <c r="W561" s="155">
        <v>2.5850000000000001E-2</v>
      </c>
      <c r="X561" s="5" t="s">
        <v>129</v>
      </c>
      <c r="Y561" s="5" t="s">
        <v>125</v>
      </c>
      <c r="Z561" s="143">
        <v>27300</v>
      </c>
      <c r="AA561" s="153">
        <v>1</v>
      </c>
      <c r="AB561" s="163">
        <v>112.39</v>
      </c>
      <c r="AD561" s="143">
        <v>30.681999999999999</v>
      </c>
      <c r="AG561" s="3" t="s">
        <v>36</v>
      </c>
      <c r="AH561" s="155">
        <v>1.5E-5</v>
      </c>
      <c r="AI561" s="155">
        <v>3.4952441837426298E-3</v>
      </c>
      <c r="AJ561" s="155">
        <v>7.0350289266095801E-4</v>
      </c>
    </row>
    <row r="562" spans="1:36">
      <c r="A562" s="3">
        <v>337</v>
      </c>
      <c r="B562" s="3">
        <v>9964</v>
      </c>
      <c r="C562" s="185" t="s">
        <v>594</v>
      </c>
      <c r="D562" s="3" t="s">
        <v>595</v>
      </c>
      <c r="E562" s="189" t="s">
        <v>269</v>
      </c>
      <c r="F562" s="185" t="s">
        <v>596</v>
      </c>
      <c r="G562" s="3" t="s">
        <v>597</v>
      </c>
      <c r="H562" s="3" t="s">
        <v>121</v>
      </c>
      <c r="I562" s="3" t="s">
        <v>122</v>
      </c>
      <c r="J562" s="3" t="s">
        <v>30</v>
      </c>
      <c r="K562" s="3" t="s">
        <v>80</v>
      </c>
      <c r="L562" s="3" t="s">
        <v>123</v>
      </c>
      <c r="M562" s="3" t="s">
        <v>31</v>
      </c>
      <c r="N562" s="3" t="s">
        <v>139</v>
      </c>
      <c r="O562" s="3" t="s">
        <v>125</v>
      </c>
      <c r="P562" s="3" t="s">
        <v>145</v>
      </c>
      <c r="Q562" s="3" t="s">
        <v>146</v>
      </c>
      <c r="R562" s="3" t="s">
        <v>128</v>
      </c>
      <c r="S562" s="3" t="s">
        <v>34</v>
      </c>
      <c r="T562" s="143">
        <v>3.173</v>
      </c>
      <c r="U562" s="3" t="s">
        <v>598</v>
      </c>
      <c r="V562" s="155">
        <v>4.4999999999999998E-2</v>
      </c>
      <c r="W562" s="155">
        <v>5.1920000000000001E-2</v>
      </c>
      <c r="X562" s="5" t="s">
        <v>129</v>
      </c>
      <c r="Y562" s="5" t="s">
        <v>125</v>
      </c>
      <c r="Z562" s="143">
        <v>56890.35</v>
      </c>
      <c r="AA562" s="153">
        <v>1</v>
      </c>
      <c r="AB562" s="163">
        <v>99</v>
      </c>
      <c r="AD562" s="143">
        <v>56.320999999999998</v>
      </c>
      <c r="AG562" s="3" t="s">
        <v>36</v>
      </c>
      <c r="AH562" s="155">
        <v>7.4999999999999993E-5</v>
      </c>
      <c r="AI562" s="155">
        <v>6.4159504857039399E-3</v>
      </c>
      <c r="AJ562" s="155">
        <v>1.29136606445307E-3</v>
      </c>
    </row>
    <row r="563" spans="1:36">
      <c r="A563" s="3">
        <v>337</v>
      </c>
      <c r="B563" s="3">
        <v>9964</v>
      </c>
      <c r="C563" s="185" t="s">
        <v>594</v>
      </c>
      <c r="D563" s="3" t="s">
        <v>595</v>
      </c>
      <c r="E563" s="189" t="s">
        <v>269</v>
      </c>
      <c r="F563" s="185" t="s">
        <v>599</v>
      </c>
      <c r="G563" s="3" t="s">
        <v>600</v>
      </c>
      <c r="H563" s="3" t="s">
        <v>121</v>
      </c>
      <c r="I563" s="3" t="s">
        <v>122</v>
      </c>
      <c r="J563" s="3" t="s">
        <v>30</v>
      </c>
      <c r="K563" s="3" t="s">
        <v>30</v>
      </c>
      <c r="L563" s="3" t="s">
        <v>123</v>
      </c>
      <c r="M563" s="3" t="s">
        <v>31</v>
      </c>
      <c r="N563" s="3" t="s">
        <v>139</v>
      </c>
      <c r="O563" s="3" t="s">
        <v>125</v>
      </c>
      <c r="P563" s="3" t="s">
        <v>165</v>
      </c>
      <c r="Q563" s="3" t="s">
        <v>146</v>
      </c>
      <c r="R563" s="3" t="s">
        <v>128</v>
      </c>
      <c r="S563" s="3" t="s">
        <v>34</v>
      </c>
      <c r="T563" s="143">
        <v>1.419</v>
      </c>
      <c r="U563" s="3" t="s">
        <v>244</v>
      </c>
      <c r="V563" s="155">
        <v>6.3500000000000001E-2</v>
      </c>
      <c r="W563" s="155">
        <v>5.0569999999999997E-2</v>
      </c>
      <c r="X563" s="5" t="s">
        <v>129</v>
      </c>
      <c r="Y563" s="5" t="s">
        <v>125</v>
      </c>
      <c r="Z563" s="143">
        <v>30070</v>
      </c>
      <c r="AA563" s="153">
        <v>1</v>
      </c>
      <c r="AB563" s="163">
        <v>101.93</v>
      </c>
      <c r="AD563" s="143">
        <v>30.65</v>
      </c>
      <c r="AG563" s="3" t="s">
        <v>36</v>
      </c>
      <c r="AH563" s="155">
        <v>7.6000000000000004E-5</v>
      </c>
      <c r="AI563" s="155">
        <v>3.4915852948742398E-3</v>
      </c>
      <c r="AJ563" s="155">
        <v>7.0276645229584505E-4</v>
      </c>
    </row>
    <row r="564" spans="1:36">
      <c r="A564" s="3">
        <v>337</v>
      </c>
      <c r="B564" s="3">
        <v>9964</v>
      </c>
      <c r="C564" s="185" t="s">
        <v>594</v>
      </c>
      <c r="D564" s="3" t="s">
        <v>595</v>
      </c>
      <c r="E564" s="189" t="s">
        <v>269</v>
      </c>
      <c r="F564" s="185" t="s">
        <v>601</v>
      </c>
      <c r="G564" s="3" t="s">
        <v>602</v>
      </c>
      <c r="H564" s="3" t="s">
        <v>121</v>
      </c>
      <c r="I564" s="3" t="s">
        <v>122</v>
      </c>
      <c r="J564" s="3" t="s">
        <v>30</v>
      </c>
      <c r="K564" s="3" t="s">
        <v>30</v>
      </c>
      <c r="L564" s="3" t="s">
        <v>123</v>
      </c>
      <c r="M564" s="3" t="s">
        <v>31</v>
      </c>
      <c r="N564" s="3" t="s">
        <v>139</v>
      </c>
      <c r="O564" s="3" t="s">
        <v>125</v>
      </c>
      <c r="P564" s="3" t="s">
        <v>165</v>
      </c>
      <c r="Q564" s="3" t="s">
        <v>146</v>
      </c>
      <c r="R564" s="3" t="s">
        <v>128</v>
      </c>
      <c r="S564" s="3" t="s">
        <v>34</v>
      </c>
      <c r="T564" s="143">
        <v>2.992</v>
      </c>
      <c r="U564" s="3" t="s">
        <v>603</v>
      </c>
      <c r="V564" s="155">
        <v>6.25E-2</v>
      </c>
      <c r="W564" s="155">
        <v>4.9709999999999997E-2</v>
      </c>
      <c r="X564" s="5" t="s">
        <v>129</v>
      </c>
      <c r="Y564" s="5" t="s">
        <v>125</v>
      </c>
      <c r="Z564" s="143">
        <v>32000</v>
      </c>
      <c r="AA564" s="153">
        <v>1</v>
      </c>
      <c r="AB564" s="163">
        <v>105.34</v>
      </c>
      <c r="AD564" s="143">
        <v>33.709000000000003</v>
      </c>
      <c r="AG564" s="3" t="s">
        <v>36</v>
      </c>
      <c r="AH564" s="155">
        <v>5.8E-5</v>
      </c>
      <c r="AI564" s="155">
        <v>3.8399935579157599E-3</v>
      </c>
      <c r="AJ564" s="155">
        <v>7.7289208815749602E-4</v>
      </c>
    </row>
    <row r="565" spans="1:36">
      <c r="A565" s="3">
        <v>337</v>
      </c>
      <c r="B565" s="3">
        <v>9964</v>
      </c>
      <c r="C565" s="185" t="s">
        <v>604</v>
      </c>
      <c r="D565" s="3" t="s">
        <v>605</v>
      </c>
      <c r="E565" s="189" t="s">
        <v>118</v>
      </c>
      <c r="F565" s="185" t="s">
        <v>606</v>
      </c>
      <c r="G565" s="3" t="s">
        <v>607</v>
      </c>
      <c r="H565" s="3" t="s">
        <v>121</v>
      </c>
      <c r="I565" s="3" t="s">
        <v>132</v>
      </c>
      <c r="J565" s="3" t="s">
        <v>30</v>
      </c>
      <c r="K565" s="3" t="s">
        <v>30</v>
      </c>
      <c r="L565" s="3" t="s">
        <v>123</v>
      </c>
      <c r="M565" s="3" t="s">
        <v>31</v>
      </c>
      <c r="N565" s="3" t="s">
        <v>228</v>
      </c>
      <c r="O565" s="3" t="s">
        <v>125</v>
      </c>
      <c r="P565" s="3" t="s">
        <v>178</v>
      </c>
      <c r="Q565" s="3" t="s">
        <v>178</v>
      </c>
      <c r="R565" s="3" t="s">
        <v>178</v>
      </c>
      <c r="S565" s="3" t="s">
        <v>34</v>
      </c>
      <c r="T565" s="143">
        <v>1.639</v>
      </c>
      <c r="U565" s="3" t="s">
        <v>385</v>
      </c>
      <c r="V565" s="155">
        <v>2.3E-2</v>
      </c>
      <c r="W565" s="155">
        <v>2.5600000000000001E-2</v>
      </c>
      <c r="X565" s="5" t="s">
        <v>129</v>
      </c>
      <c r="Y565" s="5" t="s">
        <v>125</v>
      </c>
      <c r="Z565" s="143">
        <v>0.2</v>
      </c>
      <c r="AA565" s="153">
        <v>1</v>
      </c>
      <c r="AB565" s="163">
        <v>114.4</v>
      </c>
      <c r="AD565" s="143">
        <v>0</v>
      </c>
      <c r="AG565" s="3" t="s">
        <v>36</v>
      </c>
      <c r="AH565" s="155">
        <v>0</v>
      </c>
      <c r="AI565" s="155">
        <v>2.6064129427660601E-8</v>
      </c>
      <c r="AJ565" s="155">
        <v>5.24603989968302E-9</v>
      </c>
    </row>
    <row r="566" spans="1:36">
      <c r="A566" s="3">
        <v>337</v>
      </c>
      <c r="B566" s="3">
        <v>9964</v>
      </c>
      <c r="C566" s="185" t="s">
        <v>612</v>
      </c>
      <c r="D566" s="3" t="s">
        <v>613</v>
      </c>
      <c r="E566" s="189" t="s">
        <v>269</v>
      </c>
      <c r="F566" s="185" t="s">
        <v>614</v>
      </c>
      <c r="G566" s="3" t="s">
        <v>615</v>
      </c>
      <c r="H566" s="3" t="s">
        <v>121</v>
      </c>
      <c r="I566" s="3" t="s">
        <v>410</v>
      </c>
      <c r="J566" s="3" t="s">
        <v>30</v>
      </c>
      <c r="K566" s="3" t="s">
        <v>80</v>
      </c>
      <c r="L566" s="3" t="s">
        <v>123</v>
      </c>
      <c r="M566" s="3" t="s">
        <v>31</v>
      </c>
      <c r="N566" s="3" t="s">
        <v>242</v>
      </c>
      <c r="O566" s="3" t="s">
        <v>125</v>
      </c>
      <c r="P566" s="3" t="s">
        <v>422</v>
      </c>
      <c r="Q566" s="3" t="s">
        <v>127</v>
      </c>
      <c r="R566" s="3" t="s">
        <v>128</v>
      </c>
      <c r="S566" s="3" t="s">
        <v>34</v>
      </c>
      <c r="T566" s="143">
        <v>0.64900000000000002</v>
      </c>
      <c r="U566" s="3" t="s">
        <v>616</v>
      </c>
      <c r="V566" s="155">
        <v>7.2720000000000007E-2</v>
      </c>
      <c r="W566" s="155">
        <v>9.1420000000000001E-2</v>
      </c>
      <c r="X566" s="5" t="s">
        <v>129</v>
      </c>
      <c r="Y566" s="5" t="s">
        <v>125</v>
      </c>
      <c r="Z566" s="143">
        <v>46000</v>
      </c>
      <c r="AA566" s="153">
        <v>1</v>
      </c>
      <c r="AB566" s="163">
        <v>87</v>
      </c>
      <c r="AD566" s="143">
        <v>40.020000000000003</v>
      </c>
      <c r="AG566" s="3" t="s">
        <v>36</v>
      </c>
      <c r="AH566" s="155">
        <v>1.0900000000000001E-4</v>
      </c>
      <c r="AI566" s="155">
        <v>4.5589443168486798E-3</v>
      </c>
      <c r="AJ566" s="155">
        <v>9.1759841252322797E-4</v>
      </c>
    </row>
    <row r="567" spans="1:36">
      <c r="A567" s="3">
        <v>337</v>
      </c>
      <c r="B567" s="3">
        <v>9964</v>
      </c>
      <c r="C567" s="185" t="s">
        <v>617</v>
      </c>
      <c r="D567" s="3" t="s">
        <v>618</v>
      </c>
      <c r="E567" s="189" t="s">
        <v>269</v>
      </c>
      <c r="F567" s="185" t="s">
        <v>619</v>
      </c>
      <c r="G567" s="3" t="s">
        <v>620</v>
      </c>
      <c r="H567" s="3" t="s">
        <v>121</v>
      </c>
      <c r="I567" s="3" t="s">
        <v>122</v>
      </c>
      <c r="J567" s="3" t="s">
        <v>30</v>
      </c>
      <c r="K567" s="3" t="s">
        <v>80</v>
      </c>
      <c r="L567" s="3" t="s">
        <v>123</v>
      </c>
      <c r="M567" s="3" t="s">
        <v>31</v>
      </c>
      <c r="N567" s="3" t="s">
        <v>139</v>
      </c>
      <c r="O567" s="3" t="s">
        <v>125</v>
      </c>
      <c r="P567" s="3" t="s">
        <v>165</v>
      </c>
      <c r="Q567" s="3" t="s">
        <v>146</v>
      </c>
      <c r="R567" s="3" t="s">
        <v>128</v>
      </c>
      <c r="S567" s="3" t="s">
        <v>34</v>
      </c>
      <c r="T567" s="143">
        <v>3.5720000000000001</v>
      </c>
      <c r="U567" s="3" t="s">
        <v>621</v>
      </c>
      <c r="V567" s="155">
        <v>6.7400000000000002E-2</v>
      </c>
      <c r="W567" s="155">
        <v>5.586E-2</v>
      </c>
      <c r="X567" s="5" t="s">
        <v>129</v>
      </c>
      <c r="Y567" s="5" t="s">
        <v>125</v>
      </c>
      <c r="Z567" s="143">
        <v>67000</v>
      </c>
      <c r="AA567" s="153">
        <v>1</v>
      </c>
      <c r="AB567" s="163">
        <v>104.35</v>
      </c>
      <c r="AD567" s="143">
        <v>69.915000000000006</v>
      </c>
      <c r="AG567" s="3" t="s">
        <v>36</v>
      </c>
      <c r="AH567" s="155">
        <v>1.1900000000000001E-4</v>
      </c>
      <c r="AI567" s="155">
        <v>7.96442559820882E-3</v>
      </c>
      <c r="AJ567" s="155">
        <v>1.6030343381398099E-3</v>
      </c>
    </row>
    <row r="568" spans="1:36">
      <c r="A568" s="3">
        <v>337</v>
      </c>
      <c r="B568" s="3">
        <v>9964</v>
      </c>
      <c r="C568" s="185" t="s">
        <v>626</v>
      </c>
      <c r="D568" s="3" t="s">
        <v>627</v>
      </c>
      <c r="E568" s="189" t="s">
        <v>118</v>
      </c>
      <c r="F568" s="185" t="s">
        <v>628</v>
      </c>
      <c r="G568" s="3" t="s">
        <v>629</v>
      </c>
      <c r="H568" s="3" t="s">
        <v>121</v>
      </c>
      <c r="I568" s="3" t="s">
        <v>132</v>
      </c>
      <c r="J568" s="3" t="s">
        <v>30</v>
      </c>
      <c r="K568" s="3" t="s">
        <v>30</v>
      </c>
      <c r="L568" s="3" t="s">
        <v>123</v>
      </c>
      <c r="M568" s="3" t="s">
        <v>31</v>
      </c>
      <c r="N568" s="3" t="s">
        <v>171</v>
      </c>
      <c r="O568" s="3" t="s">
        <v>125</v>
      </c>
      <c r="P568" s="3" t="s">
        <v>630</v>
      </c>
      <c r="Q568" s="3" t="s">
        <v>146</v>
      </c>
      <c r="R568" s="3" t="s">
        <v>128</v>
      </c>
      <c r="S568" s="3" t="s">
        <v>34</v>
      </c>
      <c r="T568" s="143">
        <v>2.4470000000000001</v>
      </c>
      <c r="U568" s="3" t="s">
        <v>631</v>
      </c>
      <c r="V568" s="155">
        <v>1.34E-2</v>
      </c>
      <c r="W568" s="155">
        <v>2.5499999999999998E-2</v>
      </c>
      <c r="X568" s="5" t="s">
        <v>129</v>
      </c>
      <c r="Y568" s="5" t="s">
        <v>125</v>
      </c>
      <c r="Z568" s="143">
        <v>67500</v>
      </c>
      <c r="AA568" s="153">
        <v>1</v>
      </c>
      <c r="AB568" s="163">
        <v>116.05</v>
      </c>
      <c r="AC568" s="143">
        <v>9.5619999999999994</v>
      </c>
      <c r="AD568" s="143">
        <v>87.896000000000001</v>
      </c>
      <c r="AG568" s="3" t="s">
        <v>36</v>
      </c>
      <c r="AH568" s="155">
        <v>3.4E-5</v>
      </c>
      <c r="AI568" s="155">
        <v>1.00127859362649E-2</v>
      </c>
      <c r="AJ568" s="155">
        <v>2.0153166701545799E-3</v>
      </c>
    </row>
    <row r="569" spans="1:36">
      <c r="A569" s="3">
        <v>337</v>
      </c>
      <c r="B569" s="3">
        <v>9964</v>
      </c>
      <c r="C569" s="185" t="s">
        <v>626</v>
      </c>
      <c r="D569" s="3" t="s">
        <v>627</v>
      </c>
      <c r="E569" s="189" t="s">
        <v>118</v>
      </c>
      <c r="F569" s="185" t="s">
        <v>632</v>
      </c>
      <c r="G569" s="3" t="s">
        <v>633</v>
      </c>
      <c r="H569" s="3" t="s">
        <v>121</v>
      </c>
      <c r="I569" s="3" t="s">
        <v>132</v>
      </c>
      <c r="J569" s="3" t="s">
        <v>30</v>
      </c>
      <c r="K569" s="3" t="s">
        <v>30</v>
      </c>
      <c r="L569" s="3" t="s">
        <v>123</v>
      </c>
      <c r="M569" s="3" t="s">
        <v>31</v>
      </c>
      <c r="N569" s="3" t="s">
        <v>171</v>
      </c>
      <c r="O569" s="3" t="s">
        <v>125</v>
      </c>
      <c r="P569" s="3" t="s">
        <v>82</v>
      </c>
      <c r="Q569" s="3" t="s">
        <v>127</v>
      </c>
      <c r="R569" s="3" t="s">
        <v>128</v>
      </c>
      <c r="S569" s="3" t="s">
        <v>34</v>
      </c>
      <c r="T569" s="143">
        <v>1.47</v>
      </c>
      <c r="U569" s="3" t="s">
        <v>179</v>
      </c>
      <c r="V569" s="155">
        <v>1.77E-2</v>
      </c>
      <c r="W569" s="155">
        <v>2.5729999999999999E-2</v>
      </c>
      <c r="X569" s="5" t="s">
        <v>129</v>
      </c>
      <c r="Y569" s="5" t="s">
        <v>125</v>
      </c>
      <c r="Z569" s="143">
        <v>76606.06</v>
      </c>
      <c r="AA569" s="153">
        <v>1</v>
      </c>
      <c r="AB569" s="163">
        <v>116.62</v>
      </c>
      <c r="AD569" s="143">
        <v>89.337999999999994</v>
      </c>
      <c r="AG569" s="3" t="s">
        <v>36</v>
      </c>
      <c r="AH569" s="155">
        <v>3.1000000000000001E-5</v>
      </c>
      <c r="AI569" s="155">
        <v>1.01770841803221E-2</v>
      </c>
      <c r="AJ569" s="155">
        <v>2.0483856873325301E-3</v>
      </c>
    </row>
    <row r="570" spans="1:36">
      <c r="A570" s="3">
        <v>337</v>
      </c>
      <c r="B570" s="3">
        <v>9964</v>
      </c>
      <c r="C570" s="185" t="s">
        <v>626</v>
      </c>
      <c r="D570" s="3" t="s">
        <v>627</v>
      </c>
      <c r="E570" s="189" t="s">
        <v>118</v>
      </c>
      <c r="F570" s="185" t="s">
        <v>634</v>
      </c>
      <c r="G570" s="3" t="s">
        <v>635</v>
      </c>
      <c r="H570" s="3" t="s">
        <v>121</v>
      </c>
      <c r="I570" s="3" t="s">
        <v>132</v>
      </c>
      <c r="J570" s="3" t="s">
        <v>30</v>
      </c>
      <c r="K570" s="3" t="s">
        <v>30</v>
      </c>
      <c r="L570" s="3" t="s">
        <v>123</v>
      </c>
      <c r="M570" s="3" t="s">
        <v>31</v>
      </c>
      <c r="N570" s="3" t="s">
        <v>171</v>
      </c>
      <c r="O570" s="3" t="s">
        <v>125</v>
      </c>
      <c r="P570" s="3" t="s">
        <v>630</v>
      </c>
      <c r="Q570" s="3" t="s">
        <v>146</v>
      </c>
      <c r="R570" s="3" t="s">
        <v>128</v>
      </c>
      <c r="S570" s="3" t="s">
        <v>34</v>
      </c>
      <c r="T570" s="143">
        <v>5.97</v>
      </c>
      <c r="U570" s="3" t="s">
        <v>636</v>
      </c>
      <c r="V570" s="155">
        <v>8.9999999999999993E-3</v>
      </c>
      <c r="W570" s="155">
        <v>2.4170000000000001E-2</v>
      </c>
      <c r="X570" s="5" t="s">
        <v>129</v>
      </c>
      <c r="Y570" s="5" t="s">
        <v>125</v>
      </c>
      <c r="Z570" s="143">
        <v>87497.14</v>
      </c>
      <c r="AA570" s="153">
        <v>1</v>
      </c>
      <c r="AB570" s="163">
        <v>106.24</v>
      </c>
      <c r="AC570" s="143">
        <v>0.45800000000000002</v>
      </c>
      <c r="AD570" s="143">
        <v>93.415000000000006</v>
      </c>
      <c r="AG570" s="3" t="s">
        <v>36</v>
      </c>
      <c r="AH570" s="155">
        <v>3.1999999999999999E-5</v>
      </c>
      <c r="AI570" s="155">
        <v>1.06414670387006E-2</v>
      </c>
      <c r="AJ570" s="155">
        <v>2.14185403088661E-3</v>
      </c>
    </row>
    <row r="571" spans="1:36">
      <c r="A571" s="3">
        <v>337</v>
      </c>
      <c r="B571" s="3">
        <v>9964</v>
      </c>
      <c r="C571" s="185" t="s">
        <v>626</v>
      </c>
      <c r="D571" s="3" t="s">
        <v>627</v>
      </c>
      <c r="E571" s="189" t="s">
        <v>118</v>
      </c>
      <c r="F571" s="185" t="s">
        <v>848</v>
      </c>
      <c r="G571" s="3" t="s">
        <v>849</v>
      </c>
      <c r="H571" s="3" t="s">
        <v>121</v>
      </c>
      <c r="I571" s="3" t="s">
        <v>132</v>
      </c>
      <c r="J571" s="3" t="s">
        <v>30</v>
      </c>
      <c r="K571" s="3" t="s">
        <v>30</v>
      </c>
      <c r="L571" s="3" t="s">
        <v>123</v>
      </c>
      <c r="M571" s="3" t="s">
        <v>31</v>
      </c>
      <c r="N571" s="3" t="s">
        <v>171</v>
      </c>
      <c r="O571" s="3" t="s">
        <v>125</v>
      </c>
      <c r="P571" s="3" t="s">
        <v>82</v>
      </c>
      <c r="Q571" s="3" t="s">
        <v>127</v>
      </c>
      <c r="R571" s="3" t="s">
        <v>128</v>
      </c>
      <c r="S571" s="3" t="s">
        <v>34</v>
      </c>
      <c r="T571" s="143">
        <v>11.696999999999999</v>
      </c>
      <c r="U571" s="3" t="s">
        <v>850</v>
      </c>
      <c r="V571" s="155">
        <v>3.6700000000000003E-2</v>
      </c>
      <c r="W571" s="155">
        <v>2.9229999999999999E-2</v>
      </c>
      <c r="X571" s="5" t="s">
        <v>129</v>
      </c>
      <c r="Y571" s="5" t="s">
        <v>125</v>
      </c>
      <c r="Z571" s="143">
        <v>35000</v>
      </c>
      <c r="AA571" s="153">
        <v>1</v>
      </c>
      <c r="AB571" s="163">
        <v>113.25</v>
      </c>
      <c r="AC571" s="143">
        <v>0.66700000000000004</v>
      </c>
      <c r="AD571" s="143">
        <v>40.304000000000002</v>
      </c>
      <c r="AG571" s="3" t="s">
        <v>36</v>
      </c>
      <c r="AH571" s="155">
        <v>6.9999999999999999E-6</v>
      </c>
      <c r="AI571" s="155">
        <v>4.5913091761655197E-3</v>
      </c>
      <c r="AJ571" s="155">
        <v>9.2411262754026795E-4</v>
      </c>
    </row>
    <row r="572" spans="1:36">
      <c r="A572" s="3">
        <v>337</v>
      </c>
      <c r="B572" s="3">
        <v>9964</v>
      </c>
      <c r="C572" s="185" t="s">
        <v>640</v>
      </c>
      <c r="D572" s="3" t="s">
        <v>641</v>
      </c>
      <c r="E572" s="189" t="s">
        <v>118</v>
      </c>
      <c r="F572" s="185" t="s">
        <v>642</v>
      </c>
      <c r="G572" s="3" t="s">
        <v>643</v>
      </c>
      <c r="H572" s="3" t="s">
        <v>121</v>
      </c>
      <c r="I572" s="3" t="s">
        <v>122</v>
      </c>
      <c r="J572" s="3" t="s">
        <v>30</v>
      </c>
      <c r="K572" s="3" t="s">
        <v>30</v>
      </c>
      <c r="L572" s="3" t="s">
        <v>123</v>
      </c>
      <c r="M572" s="3" t="s">
        <v>31</v>
      </c>
      <c r="N572" s="3" t="s">
        <v>124</v>
      </c>
      <c r="O572" s="3" t="s">
        <v>125</v>
      </c>
      <c r="P572" s="3" t="s">
        <v>243</v>
      </c>
      <c r="Q572" s="3" t="s">
        <v>127</v>
      </c>
      <c r="R572" s="3" t="s">
        <v>128</v>
      </c>
      <c r="S572" s="3" t="s">
        <v>34</v>
      </c>
      <c r="T572" s="143">
        <v>0.91300000000000003</v>
      </c>
      <c r="U572" s="3" t="s">
        <v>35</v>
      </c>
      <c r="V572" s="155">
        <v>0.06</v>
      </c>
      <c r="W572" s="155">
        <v>4.8739999999999999E-2</v>
      </c>
      <c r="X572" s="5" t="s">
        <v>129</v>
      </c>
      <c r="Y572" s="5" t="s">
        <v>125</v>
      </c>
      <c r="Z572" s="143">
        <v>0.6</v>
      </c>
      <c r="AA572" s="153">
        <v>1</v>
      </c>
      <c r="AB572" s="163">
        <v>101.59</v>
      </c>
      <c r="AD572" s="143">
        <v>1E-3</v>
      </c>
      <c r="AG572" s="3" t="s">
        <v>36</v>
      </c>
      <c r="AH572" s="155">
        <v>0</v>
      </c>
      <c r="AI572" s="155">
        <v>6.9436754595001096E-8</v>
      </c>
      <c r="AJ572" s="155">
        <v>1.39758354914895E-8</v>
      </c>
    </row>
    <row r="573" spans="1:36">
      <c r="A573" s="3">
        <v>337</v>
      </c>
      <c r="B573" s="3">
        <v>9964</v>
      </c>
      <c r="C573" s="185" t="s">
        <v>644</v>
      </c>
      <c r="D573" s="3" t="s">
        <v>645</v>
      </c>
      <c r="E573" s="189" t="s">
        <v>118</v>
      </c>
      <c r="F573" s="185" t="s">
        <v>646</v>
      </c>
      <c r="G573" s="3" t="s">
        <v>647</v>
      </c>
      <c r="H573" s="3" t="s">
        <v>121</v>
      </c>
      <c r="I573" s="3" t="s">
        <v>132</v>
      </c>
      <c r="J573" s="3" t="s">
        <v>30</v>
      </c>
      <c r="K573" s="3" t="s">
        <v>30</v>
      </c>
      <c r="L573" s="3" t="s">
        <v>123</v>
      </c>
      <c r="M573" s="3" t="s">
        <v>31</v>
      </c>
      <c r="N573" s="3" t="s">
        <v>316</v>
      </c>
      <c r="O573" s="3" t="s">
        <v>125</v>
      </c>
      <c r="P573" s="3" t="s">
        <v>357</v>
      </c>
      <c r="Q573" s="3" t="s">
        <v>146</v>
      </c>
      <c r="R573" s="3" t="s">
        <v>128</v>
      </c>
      <c r="S573" s="3" t="s">
        <v>34</v>
      </c>
      <c r="T573" s="143">
        <v>3.3740000000000001</v>
      </c>
      <c r="U573" s="3" t="s">
        <v>648</v>
      </c>
      <c r="V573" s="155">
        <v>1E-3</v>
      </c>
      <c r="W573" s="155">
        <v>2.1420000000000002E-2</v>
      </c>
      <c r="X573" s="5" t="s">
        <v>129</v>
      </c>
      <c r="Y573" s="5" t="s">
        <v>125</v>
      </c>
      <c r="Z573" s="143">
        <v>28031.4</v>
      </c>
      <c r="AA573" s="153">
        <v>1</v>
      </c>
      <c r="AB573" s="163">
        <v>107.43</v>
      </c>
      <c r="AD573" s="143">
        <v>30.114000000000001</v>
      </c>
      <c r="AG573" s="3" t="s">
        <v>36</v>
      </c>
      <c r="AH573" s="155">
        <v>3.3000000000000003E-5</v>
      </c>
      <c r="AI573" s="155">
        <v>3.4305011391392798E-3</v>
      </c>
      <c r="AJ573" s="155">
        <v>6.9047178045140696E-4</v>
      </c>
    </row>
    <row r="574" spans="1:36">
      <c r="A574" s="3">
        <v>337</v>
      </c>
      <c r="B574" s="3">
        <v>9964</v>
      </c>
      <c r="C574" s="185" t="s">
        <v>644</v>
      </c>
      <c r="D574" s="3" t="s">
        <v>645</v>
      </c>
      <c r="E574" s="189" t="s">
        <v>118</v>
      </c>
      <c r="F574" s="185" t="s">
        <v>855</v>
      </c>
      <c r="G574" s="3" t="s">
        <v>856</v>
      </c>
      <c r="H574" s="3" t="s">
        <v>121</v>
      </c>
      <c r="I574" s="3" t="s">
        <v>132</v>
      </c>
      <c r="J574" s="3" t="s">
        <v>30</v>
      </c>
      <c r="K574" s="3" t="s">
        <v>30</v>
      </c>
      <c r="L574" s="3" t="s">
        <v>123</v>
      </c>
      <c r="M574" s="3" t="s">
        <v>31</v>
      </c>
      <c r="N574" s="3" t="s">
        <v>316</v>
      </c>
      <c r="O574" s="3" t="s">
        <v>125</v>
      </c>
      <c r="P574" s="3" t="s">
        <v>357</v>
      </c>
      <c r="Q574" s="3" t="s">
        <v>146</v>
      </c>
      <c r="R574" s="3" t="s">
        <v>128</v>
      </c>
      <c r="S574" s="3" t="s">
        <v>34</v>
      </c>
      <c r="T574" s="143">
        <v>3.7730000000000001</v>
      </c>
      <c r="U574" s="3" t="s">
        <v>857</v>
      </c>
      <c r="V574" s="155">
        <v>1.3899999999999999E-2</v>
      </c>
      <c r="W574" s="155">
        <v>2.1940000000000001E-2</v>
      </c>
      <c r="X574" s="5" t="s">
        <v>129</v>
      </c>
      <c r="Y574" s="5" t="s">
        <v>125</v>
      </c>
      <c r="Z574" s="143">
        <v>44100</v>
      </c>
      <c r="AA574" s="153">
        <v>1</v>
      </c>
      <c r="AB574" s="163">
        <v>106.41</v>
      </c>
      <c r="AD574" s="143">
        <v>46.927</v>
      </c>
      <c r="AG574" s="3" t="s">
        <v>36</v>
      </c>
      <c r="AH574" s="155">
        <v>3.1000000000000001E-5</v>
      </c>
      <c r="AI574" s="155">
        <v>5.3457449714477204E-3</v>
      </c>
      <c r="AJ574" s="155">
        <v>1.07596117843026E-3</v>
      </c>
    </row>
    <row r="575" spans="1:36">
      <c r="A575" s="3">
        <v>337</v>
      </c>
      <c r="B575" s="3">
        <v>9964</v>
      </c>
      <c r="C575" s="185" t="s">
        <v>644</v>
      </c>
      <c r="D575" s="3" t="s">
        <v>645</v>
      </c>
      <c r="E575" s="189" t="s">
        <v>118</v>
      </c>
      <c r="F575" s="185" t="s">
        <v>858</v>
      </c>
      <c r="G575" s="3" t="s">
        <v>859</v>
      </c>
      <c r="H575" s="3" t="s">
        <v>121</v>
      </c>
      <c r="I575" s="3" t="s">
        <v>132</v>
      </c>
      <c r="J575" s="3" t="s">
        <v>30</v>
      </c>
      <c r="K575" s="3" t="s">
        <v>30</v>
      </c>
      <c r="L575" s="3" t="s">
        <v>123</v>
      </c>
      <c r="M575" s="3" t="s">
        <v>31</v>
      </c>
      <c r="N575" s="3" t="s">
        <v>316</v>
      </c>
      <c r="O575" s="3" t="s">
        <v>125</v>
      </c>
      <c r="P575" s="3" t="s">
        <v>357</v>
      </c>
      <c r="Q575" s="3" t="s">
        <v>146</v>
      </c>
      <c r="R575" s="3" t="s">
        <v>128</v>
      </c>
      <c r="S575" s="3" t="s">
        <v>34</v>
      </c>
      <c r="T575" s="143">
        <v>1.3049999999999999</v>
      </c>
      <c r="U575" s="3" t="s">
        <v>860</v>
      </c>
      <c r="V575" s="155">
        <v>6.0000000000000001E-3</v>
      </c>
      <c r="W575" s="155">
        <v>2.4500000000000001E-2</v>
      </c>
      <c r="X575" s="5" t="s">
        <v>129</v>
      </c>
      <c r="Y575" s="5" t="s">
        <v>125</v>
      </c>
      <c r="Z575" s="143">
        <v>24000</v>
      </c>
      <c r="AA575" s="153">
        <v>1</v>
      </c>
      <c r="AB575" s="163">
        <v>116.67</v>
      </c>
      <c r="AD575" s="143">
        <v>28.001000000000001</v>
      </c>
      <c r="AG575" s="3" t="s">
        <v>36</v>
      </c>
      <c r="AH575" s="155">
        <v>3.6000000000000001E-5</v>
      </c>
      <c r="AI575" s="155">
        <v>3.1897573220194E-3</v>
      </c>
      <c r="AJ575" s="155">
        <v>6.4201623261820001E-4</v>
      </c>
    </row>
    <row r="576" spans="1:36">
      <c r="A576" s="3">
        <v>337</v>
      </c>
      <c r="B576" s="3">
        <v>9964</v>
      </c>
      <c r="C576" s="185" t="s">
        <v>644</v>
      </c>
      <c r="D576" s="3" t="s">
        <v>645</v>
      </c>
      <c r="E576" s="189" t="s">
        <v>118</v>
      </c>
      <c r="F576" s="185" t="s">
        <v>649</v>
      </c>
      <c r="G576" s="3" t="s">
        <v>650</v>
      </c>
      <c r="H576" s="3" t="s">
        <v>121</v>
      </c>
      <c r="I576" s="3" t="s">
        <v>132</v>
      </c>
      <c r="J576" s="3" t="s">
        <v>30</v>
      </c>
      <c r="K576" s="3" t="s">
        <v>30</v>
      </c>
      <c r="L576" s="3" t="s">
        <v>123</v>
      </c>
      <c r="M576" s="3" t="s">
        <v>31</v>
      </c>
      <c r="N576" s="3" t="s">
        <v>316</v>
      </c>
      <c r="O576" s="3" t="s">
        <v>125</v>
      </c>
      <c r="P576" s="3" t="s">
        <v>357</v>
      </c>
      <c r="Q576" s="3" t="s">
        <v>146</v>
      </c>
      <c r="R576" s="3" t="s">
        <v>128</v>
      </c>
      <c r="S576" s="3" t="s">
        <v>34</v>
      </c>
      <c r="T576" s="143">
        <v>2.8460000000000001</v>
      </c>
      <c r="U576" s="3" t="s">
        <v>651</v>
      </c>
      <c r="V576" s="155">
        <v>1.7500000000000002E-2</v>
      </c>
      <c r="W576" s="155">
        <v>2.1700000000000001E-2</v>
      </c>
      <c r="X576" s="5" t="s">
        <v>129</v>
      </c>
      <c r="Y576" s="5" t="s">
        <v>125</v>
      </c>
      <c r="Z576" s="143">
        <v>6825.27</v>
      </c>
      <c r="AA576" s="153">
        <v>1</v>
      </c>
      <c r="AB576" s="163">
        <v>116.05</v>
      </c>
      <c r="AD576" s="143">
        <v>7.9210000000000003</v>
      </c>
      <c r="AG576" s="3" t="s">
        <v>36</v>
      </c>
      <c r="AH576" s="155">
        <v>3.9999999999999998E-6</v>
      </c>
      <c r="AI576" s="155">
        <v>9.0230254949499595E-4</v>
      </c>
      <c r="AJ576" s="155">
        <v>1.8161033114012299E-4</v>
      </c>
    </row>
    <row r="577" spans="1:36">
      <c r="A577" s="3">
        <v>337</v>
      </c>
      <c r="B577" s="3">
        <v>9964</v>
      </c>
      <c r="C577" s="185" t="s">
        <v>644</v>
      </c>
      <c r="D577" s="3" t="s">
        <v>645</v>
      </c>
      <c r="E577" s="189" t="s">
        <v>118</v>
      </c>
      <c r="F577" s="185" t="s">
        <v>652</v>
      </c>
      <c r="G577" s="3" t="s">
        <v>653</v>
      </c>
      <c r="H577" s="3" t="s">
        <v>121</v>
      </c>
      <c r="I577" s="3" t="s">
        <v>132</v>
      </c>
      <c r="J577" s="3" t="s">
        <v>30</v>
      </c>
      <c r="K577" s="3" t="s">
        <v>30</v>
      </c>
      <c r="L577" s="3" t="s">
        <v>123</v>
      </c>
      <c r="M577" s="3" t="s">
        <v>31</v>
      </c>
      <c r="N577" s="3" t="s">
        <v>316</v>
      </c>
      <c r="O577" s="3" t="s">
        <v>125</v>
      </c>
      <c r="P577" s="3" t="s">
        <v>145</v>
      </c>
      <c r="Q577" s="3" t="s">
        <v>146</v>
      </c>
      <c r="R577" s="3" t="s">
        <v>128</v>
      </c>
      <c r="S577" s="3" t="s">
        <v>34</v>
      </c>
      <c r="T577" s="143">
        <v>9.8170000000000002</v>
      </c>
      <c r="U577" s="3" t="s">
        <v>654</v>
      </c>
      <c r="V577" s="155">
        <v>3.1899999999999998E-2</v>
      </c>
      <c r="W577" s="155">
        <v>3.014E-2</v>
      </c>
      <c r="X577" s="5" t="s">
        <v>129</v>
      </c>
      <c r="Y577" s="5" t="s">
        <v>125</v>
      </c>
      <c r="Z577" s="143">
        <v>38000</v>
      </c>
      <c r="AA577" s="153">
        <v>1</v>
      </c>
      <c r="AB577" s="163">
        <v>102.94</v>
      </c>
      <c r="AD577" s="143">
        <v>39.116999999999997</v>
      </c>
      <c r="AG577" s="3" t="s">
        <v>36</v>
      </c>
      <c r="AH577" s="155">
        <v>4.0000000000000003E-5</v>
      </c>
      <c r="AI577" s="155">
        <v>4.45610036559303E-3</v>
      </c>
      <c r="AJ577" s="155">
        <v>8.9689856627570203E-4</v>
      </c>
    </row>
    <row r="578" spans="1:36">
      <c r="A578" s="3">
        <v>337</v>
      </c>
      <c r="B578" s="3">
        <v>9964</v>
      </c>
      <c r="C578" s="185" t="s">
        <v>644</v>
      </c>
      <c r="D578" s="3" t="s">
        <v>645</v>
      </c>
      <c r="E578" s="189" t="s">
        <v>118</v>
      </c>
      <c r="F578" s="185" t="s">
        <v>655</v>
      </c>
      <c r="G578" s="3" t="s">
        <v>656</v>
      </c>
      <c r="H578" s="3" t="s">
        <v>121</v>
      </c>
      <c r="I578" s="3" t="s">
        <v>132</v>
      </c>
      <c r="J578" s="3" t="s">
        <v>30</v>
      </c>
      <c r="K578" s="3" t="s">
        <v>30</v>
      </c>
      <c r="L578" s="3" t="s">
        <v>123</v>
      </c>
      <c r="M578" s="3" t="s">
        <v>31</v>
      </c>
      <c r="N578" s="3" t="s">
        <v>316</v>
      </c>
      <c r="O578" s="3" t="s">
        <v>125</v>
      </c>
      <c r="P578" s="3" t="s">
        <v>145</v>
      </c>
      <c r="Q578" s="3" t="s">
        <v>146</v>
      </c>
      <c r="R578" s="3" t="s">
        <v>128</v>
      </c>
      <c r="S578" s="3" t="s">
        <v>34</v>
      </c>
      <c r="T578" s="143">
        <v>6.2679999999999998</v>
      </c>
      <c r="U578" s="3" t="s">
        <v>657</v>
      </c>
      <c r="V578" s="155">
        <v>3.4500000000000003E-2</v>
      </c>
      <c r="W578" s="155">
        <v>2.657E-2</v>
      </c>
      <c r="X578" s="5" t="s">
        <v>129</v>
      </c>
      <c r="Y578" s="5" t="s">
        <v>125</v>
      </c>
      <c r="Z578" s="143">
        <v>70000</v>
      </c>
      <c r="AA578" s="153">
        <v>1</v>
      </c>
      <c r="AB578" s="163">
        <v>107.34</v>
      </c>
      <c r="AD578" s="143">
        <v>75.138000000000005</v>
      </c>
      <c r="AG578" s="3" t="s">
        <v>36</v>
      </c>
      <c r="AH578" s="155">
        <v>4.8000000000000001E-5</v>
      </c>
      <c r="AI578" s="155">
        <v>8.5594692173757096E-3</v>
      </c>
      <c r="AJ578" s="155">
        <v>1.72280133733559E-3</v>
      </c>
    </row>
    <row r="579" spans="1:36">
      <c r="A579" s="3">
        <v>337</v>
      </c>
      <c r="B579" s="3">
        <v>9964</v>
      </c>
      <c r="C579" s="185" t="s">
        <v>644</v>
      </c>
      <c r="D579" s="3" t="s">
        <v>645</v>
      </c>
      <c r="E579" s="189" t="s">
        <v>118</v>
      </c>
      <c r="F579" s="185" t="s">
        <v>861</v>
      </c>
      <c r="G579" s="3" t="s">
        <v>862</v>
      </c>
      <c r="H579" s="3" t="s">
        <v>121</v>
      </c>
      <c r="I579" s="3" t="s">
        <v>132</v>
      </c>
      <c r="J579" s="3" t="s">
        <v>30</v>
      </c>
      <c r="K579" s="3" t="s">
        <v>30</v>
      </c>
      <c r="L579" s="3" t="s">
        <v>123</v>
      </c>
      <c r="M579" s="3" t="s">
        <v>31</v>
      </c>
      <c r="N579" s="3" t="s">
        <v>316</v>
      </c>
      <c r="O579" s="3" t="s">
        <v>125</v>
      </c>
      <c r="P579" s="3" t="s">
        <v>145</v>
      </c>
      <c r="Q579" s="3" t="s">
        <v>146</v>
      </c>
      <c r="R579" s="3" t="s">
        <v>128</v>
      </c>
      <c r="S579" s="3" t="s">
        <v>34</v>
      </c>
      <c r="T579" s="143">
        <v>2.1720000000000002</v>
      </c>
      <c r="U579" s="3" t="s">
        <v>863</v>
      </c>
      <c r="V579" s="155">
        <v>8.3999999999999995E-3</v>
      </c>
      <c r="W579" s="155">
        <v>2.5229999999999999E-2</v>
      </c>
      <c r="X579" s="5" t="s">
        <v>129</v>
      </c>
      <c r="Y579" s="5" t="s">
        <v>125</v>
      </c>
      <c r="Z579" s="143">
        <v>50000</v>
      </c>
      <c r="AA579" s="153">
        <v>1</v>
      </c>
      <c r="AB579" s="163">
        <v>111.32</v>
      </c>
      <c r="AD579" s="143">
        <v>55.66</v>
      </c>
      <c r="AG579" s="3" t="s">
        <v>36</v>
      </c>
      <c r="AH579" s="155">
        <v>1.26E-4</v>
      </c>
      <c r="AI579" s="155">
        <v>6.3406007165366703E-3</v>
      </c>
      <c r="AJ579" s="155">
        <v>1.27620009098058E-3</v>
      </c>
    </row>
    <row r="580" spans="1:36">
      <c r="A580" s="3">
        <v>337</v>
      </c>
      <c r="B580" s="3">
        <v>9964</v>
      </c>
      <c r="C580" s="185" t="s">
        <v>658</v>
      </c>
      <c r="D580" s="3" t="s">
        <v>659</v>
      </c>
      <c r="E580" s="189" t="s">
        <v>118</v>
      </c>
      <c r="F580" s="185" t="s">
        <v>660</v>
      </c>
      <c r="G580" s="3" t="s">
        <v>661</v>
      </c>
      <c r="H580" s="3" t="s">
        <v>121</v>
      </c>
      <c r="I580" s="3" t="s">
        <v>122</v>
      </c>
      <c r="J580" s="3" t="s">
        <v>30</v>
      </c>
      <c r="K580" s="3" t="s">
        <v>30</v>
      </c>
      <c r="L580" s="3" t="s">
        <v>123</v>
      </c>
      <c r="M580" s="3" t="s">
        <v>31</v>
      </c>
      <c r="N580" s="3" t="s">
        <v>662</v>
      </c>
      <c r="O580" s="3" t="s">
        <v>125</v>
      </c>
      <c r="P580" s="3" t="s">
        <v>145</v>
      </c>
      <c r="Q580" s="3" t="s">
        <v>146</v>
      </c>
      <c r="R580" s="3" t="s">
        <v>128</v>
      </c>
      <c r="S580" s="3" t="s">
        <v>34</v>
      </c>
      <c r="T580" s="143">
        <v>0.90900000000000003</v>
      </c>
      <c r="U580" s="3" t="s">
        <v>663</v>
      </c>
      <c r="V580" s="155">
        <v>2.29E-2</v>
      </c>
      <c r="W580" s="155">
        <v>4.4609999999999997E-2</v>
      </c>
      <c r="X580" s="5" t="s">
        <v>129</v>
      </c>
      <c r="Y580" s="5" t="s">
        <v>125</v>
      </c>
      <c r="Z580" s="143">
        <v>15000</v>
      </c>
      <c r="AA580" s="153">
        <v>1</v>
      </c>
      <c r="AB580" s="163">
        <v>98.31</v>
      </c>
      <c r="AD580" s="143">
        <v>14.746</v>
      </c>
      <c r="AG580" s="3" t="s">
        <v>36</v>
      </c>
      <c r="AH580" s="155">
        <v>9.1000000000000003E-5</v>
      </c>
      <c r="AI580" s="155">
        <v>1.67987187327359E-3</v>
      </c>
      <c r="AJ580" s="155">
        <v>3.38115067223233E-4</v>
      </c>
    </row>
    <row r="581" spans="1:36">
      <c r="A581" s="3">
        <v>337</v>
      </c>
      <c r="B581" s="3">
        <v>9964</v>
      </c>
      <c r="C581" s="185" t="s">
        <v>664</v>
      </c>
      <c r="D581" s="3" t="s">
        <v>665</v>
      </c>
      <c r="E581" s="189" t="s">
        <v>118</v>
      </c>
      <c r="F581" s="185" t="s">
        <v>666</v>
      </c>
      <c r="G581" s="3" t="s">
        <v>667</v>
      </c>
      <c r="H581" s="3" t="s">
        <v>121</v>
      </c>
      <c r="I581" s="3" t="s">
        <v>122</v>
      </c>
      <c r="J581" s="3" t="s">
        <v>30</v>
      </c>
      <c r="K581" s="3" t="s">
        <v>30</v>
      </c>
      <c r="L581" s="3" t="s">
        <v>123</v>
      </c>
      <c r="M581" s="3" t="s">
        <v>31</v>
      </c>
      <c r="N581" s="3" t="s">
        <v>159</v>
      </c>
      <c r="O581" s="3" t="s">
        <v>125</v>
      </c>
      <c r="P581" s="3" t="s">
        <v>165</v>
      </c>
      <c r="Q581" s="3" t="s">
        <v>146</v>
      </c>
      <c r="R581" s="3" t="s">
        <v>128</v>
      </c>
      <c r="S581" s="3" t="s">
        <v>34</v>
      </c>
      <c r="T581" s="143">
        <v>5.0960000000000001</v>
      </c>
      <c r="U581" s="3" t="s">
        <v>668</v>
      </c>
      <c r="V581" s="155">
        <v>5.1499999999999997E-2</v>
      </c>
      <c r="W581" s="155">
        <v>4.2450000000000002E-2</v>
      </c>
      <c r="X581" s="5" t="s">
        <v>129</v>
      </c>
      <c r="Y581" s="5" t="s">
        <v>125</v>
      </c>
      <c r="Z581" s="143">
        <v>55000</v>
      </c>
      <c r="AA581" s="153">
        <v>1</v>
      </c>
      <c r="AB581" s="163">
        <v>105.7</v>
      </c>
      <c r="AD581" s="143">
        <v>58.134999999999998</v>
      </c>
      <c r="AG581" s="3" t="s">
        <v>36</v>
      </c>
      <c r="AH581" s="155">
        <v>5.5000000000000002E-5</v>
      </c>
      <c r="AI581" s="155">
        <v>6.6225444242878004E-3</v>
      </c>
      <c r="AJ581" s="155">
        <v>1.33294811874157E-3</v>
      </c>
    </row>
    <row r="582" spans="1:36">
      <c r="A582" s="3">
        <v>337</v>
      </c>
      <c r="B582" s="3">
        <v>9964</v>
      </c>
      <c r="C582" s="185" t="s">
        <v>664</v>
      </c>
      <c r="D582" s="3" t="s">
        <v>665</v>
      </c>
      <c r="E582" s="189" t="s">
        <v>118</v>
      </c>
      <c r="F582" s="185" t="s">
        <v>864</v>
      </c>
      <c r="G582" s="3" t="s">
        <v>865</v>
      </c>
      <c r="H582" s="3" t="s">
        <v>121</v>
      </c>
      <c r="I582" s="3" t="s">
        <v>122</v>
      </c>
      <c r="J582" s="3" t="s">
        <v>30</v>
      </c>
      <c r="K582" s="3" t="s">
        <v>30</v>
      </c>
      <c r="L582" s="3" t="s">
        <v>123</v>
      </c>
      <c r="M582" s="3" t="s">
        <v>31</v>
      </c>
      <c r="N582" s="3" t="s">
        <v>159</v>
      </c>
      <c r="O582" s="3" t="s">
        <v>125</v>
      </c>
      <c r="P582" s="3" t="s">
        <v>165</v>
      </c>
      <c r="Q582" s="3" t="s">
        <v>146</v>
      </c>
      <c r="R582" s="3" t="s">
        <v>128</v>
      </c>
      <c r="S582" s="3" t="s">
        <v>34</v>
      </c>
      <c r="T582" s="143">
        <v>3.1920000000000002</v>
      </c>
      <c r="U582" s="3" t="s">
        <v>326</v>
      </c>
      <c r="V582" s="155">
        <v>2.6200000000000001E-2</v>
      </c>
      <c r="W582" s="155">
        <v>4.1980000000000003E-2</v>
      </c>
      <c r="X582" s="5" t="s">
        <v>129</v>
      </c>
      <c r="Y582" s="5" t="s">
        <v>125</v>
      </c>
      <c r="Z582" s="143">
        <v>67114</v>
      </c>
      <c r="AA582" s="153">
        <v>1</v>
      </c>
      <c r="AB582" s="163">
        <v>95.72</v>
      </c>
      <c r="AD582" s="143">
        <v>64.242000000000004</v>
      </c>
      <c r="AG582" s="3" t="s">
        <v>36</v>
      </c>
      <c r="AH582" s="155">
        <v>5.1999999999999997E-5</v>
      </c>
      <c r="AI582" s="155">
        <v>7.31817881451465E-3</v>
      </c>
      <c r="AJ582" s="155">
        <v>1.4729614568755099E-3</v>
      </c>
    </row>
    <row r="583" spans="1:36">
      <c r="A583" s="3">
        <v>337</v>
      </c>
      <c r="B583" s="3">
        <v>9964</v>
      </c>
      <c r="C583" s="185" t="s">
        <v>664</v>
      </c>
      <c r="D583" s="3" t="s">
        <v>665</v>
      </c>
      <c r="E583" s="189" t="s">
        <v>118</v>
      </c>
      <c r="F583" s="185" t="s">
        <v>669</v>
      </c>
      <c r="G583" s="3" t="s">
        <v>670</v>
      </c>
      <c r="H583" s="3" t="s">
        <v>121</v>
      </c>
      <c r="I583" s="3" t="s">
        <v>132</v>
      </c>
      <c r="J583" s="3" t="s">
        <v>30</v>
      </c>
      <c r="K583" s="3" t="s">
        <v>30</v>
      </c>
      <c r="L583" s="3" t="s">
        <v>123</v>
      </c>
      <c r="M583" s="3" t="s">
        <v>31</v>
      </c>
      <c r="N583" s="3" t="s">
        <v>159</v>
      </c>
      <c r="O583" s="3" t="s">
        <v>125</v>
      </c>
      <c r="P583" s="3" t="s">
        <v>145</v>
      </c>
      <c r="Q583" s="3" t="s">
        <v>146</v>
      </c>
      <c r="R583" s="3" t="s">
        <v>128</v>
      </c>
      <c r="S583" s="3" t="s">
        <v>34</v>
      </c>
      <c r="T583" s="143">
        <v>5.7039999999999997</v>
      </c>
      <c r="U583" s="3" t="s">
        <v>671</v>
      </c>
      <c r="V583" s="155">
        <v>2.0899999999999998E-2</v>
      </c>
      <c r="W583" s="155">
        <v>2.4760000000000001E-2</v>
      </c>
      <c r="X583" s="5" t="s">
        <v>129</v>
      </c>
      <c r="Y583" s="5" t="s">
        <v>125</v>
      </c>
      <c r="Z583" s="143">
        <v>100000</v>
      </c>
      <c r="AA583" s="153">
        <v>1</v>
      </c>
      <c r="AB583" s="163">
        <v>114.75</v>
      </c>
      <c r="AD583" s="143">
        <v>114.75</v>
      </c>
      <c r="AG583" s="3" t="s">
        <v>36</v>
      </c>
      <c r="AH583" s="155">
        <v>6.4999999999999994E-5</v>
      </c>
      <c r="AI583" s="155">
        <v>1.30719355411891E-2</v>
      </c>
      <c r="AJ583" s="155">
        <v>2.6310449234642798E-3</v>
      </c>
    </row>
    <row r="584" spans="1:36">
      <c r="A584" s="3">
        <v>337</v>
      </c>
      <c r="B584" s="3">
        <v>9964</v>
      </c>
      <c r="C584" s="185" t="s">
        <v>672</v>
      </c>
      <c r="D584" s="3" t="s">
        <v>673</v>
      </c>
      <c r="E584" s="189" t="s">
        <v>118</v>
      </c>
      <c r="F584" s="185" t="s">
        <v>674</v>
      </c>
      <c r="G584" s="3" t="s">
        <v>675</v>
      </c>
      <c r="H584" s="3" t="s">
        <v>121</v>
      </c>
      <c r="I584" s="3" t="s">
        <v>122</v>
      </c>
      <c r="J584" s="3" t="s">
        <v>30</v>
      </c>
      <c r="K584" s="3" t="s">
        <v>30</v>
      </c>
      <c r="L584" s="3" t="s">
        <v>123</v>
      </c>
      <c r="M584" s="3" t="s">
        <v>31</v>
      </c>
      <c r="N584" s="3" t="s">
        <v>139</v>
      </c>
      <c r="O584" s="3" t="s">
        <v>125</v>
      </c>
      <c r="P584" s="3" t="s">
        <v>126</v>
      </c>
      <c r="Q584" s="3" t="s">
        <v>127</v>
      </c>
      <c r="R584" s="3" t="s">
        <v>128</v>
      </c>
      <c r="S584" s="3" t="s">
        <v>34</v>
      </c>
      <c r="T584" s="143">
        <v>5.3339999999999996</v>
      </c>
      <c r="U584" s="3" t="s">
        <v>676</v>
      </c>
      <c r="V584" s="155">
        <v>5.5899999999999998E-2</v>
      </c>
      <c r="W584" s="155">
        <v>4.7629999999999999E-2</v>
      </c>
      <c r="X584" s="5" t="s">
        <v>129</v>
      </c>
      <c r="Y584" s="5" t="s">
        <v>125</v>
      </c>
      <c r="Z584" s="143">
        <v>128000</v>
      </c>
      <c r="AA584" s="153">
        <v>1</v>
      </c>
      <c r="AB584" s="163">
        <v>106.13</v>
      </c>
      <c r="AD584" s="143">
        <v>135.846</v>
      </c>
      <c r="AG584" s="3" t="s">
        <v>36</v>
      </c>
      <c r="AH584" s="155">
        <v>2.9799999999999998E-4</v>
      </c>
      <c r="AI584" s="155">
        <v>1.54751667477349E-2</v>
      </c>
      <c r="AJ584" s="155">
        <v>3.11475364785096E-3</v>
      </c>
    </row>
    <row r="585" spans="1:36">
      <c r="A585" s="3">
        <v>337</v>
      </c>
      <c r="B585" s="3">
        <v>9964</v>
      </c>
      <c r="C585" s="185" t="s">
        <v>679</v>
      </c>
      <c r="D585" s="3" t="s">
        <v>680</v>
      </c>
      <c r="E585" s="189" t="s">
        <v>118</v>
      </c>
      <c r="F585" s="185" t="s">
        <v>681</v>
      </c>
      <c r="G585" s="3" t="s">
        <v>682</v>
      </c>
      <c r="H585" s="3" t="s">
        <v>121</v>
      </c>
      <c r="I585" s="3" t="s">
        <v>122</v>
      </c>
      <c r="J585" s="3" t="s">
        <v>30</v>
      </c>
      <c r="K585" s="3" t="s">
        <v>30</v>
      </c>
      <c r="L585" s="3" t="s">
        <v>123</v>
      </c>
      <c r="M585" s="3" t="s">
        <v>31</v>
      </c>
      <c r="N585" s="3" t="s">
        <v>177</v>
      </c>
      <c r="O585" s="3" t="s">
        <v>125</v>
      </c>
      <c r="P585" s="3" t="s">
        <v>126</v>
      </c>
      <c r="Q585" s="3" t="s">
        <v>127</v>
      </c>
      <c r="R585" s="3" t="s">
        <v>128</v>
      </c>
      <c r="S585" s="3" t="s">
        <v>34</v>
      </c>
      <c r="T585" s="143">
        <v>3.5139999999999998</v>
      </c>
      <c r="U585" s="3" t="s">
        <v>683</v>
      </c>
      <c r="V585" s="155">
        <v>6.3299999999999995E-2</v>
      </c>
      <c r="W585" s="155">
        <v>4.7239999999999997E-2</v>
      </c>
      <c r="X585" s="5" t="s">
        <v>129</v>
      </c>
      <c r="Y585" s="5" t="s">
        <v>125</v>
      </c>
      <c r="Z585" s="143">
        <v>53000</v>
      </c>
      <c r="AA585" s="153">
        <v>1</v>
      </c>
      <c r="AB585" s="163">
        <v>108.04</v>
      </c>
      <c r="AD585" s="143">
        <v>57.261000000000003</v>
      </c>
      <c r="AG585" s="3" t="s">
        <v>36</v>
      </c>
      <c r="AH585" s="155">
        <v>8.1000000000000004E-5</v>
      </c>
      <c r="AI585" s="155">
        <v>6.5230040558704504E-3</v>
      </c>
      <c r="AJ585" s="155">
        <v>1.31291319887994E-3</v>
      </c>
    </row>
    <row r="586" spans="1:36">
      <c r="A586" s="3">
        <v>337</v>
      </c>
      <c r="B586" s="3">
        <v>9964</v>
      </c>
      <c r="C586" s="185" t="s">
        <v>679</v>
      </c>
      <c r="D586" s="3" t="s">
        <v>680</v>
      </c>
      <c r="E586" s="189" t="s">
        <v>118</v>
      </c>
      <c r="F586" s="185" t="s">
        <v>684</v>
      </c>
      <c r="G586" s="3" t="s">
        <v>685</v>
      </c>
      <c r="H586" s="3" t="s">
        <v>121</v>
      </c>
      <c r="I586" s="3" t="s">
        <v>132</v>
      </c>
      <c r="J586" s="3" t="s">
        <v>30</v>
      </c>
      <c r="K586" s="3" t="s">
        <v>30</v>
      </c>
      <c r="L586" s="3" t="s">
        <v>123</v>
      </c>
      <c r="M586" s="3" t="s">
        <v>31</v>
      </c>
      <c r="N586" s="3" t="s">
        <v>177</v>
      </c>
      <c r="O586" s="3" t="s">
        <v>125</v>
      </c>
      <c r="P586" s="3" t="s">
        <v>126</v>
      </c>
      <c r="Q586" s="3" t="s">
        <v>127</v>
      </c>
      <c r="R586" s="3" t="s">
        <v>128</v>
      </c>
      <c r="S586" s="3" t="s">
        <v>34</v>
      </c>
      <c r="T586" s="143">
        <v>3.2549999999999999</v>
      </c>
      <c r="U586" s="3" t="s">
        <v>296</v>
      </c>
      <c r="V586" s="155">
        <v>3.2500000000000001E-2</v>
      </c>
      <c r="W586" s="155">
        <v>2.648E-2</v>
      </c>
      <c r="X586" s="5" t="s">
        <v>129</v>
      </c>
      <c r="Y586" s="5" t="s">
        <v>125</v>
      </c>
      <c r="Z586" s="143">
        <v>39600</v>
      </c>
      <c r="AA586" s="153">
        <v>1</v>
      </c>
      <c r="AB586" s="163">
        <v>113.5</v>
      </c>
      <c r="AD586" s="143">
        <v>44.945999999999998</v>
      </c>
      <c r="AG586" s="3" t="s">
        <v>36</v>
      </c>
      <c r="AH586" s="155">
        <v>1.2E-4</v>
      </c>
      <c r="AI586" s="155">
        <v>5.12009773276064E-3</v>
      </c>
      <c r="AJ586" s="155">
        <v>1.0305441841396499E-3</v>
      </c>
    </row>
    <row r="587" spans="1:36">
      <c r="A587" s="3">
        <v>337</v>
      </c>
      <c r="B587" s="3">
        <v>9964</v>
      </c>
      <c r="C587" s="185" t="s">
        <v>686</v>
      </c>
      <c r="D587" s="3" t="s">
        <v>687</v>
      </c>
      <c r="E587" s="189" t="s">
        <v>118</v>
      </c>
      <c r="F587" s="185" t="s">
        <v>688</v>
      </c>
      <c r="G587" s="3" t="s">
        <v>689</v>
      </c>
      <c r="H587" s="3" t="s">
        <v>121</v>
      </c>
      <c r="I587" s="3" t="s">
        <v>132</v>
      </c>
      <c r="J587" s="3" t="s">
        <v>30</v>
      </c>
      <c r="K587" s="3" t="s">
        <v>30</v>
      </c>
      <c r="L587" s="3" t="s">
        <v>123</v>
      </c>
      <c r="M587" s="3" t="s">
        <v>31</v>
      </c>
      <c r="N587" s="3" t="s">
        <v>209</v>
      </c>
      <c r="O587" s="3" t="s">
        <v>125</v>
      </c>
      <c r="P587" s="3" t="s">
        <v>178</v>
      </c>
      <c r="Q587" s="3" t="s">
        <v>178</v>
      </c>
      <c r="R587" s="3" t="s">
        <v>178</v>
      </c>
      <c r="S587" s="3" t="s">
        <v>34</v>
      </c>
      <c r="T587" s="143">
        <v>6.3710000000000004</v>
      </c>
      <c r="U587" s="3" t="s">
        <v>690</v>
      </c>
      <c r="V587" s="155">
        <v>4.1000000000000002E-2</v>
      </c>
      <c r="W587" s="155">
        <v>3.5310000000000001E-2</v>
      </c>
      <c r="X587" s="5" t="s">
        <v>129</v>
      </c>
      <c r="Y587" s="5" t="s">
        <v>125</v>
      </c>
      <c r="Z587" s="143">
        <v>42000</v>
      </c>
      <c r="AA587" s="153">
        <v>1</v>
      </c>
      <c r="AB587" s="163">
        <v>104.62</v>
      </c>
      <c r="AD587" s="143">
        <v>43.94</v>
      </c>
      <c r="AG587" s="3" t="s">
        <v>36</v>
      </c>
      <c r="AH587" s="155">
        <v>1.4999999999999999E-4</v>
      </c>
      <c r="AI587" s="155">
        <v>5.0055431499264804E-3</v>
      </c>
      <c r="AJ587" s="155">
        <v>1.00748728849664E-3</v>
      </c>
    </row>
    <row r="588" spans="1:36">
      <c r="A588" s="3">
        <v>337</v>
      </c>
      <c r="B588" s="3">
        <v>9964</v>
      </c>
      <c r="C588" s="185" t="s">
        <v>691</v>
      </c>
      <c r="D588" s="3" t="s">
        <v>692</v>
      </c>
      <c r="E588" s="189" t="s">
        <v>118</v>
      </c>
      <c r="F588" s="185" t="s">
        <v>693</v>
      </c>
      <c r="G588" s="3" t="s">
        <v>694</v>
      </c>
      <c r="H588" s="3" t="s">
        <v>121</v>
      </c>
      <c r="I588" s="3" t="s">
        <v>122</v>
      </c>
      <c r="J588" s="3" t="s">
        <v>30</v>
      </c>
      <c r="K588" s="3" t="s">
        <v>30</v>
      </c>
      <c r="L588" s="3" t="s">
        <v>123</v>
      </c>
      <c r="M588" s="3" t="s">
        <v>31</v>
      </c>
      <c r="N588" s="3" t="s">
        <v>695</v>
      </c>
      <c r="O588" s="3" t="s">
        <v>125</v>
      </c>
      <c r="P588" s="3" t="s">
        <v>145</v>
      </c>
      <c r="Q588" s="3" t="s">
        <v>146</v>
      </c>
      <c r="R588" s="3" t="s">
        <v>128</v>
      </c>
      <c r="S588" s="3" t="s">
        <v>34</v>
      </c>
      <c r="T588" s="143">
        <v>3.18</v>
      </c>
      <c r="U588" s="3" t="s">
        <v>696</v>
      </c>
      <c r="V588" s="155">
        <v>5.04E-2</v>
      </c>
      <c r="W588" s="155">
        <v>4.478E-2</v>
      </c>
      <c r="X588" s="5" t="s">
        <v>129</v>
      </c>
      <c r="Y588" s="5" t="s">
        <v>125</v>
      </c>
      <c r="Z588" s="143">
        <v>60000</v>
      </c>
      <c r="AA588" s="153">
        <v>1</v>
      </c>
      <c r="AB588" s="163">
        <v>104.07</v>
      </c>
      <c r="AD588" s="143">
        <v>62.442</v>
      </c>
      <c r="AG588" s="3" t="s">
        <v>36</v>
      </c>
      <c r="AH588" s="155">
        <v>1.21E-4</v>
      </c>
      <c r="AI588" s="155">
        <v>7.1131834340995804E-3</v>
      </c>
      <c r="AJ588" s="155">
        <v>1.43170115129374E-3</v>
      </c>
    </row>
    <row r="589" spans="1:36">
      <c r="A589" s="3">
        <v>337</v>
      </c>
      <c r="B589" s="3">
        <v>9964</v>
      </c>
      <c r="C589" s="185" t="s">
        <v>697</v>
      </c>
      <c r="D589" s="3" t="s">
        <v>698</v>
      </c>
      <c r="E589" s="189" t="s">
        <v>118</v>
      </c>
      <c r="F589" s="185" t="s">
        <v>699</v>
      </c>
      <c r="G589" s="3" t="s">
        <v>700</v>
      </c>
      <c r="H589" s="3" t="s">
        <v>121</v>
      </c>
      <c r="I589" s="3" t="s">
        <v>122</v>
      </c>
      <c r="J589" s="3" t="s">
        <v>30</v>
      </c>
      <c r="K589" s="3" t="s">
        <v>30</v>
      </c>
      <c r="L589" s="3" t="s">
        <v>123</v>
      </c>
      <c r="M589" s="3" t="s">
        <v>31</v>
      </c>
      <c r="N589" s="3" t="s">
        <v>124</v>
      </c>
      <c r="O589" s="3" t="s">
        <v>125</v>
      </c>
      <c r="P589" s="3" t="s">
        <v>198</v>
      </c>
      <c r="Q589" s="3" t="s">
        <v>146</v>
      </c>
      <c r="R589" s="3" t="s">
        <v>128</v>
      </c>
      <c r="S589" s="3" t="s">
        <v>34</v>
      </c>
      <c r="T589" s="143">
        <v>2.266</v>
      </c>
      <c r="U589" s="3" t="s">
        <v>564</v>
      </c>
      <c r="V589" s="155">
        <v>5.3400000000000003E-2</v>
      </c>
      <c r="W589" s="155">
        <v>4.7079999999999997E-2</v>
      </c>
      <c r="X589" s="5" t="s">
        <v>129</v>
      </c>
      <c r="Y589" s="5" t="s">
        <v>125</v>
      </c>
      <c r="Z589" s="143">
        <v>53600</v>
      </c>
      <c r="AA589" s="153">
        <v>1</v>
      </c>
      <c r="AB589" s="163">
        <v>101.99</v>
      </c>
      <c r="AD589" s="143">
        <v>54.667000000000002</v>
      </c>
      <c r="AG589" s="3" t="s">
        <v>36</v>
      </c>
      <c r="AH589" s="155">
        <v>9.6000000000000002E-5</v>
      </c>
      <c r="AI589" s="155">
        <v>6.2274404734935698E-3</v>
      </c>
      <c r="AJ589" s="155">
        <v>1.2534238401293999E-3</v>
      </c>
    </row>
    <row r="590" spans="1:36">
      <c r="A590" s="3">
        <v>337</v>
      </c>
      <c r="B590" s="3">
        <v>9964</v>
      </c>
      <c r="C590" s="185" t="s">
        <v>701</v>
      </c>
      <c r="D590" s="3" t="s">
        <v>702</v>
      </c>
      <c r="E590" s="189" t="s">
        <v>118</v>
      </c>
      <c r="F590" s="185" t="s">
        <v>703</v>
      </c>
      <c r="G590" s="3" t="s">
        <v>704</v>
      </c>
      <c r="H590" s="3" t="s">
        <v>121</v>
      </c>
      <c r="I590" s="3" t="s">
        <v>132</v>
      </c>
      <c r="J590" s="3" t="s">
        <v>30</v>
      </c>
      <c r="K590" s="3" t="s">
        <v>30</v>
      </c>
      <c r="L590" s="3" t="s">
        <v>123</v>
      </c>
      <c r="M590" s="3" t="s">
        <v>31</v>
      </c>
      <c r="N590" s="3" t="s">
        <v>171</v>
      </c>
      <c r="O590" s="3" t="s">
        <v>125</v>
      </c>
      <c r="P590" s="3" t="s">
        <v>165</v>
      </c>
      <c r="Q590" s="3" t="s">
        <v>146</v>
      </c>
      <c r="R590" s="3" t="s">
        <v>128</v>
      </c>
      <c r="S590" s="3" t="s">
        <v>34</v>
      </c>
      <c r="T590" s="143">
        <v>5.5910000000000002</v>
      </c>
      <c r="U590" s="3" t="s">
        <v>705</v>
      </c>
      <c r="V590" s="155">
        <v>2.5000000000000001E-2</v>
      </c>
      <c r="W590" s="155">
        <v>2.528E-2</v>
      </c>
      <c r="X590" s="5" t="s">
        <v>129</v>
      </c>
      <c r="Y590" s="5" t="s">
        <v>125</v>
      </c>
      <c r="Z590" s="143">
        <v>80300</v>
      </c>
      <c r="AA590" s="153">
        <v>1</v>
      </c>
      <c r="AB590" s="163">
        <v>118.69</v>
      </c>
      <c r="AD590" s="143">
        <v>95.308000000000007</v>
      </c>
      <c r="AG590" s="3" t="s">
        <v>36</v>
      </c>
      <c r="AH590" s="155">
        <v>6.0000000000000002E-5</v>
      </c>
      <c r="AI590" s="155">
        <v>1.0857176013900899E-2</v>
      </c>
      <c r="AJ590" s="155">
        <v>2.1852707079623298E-3</v>
      </c>
    </row>
    <row r="591" spans="1:36">
      <c r="A591" s="3">
        <v>337</v>
      </c>
      <c r="B591" s="3">
        <v>9964</v>
      </c>
      <c r="C591" s="185" t="s">
        <v>706</v>
      </c>
      <c r="D591" s="3" t="s">
        <v>707</v>
      </c>
      <c r="E591" s="189" t="s">
        <v>118</v>
      </c>
      <c r="F591" s="185" t="s">
        <v>708</v>
      </c>
      <c r="G591" s="3" t="s">
        <v>709</v>
      </c>
      <c r="H591" s="3" t="s">
        <v>121</v>
      </c>
      <c r="I591" s="3" t="s">
        <v>122</v>
      </c>
      <c r="J591" s="3" t="s">
        <v>30</v>
      </c>
      <c r="K591" s="3" t="s">
        <v>30</v>
      </c>
      <c r="L591" s="3" t="s">
        <v>123</v>
      </c>
      <c r="M591" s="3" t="s">
        <v>31</v>
      </c>
      <c r="N591" s="3" t="s">
        <v>124</v>
      </c>
      <c r="O591" s="3" t="s">
        <v>125</v>
      </c>
      <c r="P591" s="3" t="s">
        <v>126</v>
      </c>
      <c r="Q591" s="3" t="s">
        <v>127</v>
      </c>
      <c r="R591" s="3" t="s">
        <v>128</v>
      </c>
      <c r="S591" s="3" t="s">
        <v>34</v>
      </c>
      <c r="T591" s="143">
        <v>3.4670000000000001</v>
      </c>
      <c r="U591" s="3" t="s">
        <v>98</v>
      </c>
      <c r="V591" s="155">
        <v>5.8200000000000002E-2</v>
      </c>
      <c r="W591" s="155">
        <v>4.4850000000000001E-2</v>
      </c>
      <c r="X591" s="5" t="s">
        <v>129</v>
      </c>
      <c r="Y591" s="5" t="s">
        <v>125</v>
      </c>
      <c r="Z591" s="143">
        <v>44650</v>
      </c>
      <c r="AA591" s="153">
        <v>1</v>
      </c>
      <c r="AB591" s="163">
        <v>105.79</v>
      </c>
      <c r="AD591" s="143">
        <v>47.234999999999999</v>
      </c>
      <c r="AG591" s="3" t="s">
        <v>36</v>
      </c>
      <c r="AH591" s="155">
        <v>2.6899999999999998E-4</v>
      </c>
      <c r="AI591" s="155">
        <v>5.3808797140994999E-3</v>
      </c>
      <c r="AJ591" s="155">
        <v>1.0830328998291301E-3</v>
      </c>
    </row>
    <row r="592" spans="1:36">
      <c r="A592" s="3">
        <v>337</v>
      </c>
      <c r="B592" s="3">
        <v>9964</v>
      </c>
      <c r="C592" s="185" t="s">
        <v>715</v>
      </c>
      <c r="D592" s="3" t="s">
        <v>716</v>
      </c>
      <c r="E592" s="189" t="s">
        <v>118</v>
      </c>
      <c r="F592" s="185" t="s">
        <v>717</v>
      </c>
      <c r="G592" s="3" t="s">
        <v>718</v>
      </c>
      <c r="H592" s="3" t="s">
        <v>121</v>
      </c>
      <c r="I592" s="3" t="s">
        <v>122</v>
      </c>
      <c r="J592" s="3" t="s">
        <v>30</v>
      </c>
      <c r="K592" s="3" t="s">
        <v>30</v>
      </c>
      <c r="L592" s="3" t="s">
        <v>123</v>
      </c>
      <c r="M592" s="3" t="s">
        <v>31</v>
      </c>
      <c r="N592" s="3" t="s">
        <v>171</v>
      </c>
      <c r="O592" s="3" t="s">
        <v>125</v>
      </c>
      <c r="P592" s="3" t="s">
        <v>126</v>
      </c>
      <c r="Q592" s="3" t="s">
        <v>127</v>
      </c>
      <c r="R592" s="3" t="s">
        <v>128</v>
      </c>
      <c r="S592" s="3" t="s">
        <v>34</v>
      </c>
      <c r="T592" s="143">
        <v>2.6360000000000001</v>
      </c>
      <c r="U592" s="3" t="s">
        <v>719</v>
      </c>
      <c r="V592" s="155">
        <v>4.1000000000000002E-2</v>
      </c>
      <c r="W592" s="155">
        <v>4.8129999999999999E-2</v>
      </c>
      <c r="X592" s="5" t="s">
        <v>129</v>
      </c>
      <c r="Y592" s="5" t="s">
        <v>125</v>
      </c>
      <c r="Z592" s="143">
        <v>150992.06</v>
      </c>
      <c r="AA592" s="153">
        <v>1</v>
      </c>
      <c r="AB592" s="163">
        <v>98.99</v>
      </c>
      <c r="AD592" s="143">
        <v>149.46700000000001</v>
      </c>
      <c r="AG592" s="3" t="s">
        <v>36</v>
      </c>
      <c r="AH592" s="155">
        <v>2.7999999999999998E-4</v>
      </c>
      <c r="AI592" s="155">
        <v>1.7026784443993699E-2</v>
      </c>
      <c r="AJ592" s="155">
        <v>3.42705444294252E-3</v>
      </c>
    </row>
    <row r="593" spans="1:36">
      <c r="A593" s="3">
        <v>337</v>
      </c>
      <c r="B593" s="3">
        <v>9964</v>
      </c>
      <c r="C593" s="185" t="s">
        <v>876</v>
      </c>
      <c r="D593" s="3" t="s">
        <v>877</v>
      </c>
      <c r="E593" s="189" t="s">
        <v>118</v>
      </c>
      <c r="F593" s="185" t="s">
        <v>878</v>
      </c>
      <c r="G593" s="3" t="s">
        <v>879</v>
      </c>
      <c r="H593" s="3" t="s">
        <v>121</v>
      </c>
      <c r="I593" s="3" t="s">
        <v>410</v>
      </c>
      <c r="J593" s="3" t="s">
        <v>30</v>
      </c>
      <c r="K593" s="3" t="s">
        <v>30</v>
      </c>
      <c r="L593" s="3" t="s">
        <v>123</v>
      </c>
      <c r="M593" s="3" t="s">
        <v>31</v>
      </c>
      <c r="N593" s="3" t="s">
        <v>377</v>
      </c>
      <c r="O593" s="3" t="s">
        <v>125</v>
      </c>
      <c r="P593" s="3" t="s">
        <v>422</v>
      </c>
      <c r="Q593" s="3" t="s">
        <v>127</v>
      </c>
      <c r="R593" s="3" t="s">
        <v>128</v>
      </c>
      <c r="S593" s="3" t="s">
        <v>34</v>
      </c>
      <c r="T593" s="143">
        <v>2.1040000000000001</v>
      </c>
      <c r="U593" s="3" t="s">
        <v>880</v>
      </c>
      <c r="V593" s="155">
        <v>4.6899999999999997E-2</v>
      </c>
      <c r="W593" s="155">
        <v>5.9369999999999999E-2</v>
      </c>
      <c r="X593" s="5" t="s">
        <v>129</v>
      </c>
      <c r="Y593" s="5" t="s">
        <v>125</v>
      </c>
      <c r="Z593" s="143">
        <v>53392.02</v>
      </c>
      <c r="AA593" s="153">
        <v>1</v>
      </c>
      <c r="AB593" s="163">
        <v>89.9</v>
      </c>
      <c r="AD593" s="143">
        <v>47.999000000000002</v>
      </c>
      <c r="AG593" s="3" t="s">
        <v>36</v>
      </c>
      <c r="AH593" s="155">
        <v>4.0000000000000003E-5</v>
      </c>
      <c r="AI593" s="155">
        <v>5.4679337901929002E-3</v>
      </c>
      <c r="AJ593" s="155">
        <v>1.1005546497069999E-3</v>
      </c>
    </row>
    <row r="594" spans="1:36">
      <c r="A594" s="3">
        <v>337</v>
      </c>
      <c r="B594" s="3">
        <v>9964</v>
      </c>
      <c r="C594" s="185" t="s">
        <v>725</v>
      </c>
      <c r="D594" s="3" t="s">
        <v>726</v>
      </c>
      <c r="E594" s="189" t="s">
        <v>727</v>
      </c>
      <c r="F594" s="185" t="s">
        <v>728</v>
      </c>
      <c r="G594" s="3" t="s">
        <v>729</v>
      </c>
      <c r="H594" s="3" t="s">
        <v>121</v>
      </c>
      <c r="I594" s="3" t="s">
        <v>410</v>
      </c>
      <c r="J594" s="3" t="s">
        <v>79</v>
      </c>
      <c r="K594" s="3" t="s">
        <v>138</v>
      </c>
      <c r="L594" s="3" t="s">
        <v>123</v>
      </c>
      <c r="M594" s="3" t="s">
        <v>730</v>
      </c>
      <c r="N594" s="3" t="s">
        <v>377</v>
      </c>
      <c r="O594" s="3" t="s">
        <v>125</v>
      </c>
      <c r="P594" s="3" t="s">
        <v>731</v>
      </c>
      <c r="Q594" s="3" t="s">
        <v>732</v>
      </c>
      <c r="R594" s="3" t="s">
        <v>128</v>
      </c>
      <c r="S594" s="3" t="s">
        <v>84</v>
      </c>
      <c r="T594" s="143">
        <v>2.1080000000000001</v>
      </c>
      <c r="U594" s="3" t="s">
        <v>733</v>
      </c>
      <c r="V594" s="155">
        <v>5.3749999999999999E-2</v>
      </c>
      <c r="W594" s="155">
        <v>6.0979999999999999E-2</v>
      </c>
      <c r="X594" s="5" t="s">
        <v>129</v>
      </c>
      <c r="Y594" s="5" t="s">
        <v>125</v>
      </c>
      <c r="Z594" s="143">
        <v>18263</v>
      </c>
      <c r="AA594" s="153">
        <v>3.19</v>
      </c>
      <c r="AB594" s="163">
        <v>100.083</v>
      </c>
      <c r="AD594" s="143">
        <v>58.307000000000002</v>
      </c>
      <c r="AG594" s="3" t="s">
        <v>36</v>
      </c>
      <c r="AH594" s="155">
        <v>2.9E-5</v>
      </c>
      <c r="AI594" s="155">
        <v>6.6421551946754696E-3</v>
      </c>
      <c r="AJ594" s="155">
        <v>1.3368952631955199E-3</v>
      </c>
    </row>
    <row r="595" spans="1:36">
      <c r="A595" s="3">
        <v>337</v>
      </c>
      <c r="B595" s="3">
        <v>9964</v>
      </c>
      <c r="C595" s="185" t="s">
        <v>725</v>
      </c>
      <c r="D595" s="3" t="s">
        <v>726</v>
      </c>
      <c r="E595" s="189" t="s">
        <v>727</v>
      </c>
      <c r="F595" s="185" t="s">
        <v>734</v>
      </c>
      <c r="G595" s="3" t="s">
        <v>735</v>
      </c>
      <c r="H595" s="3" t="s">
        <v>121</v>
      </c>
      <c r="I595" s="3" t="s">
        <v>410</v>
      </c>
      <c r="J595" s="3" t="s">
        <v>79</v>
      </c>
      <c r="K595" s="3" t="s">
        <v>138</v>
      </c>
      <c r="L595" s="3" t="s">
        <v>123</v>
      </c>
      <c r="M595" s="3" t="s">
        <v>730</v>
      </c>
      <c r="N595" s="3" t="s">
        <v>377</v>
      </c>
      <c r="O595" s="3" t="s">
        <v>125</v>
      </c>
      <c r="P595" s="3" t="s">
        <v>731</v>
      </c>
      <c r="Q595" s="3" t="s">
        <v>732</v>
      </c>
      <c r="R595" s="3" t="s">
        <v>128</v>
      </c>
      <c r="S595" s="3" t="s">
        <v>84</v>
      </c>
      <c r="T595" s="143">
        <v>4.5019999999999998</v>
      </c>
      <c r="U595" s="3" t="s">
        <v>736</v>
      </c>
      <c r="V595" s="155">
        <v>5.8749999999999997E-2</v>
      </c>
      <c r="W595" s="155">
        <v>6.6460000000000005E-2</v>
      </c>
      <c r="X595" s="5" t="s">
        <v>129</v>
      </c>
      <c r="Y595" s="5" t="s">
        <v>125</v>
      </c>
      <c r="Z595" s="143">
        <v>9000</v>
      </c>
      <c r="AA595" s="153">
        <v>3.19</v>
      </c>
      <c r="AB595" s="163">
        <v>98.430999999999997</v>
      </c>
      <c r="AD595" s="143">
        <v>28.26</v>
      </c>
      <c r="AG595" s="3" t="s">
        <v>36</v>
      </c>
      <c r="AH595" s="155">
        <v>1.4E-5</v>
      </c>
      <c r="AI595" s="155">
        <v>3.2192353978746499E-3</v>
      </c>
      <c r="AJ595" s="155">
        <v>6.4794941226004304E-4</v>
      </c>
    </row>
    <row r="596" spans="1:36">
      <c r="A596" s="3">
        <v>337</v>
      </c>
      <c r="B596" s="3">
        <v>9964</v>
      </c>
      <c r="C596" s="185" t="s">
        <v>459</v>
      </c>
      <c r="D596" s="3" t="s">
        <v>460</v>
      </c>
      <c r="E596" s="189" t="s">
        <v>118</v>
      </c>
      <c r="F596" s="185" t="s">
        <v>737</v>
      </c>
      <c r="G596" s="3" t="s">
        <v>738</v>
      </c>
      <c r="H596" s="3" t="s">
        <v>121</v>
      </c>
      <c r="I596" s="3" t="s">
        <v>410</v>
      </c>
      <c r="J596" s="3" t="s">
        <v>79</v>
      </c>
      <c r="K596" s="3" t="s">
        <v>30</v>
      </c>
      <c r="L596" s="3" t="s">
        <v>123</v>
      </c>
      <c r="M596" s="3" t="s">
        <v>730</v>
      </c>
      <c r="N596" s="3" t="s">
        <v>316</v>
      </c>
      <c r="O596" s="3" t="s">
        <v>125</v>
      </c>
      <c r="P596" s="3" t="s">
        <v>739</v>
      </c>
      <c r="Q596" s="3" t="s">
        <v>732</v>
      </c>
      <c r="R596" s="3" t="s">
        <v>128</v>
      </c>
      <c r="S596" s="3" t="s">
        <v>84</v>
      </c>
      <c r="T596" s="143">
        <v>4.4489999999999998</v>
      </c>
      <c r="U596" s="3" t="s">
        <v>740</v>
      </c>
      <c r="V596" s="155">
        <v>3.2750000000000001E-2</v>
      </c>
      <c r="W596" s="155">
        <v>5.3740000000000003E-2</v>
      </c>
      <c r="X596" s="5" t="s">
        <v>129</v>
      </c>
      <c r="Y596" s="5" t="s">
        <v>125</v>
      </c>
      <c r="Z596" s="143">
        <v>8000</v>
      </c>
      <c r="AA596" s="153">
        <v>3.19</v>
      </c>
      <c r="AB596" s="163">
        <v>101.229</v>
      </c>
      <c r="AD596" s="143">
        <v>25.834</v>
      </c>
      <c r="AG596" s="3" t="s">
        <v>36</v>
      </c>
      <c r="AH596" s="155">
        <v>1.1E-5</v>
      </c>
      <c r="AI596" s="155">
        <v>2.94288762111914E-3</v>
      </c>
      <c r="AJ596" s="155">
        <v>5.9232770169910705E-4</v>
      </c>
    </row>
    <row r="597" spans="1:36">
      <c r="A597" s="3">
        <v>337</v>
      </c>
      <c r="B597" s="3">
        <v>9964</v>
      </c>
      <c r="C597" s="185" t="s">
        <v>741</v>
      </c>
      <c r="D597" s="3" t="s">
        <v>742</v>
      </c>
      <c r="E597" s="189" t="s">
        <v>118</v>
      </c>
      <c r="F597" s="185" t="s">
        <v>743</v>
      </c>
      <c r="G597" s="3" t="s">
        <v>744</v>
      </c>
      <c r="H597" s="3" t="s">
        <v>121</v>
      </c>
      <c r="I597" s="3" t="s">
        <v>410</v>
      </c>
      <c r="J597" s="3" t="s">
        <v>79</v>
      </c>
      <c r="K597" s="3" t="s">
        <v>30</v>
      </c>
      <c r="L597" s="3" t="s">
        <v>123</v>
      </c>
      <c r="M597" s="3" t="s">
        <v>730</v>
      </c>
      <c r="N597" s="3" t="s">
        <v>377</v>
      </c>
      <c r="O597" s="3" t="s">
        <v>125</v>
      </c>
      <c r="P597" s="3" t="s">
        <v>731</v>
      </c>
      <c r="Q597" s="3" t="s">
        <v>732</v>
      </c>
      <c r="R597" s="3" t="s">
        <v>128</v>
      </c>
      <c r="S597" s="3" t="s">
        <v>84</v>
      </c>
      <c r="T597" s="143">
        <v>1.44</v>
      </c>
      <c r="U597" s="3" t="s">
        <v>244</v>
      </c>
      <c r="V597" s="155">
        <v>6.5000000000000002E-2</v>
      </c>
      <c r="W597" s="155">
        <v>6.1420000000000002E-2</v>
      </c>
      <c r="X597" s="5" t="s">
        <v>129</v>
      </c>
      <c r="Y597" s="5" t="s">
        <v>125</v>
      </c>
      <c r="Z597" s="143">
        <v>5000</v>
      </c>
      <c r="AA597" s="153">
        <v>3.19</v>
      </c>
      <c r="AB597" s="163">
        <v>100.851</v>
      </c>
      <c r="AD597" s="143">
        <v>16.085999999999999</v>
      </c>
      <c r="AG597" s="3" t="s">
        <v>36</v>
      </c>
      <c r="AH597" s="155">
        <v>7.9999999999999996E-6</v>
      </c>
      <c r="AI597" s="155">
        <v>1.8324384314492099E-3</v>
      </c>
      <c r="AJ597" s="155">
        <v>3.68822797315196E-4</v>
      </c>
    </row>
    <row r="598" spans="1:36">
      <c r="A598" s="3">
        <v>337</v>
      </c>
      <c r="B598" s="3">
        <v>9964</v>
      </c>
      <c r="C598" s="185" t="s">
        <v>745</v>
      </c>
      <c r="D598" s="3" t="s">
        <v>746</v>
      </c>
      <c r="E598" s="189" t="s">
        <v>118</v>
      </c>
      <c r="F598" s="185" t="s">
        <v>747</v>
      </c>
      <c r="G598" s="3" t="s">
        <v>748</v>
      </c>
      <c r="H598" s="3" t="s">
        <v>121</v>
      </c>
      <c r="I598" s="3" t="s">
        <v>410</v>
      </c>
      <c r="J598" s="3" t="s">
        <v>79</v>
      </c>
      <c r="K598" s="3" t="s">
        <v>30</v>
      </c>
      <c r="L598" s="3" t="s">
        <v>123</v>
      </c>
      <c r="M598" s="3" t="s">
        <v>730</v>
      </c>
      <c r="N598" s="3" t="s">
        <v>316</v>
      </c>
      <c r="O598" s="3" t="s">
        <v>125</v>
      </c>
      <c r="P598" s="3" t="s">
        <v>739</v>
      </c>
      <c r="Q598" s="3" t="s">
        <v>732</v>
      </c>
      <c r="R598" s="3" t="s">
        <v>128</v>
      </c>
      <c r="S598" s="3" t="s">
        <v>84</v>
      </c>
      <c r="T598" s="143">
        <v>0.25600000000000001</v>
      </c>
      <c r="U598" s="3" t="s">
        <v>749</v>
      </c>
      <c r="V598" s="155">
        <v>3.0769999999999999E-2</v>
      </c>
      <c r="W598" s="155">
        <v>5.9290000000000002E-2</v>
      </c>
      <c r="X598" s="5" t="s">
        <v>129</v>
      </c>
      <c r="Y598" s="5" t="s">
        <v>125</v>
      </c>
      <c r="Z598" s="143">
        <v>8000</v>
      </c>
      <c r="AA598" s="153">
        <v>3.19</v>
      </c>
      <c r="AB598" s="163">
        <v>99.954999999999998</v>
      </c>
      <c r="AD598" s="143">
        <v>25.509</v>
      </c>
      <c r="AG598" s="3" t="s">
        <v>36</v>
      </c>
      <c r="AH598" s="155">
        <v>1.2999999999999999E-5</v>
      </c>
      <c r="AI598" s="155">
        <v>2.9058446788966402E-3</v>
      </c>
      <c r="AJ598" s="155">
        <v>5.8487190873121803E-4</v>
      </c>
    </row>
    <row r="599" spans="1:36">
      <c r="A599" s="3">
        <v>337</v>
      </c>
      <c r="B599" s="3">
        <v>9964</v>
      </c>
      <c r="C599" s="185" t="s">
        <v>750</v>
      </c>
      <c r="D599" s="3" t="s">
        <v>751</v>
      </c>
      <c r="E599" s="189" t="s">
        <v>118</v>
      </c>
      <c r="F599" s="185" t="s">
        <v>752</v>
      </c>
      <c r="G599" s="3" t="s">
        <v>753</v>
      </c>
      <c r="H599" s="3" t="s">
        <v>121</v>
      </c>
      <c r="I599" s="3" t="s">
        <v>410</v>
      </c>
      <c r="J599" s="3" t="s">
        <v>79</v>
      </c>
      <c r="K599" s="3" t="s">
        <v>80</v>
      </c>
      <c r="L599" s="3" t="s">
        <v>123</v>
      </c>
      <c r="M599" s="3" t="s">
        <v>730</v>
      </c>
      <c r="N599" s="3" t="s">
        <v>754</v>
      </c>
      <c r="O599" s="3" t="s">
        <v>125</v>
      </c>
      <c r="P599" s="3" t="s">
        <v>731</v>
      </c>
      <c r="Q599" s="3" t="s">
        <v>732</v>
      </c>
      <c r="R599" s="3" t="s">
        <v>128</v>
      </c>
      <c r="S599" s="3" t="s">
        <v>755</v>
      </c>
      <c r="T599" s="143">
        <v>3.778</v>
      </c>
      <c r="U599" s="3" t="s">
        <v>756</v>
      </c>
      <c r="V599" s="155">
        <v>4.3749999999999997E-2</v>
      </c>
      <c r="W599" s="155">
        <v>3.7679999999999998E-2</v>
      </c>
      <c r="X599" s="5" t="s">
        <v>129</v>
      </c>
      <c r="Y599" s="5" t="s">
        <v>125</v>
      </c>
      <c r="Z599" s="143">
        <v>35000</v>
      </c>
      <c r="AA599" s="153">
        <v>3.7454999999999998</v>
      </c>
      <c r="AB599" s="163">
        <v>103.566</v>
      </c>
      <c r="AD599" s="143">
        <v>135.767</v>
      </c>
      <c r="AG599" s="3" t="s">
        <v>36</v>
      </c>
      <c r="AH599" s="155">
        <v>2.3E-5</v>
      </c>
      <c r="AI599" s="155">
        <v>1.54660914844332E-2</v>
      </c>
      <c r="AJ599" s="155">
        <v>3.11292703041057E-3</v>
      </c>
    </row>
    <row r="600" spans="1:36">
      <c r="A600" s="3">
        <v>337</v>
      </c>
      <c r="B600" s="3">
        <v>9964</v>
      </c>
      <c r="C600" s="185" t="s">
        <v>750</v>
      </c>
      <c r="D600" s="3" t="s">
        <v>751</v>
      </c>
      <c r="E600" s="189" t="s">
        <v>118</v>
      </c>
      <c r="F600" s="185" t="s">
        <v>757</v>
      </c>
      <c r="G600" s="3" t="s">
        <v>758</v>
      </c>
      <c r="H600" s="3" t="s">
        <v>121</v>
      </c>
      <c r="I600" s="3" t="s">
        <v>410</v>
      </c>
      <c r="J600" s="3" t="s">
        <v>79</v>
      </c>
      <c r="K600" s="3" t="s">
        <v>80</v>
      </c>
      <c r="L600" s="3" t="s">
        <v>123</v>
      </c>
      <c r="M600" s="3" t="s">
        <v>730</v>
      </c>
      <c r="N600" s="3" t="s">
        <v>754</v>
      </c>
      <c r="O600" s="3" t="s">
        <v>125</v>
      </c>
      <c r="P600" s="3" t="s">
        <v>731</v>
      </c>
      <c r="Q600" s="3" t="s">
        <v>732</v>
      </c>
      <c r="R600" s="3" t="s">
        <v>128</v>
      </c>
      <c r="S600" s="3" t="s">
        <v>84</v>
      </c>
      <c r="T600" s="143">
        <v>2.8879999999999999</v>
      </c>
      <c r="U600" s="3" t="s">
        <v>759</v>
      </c>
      <c r="V600" s="155">
        <v>5.1249999999999997E-2</v>
      </c>
      <c r="W600" s="155">
        <v>4.8779999999999997E-2</v>
      </c>
      <c r="X600" s="5" t="s">
        <v>129</v>
      </c>
      <c r="Y600" s="5" t="s">
        <v>125</v>
      </c>
      <c r="Z600" s="143">
        <v>31000</v>
      </c>
      <c r="AA600" s="153">
        <v>3.19</v>
      </c>
      <c r="AB600" s="163">
        <v>102.399</v>
      </c>
      <c r="AD600" s="143">
        <v>101.262</v>
      </c>
      <c r="AG600" s="3" t="s">
        <v>36</v>
      </c>
      <c r="AH600" s="155">
        <v>3.1000000000000001E-5</v>
      </c>
      <c r="AI600" s="155">
        <v>1.15354184075979E-2</v>
      </c>
      <c r="AJ600" s="155">
        <v>2.3217834838394598E-3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69"/>
  <sheetViews>
    <sheetView rightToLeft="1" topLeftCell="M1" workbookViewId="0">
      <selection activeCell="M1" sqref="A1:XFD1"/>
    </sheetView>
  </sheetViews>
  <sheetFormatPr defaultColWidth="0" defaultRowHeight="14.25"/>
  <cols>
    <col min="1" max="2" width="11.625" style="5" customWidth="1"/>
    <col min="3" max="3" width="26.25" style="189" customWidth="1"/>
    <col min="4" max="4" width="26" style="5" customWidth="1"/>
    <col min="5" max="5" width="11.625" style="189" customWidth="1"/>
    <col min="6" max="6" width="31.25" style="5" customWidth="1"/>
    <col min="7" max="7" width="17.5" style="5" customWidth="1"/>
    <col min="8" max="11" width="11.625" style="5" customWidth="1"/>
    <col min="12" max="13" width="11.625" style="3" customWidth="1"/>
    <col min="14" max="14" width="16.625" style="5" customWidth="1"/>
    <col min="15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18" t="s">
        <v>0</v>
      </c>
      <c r="B1" s="18" t="s">
        <v>1</v>
      </c>
      <c r="C1" s="186" t="s">
        <v>2</v>
      </c>
      <c r="D1" s="18" t="s">
        <v>105</v>
      </c>
      <c r="E1" s="186" t="s">
        <v>106</v>
      </c>
      <c r="F1" s="18" t="s">
        <v>3</v>
      </c>
      <c r="G1" s="18" t="s">
        <v>4</v>
      </c>
      <c r="H1" s="18" t="s">
        <v>107</v>
      </c>
      <c r="I1" s="18" t="s">
        <v>5</v>
      </c>
      <c r="J1" s="18" t="s">
        <v>6</v>
      </c>
      <c r="K1" s="18" t="s">
        <v>7</v>
      </c>
      <c r="L1" s="18" t="s">
        <v>115</v>
      </c>
      <c r="M1" s="18" t="s">
        <v>8</v>
      </c>
      <c r="N1" s="18" t="s">
        <v>108</v>
      </c>
      <c r="O1" s="18" t="s">
        <v>109</v>
      </c>
      <c r="P1" s="18" t="s">
        <v>11</v>
      </c>
      <c r="Q1" s="18" t="s">
        <v>17</v>
      </c>
      <c r="R1" s="152" t="s">
        <v>18</v>
      </c>
      <c r="S1" s="158" t="s">
        <v>19</v>
      </c>
      <c r="T1" s="18" t="s">
        <v>16</v>
      </c>
      <c r="U1" s="18" t="s">
        <v>20</v>
      </c>
      <c r="V1" s="154" t="s">
        <v>23</v>
      </c>
      <c r="W1" s="154" t="s">
        <v>24</v>
      </c>
      <c r="X1" s="154" t="s">
        <v>25</v>
      </c>
    </row>
    <row r="2" spans="1:24">
      <c r="A2" s="17">
        <v>337</v>
      </c>
      <c r="B2" s="17">
        <v>1477</v>
      </c>
      <c r="C2" s="188" t="s">
        <v>148</v>
      </c>
      <c r="D2" s="17" t="s">
        <v>149</v>
      </c>
      <c r="E2" s="188" t="s">
        <v>118</v>
      </c>
      <c r="F2" s="17" t="s">
        <v>918</v>
      </c>
      <c r="G2" s="17" t="s">
        <v>919</v>
      </c>
      <c r="H2" s="17" t="s">
        <v>121</v>
      </c>
      <c r="I2" s="17" t="s">
        <v>920</v>
      </c>
      <c r="J2" s="17" t="s">
        <v>30</v>
      </c>
      <c r="K2" s="17" t="s">
        <v>30</v>
      </c>
      <c r="L2" s="19" t="s">
        <v>123</v>
      </c>
      <c r="M2" s="17" t="s">
        <v>31</v>
      </c>
      <c r="N2" s="19" t="s">
        <v>152</v>
      </c>
      <c r="O2" s="19" t="s">
        <v>125</v>
      </c>
      <c r="P2" s="17" t="s">
        <v>34</v>
      </c>
      <c r="Q2" s="147">
        <v>4112</v>
      </c>
      <c r="R2" s="164">
        <v>1</v>
      </c>
      <c r="S2" s="166">
        <v>7459</v>
      </c>
      <c r="T2" s="19"/>
      <c r="U2" s="147">
        <v>306.714</v>
      </c>
      <c r="V2" s="165">
        <v>1.4E-5</v>
      </c>
      <c r="W2" s="165">
        <v>2.5902745772071301E-2</v>
      </c>
      <c r="X2" s="165">
        <v>1.23411628645084E-2</v>
      </c>
    </row>
    <row r="3" spans="1:24">
      <c r="A3" s="17">
        <v>337</v>
      </c>
      <c r="B3" s="17">
        <v>1477</v>
      </c>
      <c r="C3" s="188" t="s">
        <v>921</v>
      </c>
      <c r="D3" s="17" t="s">
        <v>922</v>
      </c>
      <c r="E3" s="188" t="s">
        <v>727</v>
      </c>
      <c r="F3" s="17" t="s">
        <v>923</v>
      </c>
      <c r="G3" s="17" t="s">
        <v>924</v>
      </c>
      <c r="H3" s="17" t="s">
        <v>121</v>
      </c>
      <c r="I3" s="17" t="s">
        <v>920</v>
      </c>
      <c r="J3" s="17" t="s">
        <v>30</v>
      </c>
      <c r="K3" s="17" t="s">
        <v>80</v>
      </c>
      <c r="L3" s="19" t="s">
        <v>123</v>
      </c>
      <c r="M3" s="17" t="s">
        <v>31</v>
      </c>
      <c r="N3" s="19" t="s">
        <v>228</v>
      </c>
      <c r="O3" s="19" t="s">
        <v>125</v>
      </c>
      <c r="P3" s="17" t="s">
        <v>34</v>
      </c>
      <c r="Q3" s="147">
        <v>425</v>
      </c>
      <c r="R3" s="164">
        <v>1</v>
      </c>
      <c r="S3" s="166">
        <v>35050</v>
      </c>
      <c r="T3" s="19"/>
      <c r="U3" s="147">
        <v>148.96299999999999</v>
      </c>
      <c r="V3" s="165">
        <v>6.9999999999999999E-6</v>
      </c>
      <c r="W3" s="165">
        <v>1.2580243355871301E-2</v>
      </c>
      <c r="X3" s="165">
        <v>5.9937596383065799E-3</v>
      </c>
    </row>
    <row r="4" spans="1:24">
      <c r="A4" s="17">
        <v>337</v>
      </c>
      <c r="B4" s="17">
        <v>1477</v>
      </c>
      <c r="C4" s="188" t="s">
        <v>925</v>
      </c>
      <c r="D4" s="17" t="s">
        <v>926</v>
      </c>
      <c r="E4" s="188" t="s">
        <v>118</v>
      </c>
      <c r="F4" s="17" t="s">
        <v>927</v>
      </c>
      <c r="G4" s="17" t="s">
        <v>928</v>
      </c>
      <c r="H4" s="17" t="s">
        <v>121</v>
      </c>
      <c r="I4" s="17" t="s">
        <v>920</v>
      </c>
      <c r="J4" s="17" t="s">
        <v>30</v>
      </c>
      <c r="K4" s="17" t="s">
        <v>30</v>
      </c>
      <c r="L4" s="19" t="s">
        <v>123</v>
      </c>
      <c r="M4" s="17" t="s">
        <v>31</v>
      </c>
      <c r="N4" s="19" t="s">
        <v>124</v>
      </c>
      <c r="O4" s="19" t="s">
        <v>125</v>
      </c>
      <c r="P4" s="17" t="s">
        <v>34</v>
      </c>
      <c r="Q4" s="147">
        <v>366</v>
      </c>
      <c r="R4" s="164">
        <v>1</v>
      </c>
      <c r="S4" s="166">
        <v>1853</v>
      </c>
      <c r="T4" s="19"/>
      <c r="U4" s="147">
        <v>6.782</v>
      </c>
      <c r="V4" s="165">
        <v>1.9999999999999999E-6</v>
      </c>
      <c r="W4" s="165">
        <v>5.7275461162810599E-4</v>
      </c>
      <c r="X4" s="165">
        <v>2.7288450443435403E-4</v>
      </c>
    </row>
    <row r="5" spans="1:24">
      <c r="A5" s="17">
        <v>337</v>
      </c>
      <c r="B5" s="17">
        <v>1477</v>
      </c>
      <c r="C5" s="188" t="s">
        <v>161</v>
      </c>
      <c r="D5" s="17" t="s">
        <v>162</v>
      </c>
      <c r="E5" s="188" t="s">
        <v>118</v>
      </c>
      <c r="F5" s="17" t="s">
        <v>929</v>
      </c>
      <c r="G5" s="17" t="s">
        <v>930</v>
      </c>
      <c r="H5" s="17" t="s">
        <v>121</v>
      </c>
      <c r="I5" s="17" t="s">
        <v>920</v>
      </c>
      <c r="J5" s="17" t="s">
        <v>30</v>
      </c>
      <c r="K5" s="17" t="s">
        <v>30</v>
      </c>
      <c r="L5" s="19" t="s">
        <v>123</v>
      </c>
      <c r="M5" s="17" t="s">
        <v>31</v>
      </c>
      <c r="N5" s="19" t="s">
        <v>144</v>
      </c>
      <c r="O5" s="19" t="s">
        <v>125</v>
      </c>
      <c r="P5" s="17" t="s">
        <v>34</v>
      </c>
      <c r="Q5" s="147">
        <v>14847</v>
      </c>
      <c r="R5" s="164">
        <v>1</v>
      </c>
      <c r="S5" s="166">
        <v>1830</v>
      </c>
      <c r="T5" s="19"/>
      <c r="U5" s="147">
        <v>271.7</v>
      </c>
      <c r="V5" s="165">
        <v>1.1E-5</v>
      </c>
      <c r="W5" s="165">
        <v>2.2945730487972198E-2</v>
      </c>
      <c r="X5" s="165">
        <v>1.09323158050104E-2</v>
      </c>
    </row>
    <row r="6" spans="1:24">
      <c r="A6" s="17">
        <v>337</v>
      </c>
      <c r="B6" s="17">
        <v>1477</v>
      </c>
      <c r="C6" s="188" t="s">
        <v>931</v>
      </c>
      <c r="D6" s="17" t="s">
        <v>932</v>
      </c>
      <c r="E6" s="188" t="s">
        <v>118</v>
      </c>
      <c r="F6" s="17" t="s">
        <v>933</v>
      </c>
      <c r="G6" s="17" t="s">
        <v>934</v>
      </c>
      <c r="H6" s="17" t="s">
        <v>121</v>
      </c>
      <c r="I6" s="17" t="s">
        <v>920</v>
      </c>
      <c r="J6" s="17" t="s">
        <v>30</v>
      </c>
      <c r="K6" s="17" t="s">
        <v>30</v>
      </c>
      <c r="L6" s="19" t="s">
        <v>123</v>
      </c>
      <c r="M6" s="17" t="s">
        <v>31</v>
      </c>
      <c r="N6" s="19" t="s">
        <v>159</v>
      </c>
      <c r="O6" s="19" t="s">
        <v>125</v>
      </c>
      <c r="P6" s="17" t="s">
        <v>34</v>
      </c>
      <c r="Q6" s="147">
        <v>470</v>
      </c>
      <c r="R6" s="164">
        <v>1</v>
      </c>
      <c r="S6" s="166">
        <v>24170</v>
      </c>
      <c r="T6" s="19"/>
      <c r="U6" s="147">
        <v>113.599</v>
      </c>
      <c r="V6" s="165">
        <v>3.1999999999999999E-5</v>
      </c>
      <c r="W6" s="165">
        <v>9.5937102625400297E-3</v>
      </c>
      <c r="X6" s="165">
        <v>4.5708490469211303E-3</v>
      </c>
    </row>
    <row r="7" spans="1:24">
      <c r="A7" s="17">
        <v>337</v>
      </c>
      <c r="B7" s="17">
        <v>1477</v>
      </c>
      <c r="C7" s="188" t="s">
        <v>935</v>
      </c>
      <c r="D7" s="17" t="s">
        <v>936</v>
      </c>
      <c r="E7" s="188" t="s">
        <v>118</v>
      </c>
      <c r="F7" s="17" t="s">
        <v>937</v>
      </c>
      <c r="G7" s="17" t="s">
        <v>938</v>
      </c>
      <c r="H7" s="17" t="s">
        <v>121</v>
      </c>
      <c r="I7" s="17" t="s">
        <v>920</v>
      </c>
      <c r="J7" s="17" t="s">
        <v>30</v>
      </c>
      <c r="K7" s="17" t="s">
        <v>30</v>
      </c>
      <c r="L7" s="19" t="s">
        <v>123</v>
      </c>
      <c r="M7" s="17" t="s">
        <v>31</v>
      </c>
      <c r="N7" s="19" t="s">
        <v>724</v>
      </c>
      <c r="O7" s="19" t="s">
        <v>125</v>
      </c>
      <c r="P7" s="17" t="s">
        <v>34</v>
      </c>
      <c r="Q7" s="147">
        <v>1000</v>
      </c>
      <c r="R7" s="164">
        <v>1</v>
      </c>
      <c r="S7" s="166">
        <v>2200</v>
      </c>
      <c r="T7" s="19"/>
      <c r="U7" s="147">
        <v>22</v>
      </c>
      <c r="V7" s="165">
        <v>6.9999999999999999E-6</v>
      </c>
      <c r="W7" s="165">
        <v>1.8579532018405201E-3</v>
      </c>
      <c r="X7" s="165">
        <v>8.8520743168747E-4</v>
      </c>
    </row>
    <row r="8" spans="1:24">
      <c r="A8" s="17">
        <v>337</v>
      </c>
      <c r="B8" s="17">
        <v>1477</v>
      </c>
      <c r="C8" s="188" t="s">
        <v>172</v>
      </c>
      <c r="D8" s="17" t="s">
        <v>173</v>
      </c>
      <c r="E8" s="188" t="s">
        <v>118</v>
      </c>
      <c r="F8" s="17" t="s">
        <v>939</v>
      </c>
      <c r="G8" s="17" t="s">
        <v>940</v>
      </c>
      <c r="H8" s="17" t="s">
        <v>121</v>
      </c>
      <c r="I8" s="17" t="s">
        <v>920</v>
      </c>
      <c r="J8" s="17" t="s">
        <v>30</v>
      </c>
      <c r="K8" s="17" t="s">
        <v>30</v>
      </c>
      <c r="L8" s="19" t="s">
        <v>123</v>
      </c>
      <c r="M8" s="17" t="s">
        <v>31</v>
      </c>
      <c r="N8" s="19" t="s">
        <v>177</v>
      </c>
      <c r="O8" s="19" t="s">
        <v>125</v>
      </c>
      <c r="P8" s="17" t="s">
        <v>34</v>
      </c>
      <c r="Q8" s="147">
        <v>113</v>
      </c>
      <c r="R8" s="164">
        <v>1</v>
      </c>
      <c r="S8" s="166">
        <v>11280</v>
      </c>
      <c r="T8" s="19"/>
      <c r="U8" s="147">
        <v>12.746</v>
      </c>
      <c r="V8" s="165">
        <v>6.0000000000000002E-6</v>
      </c>
      <c r="W8" s="165">
        <v>1.07646430417909E-3</v>
      </c>
      <c r="X8" s="165">
        <v>5.1287309123914401E-4</v>
      </c>
    </row>
    <row r="9" spans="1:24">
      <c r="A9" s="17">
        <v>337</v>
      </c>
      <c r="B9" s="17">
        <v>1477</v>
      </c>
      <c r="C9" s="188" t="s">
        <v>941</v>
      </c>
      <c r="D9" s="17" t="s">
        <v>942</v>
      </c>
      <c r="E9" s="188" t="s">
        <v>118</v>
      </c>
      <c r="F9" s="17" t="s">
        <v>943</v>
      </c>
      <c r="G9" s="17" t="s">
        <v>944</v>
      </c>
      <c r="H9" s="17" t="s">
        <v>121</v>
      </c>
      <c r="I9" s="17" t="s">
        <v>920</v>
      </c>
      <c r="J9" s="17" t="s">
        <v>30</v>
      </c>
      <c r="K9" s="17" t="s">
        <v>30</v>
      </c>
      <c r="L9" s="19" t="s">
        <v>123</v>
      </c>
      <c r="M9" s="17" t="s">
        <v>31</v>
      </c>
      <c r="N9" s="19" t="s">
        <v>945</v>
      </c>
      <c r="O9" s="19" t="s">
        <v>125</v>
      </c>
      <c r="P9" s="17" t="s">
        <v>34</v>
      </c>
      <c r="Q9" s="147">
        <v>194</v>
      </c>
      <c r="R9" s="164">
        <v>1</v>
      </c>
      <c r="S9" s="166">
        <v>183600</v>
      </c>
      <c r="T9" s="146">
        <v>0.46400000000000002</v>
      </c>
      <c r="U9" s="147">
        <v>356.64800000000002</v>
      </c>
      <c r="V9" s="165">
        <v>3.9999999999999998E-6</v>
      </c>
      <c r="W9" s="165">
        <v>3.0119798737408901E-2</v>
      </c>
      <c r="X9" s="165">
        <v>1.43503451307994E-2</v>
      </c>
    </row>
    <row r="10" spans="1:24">
      <c r="A10" s="17">
        <v>337</v>
      </c>
      <c r="B10" s="17">
        <v>1477</v>
      </c>
      <c r="C10" s="188" t="s">
        <v>946</v>
      </c>
      <c r="D10" s="17" t="s">
        <v>947</v>
      </c>
      <c r="E10" s="188" t="s">
        <v>118</v>
      </c>
      <c r="F10" s="17" t="s">
        <v>948</v>
      </c>
      <c r="G10" s="17" t="s">
        <v>949</v>
      </c>
      <c r="H10" s="17" t="s">
        <v>121</v>
      </c>
      <c r="I10" s="17" t="s">
        <v>920</v>
      </c>
      <c r="J10" s="17" t="s">
        <v>30</v>
      </c>
      <c r="K10" s="17" t="s">
        <v>30</v>
      </c>
      <c r="L10" s="19" t="s">
        <v>123</v>
      </c>
      <c r="M10" s="17" t="s">
        <v>31</v>
      </c>
      <c r="N10" s="19" t="s">
        <v>139</v>
      </c>
      <c r="O10" s="19" t="s">
        <v>125</v>
      </c>
      <c r="P10" s="17" t="s">
        <v>34</v>
      </c>
      <c r="Q10" s="147">
        <v>830</v>
      </c>
      <c r="R10" s="164">
        <v>1</v>
      </c>
      <c r="S10" s="166">
        <v>4725</v>
      </c>
      <c r="T10" s="19"/>
      <c r="U10" s="147">
        <v>39.218000000000004</v>
      </c>
      <c r="V10" s="165">
        <v>1.2999999999999999E-5</v>
      </c>
      <c r="W10" s="165">
        <v>3.3120127133263802E-3</v>
      </c>
      <c r="X10" s="165">
        <v>1.57798283873652E-3</v>
      </c>
    </row>
    <row r="11" spans="1:24">
      <c r="A11" s="17">
        <v>337</v>
      </c>
      <c r="B11" s="17">
        <v>1477</v>
      </c>
      <c r="C11" s="188" t="s">
        <v>219</v>
      </c>
      <c r="D11" s="17" t="s">
        <v>220</v>
      </c>
      <c r="E11" s="188" t="s">
        <v>118</v>
      </c>
      <c r="F11" s="17" t="s">
        <v>950</v>
      </c>
      <c r="G11" s="17" t="s">
        <v>951</v>
      </c>
      <c r="H11" s="17" t="s">
        <v>121</v>
      </c>
      <c r="I11" s="17" t="s">
        <v>920</v>
      </c>
      <c r="J11" s="17" t="s">
        <v>30</v>
      </c>
      <c r="K11" s="17" t="s">
        <v>30</v>
      </c>
      <c r="L11" s="19" t="s">
        <v>123</v>
      </c>
      <c r="M11" s="17" t="s">
        <v>31</v>
      </c>
      <c r="N11" s="19" t="s">
        <v>171</v>
      </c>
      <c r="O11" s="19" t="s">
        <v>125</v>
      </c>
      <c r="P11" s="17" t="s">
        <v>34</v>
      </c>
      <c r="Q11" s="147">
        <v>81</v>
      </c>
      <c r="R11" s="164">
        <v>1</v>
      </c>
      <c r="S11" s="166">
        <v>2500</v>
      </c>
      <c r="T11" s="19"/>
      <c r="U11" s="147">
        <v>2.0249999999999999</v>
      </c>
      <c r="V11" s="165">
        <v>0</v>
      </c>
      <c r="W11" s="165">
        <v>1.7101614698759301E-4</v>
      </c>
      <c r="X11" s="165">
        <v>8.1479320416687605E-5</v>
      </c>
    </row>
    <row r="12" spans="1:24">
      <c r="A12" s="17">
        <v>337</v>
      </c>
      <c r="B12" s="17">
        <v>1477</v>
      </c>
      <c r="C12" s="188" t="s">
        <v>224</v>
      </c>
      <c r="D12" s="17" t="s">
        <v>225</v>
      </c>
      <c r="E12" s="188" t="s">
        <v>118</v>
      </c>
      <c r="F12" s="17" t="s">
        <v>952</v>
      </c>
      <c r="G12" s="17" t="s">
        <v>953</v>
      </c>
      <c r="H12" s="17" t="s">
        <v>121</v>
      </c>
      <c r="I12" s="17" t="s">
        <v>920</v>
      </c>
      <c r="J12" s="17" t="s">
        <v>30</v>
      </c>
      <c r="K12" s="17" t="s">
        <v>80</v>
      </c>
      <c r="L12" s="19" t="s">
        <v>123</v>
      </c>
      <c r="M12" s="17" t="s">
        <v>31</v>
      </c>
      <c r="N12" s="19" t="s">
        <v>228</v>
      </c>
      <c r="O12" s="19" t="s">
        <v>125</v>
      </c>
      <c r="P12" s="17" t="s">
        <v>34</v>
      </c>
      <c r="Q12" s="147">
        <v>3823.3</v>
      </c>
      <c r="R12" s="164">
        <v>1</v>
      </c>
      <c r="S12" s="166">
        <v>14480</v>
      </c>
      <c r="T12" s="19"/>
      <c r="U12" s="147">
        <v>553.61400000000003</v>
      </c>
      <c r="V12" s="165">
        <v>2.9E-5</v>
      </c>
      <c r="W12" s="165">
        <v>4.6754027573237399E-2</v>
      </c>
      <c r="X12" s="165">
        <v>2.2275594793319899E-2</v>
      </c>
    </row>
    <row r="13" spans="1:24">
      <c r="A13" s="17">
        <v>337</v>
      </c>
      <c r="B13" s="17">
        <v>1477</v>
      </c>
      <c r="C13" s="188" t="s">
        <v>725</v>
      </c>
      <c r="D13" s="17" t="s">
        <v>726</v>
      </c>
      <c r="E13" s="188" t="s">
        <v>727</v>
      </c>
      <c r="F13" s="17" t="s">
        <v>954</v>
      </c>
      <c r="G13" s="17" t="s">
        <v>955</v>
      </c>
      <c r="H13" s="17" t="s">
        <v>121</v>
      </c>
      <c r="I13" s="17" t="s">
        <v>920</v>
      </c>
      <c r="J13" s="17" t="s">
        <v>30</v>
      </c>
      <c r="K13" s="17" t="s">
        <v>956</v>
      </c>
      <c r="L13" s="19" t="s">
        <v>123</v>
      </c>
      <c r="M13" s="17" t="s">
        <v>31</v>
      </c>
      <c r="N13" s="19" t="s">
        <v>377</v>
      </c>
      <c r="O13" s="19" t="s">
        <v>125</v>
      </c>
      <c r="P13" s="17" t="s">
        <v>34</v>
      </c>
      <c r="Q13" s="147">
        <v>2500</v>
      </c>
      <c r="R13" s="164">
        <v>1</v>
      </c>
      <c r="S13" s="166">
        <v>3960</v>
      </c>
      <c r="T13" s="19"/>
      <c r="U13" s="147">
        <v>99</v>
      </c>
      <c r="V13" s="165">
        <v>1.4E-5</v>
      </c>
      <c r="W13" s="165">
        <v>8.3607894082823198E-3</v>
      </c>
      <c r="X13" s="165">
        <v>3.9834334425936204E-3</v>
      </c>
    </row>
    <row r="14" spans="1:24">
      <c r="A14" s="17">
        <v>337</v>
      </c>
      <c r="B14" s="17">
        <v>1477</v>
      </c>
      <c r="C14" s="188" t="s">
        <v>957</v>
      </c>
      <c r="D14" s="17" t="s">
        <v>958</v>
      </c>
      <c r="E14" s="188" t="s">
        <v>118</v>
      </c>
      <c r="F14" s="17" t="s">
        <v>959</v>
      </c>
      <c r="G14" s="17" t="s">
        <v>960</v>
      </c>
      <c r="H14" s="17" t="s">
        <v>121</v>
      </c>
      <c r="I14" s="17" t="s">
        <v>920</v>
      </c>
      <c r="J14" s="17" t="s">
        <v>30</v>
      </c>
      <c r="K14" s="17" t="s">
        <v>30</v>
      </c>
      <c r="L14" s="19" t="s">
        <v>123</v>
      </c>
      <c r="M14" s="17" t="s">
        <v>31</v>
      </c>
      <c r="N14" s="19" t="s">
        <v>124</v>
      </c>
      <c r="O14" s="19" t="s">
        <v>125</v>
      </c>
      <c r="P14" s="17" t="s">
        <v>34</v>
      </c>
      <c r="Q14" s="147">
        <v>43</v>
      </c>
      <c r="R14" s="164">
        <v>1</v>
      </c>
      <c r="S14" s="166">
        <v>27640</v>
      </c>
      <c r="T14" s="19"/>
      <c r="U14" s="147">
        <v>11.885</v>
      </c>
      <c r="V14" s="165">
        <v>3.0000000000000001E-6</v>
      </c>
      <c r="W14" s="165">
        <v>1.0037338815688599E-3</v>
      </c>
      <c r="X14" s="165">
        <v>4.7822124395872402E-4</v>
      </c>
    </row>
    <row r="15" spans="1:24">
      <c r="A15" s="17">
        <v>337</v>
      </c>
      <c r="B15" s="17">
        <v>1477</v>
      </c>
      <c r="C15" s="188" t="s">
        <v>961</v>
      </c>
      <c r="D15" s="17" t="s">
        <v>962</v>
      </c>
      <c r="E15" s="188" t="s">
        <v>118</v>
      </c>
      <c r="F15" s="17" t="s">
        <v>963</v>
      </c>
      <c r="G15" s="17" t="s">
        <v>964</v>
      </c>
      <c r="H15" s="17" t="s">
        <v>121</v>
      </c>
      <c r="I15" s="17" t="s">
        <v>920</v>
      </c>
      <c r="J15" s="17" t="s">
        <v>30</v>
      </c>
      <c r="K15" s="17" t="s">
        <v>30</v>
      </c>
      <c r="L15" s="19" t="s">
        <v>123</v>
      </c>
      <c r="M15" s="17" t="s">
        <v>31</v>
      </c>
      <c r="N15" s="19" t="s">
        <v>945</v>
      </c>
      <c r="O15" s="19" t="s">
        <v>125</v>
      </c>
      <c r="P15" s="17" t="s">
        <v>34</v>
      </c>
      <c r="Q15" s="147">
        <v>2780</v>
      </c>
      <c r="R15" s="164">
        <v>1</v>
      </c>
      <c r="S15" s="166">
        <v>2944</v>
      </c>
      <c r="T15" s="19"/>
      <c r="U15" s="147">
        <v>81.843000000000004</v>
      </c>
      <c r="V15" s="165">
        <v>3.6999999999999998E-5</v>
      </c>
      <c r="W15" s="165">
        <v>6.9118561585851702E-3</v>
      </c>
      <c r="X15" s="165">
        <v>3.2931004033220001E-3</v>
      </c>
    </row>
    <row r="16" spans="1:24">
      <c r="A16" s="17">
        <v>337</v>
      </c>
      <c r="B16" s="17">
        <v>1477</v>
      </c>
      <c r="C16" s="188" t="s">
        <v>965</v>
      </c>
      <c r="D16" s="17" t="s">
        <v>966</v>
      </c>
      <c r="E16" s="188" t="s">
        <v>269</v>
      </c>
      <c r="F16" s="17" t="s">
        <v>965</v>
      </c>
      <c r="G16" s="17" t="s">
        <v>967</v>
      </c>
      <c r="H16" s="17" t="s">
        <v>121</v>
      </c>
      <c r="I16" s="17" t="s">
        <v>920</v>
      </c>
      <c r="J16" s="17" t="s">
        <v>30</v>
      </c>
      <c r="K16" s="17" t="s">
        <v>968</v>
      </c>
      <c r="L16" s="19" t="s">
        <v>123</v>
      </c>
      <c r="M16" s="17" t="s">
        <v>31</v>
      </c>
      <c r="N16" s="19" t="s">
        <v>139</v>
      </c>
      <c r="O16" s="19" t="s">
        <v>125</v>
      </c>
      <c r="P16" s="17" t="s">
        <v>34</v>
      </c>
      <c r="Q16" s="147">
        <v>1445</v>
      </c>
      <c r="R16" s="164">
        <v>1</v>
      </c>
      <c r="S16" s="166">
        <v>12990</v>
      </c>
      <c r="T16" s="19"/>
      <c r="U16" s="147">
        <v>187.70599999999999</v>
      </c>
      <c r="V16" s="165">
        <v>6.6000000000000005E-5</v>
      </c>
      <c r="W16" s="165">
        <v>1.5852183396730699E-2</v>
      </c>
      <c r="X16" s="165">
        <v>7.5526501622096599E-3</v>
      </c>
    </row>
    <row r="17" spans="1:24">
      <c r="A17" s="17">
        <v>337</v>
      </c>
      <c r="B17" s="17">
        <v>1477</v>
      </c>
      <c r="C17" s="188" t="s">
        <v>292</v>
      </c>
      <c r="D17" s="17" t="s">
        <v>293</v>
      </c>
      <c r="E17" s="188" t="s">
        <v>118</v>
      </c>
      <c r="F17" s="17" t="s">
        <v>969</v>
      </c>
      <c r="G17" s="17" t="s">
        <v>970</v>
      </c>
      <c r="H17" s="17" t="s">
        <v>121</v>
      </c>
      <c r="I17" s="17" t="s">
        <v>920</v>
      </c>
      <c r="J17" s="17" t="s">
        <v>30</v>
      </c>
      <c r="K17" s="17" t="s">
        <v>30</v>
      </c>
      <c r="L17" s="19" t="s">
        <v>123</v>
      </c>
      <c r="M17" s="17" t="s">
        <v>31</v>
      </c>
      <c r="N17" s="19" t="s">
        <v>124</v>
      </c>
      <c r="O17" s="19" t="s">
        <v>125</v>
      </c>
      <c r="P17" s="17" t="s">
        <v>34</v>
      </c>
      <c r="Q17" s="147">
        <v>1600</v>
      </c>
      <c r="R17" s="164">
        <v>1</v>
      </c>
      <c r="S17" s="166">
        <v>7015</v>
      </c>
      <c r="T17" s="19"/>
      <c r="U17" s="147">
        <v>112.24</v>
      </c>
      <c r="V17" s="165">
        <v>1.4E-5</v>
      </c>
      <c r="W17" s="165">
        <v>9.4789394261172496E-3</v>
      </c>
      <c r="X17" s="165">
        <v>4.51616736966371E-3</v>
      </c>
    </row>
    <row r="18" spans="1:24">
      <c r="A18" s="17">
        <v>337</v>
      </c>
      <c r="B18" s="17">
        <v>1477</v>
      </c>
      <c r="C18" s="188" t="s">
        <v>297</v>
      </c>
      <c r="D18" s="17" t="s">
        <v>298</v>
      </c>
      <c r="E18" s="188" t="s">
        <v>118</v>
      </c>
      <c r="F18" s="17" t="s">
        <v>971</v>
      </c>
      <c r="G18" s="17" t="s">
        <v>972</v>
      </c>
      <c r="H18" s="17" t="s">
        <v>121</v>
      </c>
      <c r="I18" s="17" t="s">
        <v>920</v>
      </c>
      <c r="J18" s="17" t="s">
        <v>30</v>
      </c>
      <c r="K18" s="17" t="s">
        <v>30</v>
      </c>
      <c r="L18" s="19" t="s">
        <v>123</v>
      </c>
      <c r="M18" s="17" t="s">
        <v>31</v>
      </c>
      <c r="N18" s="19" t="s">
        <v>301</v>
      </c>
      <c r="O18" s="19" t="s">
        <v>125</v>
      </c>
      <c r="P18" s="17" t="s">
        <v>34</v>
      </c>
      <c r="Q18" s="147">
        <v>39442</v>
      </c>
      <c r="R18" s="164">
        <v>1</v>
      </c>
      <c r="S18" s="166">
        <v>709.9</v>
      </c>
      <c r="T18" s="19"/>
      <c r="U18" s="147">
        <v>279.99900000000002</v>
      </c>
      <c r="V18" s="165">
        <v>1.4E-5</v>
      </c>
      <c r="W18" s="165">
        <v>2.3646572224430298E-2</v>
      </c>
      <c r="X18" s="165">
        <v>1.1266226429311899E-2</v>
      </c>
    </row>
    <row r="19" spans="1:24">
      <c r="A19" s="17">
        <v>337</v>
      </c>
      <c r="B19" s="17">
        <v>1477</v>
      </c>
      <c r="C19" s="188" t="s">
        <v>303</v>
      </c>
      <c r="D19" s="17" t="s">
        <v>304</v>
      </c>
      <c r="E19" s="188" t="s">
        <v>118</v>
      </c>
      <c r="F19" s="17" t="s">
        <v>973</v>
      </c>
      <c r="G19" s="17" t="s">
        <v>974</v>
      </c>
      <c r="H19" s="17" t="s">
        <v>121</v>
      </c>
      <c r="I19" s="17" t="s">
        <v>920</v>
      </c>
      <c r="J19" s="17" t="s">
        <v>30</v>
      </c>
      <c r="K19" s="17" t="s">
        <v>30</v>
      </c>
      <c r="L19" s="19" t="s">
        <v>123</v>
      </c>
      <c r="M19" s="17" t="s">
        <v>31</v>
      </c>
      <c r="N19" s="19" t="s">
        <v>171</v>
      </c>
      <c r="O19" s="19" t="s">
        <v>125</v>
      </c>
      <c r="P19" s="17" t="s">
        <v>34</v>
      </c>
      <c r="Q19" s="147">
        <v>226</v>
      </c>
      <c r="R19" s="164">
        <v>1</v>
      </c>
      <c r="S19" s="166">
        <v>76490</v>
      </c>
      <c r="T19" s="19"/>
      <c r="U19" s="147">
        <v>172.86699999999999</v>
      </c>
      <c r="V19" s="165">
        <v>9.0000000000000002E-6</v>
      </c>
      <c r="W19" s="165">
        <v>1.45990699692657E-2</v>
      </c>
      <c r="X19" s="165">
        <v>6.9556139625677497E-3</v>
      </c>
    </row>
    <row r="20" spans="1:24">
      <c r="A20" s="5">
        <v>337</v>
      </c>
      <c r="B20" s="5">
        <v>1477</v>
      </c>
      <c r="C20" s="189" t="s">
        <v>975</v>
      </c>
      <c r="D20" s="5" t="s">
        <v>976</v>
      </c>
      <c r="E20" s="188" t="s">
        <v>118</v>
      </c>
      <c r="F20" s="5" t="s">
        <v>977</v>
      </c>
      <c r="G20" s="5" t="s">
        <v>978</v>
      </c>
      <c r="H20" s="17" t="s">
        <v>121</v>
      </c>
      <c r="I20" s="5" t="s">
        <v>920</v>
      </c>
      <c r="J20" s="5" t="s">
        <v>30</v>
      </c>
      <c r="K20" s="17" t="s">
        <v>30</v>
      </c>
      <c r="L20" s="19" t="s">
        <v>123</v>
      </c>
      <c r="M20" s="17" t="s">
        <v>31</v>
      </c>
      <c r="N20" s="19" t="s">
        <v>316</v>
      </c>
      <c r="O20" s="5" t="s">
        <v>125</v>
      </c>
      <c r="P20" s="5" t="s">
        <v>34</v>
      </c>
      <c r="Q20" s="145">
        <v>545</v>
      </c>
      <c r="R20" s="156">
        <v>1</v>
      </c>
      <c r="S20" s="159">
        <v>25050</v>
      </c>
      <c r="U20" s="145">
        <v>136.523</v>
      </c>
      <c r="V20" s="157">
        <v>5.0000000000000004E-6</v>
      </c>
      <c r="W20" s="157">
        <v>1.15296552726487E-2</v>
      </c>
      <c r="X20" s="157">
        <v>5.49321507238876E-3</v>
      </c>
    </row>
    <row r="21" spans="1:24" s="38" customFormat="1">
      <c r="A21" s="38">
        <v>337</v>
      </c>
      <c r="B21" s="38">
        <v>1477</v>
      </c>
      <c r="C21" s="189" t="s">
        <v>979</v>
      </c>
      <c r="D21" s="38" t="s">
        <v>980</v>
      </c>
      <c r="E21" s="189" t="s">
        <v>118</v>
      </c>
      <c r="F21" s="38" t="s">
        <v>981</v>
      </c>
      <c r="G21" s="38" t="s">
        <v>982</v>
      </c>
      <c r="H21" s="38" t="s">
        <v>121</v>
      </c>
      <c r="I21" s="38" t="s">
        <v>920</v>
      </c>
      <c r="J21" s="38" t="s">
        <v>30</v>
      </c>
      <c r="K21" s="38" t="s">
        <v>30</v>
      </c>
      <c r="L21" s="38" t="s">
        <v>123</v>
      </c>
      <c r="M21" s="38" t="s">
        <v>31</v>
      </c>
      <c r="N21" s="19" t="s">
        <v>171</v>
      </c>
      <c r="O21" s="38" t="s">
        <v>125</v>
      </c>
      <c r="P21" s="38" t="s">
        <v>34</v>
      </c>
      <c r="Q21" s="145">
        <v>542</v>
      </c>
      <c r="R21" s="156">
        <v>1</v>
      </c>
      <c r="S21" s="159">
        <v>1440</v>
      </c>
      <c r="T21" s="35"/>
      <c r="U21" s="145">
        <v>7.8049999999999997</v>
      </c>
      <c r="V21" s="157">
        <v>7.9999999999999996E-6</v>
      </c>
      <c r="W21" s="157">
        <v>6.5913423407840197E-4</v>
      </c>
      <c r="X21" s="157">
        <v>3.1403940740156198E-4</v>
      </c>
    </row>
    <row r="22" spans="1:24">
      <c r="A22" s="5">
        <v>337</v>
      </c>
      <c r="B22" s="5">
        <v>1477</v>
      </c>
      <c r="C22" s="189" t="s">
        <v>983</v>
      </c>
      <c r="D22" s="5" t="s">
        <v>984</v>
      </c>
      <c r="E22" s="189" t="s">
        <v>118</v>
      </c>
      <c r="F22" s="5" t="s">
        <v>985</v>
      </c>
      <c r="G22" s="5" t="s">
        <v>986</v>
      </c>
      <c r="H22" s="5" t="s">
        <v>121</v>
      </c>
      <c r="I22" s="5" t="s">
        <v>920</v>
      </c>
      <c r="J22" s="5" t="s">
        <v>30</v>
      </c>
      <c r="K22" s="5" t="s">
        <v>30</v>
      </c>
      <c r="L22" s="3" t="s">
        <v>123</v>
      </c>
      <c r="M22" s="5" t="s">
        <v>31</v>
      </c>
      <c r="N22" s="5" t="s">
        <v>724</v>
      </c>
      <c r="O22" s="5" t="s">
        <v>125</v>
      </c>
      <c r="P22" s="5" t="s">
        <v>34</v>
      </c>
      <c r="Q22" s="145">
        <v>364</v>
      </c>
      <c r="R22" s="156">
        <v>1</v>
      </c>
      <c r="S22" s="159">
        <v>75000</v>
      </c>
      <c r="U22" s="145">
        <v>273</v>
      </c>
      <c r="V22" s="157">
        <v>4.0000000000000003E-5</v>
      </c>
      <c r="W22" s="157">
        <v>2.30555101864755E-2</v>
      </c>
      <c r="X22" s="157">
        <v>1.0984619493212699E-2</v>
      </c>
    </row>
    <row r="23" spans="1:24">
      <c r="A23" s="5">
        <v>337</v>
      </c>
      <c r="B23" s="5">
        <v>1477</v>
      </c>
      <c r="C23" s="189" t="s">
        <v>987</v>
      </c>
      <c r="D23" s="5" t="s">
        <v>988</v>
      </c>
      <c r="E23" s="189" t="s">
        <v>118</v>
      </c>
      <c r="F23" s="5" t="s">
        <v>989</v>
      </c>
      <c r="G23" s="5" t="s">
        <v>990</v>
      </c>
      <c r="H23" s="5" t="s">
        <v>121</v>
      </c>
      <c r="I23" s="5" t="s">
        <v>920</v>
      </c>
      <c r="J23" s="5" t="s">
        <v>30</v>
      </c>
      <c r="K23" s="5" t="s">
        <v>30</v>
      </c>
      <c r="L23" s="3" t="s">
        <v>123</v>
      </c>
      <c r="M23" s="3" t="s">
        <v>31</v>
      </c>
      <c r="N23" s="5" t="s">
        <v>228</v>
      </c>
      <c r="O23" s="5" t="s">
        <v>125</v>
      </c>
      <c r="P23" s="5" t="s">
        <v>34</v>
      </c>
      <c r="Q23" s="145">
        <v>1391</v>
      </c>
      <c r="R23" s="156">
        <v>1</v>
      </c>
      <c r="S23" s="159">
        <v>3663</v>
      </c>
      <c r="U23" s="145">
        <v>50.951999999999998</v>
      </c>
      <c r="V23" s="157">
        <v>6.9999999999999999E-6</v>
      </c>
      <c r="W23" s="157">
        <v>4.3030474847606604E-3</v>
      </c>
      <c r="X23" s="157">
        <v>2.0501536898996598E-3</v>
      </c>
    </row>
    <row r="24" spans="1:24">
      <c r="A24" s="5">
        <v>337</v>
      </c>
      <c r="B24" s="5">
        <v>1477</v>
      </c>
      <c r="C24" s="189" t="s">
        <v>991</v>
      </c>
      <c r="D24" s="5" t="s">
        <v>992</v>
      </c>
      <c r="E24" s="189" t="s">
        <v>118</v>
      </c>
      <c r="F24" s="5" t="s">
        <v>993</v>
      </c>
      <c r="G24" s="5" t="s">
        <v>994</v>
      </c>
      <c r="H24" s="5" t="s">
        <v>121</v>
      </c>
      <c r="I24" s="5" t="s">
        <v>920</v>
      </c>
      <c r="J24" s="5" t="s">
        <v>30</v>
      </c>
      <c r="K24" s="5" t="s">
        <v>30</v>
      </c>
      <c r="L24" s="3" t="s">
        <v>123</v>
      </c>
      <c r="M24" s="3" t="s">
        <v>31</v>
      </c>
      <c r="N24" s="5" t="s">
        <v>316</v>
      </c>
      <c r="O24" s="5" t="s">
        <v>125</v>
      </c>
      <c r="P24" s="5" t="s">
        <v>34</v>
      </c>
      <c r="Q24" s="145">
        <v>1994</v>
      </c>
      <c r="R24" s="156">
        <v>1</v>
      </c>
      <c r="S24" s="159">
        <v>3382</v>
      </c>
      <c r="U24" s="145">
        <v>67.436999999999998</v>
      </c>
      <c r="V24" s="157">
        <v>1.9999999999999999E-6</v>
      </c>
      <c r="W24" s="157">
        <v>5.6952244867624997E-3</v>
      </c>
      <c r="X24" s="157">
        <v>2.7134456539682902E-3</v>
      </c>
    </row>
    <row r="25" spans="1:24">
      <c r="A25" s="5">
        <v>337</v>
      </c>
      <c r="B25" s="5">
        <v>1477</v>
      </c>
      <c r="C25" s="189" t="s">
        <v>995</v>
      </c>
      <c r="D25" s="5" t="s">
        <v>996</v>
      </c>
      <c r="E25" s="189" t="s">
        <v>118</v>
      </c>
      <c r="F25" s="5" t="s">
        <v>997</v>
      </c>
      <c r="G25" s="5" t="s">
        <v>998</v>
      </c>
      <c r="H25" s="5" t="s">
        <v>121</v>
      </c>
      <c r="I25" s="5" t="s">
        <v>920</v>
      </c>
      <c r="J25" s="5" t="s">
        <v>30</v>
      </c>
      <c r="K25" s="5" t="s">
        <v>30</v>
      </c>
      <c r="L25" s="3" t="s">
        <v>123</v>
      </c>
      <c r="M25" s="3" t="s">
        <v>31</v>
      </c>
      <c r="N25" s="5" t="s">
        <v>695</v>
      </c>
      <c r="O25" s="5" t="s">
        <v>125</v>
      </c>
      <c r="P25" s="5" t="s">
        <v>34</v>
      </c>
      <c r="Q25" s="145">
        <v>378</v>
      </c>
      <c r="R25" s="156">
        <v>1</v>
      </c>
      <c r="S25" s="159">
        <v>4910</v>
      </c>
      <c r="U25" s="145">
        <v>18.559999999999999</v>
      </c>
      <c r="V25" s="157">
        <v>1.2999999999999999E-5</v>
      </c>
      <c r="W25" s="157">
        <v>1.5674199925236199E-3</v>
      </c>
      <c r="X25" s="157">
        <v>7.4678513139241401E-4</v>
      </c>
    </row>
    <row r="26" spans="1:24">
      <c r="A26" s="5">
        <v>337</v>
      </c>
      <c r="B26" s="5">
        <v>1477</v>
      </c>
      <c r="C26" s="189" t="s">
        <v>999</v>
      </c>
      <c r="D26" s="5" t="s">
        <v>1000</v>
      </c>
      <c r="E26" s="189" t="s">
        <v>118</v>
      </c>
      <c r="F26" s="5" t="s">
        <v>1001</v>
      </c>
      <c r="G26" s="5" t="s">
        <v>1002</v>
      </c>
      <c r="H26" s="5" t="s">
        <v>121</v>
      </c>
      <c r="I26" s="5" t="s">
        <v>920</v>
      </c>
      <c r="J26" s="5" t="s">
        <v>30</v>
      </c>
      <c r="K26" s="5" t="s">
        <v>30</v>
      </c>
      <c r="L26" s="3" t="s">
        <v>123</v>
      </c>
      <c r="M26" s="3" t="s">
        <v>31</v>
      </c>
      <c r="N26" s="5" t="s">
        <v>421</v>
      </c>
      <c r="O26" s="5" t="s">
        <v>125</v>
      </c>
      <c r="P26" s="5" t="s">
        <v>34</v>
      </c>
      <c r="Q26" s="145">
        <v>1157</v>
      </c>
      <c r="R26" s="156">
        <v>1</v>
      </c>
      <c r="S26" s="159">
        <v>11980</v>
      </c>
      <c r="U26" s="145">
        <v>138.60900000000001</v>
      </c>
      <c r="V26" s="157">
        <v>4.6E-5</v>
      </c>
      <c r="W26" s="157">
        <v>1.17058314623923E-2</v>
      </c>
      <c r="X26" s="157">
        <v>5.5771528552634496E-3</v>
      </c>
    </row>
    <row r="27" spans="1:24">
      <c r="A27" s="5">
        <v>337</v>
      </c>
      <c r="B27" s="5">
        <v>1477</v>
      </c>
      <c r="C27" s="189" t="s">
        <v>1003</v>
      </c>
      <c r="D27" s="5" t="s">
        <v>1004</v>
      </c>
      <c r="E27" s="189" t="s">
        <v>118</v>
      </c>
      <c r="F27" s="5" t="s">
        <v>1005</v>
      </c>
      <c r="G27" s="5" t="s">
        <v>1006</v>
      </c>
      <c r="H27" s="5" t="s">
        <v>121</v>
      </c>
      <c r="I27" s="5" t="s">
        <v>920</v>
      </c>
      <c r="J27" s="5" t="s">
        <v>30</v>
      </c>
      <c r="K27" s="5" t="s">
        <v>30</v>
      </c>
      <c r="L27" s="3" t="s">
        <v>123</v>
      </c>
      <c r="M27" s="3" t="s">
        <v>31</v>
      </c>
      <c r="N27" s="5" t="s">
        <v>1007</v>
      </c>
      <c r="O27" s="5" t="s">
        <v>125</v>
      </c>
      <c r="P27" s="5" t="s">
        <v>34</v>
      </c>
      <c r="Q27" s="145">
        <v>1233</v>
      </c>
      <c r="R27" s="156">
        <v>1</v>
      </c>
      <c r="S27" s="159">
        <v>9490</v>
      </c>
      <c r="U27" s="145">
        <v>117.012</v>
      </c>
      <c r="V27" s="157">
        <v>1.1E-5</v>
      </c>
      <c r="W27" s="157">
        <v>9.8819210303546304E-3</v>
      </c>
      <c r="X27" s="157">
        <v>4.7081648379265796E-3</v>
      </c>
    </row>
    <row r="28" spans="1:24">
      <c r="A28" s="5">
        <v>337</v>
      </c>
      <c r="B28" s="5">
        <v>1477</v>
      </c>
      <c r="C28" s="189" t="s">
        <v>1008</v>
      </c>
      <c r="D28" s="5" t="s">
        <v>1009</v>
      </c>
      <c r="E28" s="189" t="s">
        <v>118</v>
      </c>
      <c r="F28" s="5" t="s">
        <v>1010</v>
      </c>
      <c r="G28" s="5" t="s">
        <v>1011</v>
      </c>
      <c r="H28" s="5" t="s">
        <v>121</v>
      </c>
      <c r="I28" s="5" t="s">
        <v>920</v>
      </c>
      <c r="J28" s="5" t="s">
        <v>30</v>
      </c>
      <c r="K28" s="5" t="s">
        <v>30</v>
      </c>
      <c r="L28" s="3" t="s">
        <v>123</v>
      </c>
      <c r="M28" s="3" t="s">
        <v>31</v>
      </c>
      <c r="N28" s="5" t="s">
        <v>184</v>
      </c>
      <c r="O28" s="5" t="s">
        <v>125</v>
      </c>
      <c r="P28" s="5" t="s">
        <v>34</v>
      </c>
      <c r="Q28" s="145">
        <v>23506</v>
      </c>
      <c r="R28" s="156">
        <v>1</v>
      </c>
      <c r="S28" s="159">
        <v>673.8</v>
      </c>
      <c r="T28" s="143">
        <v>2.5449999999999999</v>
      </c>
      <c r="U28" s="145">
        <v>160.929</v>
      </c>
      <c r="V28" s="157">
        <v>2.31E-4</v>
      </c>
      <c r="W28" s="157">
        <v>1.3590818558939E-2</v>
      </c>
      <c r="X28" s="157">
        <v>6.4752403769755803E-3</v>
      </c>
    </row>
    <row r="29" spans="1:24">
      <c r="A29" s="5">
        <v>337</v>
      </c>
      <c r="B29" s="5">
        <v>1477</v>
      </c>
      <c r="C29" s="189" t="s">
        <v>1012</v>
      </c>
      <c r="D29" s="5" t="s">
        <v>1013</v>
      </c>
      <c r="E29" s="189" t="s">
        <v>118</v>
      </c>
      <c r="F29" s="5" t="s">
        <v>1014</v>
      </c>
      <c r="G29" s="5" t="s">
        <v>1015</v>
      </c>
      <c r="H29" s="5" t="s">
        <v>121</v>
      </c>
      <c r="I29" s="5" t="s">
        <v>920</v>
      </c>
      <c r="J29" s="5" t="s">
        <v>30</v>
      </c>
      <c r="K29" s="5" t="s">
        <v>30</v>
      </c>
      <c r="L29" s="3" t="s">
        <v>123</v>
      </c>
      <c r="M29" s="3" t="s">
        <v>31</v>
      </c>
      <c r="N29" s="5" t="s">
        <v>124</v>
      </c>
      <c r="O29" s="5" t="s">
        <v>125</v>
      </c>
      <c r="P29" s="5" t="s">
        <v>34</v>
      </c>
      <c r="Q29" s="145">
        <v>5000</v>
      </c>
      <c r="R29" s="156">
        <v>1</v>
      </c>
      <c r="S29" s="159">
        <v>1104</v>
      </c>
      <c r="U29" s="145">
        <v>55.2</v>
      </c>
      <c r="V29" s="157">
        <v>5.7000000000000003E-5</v>
      </c>
      <c r="W29" s="157">
        <v>4.6617734882543798E-3</v>
      </c>
      <c r="X29" s="157">
        <v>2.2210659195067402E-3</v>
      </c>
    </row>
    <row r="30" spans="1:24">
      <c r="A30" s="5">
        <v>337</v>
      </c>
      <c r="B30" s="5">
        <v>1477</v>
      </c>
      <c r="C30" s="189" t="s">
        <v>784</v>
      </c>
      <c r="D30" s="5" t="s">
        <v>785</v>
      </c>
      <c r="E30" s="189" t="s">
        <v>118</v>
      </c>
      <c r="F30" s="5" t="s">
        <v>1016</v>
      </c>
      <c r="G30" s="5" t="s">
        <v>1017</v>
      </c>
      <c r="H30" s="5" t="s">
        <v>121</v>
      </c>
      <c r="I30" s="5" t="s">
        <v>920</v>
      </c>
      <c r="J30" s="5" t="s">
        <v>30</v>
      </c>
      <c r="K30" s="5" t="s">
        <v>30</v>
      </c>
      <c r="L30" s="3" t="s">
        <v>123</v>
      </c>
      <c r="M30" s="3" t="s">
        <v>31</v>
      </c>
      <c r="N30" s="5" t="s">
        <v>159</v>
      </c>
      <c r="O30" s="5" t="s">
        <v>125</v>
      </c>
      <c r="P30" s="5" t="s">
        <v>34</v>
      </c>
      <c r="Q30" s="145">
        <v>2212</v>
      </c>
      <c r="R30" s="156">
        <v>1</v>
      </c>
      <c r="S30" s="159">
        <v>13180</v>
      </c>
      <c r="U30" s="145">
        <v>291.54199999999997</v>
      </c>
      <c r="V30" s="157">
        <v>7.9999999999999996E-6</v>
      </c>
      <c r="W30" s="157">
        <v>2.4621393144986702E-2</v>
      </c>
      <c r="X30" s="157">
        <v>1.17306723166389E-2</v>
      </c>
    </row>
    <row r="31" spans="1:24">
      <c r="A31" s="5">
        <v>337</v>
      </c>
      <c r="B31" s="5">
        <v>1477</v>
      </c>
      <c r="C31" s="189" t="s">
        <v>1018</v>
      </c>
      <c r="D31" s="5" t="s">
        <v>1019</v>
      </c>
      <c r="E31" s="189" t="s">
        <v>118</v>
      </c>
      <c r="F31" s="5" t="s">
        <v>1020</v>
      </c>
      <c r="G31" s="5" t="s">
        <v>1021</v>
      </c>
      <c r="H31" s="5" t="s">
        <v>121</v>
      </c>
      <c r="I31" s="5" t="s">
        <v>920</v>
      </c>
      <c r="J31" s="5" t="s">
        <v>30</v>
      </c>
      <c r="K31" s="5" t="s">
        <v>30</v>
      </c>
      <c r="L31" s="3" t="s">
        <v>123</v>
      </c>
      <c r="M31" s="3" t="s">
        <v>31</v>
      </c>
      <c r="N31" s="5" t="s">
        <v>159</v>
      </c>
      <c r="O31" s="5" t="s">
        <v>125</v>
      </c>
      <c r="P31" s="5" t="s">
        <v>34</v>
      </c>
      <c r="Q31" s="145">
        <v>691</v>
      </c>
      <c r="R31" s="156">
        <v>1</v>
      </c>
      <c r="S31" s="159">
        <v>12430</v>
      </c>
      <c r="U31" s="145">
        <v>85.891000000000005</v>
      </c>
      <c r="V31" s="157">
        <v>3.0000000000000001E-6</v>
      </c>
      <c r="W31" s="157">
        <v>7.2537279929656504E-3</v>
      </c>
      <c r="X31" s="157">
        <v>3.4559825944226398E-3</v>
      </c>
    </row>
    <row r="32" spans="1:24">
      <c r="A32" s="5">
        <v>337</v>
      </c>
      <c r="B32" s="5">
        <v>1477</v>
      </c>
      <c r="C32" s="189" t="s">
        <v>1022</v>
      </c>
      <c r="D32" s="5" t="s">
        <v>1023</v>
      </c>
      <c r="E32" s="189" t="s">
        <v>118</v>
      </c>
      <c r="F32" s="5" t="s">
        <v>1024</v>
      </c>
      <c r="G32" s="5" t="s">
        <v>1025</v>
      </c>
      <c r="H32" s="5" t="s">
        <v>121</v>
      </c>
      <c r="I32" s="5" t="s">
        <v>920</v>
      </c>
      <c r="J32" s="5" t="s">
        <v>30</v>
      </c>
      <c r="K32" s="5" t="s">
        <v>30</v>
      </c>
      <c r="L32" s="3" t="s">
        <v>123</v>
      </c>
      <c r="M32" s="3" t="s">
        <v>31</v>
      </c>
      <c r="N32" s="5" t="s">
        <v>662</v>
      </c>
      <c r="O32" s="5" t="s">
        <v>125</v>
      </c>
      <c r="P32" s="5" t="s">
        <v>34</v>
      </c>
      <c r="Q32" s="145">
        <v>794</v>
      </c>
      <c r="R32" s="156">
        <v>1</v>
      </c>
      <c r="S32" s="159">
        <v>8801</v>
      </c>
      <c r="U32" s="145">
        <v>69.88</v>
      </c>
      <c r="V32" s="157">
        <v>1.1E-5</v>
      </c>
      <c r="W32" s="157">
        <v>5.9015299212465001E-3</v>
      </c>
      <c r="X32" s="157">
        <v>2.8117382824488402E-3</v>
      </c>
    </row>
    <row r="33" spans="1:24">
      <c r="A33" s="5">
        <v>337</v>
      </c>
      <c r="B33" s="5">
        <v>1477</v>
      </c>
      <c r="C33" s="189" t="s">
        <v>791</v>
      </c>
      <c r="D33" s="5" t="s">
        <v>792</v>
      </c>
      <c r="E33" s="189" t="s">
        <v>118</v>
      </c>
      <c r="F33" s="5" t="s">
        <v>1026</v>
      </c>
      <c r="G33" s="5" t="s">
        <v>1027</v>
      </c>
      <c r="H33" s="5" t="s">
        <v>121</v>
      </c>
      <c r="I33" s="5" t="s">
        <v>920</v>
      </c>
      <c r="J33" s="5" t="s">
        <v>30</v>
      </c>
      <c r="K33" s="5" t="s">
        <v>30</v>
      </c>
      <c r="L33" s="3" t="s">
        <v>123</v>
      </c>
      <c r="M33" s="3" t="s">
        <v>31</v>
      </c>
      <c r="N33" s="5" t="s">
        <v>124</v>
      </c>
      <c r="O33" s="5" t="s">
        <v>125</v>
      </c>
      <c r="P33" s="5" t="s">
        <v>34</v>
      </c>
      <c r="Q33" s="145">
        <v>1589</v>
      </c>
      <c r="R33" s="156">
        <v>1</v>
      </c>
      <c r="S33" s="159">
        <v>2216</v>
      </c>
      <c r="U33" s="145">
        <v>35.212000000000003</v>
      </c>
      <c r="V33" s="157">
        <v>2.5999999999999998E-5</v>
      </c>
      <c r="W33" s="157">
        <v>2.9737588205443902E-3</v>
      </c>
      <c r="X33" s="157">
        <v>1.41682438792558E-3</v>
      </c>
    </row>
    <row r="34" spans="1:24">
      <c r="A34" s="5">
        <v>337</v>
      </c>
      <c r="B34" s="5">
        <v>1477</v>
      </c>
      <c r="C34" s="189" t="s">
        <v>1028</v>
      </c>
      <c r="D34" s="5" t="s">
        <v>1029</v>
      </c>
      <c r="E34" s="189" t="s">
        <v>118</v>
      </c>
      <c r="F34" s="5" t="s">
        <v>1030</v>
      </c>
      <c r="G34" s="5" t="s">
        <v>1031</v>
      </c>
      <c r="H34" s="5" t="s">
        <v>121</v>
      </c>
      <c r="I34" s="5" t="s">
        <v>920</v>
      </c>
      <c r="J34" s="5" t="s">
        <v>30</v>
      </c>
      <c r="K34" s="5" t="s">
        <v>30</v>
      </c>
      <c r="L34" s="3" t="s">
        <v>123</v>
      </c>
      <c r="M34" s="3" t="s">
        <v>31</v>
      </c>
      <c r="N34" s="5" t="s">
        <v>662</v>
      </c>
      <c r="O34" s="5" t="s">
        <v>125</v>
      </c>
      <c r="P34" s="5" t="s">
        <v>34</v>
      </c>
      <c r="Q34" s="145">
        <v>87</v>
      </c>
      <c r="R34" s="156">
        <v>1</v>
      </c>
      <c r="S34" s="159">
        <v>26390</v>
      </c>
      <c r="U34" s="145">
        <v>22.959</v>
      </c>
      <c r="V34" s="157">
        <v>3.9999999999999998E-6</v>
      </c>
      <c r="W34" s="157">
        <v>1.9389684066825901E-3</v>
      </c>
      <c r="X34" s="157">
        <v>9.2380649937918796E-4</v>
      </c>
    </row>
    <row r="35" spans="1:24">
      <c r="A35" s="5">
        <v>337</v>
      </c>
      <c r="B35" s="5">
        <v>1477</v>
      </c>
      <c r="C35" s="189" t="s">
        <v>1032</v>
      </c>
      <c r="D35" s="5" t="s">
        <v>1033</v>
      </c>
      <c r="E35" s="189" t="s">
        <v>118</v>
      </c>
      <c r="F35" s="5" t="s">
        <v>1034</v>
      </c>
      <c r="G35" s="5" t="s">
        <v>1035</v>
      </c>
      <c r="H35" s="5" t="s">
        <v>121</v>
      </c>
      <c r="I35" s="5" t="s">
        <v>920</v>
      </c>
      <c r="J35" s="5" t="s">
        <v>30</v>
      </c>
      <c r="K35" s="5" t="s">
        <v>30</v>
      </c>
      <c r="L35" s="3" t="s">
        <v>123</v>
      </c>
      <c r="M35" s="3" t="s">
        <v>31</v>
      </c>
      <c r="N35" s="5" t="s">
        <v>724</v>
      </c>
      <c r="O35" s="5" t="s">
        <v>125</v>
      </c>
      <c r="P35" s="5" t="s">
        <v>34</v>
      </c>
      <c r="Q35" s="145">
        <v>462</v>
      </c>
      <c r="R35" s="156">
        <v>1</v>
      </c>
      <c r="S35" s="159">
        <v>1738</v>
      </c>
      <c r="U35" s="145">
        <v>8.0299999999999994</v>
      </c>
      <c r="V35" s="157">
        <v>1.2999999999999999E-5</v>
      </c>
      <c r="W35" s="157">
        <v>6.7811575960775102E-4</v>
      </c>
      <c r="X35" s="157">
        <v>3.2308300841729301E-4</v>
      </c>
    </row>
    <row r="36" spans="1:24">
      <c r="A36" s="5">
        <v>337</v>
      </c>
      <c r="B36" s="5">
        <v>1477</v>
      </c>
      <c r="C36" s="189" t="s">
        <v>1036</v>
      </c>
      <c r="D36" s="5" t="s">
        <v>1037</v>
      </c>
      <c r="E36" s="189" t="s">
        <v>118</v>
      </c>
      <c r="F36" s="5" t="s">
        <v>1038</v>
      </c>
      <c r="G36" s="5" t="s">
        <v>1039</v>
      </c>
      <c r="H36" s="5" t="s">
        <v>121</v>
      </c>
      <c r="I36" s="5" t="s">
        <v>920</v>
      </c>
      <c r="J36" s="5" t="s">
        <v>30</v>
      </c>
      <c r="K36" s="5" t="s">
        <v>138</v>
      </c>
      <c r="L36" s="3" t="s">
        <v>123</v>
      </c>
      <c r="M36" s="3" t="s">
        <v>31</v>
      </c>
      <c r="N36" s="5" t="s">
        <v>1040</v>
      </c>
      <c r="O36" s="5" t="s">
        <v>125</v>
      </c>
      <c r="P36" s="5" t="s">
        <v>34</v>
      </c>
      <c r="Q36" s="145">
        <v>292</v>
      </c>
      <c r="R36" s="156">
        <v>1</v>
      </c>
      <c r="S36" s="159">
        <v>37300</v>
      </c>
      <c r="U36" s="145">
        <v>108.916</v>
      </c>
      <c r="V36" s="157">
        <v>3.0000000000000001E-6</v>
      </c>
      <c r="W36" s="157">
        <v>9.1982195878028E-3</v>
      </c>
      <c r="X36" s="157">
        <v>4.3824205740760199E-3</v>
      </c>
    </row>
    <row r="37" spans="1:24">
      <c r="A37" s="5">
        <v>337</v>
      </c>
      <c r="B37" s="5">
        <v>1477</v>
      </c>
      <c r="C37" s="189" t="s">
        <v>750</v>
      </c>
      <c r="D37" s="5" t="s">
        <v>751</v>
      </c>
      <c r="E37" s="189" t="s">
        <v>118</v>
      </c>
      <c r="F37" s="5" t="s">
        <v>1041</v>
      </c>
      <c r="G37" s="5" t="s">
        <v>1042</v>
      </c>
      <c r="H37" s="5" t="s">
        <v>121</v>
      </c>
      <c r="I37" s="5" t="s">
        <v>920</v>
      </c>
      <c r="J37" s="5" t="s">
        <v>30</v>
      </c>
      <c r="K37" s="5" t="s">
        <v>80</v>
      </c>
      <c r="L37" s="3" t="s">
        <v>123</v>
      </c>
      <c r="M37" s="3" t="s">
        <v>31</v>
      </c>
      <c r="N37" s="5" t="s">
        <v>754</v>
      </c>
      <c r="O37" s="5" t="s">
        <v>125</v>
      </c>
      <c r="P37" s="5" t="s">
        <v>34</v>
      </c>
      <c r="Q37" s="145">
        <v>5263</v>
      </c>
      <c r="R37" s="156">
        <v>1</v>
      </c>
      <c r="S37" s="159">
        <v>10090</v>
      </c>
      <c r="U37" s="145">
        <v>531.03700000000003</v>
      </c>
      <c r="V37" s="157">
        <v>3.9999999999999998E-6</v>
      </c>
      <c r="W37" s="157">
        <v>4.4847333502719203E-2</v>
      </c>
      <c r="X37" s="157">
        <v>2.13671651517632E-2</v>
      </c>
    </row>
    <row r="38" spans="1:24">
      <c r="A38" s="5">
        <v>337</v>
      </c>
      <c r="B38" s="5">
        <v>1477</v>
      </c>
      <c r="C38" s="189" t="s">
        <v>1043</v>
      </c>
      <c r="D38" s="5" t="s">
        <v>1044</v>
      </c>
      <c r="E38" s="189" t="s">
        <v>118</v>
      </c>
      <c r="F38" s="5" t="s">
        <v>1045</v>
      </c>
      <c r="G38" s="5" t="s">
        <v>1046</v>
      </c>
      <c r="H38" s="5" t="s">
        <v>121</v>
      </c>
      <c r="I38" s="5" t="s">
        <v>920</v>
      </c>
      <c r="J38" s="5" t="s">
        <v>30</v>
      </c>
      <c r="K38" s="5" t="s">
        <v>30</v>
      </c>
      <c r="L38" s="3" t="s">
        <v>123</v>
      </c>
      <c r="M38" s="3" t="s">
        <v>31</v>
      </c>
      <c r="N38" s="5" t="s">
        <v>421</v>
      </c>
      <c r="O38" s="5" t="s">
        <v>125</v>
      </c>
      <c r="P38" s="5" t="s">
        <v>34</v>
      </c>
      <c r="Q38" s="145">
        <v>4200</v>
      </c>
      <c r="R38" s="156">
        <v>1</v>
      </c>
      <c r="S38" s="159">
        <v>1101</v>
      </c>
      <c r="U38" s="145">
        <v>46.241999999999997</v>
      </c>
      <c r="V38" s="157">
        <v>3.8999999999999999E-5</v>
      </c>
      <c r="W38" s="157">
        <v>3.90524872543223E-3</v>
      </c>
      <c r="X38" s="157">
        <v>1.8606255480041801E-3</v>
      </c>
    </row>
    <row r="39" spans="1:24">
      <c r="A39" s="5">
        <v>337</v>
      </c>
      <c r="B39" s="5">
        <v>1477</v>
      </c>
      <c r="C39" s="189" t="s">
        <v>1047</v>
      </c>
      <c r="D39" s="5" t="s">
        <v>1048</v>
      </c>
      <c r="E39" s="189" t="s">
        <v>118</v>
      </c>
      <c r="F39" s="5" t="s">
        <v>1049</v>
      </c>
      <c r="G39" s="5" t="s">
        <v>1050</v>
      </c>
      <c r="H39" s="5" t="s">
        <v>121</v>
      </c>
      <c r="I39" s="5" t="s">
        <v>920</v>
      </c>
      <c r="J39" s="5" t="s">
        <v>30</v>
      </c>
      <c r="K39" s="5" t="s">
        <v>30</v>
      </c>
      <c r="L39" s="3" t="s">
        <v>123</v>
      </c>
      <c r="M39" s="3" t="s">
        <v>31</v>
      </c>
      <c r="N39" s="5" t="s">
        <v>1007</v>
      </c>
      <c r="O39" s="5" t="s">
        <v>125</v>
      </c>
      <c r="P39" s="5" t="s">
        <v>34</v>
      </c>
      <c r="Q39" s="145">
        <v>2998</v>
      </c>
      <c r="R39" s="156">
        <v>1</v>
      </c>
      <c r="S39" s="159">
        <v>1560</v>
      </c>
      <c r="U39" s="145">
        <v>46.768999999999998</v>
      </c>
      <c r="V39" s="157">
        <v>9.0000000000000002E-6</v>
      </c>
      <c r="W39" s="157">
        <v>3.9497382593744901E-3</v>
      </c>
      <c r="X39" s="157">
        <v>1.8818222423229499E-3</v>
      </c>
    </row>
    <row r="40" spans="1:24">
      <c r="A40" s="5">
        <v>337</v>
      </c>
      <c r="B40" s="5">
        <v>1477</v>
      </c>
      <c r="C40" s="189" t="s">
        <v>437</v>
      </c>
      <c r="D40" s="5" t="s">
        <v>438</v>
      </c>
      <c r="E40" s="189" t="s">
        <v>439</v>
      </c>
      <c r="F40" s="5" t="s">
        <v>1051</v>
      </c>
      <c r="G40" s="5" t="s">
        <v>1052</v>
      </c>
      <c r="H40" s="5" t="s">
        <v>121</v>
      </c>
      <c r="I40" s="5" t="s">
        <v>920</v>
      </c>
      <c r="J40" s="5" t="s">
        <v>30</v>
      </c>
      <c r="K40" s="5" t="s">
        <v>30</v>
      </c>
      <c r="L40" s="3" t="s">
        <v>123</v>
      </c>
      <c r="M40" s="3" t="s">
        <v>31</v>
      </c>
      <c r="N40" s="5" t="s">
        <v>377</v>
      </c>
      <c r="O40" s="5" t="s">
        <v>125</v>
      </c>
      <c r="P40" s="5" t="s">
        <v>34</v>
      </c>
      <c r="Q40" s="145">
        <v>6100</v>
      </c>
      <c r="R40" s="156">
        <v>1</v>
      </c>
      <c r="S40" s="159">
        <v>245.5</v>
      </c>
      <c r="U40" s="145">
        <v>14.976000000000001</v>
      </c>
      <c r="V40" s="157">
        <v>1.9999999999999999E-6</v>
      </c>
      <c r="W40" s="157">
        <v>1.2647171897346701E-3</v>
      </c>
      <c r="X40" s="157">
        <v>6.0256472241980495E-4</v>
      </c>
    </row>
    <row r="41" spans="1:24">
      <c r="A41" s="5">
        <v>337</v>
      </c>
      <c r="B41" s="5">
        <v>1477</v>
      </c>
      <c r="C41" s="189" t="s">
        <v>1053</v>
      </c>
      <c r="D41" s="5" t="s">
        <v>1054</v>
      </c>
      <c r="E41" s="189" t="s">
        <v>118</v>
      </c>
      <c r="F41" s="5" t="s">
        <v>1055</v>
      </c>
      <c r="G41" s="5" t="s">
        <v>1056</v>
      </c>
      <c r="H41" s="5" t="s">
        <v>121</v>
      </c>
      <c r="I41" s="5" t="s">
        <v>920</v>
      </c>
      <c r="J41" s="5" t="s">
        <v>30</v>
      </c>
      <c r="K41" s="5" t="s">
        <v>30</v>
      </c>
      <c r="L41" s="3" t="s">
        <v>123</v>
      </c>
      <c r="M41" s="3" t="s">
        <v>31</v>
      </c>
      <c r="N41" s="5" t="s">
        <v>177</v>
      </c>
      <c r="O41" s="5" t="s">
        <v>125</v>
      </c>
      <c r="P41" s="5" t="s">
        <v>34</v>
      </c>
      <c r="Q41" s="145">
        <v>65</v>
      </c>
      <c r="R41" s="156">
        <v>1</v>
      </c>
      <c r="S41" s="159">
        <v>15680</v>
      </c>
      <c r="U41" s="145">
        <v>10.192</v>
      </c>
      <c r="V41" s="157">
        <v>9.9999999999999995E-7</v>
      </c>
      <c r="W41" s="157">
        <v>8.6073904696175199E-4</v>
      </c>
      <c r="X41" s="157">
        <v>4.1009246107994102E-4</v>
      </c>
    </row>
    <row r="42" spans="1:24">
      <c r="A42" s="5">
        <v>337</v>
      </c>
      <c r="B42" s="5">
        <v>1477</v>
      </c>
      <c r="C42" s="189" t="s">
        <v>811</v>
      </c>
      <c r="D42" s="5" t="s">
        <v>812</v>
      </c>
      <c r="E42" s="189" t="s">
        <v>118</v>
      </c>
      <c r="F42" s="5" t="s">
        <v>1057</v>
      </c>
      <c r="G42" s="5" t="s">
        <v>1058</v>
      </c>
      <c r="H42" s="5" t="s">
        <v>121</v>
      </c>
      <c r="I42" s="5" t="s">
        <v>920</v>
      </c>
      <c r="J42" s="5" t="s">
        <v>30</v>
      </c>
      <c r="K42" s="5" t="s">
        <v>30</v>
      </c>
      <c r="L42" s="3" t="s">
        <v>123</v>
      </c>
      <c r="M42" s="3" t="s">
        <v>31</v>
      </c>
      <c r="N42" s="5" t="s">
        <v>159</v>
      </c>
      <c r="O42" s="5" t="s">
        <v>125</v>
      </c>
      <c r="P42" s="5" t="s">
        <v>34</v>
      </c>
      <c r="Q42" s="145">
        <v>1288</v>
      </c>
      <c r="R42" s="156">
        <v>1</v>
      </c>
      <c r="S42" s="159">
        <v>20570</v>
      </c>
      <c r="U42" s="145">
        <v>264.94200000000001</v>
      </c>
      <c r="V42" s="157">
        <v>1.5999999999999999E-5</v>
      </c>
      <c r="W42" s="157">
        <v>2.2374958819125001E-2</v>
      </c>
      <c r="X42" s="157">
        <v>1.0660376058325901E-2</v>
      </c>
    </row>
    <row r="43" spans="1:24">
      <c r="A43" s="5">
        <v>337</v>
      </c>
      <c r="B43" s="5">
        <v>1477</v>
      </c>
      <c r="C43" s="189" t="s">
        <v>459</v>
      </c>
      <c r="D43" s="5" t="s">
        <v>460</v>
      </c>
      <c r="E43" s="189" t="s">
        <v>118</v>
      </c>
      <c r="F43" s="5" t="s">
        <v>1059</v>
      </c>
      <c r="G43" s="5" t="s">
        <v>1060</v>
      </c>
      <c r="H43" s="5" t="s">
        <v>121</v>
      </c>
      <c r="I43" s="5" t="s">
        <v>920</v>
      </c>
      <c r="J43" s="5" t="s">
        <v>30</v>
      </c>
      <c r="K43" s="5" t="s">
        <v>30</v>
      </c>
      <c r="L43" s="3" t="s">
        <v>123</v>
      </c>
      <c r="M43" s="3" t="s">
        <v>31</v>
      </c>
      <c r="N43" s="5" t="s">
        <v>316</v>
      </c>
      <c r="O43" s="5" t="s">
        <v>125</v>
      </c>
      <c r="P43" s="5" t="s">
        <v>34</v>
      </c>
      <c r="Q43" s="145">
        <v>8760</v>
      </c>
      <c r="R43" s="156">
        <v>1</v>
      </c>
      <c r="S43" s="159">
        <v>7020</v>
      </c>
      <c r="U43" s="145">
        <v>614.952</v>
      </c>
      <c r="V43" s="157">
        <v>5.0000000000000004E-6</v>
      </c>
      <c r="W43" s="157">
        <v>5.1934183517192201E-2</v>
      </c>
      <c r="X43" s="157">
        <v>2.4743640024139701E-2</v>
      </c>
    </row>
    <row r="44" spans="1:24">
      <c r="A44" s="5">
        <v>337</v>
      </c>
      <c r="B44" s="5">
        <v>1477</v>
      </c>
      <c r="C44" s="189" t="s">
        <v>417</v>
      </c>
      <c r="D44" s="5" t="s">
        <v>418</v>
      </c>
      <c r="E44" s="189" t="s">
        <v>118</v>
      </c>
      <c r="F44" s="5" t="s">
        <v>1061</v>
      </c>
      <c r="G44" s="5" t="s">
        <v>1062</v>
      </c>
      <c r="H44" s="5" t="s">
        <v>121</v>
      </c>
      <c r="I44" s="5" t="s">
        <v>920</v>
      </c>
      <c r="J44" s="5" t="s">
        <v>30</v>
      </c>
      <c r="K44" s="5" t="s">
        <v>30</v>
      </c>
      <c r="L44" s="3" t="s">
        <v>123</v>
      </c>
      <c r="M44" s="3" t="s">
        <v>31</v>
      </c>
      <c r="N44" s="5" t="s">
        <v>421</v>
      </c>
      <c r="O44" s="5" t="s">
        <v>125</v>
      </c>
      <c r="P44" s="5" t="s">
        <v>34</v>
      </c>
      <c r="Q44" s="145">
        <v>320</v>
      </c>
      <c r="R44" s="156">
        <v>1</v>
      </c>
      <c r="S44" s="159">
        <v>33850</v>
      </c>
      <c r="U44" s="145">
        <v>108.32</v>
      </c>
      <c r="V44" s="157">
        <v>2.1999999999999999E-5</v>
      </c>
      <c r="W44" s="157">
        <v>9.1478859465165697E-3</v>
      </c>
      <c r="X44" s="157">
        <v>4.3584395000175798E-3</v>
      </c>
    </row>
    <row r="45" spans="1:24">
      <c r="A45" s="5">
        <v>337</v>
      </c>
      <c r="B45" s="5">
        <v>1477</v>
      </c>
      <c r="C45" s="189" t="s">
        <v>482</v>
      </c>
      <c r="D45" s="5" t="s">
        <v>483</v>
      </c>
      <c r="E45" s="189" t="s">
        <v>118</v>
      </c>
      <c r="F45" s="5" t="s">
        <v>1063</v>
      </c>
      <c r="G45" s="5" t="s">
        <v>1064</v>
      </c>
      <c r="H45" s="5" t="s">
        <v>121</v>
      </c>
      <c r="I45" s="5" t="s">
        <v>920</v>
      </c>
      <c r="J45" s="5" t="s">
        <v>30</v>
      </c>
      <c r="K45" s="5" t="s">
        <v>30</v>
      </c>
      <c r="L45" s="3" t="s">
        <v>123</v>
      </c>
      <c r="M45" s="3" t="s">
        <v>31</v>
      </c>
      <c r="N45" s="5" t="s">
        <v>171</v>
      </c>
      <c r="O45" s="5" t="s">
        <v>125</v>
      </c>
      <c r="P45" s="5" t="s">
        <v>34</v>
      </c>
      <c r="Q45" s="145">
        <v>5129</v>
      </c>
      <c r="R45" s="156">
        <v>1</v>
      </c>
      <c r="S45" s="159">
        <v>1559</v>
      </c>
      <c r="U45" s="145">
        <v>79.960999999999999</v>
      </c>
      <c r="V45" s="157">
        <v>6.9999999999999999E-6</v>
      </c>
      <c r="W45" s="157">
        <v>6.7529091066918902E-3</v>
      </c>
      <c r="X45" s="157">
        <v>3.21737130990815E-3</v>
      </c>
    </row>
    <row r="46" spans="1:24">
      <c r="A46" s="5">
        <v>337</v>
      </c>
      <c r="B46" s="5">
        <v>1477</v>
      </c>
      <c r="C46" s="189" t="s">
        <v>1065</v>
      </c>
      <c r="D46" s="5" t="s">
        <v>1066</v>
      </c>
      <c r="E46" s="189" t="s">
        <v>118</v>
      </c>
      <c r="F46" s="5" t="s">
        <v>1067</v>
      </c>
      <c r="G46" s="5" t="s">
        <v>1068</v>
      </c>
      <c r="H46" s="5" t="s">
        <v>121</v>
      </c>
      <c r="I46" s="5" t="s">
        <v>920</v>
      </c>
      <c r="J46" s="5" t="s">
        <v>30</v>
      </c>
      <c r="K46" s="5" t="s">
        <v>30</v>
      </c>
      <c r="L46" s="3" t="s">
        <v>123</v>
      </c>
      <c r="M46" s="3" t="s">
        <v>31</v>
      </c>
      <c r="N46" s="5" t="s">
        <v>159</v>
      </c>
      <c r="O46" s="5" t="s">
        <v>125</v>
      </c>
      <c r="P46" s="5" t="s">
        <v>34</v>
      </c>
      <c r="Q46" s="145">
        <v>12721</v>
      </c>
      <c r="R46" s="156">
        <v>1</v>
      </c>
      <c r="S46" s="159">
        <v>1546</v>
      </c>
      <c r="U46" s="145">
        <v>196.667</v>
      </c>
      <c r="V46" s="157">
        <v>1.2E-5</v>
      </c>
      <c r="W46" s="157">
        <v>1.6608975029194499E-2</v>
      </c>
      <c r="X46" s="157">
        <v>7.9132176816887698E-3</v>
      </c>
    </row>
    <row r="47" spans="1:24">
      <c r="A47" s="5">
        <v>337</v>
      </c>
      <c r="B47" s="5">
        <v>1477</v>
      </c>
      <c r="C47" s="189" t="s">
        <v>745</v>
      </c>
      <c r="D47" s="5" t="s">
        <v>746</v>
      </c>
      <c r="E47" s="189" t="s">
        <v>118</v>
      </c>
      <c r="F47" s="5" t="s">
        <v>1069</v>
      </c>
      <c r="G47" s="5" t="s">
        <v>1070</v>
      </c>
      <c r="H47" s="5" t="s">
        <v>121</v>
      </c>
      <c r="I47" s="5" t="s">
        <v>920</v>
      </c>
      <c r="J47" s="5" t="s">
        <v>30</v>
      </c>
      <c r="K47" s="5" t="s">
        <v>30</v>
      </c>
      <c r="L47" s="3" t="s">
        <v>123</v>
      </c>
      <c r="M47" s="3" t="s">
        <v>31</v>
      </c>
      <c r="N47" s="5" t="s">
        <v>316</v>
      </c>
      <c r="O47" s="5" t="s">
        <v>125</v>
      </c>
      <c r="P47" s="5" t="s">
        <v>34</v>
      </c>
      <c r="Q47" s="145">
        <v>499</v>
      </c>
      <c r="R47" s="156">
        <v>1</v>
      </c>
      <c r="S47" s="159">
        <v>22240</v>
      </c>
      <c r="U47" s="145">
        <v>110.97799999999999</v>
      </c>
      <c r="V47" s="157">
        <v>1.9999999999999999E-6</v>
      </c>
      <c r="W47" s="157">
        <v>9.3723266932989099E-3</v>
      </c>
      <c r="X47" s="157">
        <v>4.4653725577654298E-3</v>
      </c>
    </row>
    <row r="48" spans="1:24">
      <c r="A48" s="5">
        <v>337</v>
      </c>
      <c r="B48" s="5">
        <v>1477</v>
      </c>
      <c r="C48" s="189" t="s">
        <v>1071</v>
      </c>
      <c r="D48" s="5" t="s">
        <v>1072</v>
      </c>
      <c r="E48" s="189" t="s">
        <v>118</v>
      </c>
      <c r="F48" s="5" t="s">
        <v>1073</v>
      </c>
      <c r="G48" s="5" t="s">
        <v>1074</v>
      </c>
      <c r="H48" s="5" t="s">
        <v>121</v>
      </c>
      <c r="I48" s="5" t="s">
        <v>920</v>
      </c>
      <c r="J48" s="5" t="s">
        <v>30</v>
      </c>
      <c r="K48" s="5" t="s">
        <v>30</v>
      </c>
      <c r="L48" s="3" t="s">
        <v>123</v>
      </c>
      <c r="M48" s="3" t="s">
        <v>31</v>
      </c>
      <c r="N48" s="5" t="s">
        <v>662</v>
      </c>
      <c r="O48" s="5" t="s">
        <v>125</v>
      </c>
      <c r="P48" s="5" t="s">
        <v>34</v>
      </c>
      <c r="Q48" s="145">
        <v>1373</v>
      </c>
      <c r="R48" s="156">
        <v>1</v>
      </c>
      <c r="S48" s="159">
        <v>13960</v>
      </c>
      <c r="U48" s="145">
        <v>191.67099999999999</v>
      </c>
      <c r="V48" s="157">
        <v>2.0999999999999999E-5</v>
      </c>
      <c r="W48" s="157">
        <v>1.6187062570878801E-2</v>
      </c>
      <c r="X48" s="157">
        <v>7.71220075443104E-3</v>
      </c>
    </row>
    <row r="49" spans="1:24">
      <c r="A49" s="5">
        <v>337</v>
      </c>
      <c r="B49" s="5">
        <v>1477</v>
      </c>
      <c r="C49" s="189" t="s">
        <v>536</v>
      </c>
      <c r="D49" s="5" t="s">
        <v>537</v>
      </c>
      <c r="E49" s="189" t="s">
        <v>118</v>
      </c>
      <c r="F49" s="5" t="s">
        <v>1075</v>
      </c>
      <c r="G49" s="5" t="s">
        <v>1076</v>
      </c>
      <c r="H49" s="5" t="s">
        <v>121</v>
      </c>
      <c r="I49" s="5" t="s">
        <v>920</v>
      </c>
      <c r="J49" s="5" t="s">
        <v>30</v>
      </c>
      <c r="K49" s="5" t="s">
        <v>30</v>
      </c>
      <c r="L49" s="3" t="s">
        <v>123</v>
      </c>
      <c r="M49" s="3" t="s">
        <v>31</v>
      </c>
      <c r="N49" s="5" t="s">
        <v>171</v>
      </c>
      <c r="O49" s="5" t="s">
        <v>125</v>
      </c>
      <c r="P49" s="5" t="s">
        <v>34</v>
      </c>
      <c r="Q49" s="145">
        <v>245</v>
      </c>
      <c r="R49" s="156">
        <v>1</v>
      </c>
      <c r="S49" s="159">
        <v>41330</v>
      </c>
      <c r="U49" s="145">
        <v>101.258</v>
      </c>
      <c r="V49" s="157">
        <v>5.0000000000000004E-6</v>
      </c>
      <c r="W49" s="157">
        <v>8.5515251949349006E-3</v>
      </c>
      <c r="X49" s="157">
        <v>4.07430803279662E-3</v>
      </c>
    </row>
    <row r="50" spans="1:24">
      <c r="A50" s="5">
        <v>337</v>
      </c>
      <c r="B50" s="5">
        <v>1477</v>
      </c>
      <c r="C50" s="189" t="s">
        <v>1077</v>
      </c>
      <c r="D50" s="5" t="s">
        <v>1078</v>
      </c>
      <c r="E50" s="189" t="s">
        <v>118</v>
      </c>
      <c r="F50" s="5" t="s">
        <v>1079</v>
      </c>
      <c r="G50" s="5" t="s">
        <v>1080</v>
      </c>
      <c r="H50" s="5" t="s">
        <v>121</v>
      </c>
      <c r="I50" s="5" t="s">
        <v>920</v>
      </c>
      <c r="J50" s="5" t="s">
        <v>30</v>
      </c>
      <c r="K50" s="5" t="s">
        <v>30</v>
      </c>
      <c r="L50" s="3" t="s">
        <v>123</v>
      </c>
      <c r="M50" s="3" t="s">
        <v>31</v>
      </c>
      <c r="N50" s="5" t="s">
        <v>159</v>
      </c>
      <c r="O50" s="5" t="s">
        <v>125</v>
      </c>
      <c r="P50" s="5" t="s">
        <v>34</v>
      </c>
      <c r="Q50" s="145">
        <v>242</v>
      </c>
      <c r="R50" s="156">
        <v>1</v>
      </c>
      <c r="S50" s="159">
        <v>39940</v>
      </c>
      <c r="U50" s="145">
        <v>96.655000000000001</v>
      </c>
      <c r="V50" s="157">
        <v>3.9999999999999998E-6</v>
      </c>
      <c r="W50" s="157">
        <v>8.1627315969661201E-3</v>
      </c>
      <c r="X50" s="157">
        <v>3.8890703303757299E-3</v>
      </c>
    </row>
    <row r="51" spans="1:24">
      <c r="A51" s="5">
        <v>337</v>
      </c>
      <c r="B51" s="5">
        <v>1477</v>
      </c>
      <c r="C51" s="189" t="s">
        <v>557</v>
      </c>
      <c r="D51" s="5" t="s">
        <v>558</v>
      </c>
      <c r="E51" s="189" t="s">
        <v>118</v>
      </c>
      <c r="F51" s="5" t="s">
        <v>1081</v>
      </c>
      <c r="G51" s="5" t="s">
        <v>1082</v>
      </c>
      <c r="H51" s="5" t="s">
        <v>121</v>
      </c>
      <c r="I51" s="5" t="s">
        <v>920</v>
      </c>
      <c r="J51" s="5" t="s">
        <v>30</v>
      </c>
      <c r="K51" s="5" t="s">
        <v>30</v>
      </c>
      <c r="L51" s="3" t="s">
        <v>123</v>
      </c>
      <c r="M51" s="3" t="s">
        <v>31</v>
      </c>
      <c r="N51" s="5" t="s">
        <v>242</v>
      </c>
      <c r="O51" s="5" t="s">
        <v>125</v>
      </c>
      <c r="P51" s="5" t="s">
        <v>34</v>
      </c>
      <c r="Q51" s="145">
        <v>3856</v>
      </c>
      <c r="R51" s="156">
        <v>1</v>
      </c>
      <c r="S51" s="159">
        <v>2447</v>
      </c>
      <c r="U51" s="145">
        <v>94.355999999999995</v>
      </c>
      <c r="V51" s="157">
        <v>6.3E-5</v>
      </c>
      <c r="W51" s="157">
        <v>7.9686194026312909E-3</v>
      </c>
      <c r="X51" s="157">
        <v>3.79658707684914E-3</v>
      </c>
    </row>
    <row r="52" spans="1:24">
      <c r="A52" s="5">
        <v>337</v>
      </c>
      <c r="B52" s="5">
        <v>1477</v>
      </c>
      <c r="C52" s="189" t="s">
        <v>570</v>
      </c>
      <c r="D52" s="5" t="s">
        <v>571</v>
      </c>
      <c r="E52" s="189" t="s">
        <v>439</v>
      </c>
      <c r="F52" s="5" t="s">
        <v>1083</v>
      </c>
      <c r="G52" s="5" t="s">
        <v>1084</v>
      </c>
      <c r="H52" s="5" t="s">
        <v>121</v>
      </c>
      <c r="I52" s="5" t="s">
        <v>920</v>
      </c>
      <c r="J52" s="5" t="s">
        <v>30</v>
      </c>
      <c r="K52" s="5" t="s">
        <v>80</v>
      </c>
      <c r="L52" s="3" t="s">
        <v>123</v>
      </c>
      <c r="M52" s="3" t="s">
        <v>31</v>
      </c>
      <c r="N52" s="5" t="s">
        <v>377</v>
      </c>
      <c r="O52" s="5" t="s">
        <v>125</v>
      </c>
      <c r="P52" s="5" t="s">
        <v>34</v>
      </c>
      <c r="Q52" s="145">
        <v>1498</v>
      </c>
      <c r="R52" s="156">
        <v>1</v>
      </c>
      <c r="S52" s="159">
        <v>11640</v>
      </c>
      <c r="U52" s="145">
        <v>174.36699999999999</v>
      </c>
      <c r="V52" s="157">
        <v>1.2999999999999999E-5</v>
      </c>
      <c r="W52" s="157">
        <v>1.4725731706180301E-2</v>
      </c>
      <c r="X52" s="157">
        <v>7.0159609673879804E-3</v>
      </c>
    </row>
    <row r="53" spans="1:24">
      <c r="A53" s="5">
        <v>337</v>
      </c>
      <c r="B53" s="5">
        <v>1477</v>
      </c>
      <c r="C53" s="189" t="s">
        <v>1085</v>
      </c>
      <c r="D53" s="5" t="s">
        <v>1086</v>
      </c>
      <c r="E53" s="189" t="s">
        <v>118</v>
      </c>
      <c r="F53" s="5" t="s">
        <v>1087</v>
      </c>
      <c r="G53" s="5" t="s">
        <v>1088</v>
      </c>
      <c r="H53" s="5" t="s">
        <v>121</v>
      </c>
      <c r="I53" s="5" t="s">
        <v>920</v>
      </c>
      <c r="J53" s="5" t="s">
        <v>30</v>
      </c>
      <c r="K53" s="5" t="s">
        <v>138</v>
      </c>
      <c r="L53" s="3" t="s">
        <v>123</v>
      </c>
      <c r="M53" s="3" t="s">
        <v>31</v>
      </c>
      <c r="N53" s="5" t="s">
        <v>1040</v>
      </c>
      <c r="O53" s="5" t="s">
        <v>125</v>
      </c>
      <c r="P53" s="5" t="s">
        <v>34</v>
      </c>
      <c r="Q53" s="145">
        <v>203</v>
      </c>
      <c r="R53" s="156">
        <v>1</v>
      </c>
      <c r="S53" s="159">
        <v>106610</v>
      </c>
      <c r="U53" s="145">
        <v>216.41800000000001</v>
      </c>
      <c r="V53" s="157">
        <v>6.9999999999999999E-6</v>
      </c>
      <c r="W53" s="157">
        <v>1.8277048791903699E-2</v>
      </c>
      <c r="X53" s="157">
        <v>8.7079585233258393E-3</v>
      </c>
    </row>
    <row r="54" spans="1:24">
      <c r="A54" s="5">
        <v>337</v>
      </c>
      <c r="B54" s="5">
        <v>1477</v>
      </c>
      <c r="C54" s="189" t="s">
        <v>584</v>
      </c>
      <c r="D54" s="5" t="s">
        <v>585</v>
      </c>
      <c r="E54" s="189" t="s">
        <v>118</v>
      </c>
      <c r="F54" s="5" t="s">
        <v>1089</v>
      </c>
      <c r="G54" s="5" t="s">
        <v>1090</v>
      </c>
      <c r="H54" s="5" t="s">
        <v>121</v>
      </c>
      <c r="I54" s="5" t="s">
        <v>920</v>
      </c>
      <c r="J54" s="5" t="s">
        <v>30</v>
      </c>
      <c r="K54" s="5" t="s">
        <v>30</v>
      </c>
      <c r="L54" s="3" t="s">
        <v>123</v>
      </c>
      <c r="M54" s="3" t="s">
        <v>31</v>
      </c>
      <c r="N54" s="5" t="s">
        <v>228</v>
      </c>
      <c r="O54" s="5" t="s">
        <v>125</v>
      </c>
      <c r="P54" s="5" t="s">
        <v>34</v>
      </c>
      <c r="Q54" s="145">
        <v>958</v>
      </c>
      <c r="R54" s="156">
        <v>1</v>
      </c>
      <c r="S54" s="159">
        <v>11210</v>
      </c>
      <c r="U54" s="145">
        <v>107.392</v>
      </c>
      <c r="V54" s="157">
        <v>2.5000000000000001E-5</v>
      </c>
      <c r="W54" s="157">
        <v>9.0694972118825594E-3</v>
      </c>
      <c r="X54" s="157">
        <v>4.32109179374066E-3</v>
      </c>
    </row>
    <row r="55" spans="1:24">
      <c r="A55" s="5">
        <v>337</v>
      </c>
      <c r="B55" s="5">
        <v>1477</v>
      </c>
      <c r="C55" s="189" t="s">
        <v>1091</v>
      </c>
      <c r="D55" s="5" t="s">
        <v>1092</v>
      </c>
      <c r="E55" s="189" t="s">
        <v>439</v>
      </c>
      <c r="F55" s="5" t="s">
        <v>1093</v>
      </c>
      <c r="G55" s="5" t="s">
        <v>1094</v>
      </c>
      <c r="H55" s="5" t="s">
        <v>121</v>
      </c>
      <c r="I55" s="5" t="s">
        <v>920</v>
      </c>
      <c r="J55" s="5" t="s">
        <v>30</v>
      </c>
      <c r="K55" s="5" t="s">
        <v>30</v>
      </c>
      <c r="L55" s="3" t="s">
        <v>123</v>
      </c>
      <c r="M55" s="3" t="s">
        <v>31</v>
      </c>
      <c r="N55" s="5" t="s">
        <v>377</v>
      </c>
      <c r="O55" s="5" t="s">
        <v>125</v>
      </c>
      <c r="P55" s="5" t="s">
        <v>34</v>
      </c>
      <c r="Q55" s="145">
        <v>8064</v>
      </c>
      <c r="R55" s="156">
        <v>1</v>
      </c>
      <c r="S55" s="159">
        <v>1803</v>
      </c>
      <c r="U55" s="145">
        <v>145.39400000000001</v>
      </c>
      <c r="V55" s="157">
        <v>6.9999999999999999E-6</v>
      </c>
      <c r="W55" s="157">
        <v>1.2278868145097399E-2</v>
      </c>
      <c r="X55" s="157">
        <v>5.8501717502806201E-3</v>
      </c>
    </row>
    <row r="56" spans="1:24">
      <c r="A56" s="5">
        <v>337</v>
      </c>
      <c r="B56" s="5">
        <v>1477</v>
      </c>
      <c r="C56" s="189" t="s">
        <v>1095</v>
      </c>
      <c r="D56" s="5" t="s">
        <v>1096</v>
      </c>
      <c r="E56" s="189" t="s">
        <v>118</v>
      </c>
      <c r="F56" s="5" t="s">
        <v>1097</v>
      </c>
      <c r="G56" s="5" t="s">
        <v>1098</v>
      </c>
      <c r="H56" s="5" t="s">
        <v>121</v>
      </c>
      <c r="I56" s="5" t="s">
        <v>920</v>
      </c>
      <c r="J56" s="5" t="s">
        <v>30</v>
      </c>
      <c r="K56" s="5" t="s">
        <v>80</v>
      </c>
      <c r="L56" s="3" t="s">
        <v>123</v>
      </c>
      <c r="M56" s="3" t="s">
        <v>31</v>
      </c>
      <c r="N56" s="5" t="s">
        <v>1099</v>
      </c>
      <c r="O56" s="5" t="s">
        <v>125</v>
      </c>
      <c r="P56" s="5" t="s">
        <v>34</v>
      </c>
      <c r="Q56" s="145">
        <v>175</v>
      </c>
      <c r="R56" s="156">
        <v>1</v>
      </c>
      <c r="S56" s="159">
        <v>35710</v>
      </c>
      <c r="U56" s="145">
        <v>62.491999999999997</v>
      </c>
      <c r="V56" s="157">
        <v>1.9999999999999999E-6</v>
      </c>
      <c r="W56" s="157">
        <v>5.2776427484553801E-3</v>
      </c>
      <c r="X56" s="157">
        <v>2.5144920647604198E-3</v>
      </c>
    </row>
    <row r="57" spans="1:24">
      <c r="A57" s="5">
        <v>337</v>
      </c>
      <c r="B57" s="5">
        <v>1477</v>
      </c>
      <c r="C57" s="189" t="s">
        <v>588</v>
      </c>
      <c r="D57" s="5" t="s">
        <v>589</v>
      </c>
      <c r="E57" s="189" t="s">
        <v>118</v>
      </c>
      <c r="F57" s="5" t="s">
        <v>1100</v>
      </c>
      <c r="G57" s="5" t="s">
        <v>1101</v>
      </c>
      <c r="H57" s="5" t="s">
        <v>121</v>
      </c>
      <c r="I57" s="5" t="s">
        <v>920</v>
      </c>
      <c r="J57" s="5" t="s">
        <v>30</v>
      </c>
      <c r="K57" s="5" t="s">
        <v>30</v>
      </c>
      <c r="L57" s="3" t="s">
        <v>123</v>
      </c>
      <c r="M57" s="3" t="s">
        <v>31</v>
      </c>
      <c r="N57" s="5" t="s">
        <v>171</v>
      </c>
      <c r="O57" s="5" t="s">
        <v>125</v>
      </c>
      <c r="P57" s="5" t="s">
        <v>34</v>
      </c>
      <c r="Q57" s="145">
        <v>137</v>
      </c>
      <c r="R57" s="156">
        <v>1</v>
      </c>
      <c r="S57" s="159">
        <v>39300</v>
      </c>
      <c r="U57" s="145">
        <v>53.841000000000001</v>
      </c>
      <c r="V57" s="157">
        <v>1.9000000000000001E-5</v>
      </c>
      <c r="W57" s="157">
        <v>4.5470026518315996E-3</v>
      </c>
      <c r="X57" s="157">
        <v>2.1663842422493199E-3</v>
      </c>
    </row>
    <row r="58" spans="1:24">
      <c r="A58" s="5">
        <v>337</v>
      </c>
      <c r="B58" s="5">
        <v>1477</v>
      </c>
      <c r="C58" s="189" t="s">
        <v>1102</v>
      </c>
      <c r="D58" s="5" t="s">
        <v>1103</v>
      </c>
      <c r="E58" s="189" t="s">
        <v>118</v>
      </c>
      <c r="F58" s="5" t="s">
        <v>1102</v>
      </c>
      <c r="G58" s="5" t="s">
        <v>1104</v>
      </c>
      <c r="H58" s="5" t="s">
        <v>121</v>
      </c>
      <c r="I58" s="5" t="s">
        <v>920</v>
      </c>
      <c r="J58" s="5" t="s">
        <v>30</v>
      </c>
      <c r="K58" s="5" t="s">
        <v>30</v>
      </c>
      <c r="L58" s="3" t="s">
        <v>123</v>
      </c>
      <c r="M58" s="3" t="s">
        <v>31</v>
      </c>
      <c r="N58" s="5" t="s">
        <v>1105</v>
      </c>
      <c r="O58" s="5" t="s">
        <v>125</v>
      </c>
      <c r="P58" s="5" t="s">
        <v>34</v>
      </c>
      <c r="Q58" s="145">
        <v>915</v>
      </c>
      <c r="R58" s="156">
        <v>1</v>
      </c>
      <c r="S58" s="159">
        <v>20990</v>
      </c>
      <c r="U58" s="145">
        <v>192.059</v>
      </c>
      <c r="V58" s="157">
        <v>1.0000000000000001E-5</v>
      </c>
      <c r="W58" s="157">
        <v>1.6219804773440299E-2</v>
      </c>
      <c r="X58" s="157">
        <v>7.7278005235794601E-3</v>
      </c>
    </row>
    <row r="59" spans="1:24">
      <c r="A59" s="5">
        <v>337</v>
      </c>
      <c r="B59" s="5">
        <v>1477</v>
      </c>
      <c r="C59" s="189" t="s">
        <v>604</v>
      </c>
      <c r="D59" s="5" t="s">
        <v>605</v>
      </c>
      <c r="E59" s="189" t="s">
        <v>118</v>
      </c>
      <c r="F59" s="5" t="s">
        <v>1106</v>
      </c>
      <c r="G59" s="5" t="s">
        <v>1107</v>
      </c>
      <c r="H59" s="5" t="s">
        <v>121</v>
      </c>
      <c r="I59" s="5" t="s">
        <v>920</v>
      </c>
      <c r="J59" s="5" t="s">
        <v>30</v>
      </c>
      <c r="K59" s="5" t="s">
        <v>30</v>
      </c>
      <c r="L59" s="3" t="s">
        <v>123</v>
      </c>
      <c r="M59" s="3" t="s">
        <v>31</v>
      </c>
      <c r="N59" s="5" t="s">
        <v>228</v>
      </c>
      <c r="O59" s="5" t="s">
        <v>125</v>
      </c>
      <c r="P59" s="5" t="s">
        <v>34</v>
      </c>
      <c r="Q59" s="145">
        <v>191</v>
      </c>
      <c r="R59" s="156">
        <v>1</v>
      </c>
      <c r="S59" s="159">
        <v>5841</v>
      </c>
      <c r="U59" s="145">
        <v>11.156000000000001</v>
      </c>
      <c r="V59" s="157">
        <v>9.0000000000000002E-6</v>
      </c>
      <c r="W59" s="157">
        <v>9.4217735841933402E-4</v>
      </c>
      <c r="X59" s="157">
        <v>4.48893114645875E-4</v>
      </c>
    </row>
    <row r="60" spans="1:24">
      <c r="A60" s="5">
        <v>337</v>
      </c>
      <c r="B60" s="5">
        <v>1477</v>
      </c>
      <c r="C60" s="189" t="s">
        <v>1108</v>
      </c>
      <c r="D60" s="5" t="s">
        <v>1109</v>
      </c>
      <c r="E60" s="189" t="s">
        <v>118</v>
      </c>
      <c r="F60" s="5" t="s">
        <v>1110</v>
      </c>
      <c r="G60" s="5" t="s">
        <v>1111</v>
      </c>
      <c r="H60" s="5" t="s">
        <v>121</v>
      </c>
      <c r="I60" s="5" t="s">
        <v>920</v>
      </c>
      <c r="J60" s="5" t="s">
        <v>30</v>
      </c>
      <c r="K60" s="5" t="s">
        <v>30</v>
      </c>
      <c r="L60" s="3" t="s">
        <v>123</v>
      </c>
      <c r="M60" s="3" t="s">
        <v>31</v>
      </c>
      <c r="N60" s="5" t="s">
        <v>171</v>
      </c>
      <c r="O60" s="5" t="s">
        <v>125</v>
      </c>
      <c r="P60" s="5" t="s">
        <v>34</v>
      </c>
      <c r="Q60" s="145">
        <v>1229</v>
      </c>
      <c r="R60" s="156">
        <v>1</v>
      </c>
      <c r="S60" s="159">
        <v>1180</v>
      </c>
      <c r="U60" s="145">
        <v>14.502000000000001</v>
      </c>
      <c r="V60" s="157">
        <v>5.0000000000000004E-6</v>
      </c>
      <c r="W60" s="157">
        <v>1.22474586016961E-3</v>
      </c>
      <c r="X60" s="157">
        <v>5.8352069162809195E-4</v>
      </c>
    </row>
    <row r="61" spans="1:24">
      <c r="A61" s="5">
        <v>337</v>
      </c>
      <c r="B61" s="5">
        <v>1477</v>
      </c>
      <c r="C61" s="189" t="s">
        <v>1112</v>
      </c>
      <c r="D61" s="5" t="s">
        <v>1113</v>
      </c>
      <c r="E61" s="189" t="s">
        <v>118</v>
      </c>
      <c r="F61" s="5" t="s">
        <v>1114</v>
      </c>
      <c r="G61" s="5" t="s">
        <v>1115</v>
      </c>
      <c r="H61" s="5" t="s">
        <v>121</v>
      </c>
      <c r="I61" s="5" t="s">
        <v>920</v>
      </c>
      <c r="J61" s="5" t="s">
        <v>30</v>
      </c>
      <c r="K61" s="5" t="s">
        <v>138</v>
      </c>
      <c r="L61" s="3" t="s">
        <v>123</v>
      </c>
      <c r="M61" s="3" t="s">
        <v>31</v>
      </c>
      <c r="N61" s="5" t="s">
        <v>695</v>
      </c>
      <c r="O61" s="5" t="s">
        <v>125</v>
      </c>
      <c r="P61" s="5" t="s">
        <v>34</v>
      </c>
      <c r="Q61" s="145">
        <v>143</v>
      </c>
      <c r="R61" s="156">
        <v>1</v>
      </c>
      <c r="S61" s="159">
        <v>17410</v>
      </c>
      <c r="U61" s="145">
        <v>24.896000000000001</v>
      </c>
      <c r="V61" s="157">
        <v>1.1E-5</v>
      </c>
      <c r="W61" s="157">
        <v>2.10255274086282E-3</v>
      </c>
      <c r="X61" s="157">
        <v>1.0017449900691299E-3</v>
      </c>
    </row>
    <row r="62" spans="1:24">
      <c r="A62" s="5">
        <v>337</v>
      </c>
      <c r="B62" s="5">
        <v>1477</v>
      </c>
      <c r="C62" s="189" t="s">
        <v>626</v>
      </c>
      <c r="D62" s="5" t="s">
        <v>627</v>
      </c>
      <c r="E62" s="189" t="s">
        <v>118</v>
      </c>
      <c r="F62" s="5" t="s">
        <v>1116</v>
      </c>
      <c r="G62" s="5" t="s">
        <v>1117</v>
      </c>
      <c r="H62" s="5" t="s">
        <v>121</v>
      </c>
      <c r="I62" s="5" t="s">
        <v>920</v>
      </c>
      <c r="J62" s="5" t="s">
        <v>30</v>
      </c>
      <c r="K62" s="5" t="s">
        <v>30</v>
      </c>
      <c r="L62" s="3" t="s">
        <v>123</v>
      </c>
      <c r="M62" s="3" t="s">
        <v>31</v>
      </c>
      <c r="N62" s="5" t="s">
        <v>171</v>
      </c>
      <c r="O62" s="5" t="s">
        <v>125</v>
      </c>
      <c r="P62" s="5" t="s">
        <v>34</v>
      </c>
      <c r="Q62" s="145">
        <v>426</v>
      </c>
      <c r="R62" s="156">
        <v>1</v>
      </c>
      <c r="S62" s="159">
        <v>36050</v>
      </c>
      <c r="U62" s="145">
        <v>153.57300000000001</v>
      </c>
      <c r="V62" s="157">
        <v>3.9999999999999998E-6</v>
      </c>
      <c r="W62" s="157">
        <v>1.29696112302842E-2</v>
      </c>
      <c r="X62" s="157">
        <v>6.1792709502972703E-3</v>
      </c>
    </row>
    <row r="63" spans="1:24">
      <c r="A63" s="5">
        <v>337</v>
      </c>
      <c r="B63" s="5">
        <v>1477</v>
      </c>
      <c r="C63" s="189" t="s">
        <v>644</v>
      </c>
      <c r="D63" s="5" t="s">
        <v>645</v>
      </c>
      <c r="E63" s="189" t="s">
        <v>118</v>
      </c>
      <c r="F63" s="5" t="s">
        <v>1118</v>
      </c>
      <c r="G63" s="5" t="s">
        <v>1119</v>
      </c>
      <c r="H63" s="5" t="s">
        <v>121</v>
      </c>
      <c r="I63" s="5" t="s">
        <v>920</v>
      </c>
      <c r="J63" s="5" t="s">
        <v>30</v>
      </c>
      <c r="K63" s="5" t="s">
        <v>30</v>
      </c>
      <c r="L63" s="3" t="s">
        <v>123</v>
      </c>
      <c r="M63" s="3" t="s">
        <v>31</v>
      </c>
      <c r="N63" s="5" t="s">
        <v>316</v>
      </c>
      <c r="O63" s="5" t="s">
        <v>125</v>
      </c>
      <c r="P63" s="5" t="s">
        <v>34</v>
      </c>
      <c r="Q63" s="145">
        <v>8180</v>
      </c>
      <c r="R63" s="156">
        <v>1</v>
      </c>
      <c r="S63" s="159">
        <v>7205</v>
      </c>
      <c r="U63" s="145">
        <v>589.36900000000003</v>
      </c>
      <c r="V63" s="157">
        <v>6.0000000000000002E-6</v>
      </c>
      <c r="W63" s="157">
        <v>4.9773637300706497E-2</v>
      </c>
      <c r="X63" s="157">
        <v>2.3714264491191499E-2</v>
      </c>
    </row>
    <row r="64" spans="1:24">
      <c r="A64" s="5">
        <v>337</v>
      </c>
      <c r="B64" s="5">
        <v>1477</v>
      </c>
      <c r="C64" s="189" t="s">
        <v>1120</v>
      </c>
      <c r="D64" s="5" t="s">
        <v>1121</v>
      </c>
      <c r="E64" s="189" t="s">
        <v>118</v>
      </c>
      <c r="F64" s="5" t="s">
        <v>1122</v>
      </c>
      <c r="G64" s="5" t="s">
        <v>1123</v>
      </c>
      <c r="H64" s="5" t="s">
        <v>121</v>
      </c>
      <c r="I64" s="5" t="s">
        <v>920</v>
      </c>
      <c r="J64" s="5" t="s">
        <v>30</v>
      </c>
      <c r="K64" s="5" t="s">
        <v>30</v>
      </c>
      <c r="L64" s="3" t="s">
        <v>123</v>
      </c>
      <c r="M64" s="3" t="s">
        <v>31</v>
      </c>
      <c r="N64" s="5" t="s">
        <v>421</v>
      </c>
      <c r="O64" s="5" t="s">
        <v>125</v>
      </c>
      <c r="P64" s="5" t="s">
        <v>34</v>
      </c>
      <c r="Q64" s="145">
        <v>199</v>
      </c>
      <c r="R64" s="156">
        <v>1</v>
      </c>
      <c r="S64" s="159">
        <v>31330</v>
      </c>
      <c r="U64" s="145">
        <v>62.347000000000001</v>
      </c>
      <c r="V64" s="157">
        <v>1.4E-5</v>
      </c>
      <c r="W64" s="157">
        <v>5.2653295858722804E-3</v>
      </c>
      <c r="X64" s="157">
        <v>2.5086255536904199E-3</v>
      </c>
    </row>
    <row r="65" spans="1:24">
      <c r="A65" s="5">
        <v>337</v>
      </c>
      <c r="B65" s="5">
        <v>1477</v>
      </c>
      <c r="C65" s="189" t="s">
        <v>658</v>
      </c>
      <c r="D65" s="5" t="s">
        <v>659</v>
      </c>
      <c r="E65" s="189" t="s">
        <v>118</v>
      </c>
      <c r="F65" s="5" t="s">
        <v>1124</v>
      </c>
      <c r="G65" s="5" t="s">
        <v>1125</v>
      </c>
      <c r="H65" s="5" t="s">
        <v>121</v>
      </c>
      <c r="I65" s="5" t="s">
        <v>920</v>
      </c>
      <c r="J65" s="5" t="s">
        <v>30</v>
      </c>
      <c r="K65" s="5" t="s">
        <v>30</v>
      </c>
      <c r="L65" s="3" t="s">
        <v>123</v>
      </c>
      <c r="M65" s="3" t="s">
        <v>31</v>
      </c>
      <c r="N65" s="5" t="s">
        <v>662</v>
      </c>
      <c r="O65" s="5" t="s">
        <v>125</v>
      </c>
      <c r="P65" s="5" t="s">
        <v>34</v>
      </c>
      <c r="Q65" s="145">
        <v>133</v>
      </c>
      <c r="R65" s="156">
        <v>1</v>
      </c>
      <c r="S65" s="159">
        <v>53730</v>
      </c>
      <c r="T65" s="143">
        <v>0.218</v>
      </c>
      <c r="U65" s="145">
        <v>71.679000000000002</v>
      </c>
      <c r="V65" s="157">
        <v>7.9999999999999996E-6</v>
      </c>
      <c r="W65" s="157">
        <v>6.0534665778995602E-3</v>
      </c>
      <c r="X65" s="157">
        <v>2.88412732727613E-3</v>
      </c>
    </row>
    <row r="66" spans="1:24">
      <c r="A66" s="5">
        <v>337</v>
      </c>
      <c r="B66" s="5">
        <v>1477</v>
      </c>
      <c r="C66" s="189" t="s">
        <v>321</v>
      </c>
      <c r="D66" s="5" t="s">
        <v>322</v>
      </c>
      <c r="E66" s="189" t="s">
        <v>118</v>
      </c>
      <c r="F66" s="5" t="s">
        <v>1126</v>
      </c>
      <c r="G66" s="5" t="s">
        <v>1127</v>
      </c>
      <c r="H66" s="5" t="s">
        <v>121</v>
      </c>
      <c r="I66" s="5" t="s">
        <v>920</v>
      </c>
      <c r="J66" s="5" t="s">
        <v>30</v>
      </c>
      <c r="K66" s="5" t="s">
        <v>30</v>
      </c>
      <c r="L66" s="3" t="s">
        <v>123</v>
      </c>
      <c r="M66" s="3" t="s">
        <v>31</v>
      </c>
      <c r="N66" s="5" t="s">
        <v>152</v>
      </c>
      <c r="O66" s="5" t="s">
        <v>125</v>
      </c>
      <c r="P66" s="5" t="s">
        <v>34</v>
      </c>
      <c r="Q66" s="145">
        <v>258</v>
      </c>
      <c r="R66" s="156">
        <v>1</v>
      </c>
      <c r="S66" s="159">
        <v>5900</v>
      </c>
      <c r="U66" s="145">
        <v>15.222</v>
      </c>
      <c r="V66" s="157">
        <v>2.0999999999999999E-5</v>
      </c>
      <c r="W66" s="157">
        <v>1.2855347108371099E-3</v>
      </c>
      <c r="X66" s="157">
        <v>6.1248306932484896E-4</v>
      </c>
    </row>
    <row r="67" spans="1:24">
      <c r="A67" s="5">
        <v>337</v>
      </c>
      <c r="B67" s="5">
        <v>1477</v>
      </c>
      <c r="C67" s="189" t="s">
        <v>1128</v>
      </c>
      <c r="D67" s="5" t="s">
        <v>1129</v>
      </c>
      <c r="E67" s="189" t="s">
        <v>118</v>
      </c>
      <c r="F67" s="5" t="s">
        <v>1130</v>
      </c>
      <c r="G67" s="5" t="s">
        <v>1131</v>
      </c>
      <c r="H67" s="5" t="s">
        <v>121</v>
      </c>
      <c r="I67" s="5" t="s">
        <v>920</v>
      </c>
      <c r="J67" s="5" t="s">
        <v>30</v>
      </c>
      <c r="K67" s="5" t="s">
        <v>30</v>
      </c>
      <c r="L67" s="3" t="s">
        <v>123</v>
      </c>
      <c r="M67" s="3" t="s">
        <v>31</v>
      </c>
      <c r="N67" s="5" t="s">
        <v>1105</v>
      </c>
      <c r="O67" s="5" t="s">
        <v>125</v>
      </c>
      <c r="P67" s="5" t="s">
        <v>34</v>
      </c>
      <c r="Q67" s="145">
        <v>8473</v>
      </c>
      <c r="R67" s="156">
        <v>1</v>
      </c>
      <c r="S67" s="159">
        <v>1325</v>
      </c>
      <c r="U67" s="145">
        <v>112.267</v>
      </c>
      <c r="V67" s="157">
        <v>1.17E-4</v>
      </c>
      <c r="W67" s="157">
        <v>9.4812407545149802E-3</v>
      </c>
      <c r="X67" s="157">
        <v>4.5172638197779596E-3</v>
      </c>
    </row>
    <row r="68" spans="1:24">
      <c r="A68" s="5">
        <v>337</v>
      </c>
      <c r="B68" s="5">
        <v>1477</v>
      </c>
      <c r="C68" s="189" t="s">
        <v>1132</v>
      </c>
      <c r="D68" s="5" t="s">
        <v>1133</v>
      </c>
      <c r="E68" s="189" t="s">
        <v>118</v>
      </c>
      <c r="F68" s="5" t="s">
        <v>1134</v>
      </c>
      <c r="G68" s="5" t="s">
        <v>1135</v>
      </c>
      <c r="H68" s="5" t="s">
        <v>121</v>
      </c>
      <c r="I68" s="5" t="s">
        <v>920</v>
      </c>
      <c r="J68" s="5" t="s">
        <v>30</v>
      </c>
      <c r="K68" s="5" t="s">
        <v>30</v>
      </c>
      <c r="L68" s="3" t="s">
        <v>123</v>
      </c>
      <c r="M68" s="3" t="s">
        <v>31</v>
      </c>
      <c r="N68" s="5" t="s">
        <v>124</v>
      </c>
      <c r="O68" s="5" t="s">
        <v>125</v>
      </c>
      <c r="P68" s="5" t="s">
        <v>34</v>
      </c>
      <c r="Q68" s="145">
        <v>741</v>
      </c>
      <c r="R68" s="156">
        <v>1</v>
      </c>
      <c r="S68" s="159">
        <v>15670</v>
      </c>
      <c r="U68" s="145">
        <v>116.11499999999999</v>
      </c>
      <c r="V68" s="157">
        <v>3.1999999999999999E-5</v>
      </c>
      <c r="W68" s="157">
        <v>9.8061672111705005E-3</v>
      </c>
      <c r="X68" s="157">
        <v>4.6720725167345998E-3</v>
      </c>
    </row>
    <row r="69" spans="1:24">
      <c r="A69" s="5">
        <v>337</v>
      </c>
      <c r="B69" s="5">
        <v>1477</v>
      </c>
      <c r="C69" s="189" t="s">
        <v>679</v>
      </c>
      <c r="D69" s="5" t="s">
        <v>680</v>
      </c>
      <c r="E69" s="189" t="s">
        <v>118</v>
      </c>
      <c r="F69" s="5" t="s">
        <v>1136</v>
      </c>
      <c r="G69" s="5" t="s">
        <v>1137</v>
      </c>
      <c r="H69" s="5" t="s">
        <v>121</v>
      </c>
      <c r="I69" s="5" t="s">
        <v>920</v>
      </c>
      <c r="J69" s="5" t="s">
        <v>30</v>
      </c>
      <c r="K69" s="5" t="s">
        <v>30</v>
      </c>
      <c r="L69" s="3" t="s">
        <v>123</v>
      </c>
      <c r="M69" s="3" t="s">
        <v>31</v>
      </c>
      <c r="N69" s="5" t="s">
        <v>177</v>
      </c>
      <c r="O69" s="5" t="s">
        <v>125</v>
      </c>
      <c r="P69" s="5" t="s">
        <v>34</v>
      </c>
      <c r="Q69" s="145">
        <v>147</v>
      </c>
      <c r="R69" s="156">
        <v>1</v>
      </c>
      <c r="S69" s="159">
        <v>65150</v>
      </c>
      <c r="U69" s="145">
        <v>95.77</v>
      </c>
      <c r="V69" s="157">
        <v>9.0000000000000002E-6</v>
      </c>
      <c r="W69" s="157">
        <v>8.0880503234939602E-3</v>
      </c>
      <c r="X69" s="157">
        <v>3.8534890152920401E-3</v>
      </c>
    </row>
    <row r="70" spans="1:24">
      <c r="A70" s="5">
        <v>337</v>
      </c>
      <c r="B70" s="5">
        <v>1477</v>
      </c>
      <c r="C70" s="189" t="s">
        <v>1138</v>
      </c>
      <c r="D70" s="5" t="s">
        <v>1139</v>
      </c>
      <c r="E70" s="189" t="s">
        <v>118</v>
      </c>
      <c r="F70" s="5" t="s">
        <v>1140</v>
      </c>
      <c r="G70" s="5" t="s">
        <v>1141</v>
      </c>
      <c r="H70" s="5" t="s">
        <v>121</v>
      </c>
      <c r="I70" s="5" t="s">
        <v>920</v>
      </c>
      <c r="J70" s="5" t="s">
        <v>30</v>
      </c>
      <c r="K70" s="5" t="s">
        <v>138</v>
      </c>
      <c r="L70" s="3" t="s">
        <v>123</v>
      </c>
      <c r="M70" s="3" t="s">
        <v>31</v>
      </c>
      <c r="N70" s="5" t="s">
        <v>1040</v>
      </c>
      <c r="O70" s="5" t="s">
        <v>125</v>
      </c>
      <c r="P70" s="5" t="s">
        <v>34</v>
      </c>
      <c r="Q70" s="145">
        <v>334</v>
      </c>
      <c r="R70" s="156">
        <v>1</v>
      </c>
      <c r="S70" s="159">
        <v>34250</v>
      </c>
      <c r="U70" s="145">
        <v>114.395</v>
      </c>
      <c r="V70" s="157">
        <v>6.9999999999999999E-6</v>
      </c>
      <c r="W70" s="157">
        <v>9.6609343874793502E-3</v>
      </c>
      <c r="X70" s="157">
        <v>4.6028774612676404E-3</v>
      </c>
    </row>
    <row r="71" spans="1:24">
      <c r="A71" s="5">
        <v>337</v>
      </c>
      <c r="B71" s="5">
        <v>1477</v>
      </c>
      <c r="C71" s="189" t="s">
        <v>691</v>
      </c>
      <c r="D71" s="5" t="s">
        <v>692</v>
      </c>
      <c r="E71" s="189" t="s">
        <v>118</v>
      </c>
      <c r="F71" s="5" t="s">
        <v>1142</v>
      </c>
      <c r="G71" s="5" t="s">
        <v>1143</v>
      </c>
      <c r="H71" s="5" t="s">
        <v>121</v>
      </c>
      <c r="I71" s="5" t="s">
        <v>920</v>
      </c>
      <c r="J71" s="5" t="s">
        <v>30</v>
      </c>
      <c r="K71" s="5" t="s">
        <v>30</v>
      </c>
      <c r="L71" s="3" t="s">
        <v>123</v>
      </c>
      <c r="M71" s="3" t="s">
        <v>31</v>
      </c>
      <c r="N71" s="5" t="s">
        <v>695</v>
      </c>
      <c r="O71" s="5" t="s">
        <v>125</v>
      </c>
      <c r="P71" s="5" t="s">
        <v>34</v>
      </c>
      <c r="Q71" s="145">
        <v>1053</v>
      </c>
      <c r="R71" s="156">
        <v>1</v>
      </c>
      <c r="S71" s="159">
        <v>3548</v>
      </c>
      <c r="U71" s="145">
        <v>37.36</v>
      </c>
      <c r="V71" s="157">
        <v>1.1E-5</v>
      </c>
      <c r="W71" s="157">
        <v>3.1551795054622898E-3</v>
      </c>
      <c r="X71" s="157">
        <v>1.5032608699597199E-3</v>
      </c>
    </row>
    <row r="72" spans="1:24">
      <c r="A72" s="5">
        <v>337</v>
      </c>
      <c r="B72" s="5">
        <v>1477</v>
      </c>
      <c r="C72" s="189" t="s">
        <v>701</v>
      </c>
      <c r="D72" s="5" t="s">
        <v>702</v>
      </c>
      <c r="E72" s="189" t="s">
        <v>118</v>
      </c>
      <c r="F72" s="5" t="s">
        <v>1144</v>
      </c>
      <c r="G72" s="5" t="s">
        <v>1145</v>
      </c>
      <c r="H72" s="5" t="s">
        <v>121</v>
      </c>
      <c r="I72" s="5" t="s">
        <v>920</v>
      </c>
      <c r="J72" s="5" t="s">
        <v>30</v>
      </c>
      <c r="K72" s="5" t="s">
        <v>30</v>
      </c>
      <c r="L72" s="3" t="s">
        <v>123</v>
      </c>
      <c r="M72" s="3" t="s">
        <v>31</v>
      </c>
      <c r="N72" s="5" t="s">
        <v>171</v>
      </c>
      <c r="O72" s="5" t="s">
        <v>125</v>
      </c>
      <c r="P72" s="5" t="s">
        <v>34</v>
      </c>
      <c r="Q72" s="145">
        <v>1995</v>
      </c>
      <c r="R72" s="156">
        <v>1</v>
      </c>
      <c r="S72" s="159">
        <v>2721</v>
      </c>
      <c r="U72" s="145">
        <v>54.283999999999999</v>
      </c>
      <c r="V72" s="157">
        <v>1.0000000000000001E-5</v>
      </c>
      <c r="W72" s="157">
        <v>4.5844108505022898E-3</v>
      </c>
      <c r="X72" s="157">
        <v>2.1842070891523202E-3</v>
      </c>
    </row>
    <row r="73" spans="1:24">
      <c r="A73" s="5">
        <v>337</v>
      </c>
      <c r="B73" s="5">
        <v>1477</v>
      </c>
      <c r="C73" s="189" t="s">
        <v>1146</v>
      </c>
      <c r="D73" s="5" t="s">
        <v>1147</v>
      </c>
      <c r="E73" s="189" t="s">
        <v>118</v>
      </c>
      <c r="F73" s="5" t="s">
        <v>1148</v>
      </c>
      <c r="G73" s="5" t="s">
        <v>1149</v>
      </c>
      <c r="H73" s="5" t="s">
        <v>121</v>
      </c>
      <c r="I73" s="5" t="s">
        <v>920</v>
      </c>
      <c r="J73" s="5" t="s">
        <v>30</v>
      </c>
      <c r="K73" s="5" t="s">
        <v>30</v>
      </c>
      <c r="L73" s="3" t="s">
        <v>123</v>
      </c>
      <c r="M73" s="3" t="s">
        <v>31</v>
      </c>
      <c r="N73" s="5" t="s">
        <v>421</v>
      </c>
      <c r="O73" s="5" t="s">
        <v>125</v>
      </c>
      <c r="P73" s="5" t="s">
        <v>34</v>
      </c>
      <c r="Q73" s="145">
        <v>59</v>
      </c>
      <c r="R73" s="156">
        <v>1</v>
      </c>
      <c r="S73" s="159">
        <v>4249</v>
      </c>
      <c r="U73" s="145">
        <v>2.5070000000000001</v>
      </c>
      <c r="V73" s="157">
        <v>9.9999999999999995E-7</v>
      </c>
      <c r="W73" s="157">
        <v>2.1171461187390899E-4</v>
      </c>
      <c r="X73" s="157">
        <v>1.00869789207802E-4</v>
      </c>
    </row>
    <row r="74" spans="1:24">
      <c r="A74" s="5">
        <v>337</v>
      </c>
      <c r="B74" s="5">
        <v>1477</v>
      </c>
      <c r="C74" s="189" t="s">
        <v>1150</v>
      </c>
      <c r="D74" s="5" t="s">
        <v>1151</v>
      </c>
      <c r="E74" s="189" t="s">
        <v>118</v>
      </c>
      <c r="F74" s="5" t="s">
        <v>1152</v>
      </c>
      <c r="G74" s="5" t="s">
        <v>1153</v>
      </c>
      <c r="H74" s="5" t="s">
        <v>121</v>
      </c>
      <c r="I74" s="5" t="s">
        <v>920</v>
      </c>
      <c r="J74" s="5" t="s">
        <v>30</v>
      </c>
      <c r="K74" s="5" t="s">
        <v>30</v>
      </c>
      <c r="L74" s="3" t="s">
        <v>123</v>
      </c>
      <c r="M74" s="3" t="s">
        <v>31</v>
      </c>
      <c r="N74" s="5" t="s">
        <v>421</v>
      </c>
      <c r="O74" s="5" t="s">
        <v>125</v>
      </c>
      <c r="P74" s="5" t="s">
        <v>34</v>
      </c>
      <c r="Q74" s="145">
        <v>39</v>
      </c>
      <c r="R74" s="156">
        <v>1</v>
      </c>
      <c r="S74" s="159">
        <v>35170</v>
      </c>
      <c r="U74" s="145">
        <v>13.715999999999999</v>
      </c>
      <c r="V74" s="157">
        <v>3.0000000000000001E-6</v>
      </c>
      <c r="W74" s="157">
        <v>1.15837470465478E-3</v>
      </c>
      <c r="X74" s="157">
        <v>5.5189866796612902E-4</v>
      </c>
    </row>
    <row r="75" spans="1:24">
      <c r="A75" s="5">
        <v>337</v>
      </c>
      <c r="B75" s="5">
        <v>1477</v>
      </c>
      <c r="C75" s="189" t="s">
        <v>1154</v>
      </c>
      <c r="D75" s="5" t="s">
        <v>1155</v>
      </c>
      <c r="E75" s="189" t="s">
        <v>439</v>
      </c>
      <c r="F75" s="5" t="s">
        <v>1156</v>
      </c>
      <c r="G75" s="5" t="s">
        <v>1157</v>
      </c>
      <c r="H75" s="5" t="s">
        <v>121</v>
      </c>
      <c r="I75" s="5" t="s">
        <v>920</v>
      </c>
      <c r="J75" s="5" t="s">
        <v>30</v>
      </c>
      <c r="K75" s="5" t="s">
        <v>30</v>
      </c>
      <c r="L75" s="3" t="s">
        <v>123</v>
      </c>
      <c r="M75" s="3" t="s">
        <v>31</v>
      </c>
      <c r="N75" s="5" t="s">
        <v>377</v>
      </c>
      <c r="O75" s="5" t="s">
        <v>125</v>
      </c>
      <c r="P75" s="5" t="s">
        <v>34</v>
      </c>
      <c r="Q75" s="145">
        <v>24713</v>
      </c>
      <c r="R75" s="156">
        <v>1</v>
      </c>
      <c r="S75" s="159">
        <v>477.4</v>
      </c>
      <c r="U75" s="145">
        <v>117.98</v>
      </c>
      <c r="V75" s="157">
        <v>2.1999999999999999E-5</v>
      </c>
      <c r="W75" s="157">
        <v>9.9636846525273694E-3</v>
      </c>
      <c r="X75" s="157">
        <v>4.7471204832664603E-3</v>
      </c>
    </row>
    <row r="76" spans="1:24">
      <c r="A76" s="5">
        <v>337</v>
      </c>
      <c r="B76" s="5">
        <v>1477</v>
      </c>
      <c r="C76" s="189" t="s">
        <v>710</v>
      </c>
      <c r="D76" s="5" t="s">
        <v>711</v>
      </c>
      <c r="E76" s="189" t="s">
        <v>118</v>
      </c>
      <c r="F76" s="5" t="s">
        <v>1158</v>
      </c>
      <c r="G76" s="5" t="s">
        <v>1159</v>
      </c>
      <c r="H76" s="5" t="s">
        <v>121</v>
      </c>
      <c r="I76" s="5" t="s">
        <v>920</v>
      </c>
      <c r="J76" s="5" t="s">
        <v>30</v>
      </c>
      <c r="K76" s="5" t="s">
        <v>30</v>
      </c>
      <c r="L76" s="3" t="s">
        <v>123</v>
      </c>
      <c r="M76" s="3" t="s">
        <v>31</v>
      </c>
      <c r="N76" s="5" t="s">
        <v>421</v>
      </c>
      <c r="O76" s="5" t="s">
        <v>125</v>
      </c>
      <c r="P76" s="5" t="s">
        <v>34</v>
      </c>
      <c r="Q76" s="145">
        <v>2056</v>
      </c>
      <c r="R76" s="156">
        <v>1</v>
      </c>
      <c r="S76" s="159">
        <v>3976</v>
      </c>
      <c r="U76" s="145">
        <v>81.747</v>
      </c>
      <c r="V76" s="157">
        <v>6.9999999999999999E-6</v>
      </c>
      <c r="W76" s="157">
        <v>6.90369467688399E-3</v>
      </c>
      <c r="X76" s="157">
        <v>3.2892119284947999E-3</v>
      </c>
    </row>
    <row r="77" spans="1:24">
      <c r="A77" s="5">
        <v>337</v>
      </c>
      <c r="B77" s="5">
        <v>1477</v>
      </c>
      <c r="C77" s="189" t="s">
        <v>1160</v>
      </c>
      <c r="D77" s="5" t="s">
        <v>1161</v>
      </c>
      <c r="E77" s="189" t="s">
        <v>118</v>
      </c>
      <c r="F77" s="5" t="s">
        <v>1162</v>
      </c>
      <c r="G77" s="5" t="s">
        <v>1163</v>
      </c>
      <c r="H77" s="5" t="s">
        <v>121</v>
      </c>
      <c r="I77" s="5" t="s">
        <v>920</v>
      </c>
      <c r="J77" s="5" t="s">
        <v>30</v>
      </c>
      <c r="K77" s="5" t="s">
        <v>138</v>
      </c>
      <c r="L77" s="3" t="s">
        <v>123</v>
      </c>
      <c r="M77" s="3" t="s">
        <v>31</v>
      </c>
      <c r="N77" s="5" t="s">
        <v>1164</v>
      </c>
      <c r="O77" s="5" t="s">
        <v>125</v>
      </c>
      <c r="P77" s="5" t="s">
        <v>34</v>
      </c>
      <c r="Q77" s="145">
        <v>570</v>
      </c>
      <c r="R77" s="156">
        <v>1</v>
      </c>
      <c r="S77" s="159">
        <v>14330</v>
      </c>
      <c r="U77" s="145">
        <v>81.680999999999997</v>
      </c>
      <c r="V77" s="157">
        <v>4.3000000000000002E-5</v>
      </c>
      <c r="W77" s="157">
        <v>6.8981579763425097E-3</v>
      </c>
      <c r="X77" s="157">
        <v>3.2865740103483801E-3</v>
      </c>
    </row>
    <row r="78" spans="1:24">
      <c r="A78" s="5">
        <v>337</v>
      </c>
      <c r="B78" s="5">
        <v>1477</v>
      </c>
      <c r="C78" s="189" t="s">
        <v>1165</v>
      </c>
      <c r="D78" s="5" t="s">
        <v>1166</v>
      </c>
      <c r="E78" s="189" t="s">
        <v>118</v>
      </c>
      <c r="F78" s="5" t="s">
        <v>1167</v>
      </c>
      <c r="G78" s="5" t="s">
        <v>1168</v>
      </c>
      <c r="H78" s="5" t="s">
        <v>121</v>
      </c>
      <c r="I78" s="5" t="s">
        <v>920</v>
      </c>
      <c r="J78" s="5" t="s">
        <v>30</v>
      </c>
      <c r="K78" s="5" t="s">
        <v>30</v>
      </c>
      <c r="L78" s="3" t="s">
        <v>123</v>
      </c>
      <c r="M78" s="3" t="s">
        <v>31</v>
      </c>
      <c r="N78" s="5" t="s">
        <v>695</v>
      </c>
      <c r="O78" s="5" t="s">
        <v>125</v>
      </c>
      <c r="P78" s="5" t="s">
        <v>34</v>
      </c>
      <c r="Q78" s="145">
        <v>17</v>
      </c>
      <c r="R78" s="156">
        <v>1</v>
      </c>
      <c r="S78" s="159">
        <v>13150</v>
      </c>
      <c r="U78" s="145">
        <v>2.2360000000000002</v>
      </c>
      <c r="V78" s="157">
        <v>1.9999999999999999E-6</v>
      </c>
      <c r="W78" s="157">
        <v>1.88793381032476E-4</v>
      </c>
      <c r="X78" s="157">
        <v>8.9949146069879095E-5</v>
      </c>
    </row>
    <row r="79" spans="1:24">
      <c r="A79" s="5">
        <v>337</v>
      </c>
      <c r="B79" s="5">
        <v>1477</v>
      </c>
      <c r="C79" s="189" t="s">
        <v>1169</v>
      </c>
      <c r="D79" s="5" t="s">
        <v>1170</v>
      </c>
      <c r="E79" s="189" t="s">
        <v>727</v>
      </c>
      <c r="F79" s="5" t="s">
        <v>1171</v>
      </c>
      <c r="G79" s="5" t="s">
        <v>1172</v>
      </c>
      <c r="H79" s="5" t="s">
        <v>121</v>
      </c>
      <c r="I79" s="5" t="s">
        <v>920</v>
      </c>
      <c r="J79" s="5" t="s">
        <v>79</v>
      </c>
      <c r="K79" s="5" t="s">
        <v>80</v>
      </c>
      <c r="L79" s="3" t="s">
        <v>123</v>
      </c>
      <c r="M79" s="3" t="s">
        <v>1173</v>
      </c>
      <c r="N79" s="5" t="s">
        <v>1174</v>
      </c>
      <c r="O79" s="5" t="s">
        <v>125</v>
      </c>
      <c r="P79" s="5" t="s">
        <v>84</v>
      </c>
      <c r="Q79" s="145">
        <v>76</v>
      </c>
      <c r="R79" s="156">
        <v>3.19</v>
      </c>
      <c r="S79" s="159">
        <v>21416</v>
      </c>
      <c r="U79" s="145">
        <v>51.920999999999999</v>
      </c>
      <c r="V79" s="157">
        <v>0</v>
      </c>
      <c r="W79" s="157">
        <v>4.3848498199219399E-3</v>
      </c>
      <c r="X79" s="157">
        <v>2.0891277797434799E-3</v>
      </c>
    </row>
    <row r="80" spans="1:24">
      <c r="A80" s="5">
        <v>337</v>
      </c>
      <c r="B80" s="5">
        <v>1477</v>
      </c>
      <c r="C80" s="189" t="s">
        <v>1175</v>
      </c>
      <c r="D80" s="5" t="s">
        <v>1176</v>
      </c>
      <c r="E80" s="189" t="s">
        <v>727</v>
      </c>
      <c r="F80" s="5" t="s">
        <v>1177</v>
      </c>
      <c r="G80" s="5" t="s">
        <v>1178</v>
      </c>
      <c r="H80" s="5" t="s">
        <v>121</v>
      </c>
      <c r="I80" s="5" t="s">
        <v>920</v>
      </c>
      <c r="J80" s="5" t="s">
        <v>79</v>
      </c>
      <c r="K80" s="5" t="s">
        <v>1179</v>
      </c>
      <c r="L80" s="3" t="s">
        <v>123</v>
      </c>
      <c r="M80" s="3" t="s">
        <v>1180</v>
      </c>
      <c r="N80" s="5" t="s">
        <v>1181</v>
      </c>
      <c r="O80" s="5" t="s">
        <v>125</v>
      </c>
      <c r="P80" s="5" t="s">
        <v>84</v>
      </c>
      <c r="Q80" s="145">
        <v>72</v>
      </c>
      <c r="R80" s="156">
        <v>3.19</v>
      </c>
      <c r="S80" s="159">
        <v>14658</v>
      </c>
      <c r="U80" s="145">
        <v>33.665999999999997</v>
      </c>
      <c r="V80" s="157">
        <v>0</v>
      </c>
      <c r="W80" s="157">
        <v>2.8432168666011701E-3</v>
      </c>
      <c r="X80" s="157">
        <v>1.3546286837156599E-3</v>
      </c>
    </row>
    <row r="81" spans="1:24">
      <c r="A81" s="5">
        <v>337</v>
      </c>
      <c r="B81" s="5">
        <v>1477</v>
      </c>
      <c r="C81" s="189" t="s">
        <v>1182</v>
      </c>
      <c r="D81" s="5" t="s">
        <v>1183</v>
      </c>
      <c r="E81" s="189" t="s">
        <v>727</v>
      </c>
      <c r="F81" s="5" t="s">
        <v>1184</v>
      </c>
      <c r="G81" s="5" t="s">
        <v>1185</v>
      </c>
      <c r="H81" s="5" t="s">
        <v>121</v>
      </c>
      <c r="I81" s="5" t="s">
        <v>920</v>
      </c>
      <c r="J81" s="5" t="s">
        <v>79</v>
      </c>
      <c r="K81" s="5" t="s">
        <v>80</v>
      </c>
      <c r="L81" s="3" t="s">
        <v>123</v>
      </c>
      <c r="M81" s="3" t="s">
        <v>1173</v>
      </c>
      <c r="N81" s="5" t="s">
        <v>1174</v>
      </c>
      <c r="O81" s="5" t="s">
        <v>125</v>
      </c>
      <c r="P81" s="5" t="s">
        <v>84</v>
      </c>
      <c r="Q81" s="145">
        <v>41</v>
      </c>
      <c r="R81" s="156">
        <v>3.19</v>
      </c>
      <c r="S81" s="159">
        <v>34610</v>
      </c>
      <c r="U81" s="145">
        <v>45.265999999999998</v>
      </c>
      <c r="V81" s="157">
        <v>0</v>
      </c>
      <c r="W81" s="157">
        <v>3.8228585507683798E-3</v>
      </c>
      <c r="X81" s="157">
        <v>1.82137138657631E-3</v>
      </c>
    </row>
    <row r="82" spans="1:24">
      <c r="A82" s="5">
        <v>337</v>
      </c>
      <c r="B82" s="5">
        <v>1477</v>
      </c>
      <c r="C82" s="189" t="s">
        <v>1186</v>
      </c>
      <c r="D82" s="5" t="s">
        <v>1187</v>
      </c>
      <c r="E82" s="189" t="s">
        <v>727</v>
      </c>
      <c r="F82" s="5" t="s">
        <v>1188</v>
      </c>
      <c r="G82" s="5" t="s">
        <v>1189</v>
      </c>
      <c r="H82" s="5" t="s">
        <v>121</v>
      </c>
      <c r="I82" s="5" t="s">
        <v>920</v>
      </c>
      <c r="J82" s="5" t="s">
        <v>79</v>
      </c>
      <c r="K82" s="5" t="s">
        <v>80</v>
      </c>
      <c r="L82" s="3" t="s">
        <v>123</v>
      </c>
      <c r="M82" s="3" t="s">
        <v>1180</v>
      </c>
      <c r="N82" s="5" t="s">
        <v>1190</v>
      </c>
      <c r="O82" s="5" t="s">
        <v>125</v>
      </c>
      <c r="P82" s="5" t="s">
        <v>84</v>
      </c>
      <c r="Q82" s="145">
        <v>40</v>
      </c>
      <c r="R82" s="156">
        <v>3.19</v>
      </c>
      <c r="S82" s="159">
        <v>107468</v>
      </c>
      <c r="U82" s="145">
        <v>137.12899999999999</v>
      </c>
      <c r="V82" s="157">
        <v>0</v>
      </c>
      <c r="W82" s="157">
        <v>1.1580889852333E-2</v>
      </c>
      <c r="X82" s="157">
        <v>5.5176253915781596E-3</v>
      </c>
    </row>
    <row r="83" spans="1:24">
      <c r="A83" s="5">
        <v>337</v>
      </c>
      <c r="B83" s="5">
        <v>1477</v>
      </c>
      <c r="C83" s="189" t="s">
        <v>1191</v>
      </c>
      <c r="D83" s="5" t="s">
        <v>1192</v>
      </c>
      <c r="E83" s="189" t="s">
        <v>727</v>
      </c>
      <c r="F83" s="5" t="s">
        <v>1193</v>
      </c>
      <c r="G83" s="5" t="s">
        <v>1194</v>
      </c>
      <c r="H83" s="5" t="s">
        <v>121</v>
      </c>
      <c r="I83" s="5" t="s">
        <v>920</v>
      </c>
      <c r="J83" s="5" t="s">
        <v>79</v>
      </c>
      <c r="K83" s="38" t="s">
        <v>80</v>
      </c>
      <c r="L83" s="3" t="s">
        <v>123</v>
      </c>
      <c r="M83" s="140" t="s">
        <v>1180</v>
      </c>
      <c r="N83" s="5" t="s">
        <v>1216</v>
      </c>
      <c r="O83" s="5" t="s">
        <v>125</v>
      </c>
      <c r="P83" s="5" t="s">
        <v>84</v>
      </c>
      <c r="Q83" s="145">
        <v>48</v>
      </c>
      <c r="R83" s="156">
        <v>3.19</v>
      </c>
      <c r="S83" s="159">
        <v>87900</v>
      </c>
      <c r="U83" s="145">
        <v>134.59200000000001</v>
      </c>
      <c r="V83" s="157">
        <v>0</v>
      </c>
      <c r="W83" s="157">
        <v>1.1366660416348E-2</v>
      </c>
      <c r="X83" s="157">
        <v>5.4155574338748697E-3</v>
      </c>
    </row>
    <row r="84" spans="1:24">
      <c r="A84" s="5">
        <v>337</v>
      </c>
      <c r="B84" s="5">
        <v>1477</v>
      </c>
      <c r="C84" s="189" t="s">
        <v>1196</v>
      </c>
      <c r="D84" s="5" t="s">
        <v>1197</v>
      </c>
      <c r="E84" s="189" t="s">
        <v>727</v>
      </c>
      <c r="F84" s="5" t="s">
        <v>1198</v>
      </c>
      <c r="G84" s="5" t="s">
        <v>1199</v>
      </c>
      <c r="H84" s="5" t="s">
        <v>121</v>
      </c>
      <c r="I84" s="5" t="s">
        <v>920</v>
      </c>
      <c r="J84" s="5" t="s">
        <v>79</v>
      </c>
      <c r="K84" s="38" t="s">
        <v>80</v>
      </c>
      <c r="L84" s="3" t="s">
        <v>123</v>
      </c>
      <c r="M84" s="3" t="s">
        <v>1173</v>
      </c>
      <c r="N84" s="5" t="s">
        <v>1200</v>
      </c>
      <c r="O84" s="5" t="s">
        <v>125</v>
      </c>
      <c r="P84" s="5" t="s">
        <v>84</v>
      </c>
      <c r="Q84" s="145">
        <v>309</v>
      </c>
      <c r="R84" s="156">
        <v>3.19</v>
      </c>
      <c r="S84" s="159">
        <v>31380</v>
      </c>
      <c r="U84" s="145">
        <v>309.31599999999997</v>
      </c>
      <c r="V84" s="157">
        <v>0</v>
      </c>
      <c r="W84" s="157">
        <v>2.6122467148816102E-2</v>
      </c>
      <c r="X84" s="157">
        <v>1.24458474149064E-2</v>
      </c>
    </row>
    <row r="85" spans="1:24">
      <c r="A85" s="5">
        <v>337</v>
      </c>
      <c r="B85" s="5">
        <v>1477</v>
      </c>
      <c r="C85" s="189" t="s">
        <v>1201</v>
      </c>
      <c r="D85" s="5" t="s">
        <v>1202</v>
      </c>
      <c r="E85" s="189" t="s">
        <v>727</v>
      </c>
      <c r="F85" s="5" t="s">
        <v>1203</v>
      </c>
      <c r="G85" s="5" t="s">
        <v>1204</v>
      </c>
      <c r="H85" s="5" t="s">
        <v>121</v>
      </c>
      <c r="I85" s="5" t="s">
        <v>920</v>
      </c>
      <c r="J85" s="5" t="s">
        <v>79</v>
      </c>
      <c r="K85" s="38" t="s">
        <v>80</v>
      </c>
      <c r="L85" s="3" t="s">
        <v>123</v>
      </c>
      <c r="M85" s="3" t="s">
        <v>1173</v>
      </c>
      <c r="N85" s="5" t="s">
        <v>1174</v>
      </c>
      <c r="O85" s="5" t="s">
        <v>125</v>
      </c>
      <c r="P85" s="5" t="s">
        <v>84</v>
      </c>
      <c r="Q85" s="145">
        <v>1851</v>
      </c>
      <c r="R85" s="156">
        <v>3.19</v>
      </c>
      <c r="S85" s="159">
        <v>3690</v>
      </c>
      <c r="U85" s="145">
        <v>217.88300000000001</v>
      </c>
      <c r="V85" s="157">
        <v>0</v>
      </c>
      <c r="W85" s="157">
        <v>1.8400751400534598E-2</v>
      </c>
      <c r="X85" s="157">
        <v>8.7668956743642903E-3</v>
      </c>
    </row>
    <row r="86" spans="1:24">
      <c r="A86" s="5">
        <v>337</v>
      </c>
      <c r="B86" s="5">
        <v>1477</v>
      </c>
      <c r="C86" s="189" t="s">
        <v>1205</v>
      </c>
      <c r="D86" s="5" t="s">
        <v>1206</v>
      </c>
      <c r="E86" s="189" t="s">
        <v>727</v>
      </c>
      <c r="F86" s="5" t="s">
        <v>1207</v>
      </c>
      <c r="G86" s="5" t="s">
        <v>1208</v>
      </c>
      <c r="H86" s="5" t="s">
        <v>121</v>
      </c>
      <c r="I86" s="5" t="s">
        <v>920</v>
      </c>
      <c r="J86" s="5" t="s">
        <v>79</v>
      </c>
      <c r="K86" s="38" t="s">
        <v>80</v>
      </c>
      <c r="L86" s="3" t="s">
        <v>123</v>
      </c>
      <c r="M86" s="3" t="s">
        <v>1180</v>
      </c>
      <c r="N86" s="5" t="s">
        <v>1209</v>
      </c>
      <c r="O86" s="5" t="s">
        <v>125</v>
      </c>
      <c r="P86" s="5" t="s">
        <v>84</v>
      </c>
      <c r="Q86" s="145">
        <v>136</v>
      </c>
      <c r="R86" s="156">
        <v>3.19</v>
      </c>
      <c r="S86" s="159">
        <v>32222</v>
      </c>
      <c r="U86" s="145">
        <v>139.792</v>
      </c>
      <c r="V86" s="157">
        <v>0</v>
      </c>
      <c r="W86" s="157">
        <v>1.1805766103345799E-2</v>
      </c>
      <c r="X86" s="157">
        <v>5.624765941948E-3</v>
      </c>
    </row>
    <row r="87" spans="1:24">
      <c r="A87" s="5">
        <v>337</v>
      </c>
      <c r="B87" s="5">
        <v>1477</v>
      </c>
      <c r="C87" s="189" t="s">
        <v>2943</v>
      </c>
      <c r="D87" s="5" t="s">
        <v>2942</v>
      </c>
      <c r="E87" s="189" t="s">
        <v>727</v>
      </c>
      <c r="F87" s="5" t="s">
        <v>1210</v>
      </c>
      <c r="G87" s="5" t="s">
        <v>1211</v>
      </c>
      <c r="H87" s="5" t="s">
        <v>121</v>
      </c>
      <c r="I87" s="5" t="s">
        <v>920</v>
      </c>
      <c r="J87" s="5" t="s">
        <v>79</v>
      </c>
      <c r="K87" s="38" t="s">
        <v>80</v>
      </c>
      <c r="L87" s="3" t="s">
        <v>123</v>
      </c>
      <c r="M87" s="140" t="s">
        <v>1180</v>
      </c>
      <c r="N87" s="5" t="s">
        <v>1216</v>
      </c>
      <c r="O87" s="5" t="s">
        <v>125</v>
      </c>
      <c r="P87" s="5" t="s">
        <v>84</v>
      </c>
      <c r="Q87" s="145">
        <v>324</v>
      </c>
      <c r="R87" s="156">
        <v>3.19</v>
      </c>
      <c r="S87" s="159">
        <v>12748</v>
      </c>
      <c r="U87" s="145">
        <v>131.75800000000001</v>
      </c>
      <c r="V87" s="157">
        <v>0</v>
      </c>
      <c r="W87" s="157">
        <v>1.11273010485361E-2</v>
      </c>
      <c r="X87" s="157">
        <v>5.3015165145335504E-3</v>
      </c>
    </row>
    <row r="88" spans="1:24">
      <c r="A88" s="5">
        <v>337</v>
      </c>
      <c r="B88" s="5">
        <v>1477</v>
      </c>
      <c r="C88" s="189" t="s">
        <v>1213</v>
      </c>
      <c r="D88" s="5" t="s">
        <v>1214</v>
      </c>
      <c r="E88" s="189" t="s">
        <v>727</v>
      </c>
      <c r="F88" s="5" t="s">
        <v>1213</v>
      </c>
      <c r="G88" s="5" t="s">
        <v>1215</v>
      </c>
      <c r="H88" s="5" t="s">
        <v>121</v>
      </c>
      <c r="I88" s="5" t="s">
        <v>920</v>
      </c>
      <c r="J88" s="5" t="s">
        <v>79</v>
      </c>
      <c r="K88" s="38" t="s">
        <v>80</v>
      </c>
      <c r="L88" s="3" t="s">
        <v>123</v>
      </c>
      <c r="M88" s="3" t="s">
        <v>1173</v>
      </c>
      <c r="N88" s="5" t="s">
        <v>1216</v>
      </c>
      <c r="O88" s="5" t="s">
        <v>125</v>
      </c>
      <c r="P88" s="5" t="s">
        <v>84</v>
      </c>
      <c r="Q88" s="145">
        <v>17</v>
      </c>
      <c r="R88" s="156">
        <v>3.19</v>
      </c>
      <c r="S88" s="159">
        <v>66009</v>
      </c>
      <c r="U88" s="145">
        <v>35.796999999999997</v>
      </c>
      <c r="V88" s="157">
        <v>0</v>
      </c>
      <c r="W88" s="157">
        <v>3.02311625099216E-3</v>
      </c>
      <c r="X88" s="157">
        <v>1.4403403538810599E-3</v>
      </c>
    </row>
    <row r="89" spans="1:24">
      <c r="A89" s="5">
        <v>337</v>
      </c>
      <c r="B89" s="5">
        <v>1477</v>
      </c>
      <c r="C89" s="189" t="s">
        <v>1217</v>
      </c>
      <c r="D89" s="5" t="s">
        <v>1218</v>
      </c>
      <c r="E89" s="189" t="s">
        <v>727</v>
      </c>
      <c r="F89" s="5" t="s">
        <v>1219</v>
      </c>
      <c r="G89" s="5" t="s">
        <v>1220</v>
      </c>
      <c r="H89" s="5" t="s">
        <v>121</v>
      </c>
      <c r="I89" s="5" t="s">
        <v>920</v>
      </c>
      <c r="J89" s="5" t="s">
        <v>79</v>
      </c>
      <c r="K89" s="38" t="s">
        <v>80</v>
      </c>
      <c r="L89" s="3" t="s">
        <v>123</v>
      </c>
      <c r="M89" s="3" t="s">
        <v>1173</v>
      </c>
      <c r="N89" s="5" t="s">
        <v>1221</v>
      </c>
      <c r="O89" s="5" t="s">
        <v>125</v>
      </c>
      <c r="P89" s="5" t="s">
        <v>84</v>
      </c>
      <c r="Q89" s="145">
        <v>117</v>
      </c>
      <c r="R89" s="156">
        <v>3.19</v>
      </c>
      <c r="S89" s="159">
        <v>48362</v>
      </c>
      <c r="U89" s="145">
        <v>180.501</v>
      </c>
      <c r="V89" s="157">
        <v>0</v>
      </c>
      <c r="W89" s="157">
        <v>1.52437875505983E-2</v>
      </c>
      <c r="X89" s="157">
        <v>7.2627846672818604E-3</v>
      </c>
    </row>
    <row r="90" spans="1:24">
      <c r="A90" s="5">
        <v>337</v>
      </c>
      <c r="B90" s="5">
        <v>1477</v>
      </c>
      <c r="C90" s="189" t="s">
        <v>1222</v>
      </c>
      <c r="D90" s="5" t="s">
        <v>1223</v>
      </c>
      <c r="E90" s="189" t="s">
        <v>727</v>
      </c>
      <c r="F90" s="5" t="s">
        <v>1224</v>
      </c>
      <c r="G90" s="5" t="s">
        <v>1225</v>
      </c>
      <c r="H90" s="5" t="s">
        <v>121</v>
      </c>
      <c r="I90" s="5" t="s">
        <v>920</v>
      </c>
      <c r="J90" s="5" t="s">
        <v>79</v>
      </c>
      <c r="K90" s="38" t="s">
        <v>80</v>
      </c>
      <c r="L90" s="3" t="s">
        <v>123</v>
      </c>
      <c r="M90" s="3" t="s">
        <v>1180</v>
      </c>
      <c r="N90" s="5" t="s">
        <v>1226</v>
      </c>
      <c r="O90" s="5" t="s">
        <v>125</v>
      </c>
      <c r="P90" s="5" t="s">
        <v>84</v>
      </c>
      <c r="Q90" s="145">
        <v>360</v>
      </c>
      <c r="R90" s="156">
        <v>3.19</v>
      </c>
      <c r="S90" s="159">
        <v>13351</v>
      </c>
      <c r="U90" s="145">
        <v>153.32300000000001</v>
      </c>
      <c r="V90" s="157">
        <v>6.9999999999999999E-6</v>
      </c>
      <c r="W90" s="157">
        <v>1.2948488329237401E-2</v>
      </c>
      <c r="X90" s="157">
        <v>6.1692071074798197E-3</v>
      </c>
    </row>
    <row r="91" spans="1:24">
      <c r="A91" s="5">
        <v>337</v>
      </c>
      <c r="B91" s="5">
        <v>1477</v>
      </c>
      <c r="C91" s="189" t="s">
        <v>1227</v>
      </c>
      <c r="D91" s="5" t="s">
        <v>1228</v>
      </c>
      <c r="E91" s="189" t="s">
        <v>727</v>
      </c>
      <c r="F91" s="5" t="s">
        <v>1229</v>
      </c>
      <c r="G91" s="5" t="s">
        <v>1230</v>
      </c>
      <c r="H91" s="5" t="s">
        <v>121</v>
      </c>
      <c r="I91" s="5" t="s">
        <v>920</v>
      </c>
      <c r="J91" s="5" t="s">
        <v>79</v>
      </c>
      <c r="K91" s="38" t="s">
        <v>80</v>
      </c>
      <c r="L91" s="3" t="s">
        <v>123</v>
      </c>
      <c r="M91" s="3" t="s">
        <v>1173</v>
      </c>
      <c r="N91" s="5" t="s">
        <v>1231</v>
      </c>
      <c r="O91" s="5" t="s">
        <v>125</v>
      </c>
      <c r="P91" s="5" t="s">
        <v>84</v>
      </c>
      <c r="Q91" s="145">
        <v>60</v>
      </c>
      <c r="R91" s="156">
        <v>3.19</v>
      </c>
      <c r="S91" s="159">
        <v>5383</v>
      </c>
      <c r="T91" s="143">
        <v>2.1999999999999999E-2</v>
      </c>
      <c r="U91" s="145">
        <v>10.375</v>
      </c>
      <c r="V91" s="157">
        <v>0</v>
      </c>
      <c r="W91" s="157">
        <v>8.7616276101441196E-4</v>
      </c>
      <c r="X91" s="157">
        <v>4.17440970337393E-4</v>
      </c>
    </row>
    <row r="92" spans="1:24">
      <c r="A92" s="5">
        <v>337</v>
      </c>
      <c r="B92" s="5">
        <v>1477</v>
      </c>
      <c r="C92" s="189" t="s">
        <v>1095</v>
      </c>
      <c r="D92" s="5" t="s">
        <v>1096</v>
      </c>
      <c r="E92" s="189" t="s">
        <v>118</v>
      </c>
      <c r="F92" s="5" t="s">
        <v>1232</v>
      </c>
      <c r="G92" s="5" t="s">
        <v>1233</v>
      </c>
      <c r="H92" s="5" t="s">
        <v>121</v>
      </c>
      <c r="I92" s="5" t="s">
        <v>920</v>
      </c>
      <c r="J92" s="5" t="s">
        <v>79</v>
      </c>
      <c r="K92" s="38" t="s">
        <v>30</v>
      </c>
      <c r="L92" s="3" t="s">
        <v>123</v>
      </c>
      <c r="M92" s="3" t="s">
        <v>1173</v>
      </c>
      <c r="N92" s="5" t="s">
        <v>1221</v>
      </c>
      <c r="O92" s="5" t="s">
        <v>125</v>
      </c>
      <c r="P92" s="5" t="s">
        <v>84</v>
      </c>
      <c r="Q92" s="145">
        <v>18</v>
      </c>
      <c r="R92" s="156">
        <v>3.19</v>
      </c>
      <c r="S92" s="159">
        <v>11304</v>
      </c>
      <c r="U92" s="145">
        <v>6.4909999999999997</v>
      </c>
      <c r="V92" s="157">
        <v>0</v>
      </c>
      <c r="W92" s="157">
        <v>5.4816010813309504E-4</v>
      </c>
      <c r="X92" s="157">
        <v>2.6116664348345398E-4</v>
      </c>
    </row>
    <row r="93" spans="1:24">
      <c r="A93" s="5">
        <v>337</v>
      </c>
      <c r="B93" s="5">
        <v>1477</v>
      </c>
      <c r="C93" s="189" t="s">
        <v>1234</v>
      </c>
      <c r="D93" s="5" t="s">
        <v>1235</v>
      </c>
      <c r="E93" s="189" t="s">
        <v>727</v>
      </c>
      <c r="F93" s="5" t="s">
        <v>1234</v>
      </c>
      <c r="G93" s="5" t="s">
        <v>1236</v>
      </c>
      <c r="H93" s="5" t="s">
        <v>121</v>
      </c>
      <c r="I93" s="5" t="s">
        <v>920</v>
      </c>
      <c r="J93" s="5" t="s">
        <v>79</v>
      </c>
      <c r="K93" s="38" t="s">
        <v>80</v>
      </c>
      <c r="L93" s="3" t="s">
        <v>123</v>
      </c>
      <c r="M93" s="3" t="s">
        <v>1180</v>
      </c>
      <c r="N93" s="5" t="s">
        <v>1181</v>
      </c>
      <c r="O93" s="5" t="s">
        <v>125</v>
      </c>
      <c r="P93" s="5" t="s">
        <v>84</v>
      </c>
      <c r="Q93" s="145">
        <v>304</v>
      </c>
      <c r="R93" s="156">
        <v>3.19</v>
      </c>
      <c r="S93" s="159">
        <v>6371</v>
      </c>
      <c r="T93" s="143">
        <v>0.125</v>
      </c>
      <c r="U93" s="145">
        <v>62.180999999999997</v>
      </c>
      <c r="V93" s="157">
        <v>0</v>
      </c>
      <c r="W93" s="157">
        <v>5.2513367660327699E-3</v>
      </c>
      <c r="X93" s="157">
        <v>2.50195878291281E-3</v>
      </c>
    </row>
    <row r="94" spans="1:24">
      <c r="A94" s="5">
        <v>337</v>
      </c>
      <c r="B94" s="5">
        <v>1477</v>
      </c>
      <c r="C94" s="189" t="s">
        <v>1237</v>
      </c>
      <c r="D94" s="5" t="s">
        <v>1238</v>
      </c>
      <c r="E94" s="189" t="s">
        <v>727</v>
      </c>
      <c r="F94" s="5" t="s">
        <v>1239</v>
      </c>
      <c r="G94" s="5" t="s">
        <v>1240</v>
      </c>
      <c r="H94" s="5" t="s">
        <v>121</v>
      </c>
      <c r="I94" s="5" t="s">
        <v>920</v>
      </c>
      <c r="J94" s="5" t="s">
        <v>79</v>
      </c>
      <c r="K94" s="38" t="s">
        <v>80</v>
      </c>
      <c r="L94" s="3" t="s">
        <v>123</v>
      </c>
      <c r="M94" s="3" t="s">
        <v>1173</v>
      </c>
      <c r="N94" s="5" t="s">
        <v>1174</v>
      </c>
      <c r="O94" s="5" t="s">
        <v>125</v>
      </c>
      <c r="P94" s="5" t="s">
        <v>84</v>
      </c>
      <c r="Q94" s="145">
        <v>164</v>
      </c>
      <c r="R94" s="156">
        <v>3.19</v>
      </c>
      <c r="S94" s="159">
        <v>18650</v>
      </c>
      <c r="U94" s="145">
        <v>97.569000000000003</v>
      </c>
      <c r="V94" s="157">
        <v>0</v>
      </c>
      <c r="W94" s="157">
        <v>8.2399667115666299E-3</v>
      </c>
      <c r="X94" s="157">
        <v>3.92586840331098E-3</v>
      </c>
    </row>
    <row r="95" spans="1:24">
      <c r="A95" s="5">
        <v>337</v>
      </c>
      <c r="B95" s="5">
        <v>1477</v>
      </c>
      <c r="C95" s="189" t="s">
        <v>921</v>
      </c>
      <c r="D95" s="5" t="s">
        <v>922</v>
      </c>
      <c r="E95" s="189" t="s">
        <v>727</v>
      </c>
      <c r="F95" s="5" t="s">
        <v>1241</v>
      </c>
      <c r="G95" s="5" t="s">
        <v>924</v>
      </c>
      <c r="H95" s="5" t="s">
        <v>121</v>
      </c>
      <c r="I95" s="5" t="s">
        <v>920</v>
      </c>
      <c r="J95" s="5" t="s">
        <v>79</v>
      </c>
      <c r="K95" s="38" t="s">
        <v>80</v>
      </c>
      <c r="L95" s="3" t="s">
        <v>123</v>
      </c>
      <c r="M95" s="3" t="s">
        <v>1180</v>
      </c>
      <c r="N95" s="5" t="s">
        <v>1242</v>
      </c>
      <c r="O95" s="5" t="s">
        <v>125</v>
      </c>
      <c r="P95" s="5" t="s">
        <v>84</v>
      </c>
      <c r="Q95" s="145">
        <v>23</v>
      </c>
      <c r="R95" s="156">
        <v>3.19</v>
      </c>
      <c r="S95" s="159">
        <v>11047</v>
      </c>
      <c r="U95" s="145">
        <v>8.1050000000000004</v>
      </c>
      <c r="V95" s="157">
        <v>0</v>
      </c>
      <c r="W95" s="157">
        <v>6.84502380841418E-4</v>
      </c>
      <c r="X95" s="157">
        <v>3.2612586470334698E-4</v>
      </c>
    </row>
    <row r="96" spans="1:24">
      <c r="A96" s="5">
        <v>337</v>
      </c>
      <c r="B96" s="5">
        <v>1477</v>
      </c>
      <c r="C96" s="189" t="s">
        <v>1243</v>
      </c>
      <c r="D96" s="5" t="s">
        <v>1244</v>
      </c>
      <c r="E96" s="189" t="s">
        <v>727</v>
      </c>
      <c r="F96" s="5" t="s">
        <v>1245</v>
      </c>
      <c r="G96" s="5" t="s">
        <v>1246</v>
      </c>
      <c r="H96" s="5" t="s">
        <v>121</v>
      </c>
      <c r="I96" s="5" t="s">
        <v>920</v>
      </c>
      <c r="J96" s="5" t="s">
        <v>79</v>
      </c>
      <c r="K96" s="38" t="s">
        <v>80</v>
      </c>
      <c r="L96" s="3" t="s">
        <v>123</v>
      </c>
      <c r="M96" s="3" t="s">
        <v>1173</v>
      </c>
      <c r="N96" s="5" t="s">
        <v>1221</v>
      </c>
      <c r="O96" s="5" t="s">
        <v>125</v>
      </c>
      <c r="P96" s="5" t="s">
        <v>84</v>
      </c>
      <c r="Q96" s="145">
        <v>56</v>
      </c>
      <c r="R96" s="156">
        <v>3.19</v>
      </c>
      <c r="S96" s="159">
        <v>18420</v>
      </c>
      <c r="U96" s="145">
        <v>32.905000000000001</v>
      </c>
      <c r="V96" s="157">
        <v>0</v>
      </c>
      <c r="W96" s="157">
        <v>2.7789480358056699E-3</v>
      </c>
      <c r="X96" s="157">
        <v>1.3240082964046801E-3</v>
      </c>
    </row>
    <row r="97" spans="1:24">
      <c r="A97" s="5">
        <v>337</v>
      </c>
      <c r="B97" s="5">
        <v>1477</v>
      </c>
      <c r="C97" s="189" t="s">
        <v>1247</v>
      </c>
      <c r="D97" s="5" t="s">
        <v>1248</v>
      </c>
      <c r="E97" s="189" t="s">
        <v>727</v>
      </c>
      <c r="F97" s="5" t="s">
        <v>1249</v>
      </c>
      <c r="G97" s="5" t="s">
        <v>1250</v>
      </c>
      <c r="H97" s="5" t="s">
        <v>121</v>
      </c>
      <c r="I97" s="5" t="s">
        <v>920</v>
      </c>
      <c r="J97" s="5" t="s">
        <v>79</v>
      </c>
      <c r="K97" s="38" t="s">
        <v>956</v>
      </c>
      <c r="L97" s="3" t="s">
        <v>123</v>
      </c>
      <c r="M97" s="3" t="s">
        <v>1251</v>
      </c>
      <c r="N97" s="5" t="s">
        <v>1252</v>
      </c>
      <c r="O97" s="5" t="s">
        <v>125</v>
      </c>
      <c r="P97" s="5" t="s">
        <v>1253</v>
      </c>
      <c r="Q97" s="145">
        <v>310</v>
      </c>
      <c r="R97" s="156">
        <v>4.29</v>
      </c>
      <c r="S97" s="159">
        <v>1796</v>
      </c>
      <c r="U97" s="145">
        <v>23.885000000000002</v>
      </c>
      <c r="V97" s="157">
        <v>6.9999999999999999E-6</v>
      </c>
      <c r="W97" s="157">
        <v>2.01714634808061E-3</v>
      </c>
      <c r="X97" s="157">
        <v>9.6105377484931602E-4</v>
      </c>
    </row>
    <row r="98" spans="1:24">
      <c r="A98" s="5">
        <v>337</v>
      </c>
      <c r="B98" s="5">
        <v>1477</v>
      </c>
      <c r="C98" s="189" t="s">
        <v>1254</v>
      </c>
      <c r="D98" s="5" t="s">
        <v>1255</v>
      </c>
      <c r="E98" s="189" t="s">
        <v>727</v>
      </c>
      <c r="F98" s="5" t="s">
        <v>1256</v>
      </c>
      <c r="G98" s="5" t="s">
        <v>1257</v>
      </c>
      <c r="H98" s="5" t="s">
        <v>121</v>
      </c>
      <c r="I98" s="5" t="s">
        <v>920</v>
      </c>
      <c r="J98" s="5" t="s">
        <v>79</v>
      </c>
      <c r="K98" s="38" t="s">
        <v>80</v>
      </c>
      <c r="L98" s="3" t="s">
        <v>123</v>
      </c>
      <c r="M98" s="3" t="s">
        <v>1180</v>
      </c>
      <c r="N98" s="5" t="s">
        <v>1258</v>
      </c>
      <c r="O98" s="5" t="s">
        <v>125</v>
      </c>
      <c r="P98" s="5" t="s">
        <v>84</v>
      </c>
      <c r="Q98" s="145">
        <v>57</v>
      </c>
      <c r="R98" s="156">
        <v>3.19</v>
      </c>
      <c r="S98" s="159">
        <v>42206</v>
      </c>
      <c r="U98" s="145">
        <v>76.742999999999995</v>
      </c>
      <c r="V98" s="157">
        <v>0</v>
      </c>
      <c r="W98" s="157">
        <v>6.4811462749682002E-3</v>
      </c>
      <c r="X98" s="157">
        <v>3.0878920108278799E-3</v>
      </c>
    </row>
    <row r="99" spans="1:24">
      <c r="A99" s="5">
        <v>337</v>
      </c>
      <c r="B99" s="5">
        <v>1477</v>
      </c>
      <c r="C99" s="189" t="s">
        <v>1259</v>
      </c>
      <c r="D99" s="5" t="s">
        <v>1260</v>
      </c>
      <c r="E99" s="189" t="s">
        <v>727</v>
      </c>
      <c r="F99" s="5" t="s">
        <v>1261</v>
      </c>
      <c r="G99" s="5" t="s">
        <v>1262</v>
      </c>
      <c r="H99" s="5" t="s">
        <v>121</v>
      </c>
      <c r="I99" s="5" t="s">
        <v>920</v>
      </c>
      <c r="J99" s="5" t="s">
        <v>79</v>
      </c>
      <c r="K99" s="38" t="s">
        <v>1179</v>
      </c>
      <c r="L99" s="3" t="s">
        <v>123</v>
      </c>
      <c r="M99" s="3" t="s">
        <v>1180</v>
      </c>
      <c r="N99" s="5" t="s">
        <v>1174</v>
      </c>
      <c r="O99" s="5" t="s">
        <v>125</v>
      </c>
      <c r="P99" s="5" t="s">
        <v>84</v>
      </c>
      <c r="Q99" s="145">
        <v>50</v>
      </c>
      <c r="R99" s="156">
        <v>3.19</v>
      </c>
      <c r="S99" s="159">
        <v>30389</v>
      </c>
      <c r="T99" s="143">
        <v>3.1E-2</v>
      </c>
      <c r="U99" s="145">
        <v>48.570999999999998</v>
      </c>
      <c r="V99" s="157">
        <v>0</v>
      </c>
      <c r="W99" s="157">
        <v>4.1019067379156797E-3</v>
      </c>
      <c r="X99" s="157">
        <v>1.9543217368956901E-3</v>
      </c>
    </row>
    <row r="100" spans="1:24">
      <c r="A100" s="5">
        <v>337</v>
      </c>
      <c r="B100" s="5">
        <v>1477</v>
      </c>
      <c r="C100" s="189" t="s">
        <v>1036</v>
      </c>
      <c r="D100" s="5" t="s">
        <v>1037</v>
      </c>
      <c r="E100" s="189" t="s">
        <v>118</v>
      </c>
      <c r="F100" s="5" t="s">
        <v>1263</v>
      </c>
      <c r="G100" s="5" t="s">
        <v>1039</v>
      </c>
      <c r="H100" s="5" t="s">
        <v>121</v>
      </c>
      <c r="I100" s="5" t="s">
        <v>920</v>
      </c>
      <c r="J100" s="5" t="s">
        <v>79</v>
      </c>
      <c r="K100" s="38" t="s">
        <v>138</v>
      </c>
      <c r="L100" s="3" t="s">
        <v>123</v>
      </c>
      <c r="M100" s="3" t="s">
        <v>1173</v>
      </c>
      <c r="N100" s="5" t="s">
        <v>1174</v>
      </c>
      <c r="O100" s="5" t="s">
        <v>125</v>
      </c>
      <c r="P100" s="5" t="s">
        <v>84</v>
      </c>
      <c r="Q100" s="145">
        <v>470</v>
      </c>
      <c r="R100" s="156">
        <v>3.19</v>
      </c>
      <c r="S100" s="159">
        <v>11742</v>
      </c>
      <c r="U100" s="145">
        <v>176.048</v>
      </c>
      <c r="V100" s="157">
        <v>3.9999999999999998E-6</v>
      </c>
      <c r="W100" s="157">
        <v>1.48676629470317E-2</v>
      </c>
      <c r="X100" s="157">
        <v>7.0835830092488197E-3</v>
      </c>
    </row>
    <row r="101" spans="1:24">
      <c r="A101" s="5">
        <v>337</v>
      </c>
      <c r="B101" s="5">
        <v>1477</v>
      </c>
      <c r="C101" s="189" t="s">
        <v>1264</v>
      </c>
      <c r="D101" s="5" t="s">
        <v>1265</v>
      </c>
      <c r="E101" s="189" t="s">
        <v>727</v>
      </c>
      <c r="F101" s="5" t="s">
        <v>1266</v>
      </c>
      <c r="G101" s="5" t="s">
        <v>1267</v>
      </c>
      <c r="H101" s="5" t="s">
        <v>121</v>
      </c>
      <c r="I101" s="5" t="s">
        <v>920</v>
      </c>
      <c r="J101" s="5" t="s">
        <v>79</v>
      </c>
      <c r="K101" s="38" t="s">
        <v>80</v>
      </c>
      <c r="L101" s="3" t="s">
        <v>123</v>
      </c>
      <c r="M101" s="3" t="s">
        <v>1180</v>
      </c>
      <c r="N101" s="5" t="s">
        <v>1268</v>
      </c>
      <c r="O101" s="5" t="s">
        <v>125</v>
      </c>
      <c r="P101" s="5" t="s">
        <v>84</v>
      </c>
      <c r="Q101" s="145">
        <v>251</v>
      </c>
      <c r="R101" s="156">
        <v>3.19</v>
      </c>
      <c r="S101" s="159">
        <v>8171</v>
      </c>
      <c r="U101" s="145">
        <v>65.424000000000007</v>
      </c>
      <c r="V101" s="157">
        <v>0</v>
      </c>
      <c r="W101" s="157">
        <v>5.5252470960743304E-3</v>
      </c>
      <c r="X101" s="157">
        <v>2.63246124095565E-3</v>
      </c>
    </row>
    <row r="102" spans="1:24">
      <c r="A102" s="5">
        <v>337</v>
      </c>
      <c r="B102" s="5">
        <v>9962</v>
      </c>
      <c r="C102" s="189" t="s">
        <v>148</v>
      </c>
      <c r="D102" s="5" t="s">
        <v>149</v>
      </c>
      <c r="E102" s="189" t="s">
        <v>118</v>
      </c>
      <c r="F102" s="5" t="s">
        <v>918</v>
      </c>
      <c r="G102" s="5" t="s">
        <v>919</v>
      </c>
      <c r="H102" s="5" t="s">
        <v>121</v>
      </c>
      <c r="I102" s="5" t="s">
        <v>920</v>
      </c>
      <c r="J102" s="5" t="s">
        <v>30</v>
      </c>
      <c r="K102" s="38" t="s">
        <v>30</v>
      </c>
      <c r="L102" s="3" t="s">
        <v>123</v>
      </c>
      <c r="M102" s="3" t="s">
        <v>31</v>
      </c>
      <c r="N102" s="5" t="s">
        <v>152</v>
      </c>
      <c r="O102" s="5" t="s">
        <v>125</v>
      </c>
      <c r="P102" s="5" t="s">
        <v>34</v>
      </c>
      <c r="Q102" s="145">
        <v>4956</v>
      </c>
      <c r="R102" s="156">
        <v>1</v>
      </c>
      <c r="S102" s="159">
        <v>7459</v>
      </c>
      <c r="U102" s="145">
        <v>369.66800000000001</v>
      </c>
      <c r="V102" s="157">
        <v>1.5999999999999999E-5</v>
      </c>
      <c r="W102" s="157">
        <v>2.64363959674969E-2</v>
      </c>
      <c r="X102" s="157">
        <v>7.3679694259291299E-3</v>
      </c>
    </row>
    <row r="103" spans="1:24">
      <c r="A103" s="5">
        <v>337</v>
      </c>
      <c r="B103" s="5">
        <v>9962</v>
      </c>
      <c r="C103" s="189" t="s">
        <v>921</v>
      </c>
      <c r="D103" s="5" t="s">
        <v>922</v>
      </c>
      <c r="E103" s="189" t="s">
        <v>727</v>
      </c>
      <c r="F103" s="5" t="s">
        <v>923</v>
      </c>
      <c r="G103" s="5" t="s">
        <v>924</v>
      </c>
      <c r="H103" s="5" t="s">
        <v>121</v>
      </c>
      <c r="I103" s="5" t="s">
        <v>920</v>
      </c>
      <c r="J103" s="5" t="s">
        <v>30</v>
      </c>
      <c r="K103" s="38" t="s">
        <v>80</v>
      </c>
      <c r="L103" s="3" t="s">
        <v>123</v>
      </c>
      <c r="M103" s="3" t="s">
        <v>31</v>
      </c>
      <c r="N103" s="5" t="s">
        <v>228</v>
      </c>
      <c r="O103" s="5" t="s">
        <v>125</v>
      </c>
      <c r="P103" s="5" t="s">
        <v>34</v>
      </c>
      <c r="Q103" s="145">
        <v>530</v>
      </c>
      <c r="R103" s="156">
        <v>1</v>
      </c>
      <c r="S103" s="159">
        <v>35050</v>
      </c>
      <c r="U103" s="145">
        <v>185.76499999999999</v>
      </c>
      <c r="V103" s="157">
        <v>9.0000000000000002E-6</v>
      </c>
      <c r="W103" s="157">
        <v>1.32847759760407E-2</v>
      </c>
      <c r="X103" s="157">
        <v>3.70254036677806E-3</v>
      </c>
    </row>
    <row r="104" spans="1:24">
      <c r="A104" s="5">
        <v>337</v>
      </c>
      <c r="B104" s="5">
        <v>9962</v>
      </c>
      <c r="C104" s="189" t="s">
        <v>161</v>
      </c>
      <c r="D104" s="5" t="s">
        <v>162</v>
      </c>
      <c r="E104" s="189" t="s">
        <v>118</v>
      </c>
      <c r="F104" s="5" t="s">
        <v>929</v>
      </c>
      <c r="G104" s="5" t="s">
        <v>930</v>
      </c>
      <c r="H104" s="5" t="s">
        <v>121</v>
      </c>
      <c r="I104" s="5" t="s">
        <v>920</v>
      </c>
      <c r="J104" s="5" t="s">
        <v>30</v>
      </c>
      <c r="K104" s="38" t="s">
        <v>30</v>
      </c>
      <c r="L104" s="3" t="s">
        <v>123</v>
      </c>
      <c r="M104" s="3" t="s">
        <v>31</v>
      </c>
      <c r="N104" s="5" t="s">
        <v>144</v>
      </c>
      <c r="O104" s="5" t="s">
        <v>125</v>
      </c>
      <c r="P104" s="5" t="s">
        <v>34</v>
      </c>
      <c r="Q104" s="145">
        <v>15973</v>
      </c>
      <c r="R104" s="156">
        <v>1</v>
      </c>
      <c r="S104" s="159">
        <v>1830</v>
      </c>
      <c r="U104" s="145">
        <v>292.30599999999998</v>
      </c>
      <c r="V104" s="157">
        <v>1.2E-5</v>
      </c>
      <c r="W104" s="157">
        <v>2.0903929146905802E-2</v>
      </c>
      <c r="X104" s="157">
        <v>5.8260403961854501E-3</v>
      </c>
    </row>
    <row r="105" spans="1:24">
      <c r="A105" s="5">
        <v>337</v>
      </c>
      <c r="B105" s="5">
        <v>9962</v>
      </c>
      <c r="C105" s="189" t="s">
        <v>931</v>
      </c>
      <c r="D105" s="5" t="s">
        <v>932</v>
      </c>
      <c r="E105" s="189" t="s">
        <v>118</v>
      </c>
      <c r="F105" s="5" t="s">
        <v>933</v>
      </c>
      <c r="G105" s="5" t="s">
        <v>934</v>
      </c>
      <c r="H105" s="5" t="s">
        <v>121</v>
      </c>
      <c r="I105" s="5" t="s">
        <v>920</v>
      </c>
      <c r="J105" s="5" t="s">
        <v>30</v>
      </c>
      <c r="K105" s="38" t="s">
        <v>30</v>
      </c>
      <c r="L105" s="3" t="s">
        <v>123</v>
      </c>
      <c r="M105" s="3" t="s">
        <v>31</v>
      </c>
      <c r="N105" s="5" t="s">
        <v>159</v>
      </c>
      <c r="O105" s="5" t="s">
        <v>125</v>
      </c>
      <c r="P105" s="5" t="s">
        <v>34</v>
      </c>
      <c r="Q105" s="145">
        <v>562</v>
      </c>
      <c r="R105" s="156">
        <v>1</v>
      </c>
      <c r="S105" s="159">
        <v>24170</v>
      </c>
      <c r="U105" s="145">
        <v>135.83500000000001</v>
      </c>
      <c r="V105" s="157">
        <v>3.8000000000000002E-5</v>
      </c>
      <c r="W105" s="157">
        <v>9.7141165376463893E-3</v>
      </c>
      <c r="X105" s="157">
        <v>2.70737787924229E-3</v>
      </c>
    </row>
    <row r="106" spans="1:24">
      <c r="A106" s="5">
        <v>337</v>
      </c>
      <c r="B106" s="5">
        <v>9962</v>
      </c>
      <c r="C106" s="189" t="s">
        <v>935</v>
      </c>
      <c r="D106" s="5" t="s">
        <v>936</v>
      </c>
      <c r="E106" s="189" t="s">
        <v>118</v>
      </c>
      <c r="F106" s="5" t="s">
        <v>937</v>
      </c>
      <c r="G106" s="5" t="s">
        <v>938</v>
      </c>
      <c r="H106" s="5" t="s">
        <v>121</v>
      </c>
      <c r="I106" s="5" t="s">
        <v>920</v>
      </c>
      <c r="J106" s="5" t="s">
        <v>30</v>
      </c>
      <c r="K106" s="38" t="s">
        <v>30</v>
      </c>
      <c r="L106" s="3" t="s">
        <v>123</v>
      </c>
      <c r="M106" s="3" t="s">
        <v>31</v>
      </c>
      <c r="N106" s="5" t="s">
        <v>724</v>
      </c>
      <c r="O106" s="5" t="s">
        <v>125</v>
      </c>
      <c r="P106" s="5" t="s">
        <v>34</v>
      </c>
      <c r="Q106" s="145">
        <v>2000</v>
      </c>
      <c r="R106" s="156">
        <v>1</v>
      </c>
      <c r="S106" s="159">
        <v>2200</v>
      </c>
      <c r="U106" s="145">
        <v>44</v>
      </c>
      <c r="V106" s="157">
        <v>1.2999999999999999E-5</v>
      </c>
      <c r="W106" s="157">
        <v>3.1466107337000601E-3</v>
      </c>
      <c r="X106" s="157">
        <v>8.7697777373689598E-4</v>
      </c>
    </row>
    <row r="107" spans="1:24">
      <c r="A107" s="5">
        <v>337</v>
      </c>
      <c r="B107" s="5">
        <v>9962</v>
      </c>
      <c r="C107" s="189" t="s">
        <v>941</v>
      </c>
      <c r="D107" s="5" t="s">
        <v>942</v>
      </c>
      <c r="E107" s="189" t="s">
        <v>118</v>
      </c>
      <c r="F107" s="5" t="s">
        <v>943</v>
      </c>
      <c r="G107" s="5" t="s">
        <v>944</v>
      </c>
      <c r="H107" s="5" t="s">
        <v>121</v>
      </c>
      <c r="I107" s="5" t="s">
        <v>920</v>
      </c>
      <c r="J107" s="5" t="s">
        <v>30</v>
      </c>
      <c r="K107" s="38" t="s">
        <v>30</v>
      </c>
      <c r="L107" s="3" t="s">
        <v>123</v>
      </c>
      <c r="M107" s="3" t="s">
        <v>31</v>
      </c>
      <c r="N107" s="5" t="s">
        <v>945</v>
      </c>
      <c r="O107" s="5" t="s">
        <v>125</v>
      </c>
      <c r="P107" s="5" t="s">
        <v>34</v>
      </c>
      <c r="Q107" s="145">
        <v>224</v>
      </c>
      <c r="R107" s="156">
        <v>1</v>
      </c>
      <c r="S107" s="159">
        <v>183600</v>
      </c>
      <c r="T107" s="143">
        <v>0.53600000000000003</v>
      </c>
      <c r="U107" s="145">
        <v>411.8</v>
      </c>
      <c r="V107" s="157">
        <v>5.0000000000000004E-6</v>
      </c>
      <c r="W107" s="157">
        <v>2.94494101911097E-2</v>
      </c>
      <c r="X107" s="157">
        <v>8.2077131151507294E-3</v>
      </c>
    </row>
    <row r="108" spans="1:24">
      <c r="A108" s="5">
        <v>337</v>
      </c>
      <c r="B108" s="5">
        <v>9962</v>
      </c>
      <c r="C108" s="189" t="s">
        <v>946</v>
      </c>
      <c r="D108" s="5" t="s">
        <v>947</v>
      </c>
      <c r="E108" s="189" t="s">
        <v>118</v>
      </c>
      <c r="F108" s="5" t="s">
        <v>948</v>
      </c>
      <c r="G108" s="5" t="s">
        <v>949</v>
      </c>
      <c r="H108" s="5" t="s">
        <v>121</v>
      </c>
      <c r="I108" s="5" t="s">
        <v>920</v>
      </c>
      <c r="J108" s="5" t="s">
        <v>30</v>
      </c>
      <c r="K108" s="38" t="s">
        <v>30</v>
      </c>
      <c r="L108" s="3" t="s">
        <v>123</v>
      </c>
      <c r="M108" s="3" t="s">
        <v>31</v>
      </c>
      <c r="N108" s="5" t="s">
        <v>139</v>
      </c>
      <c r="O108" s="5" t="s">
        <v>125</v>
      </c>
      <c r="P108" s="5" t="s">
        <v>34</v>
      </c>
      <c r="Q108" s="145">
        <v>1314</v>
      </c>
      <c r="R108" s="156">
        <v>1</v>
      </c>
      <c r="S108" s="159">
        <v>4725</v>
      </c>
      <c r="U108" s="145">
        <v>62.087000000000003</v>
      </c>
      <c r="V108" s="157">
        <v>2.0000000000000002E-5</v>
      </c>
      <c r="W108" s="157">
        <v>4.4400465299515596E-3</v>
      </c>
      <c r="X108" s="157">
        <v>1.2374654670253601E-3</v>
      </c>
    </row>
    <row r="109" spans="1:24">
      <c r="A109" s="5">
        <v>337</v>
      </c>
      <c r="B109" s="5">
        <v>9962</v>
      </c>
      <c r="C109" s="189" t="s">
        <v>219</v>
      </c>
      <c r="D109" s="5" t="s">
        <v>220</v>
      </c>
      <c r="E109" s="189" t="s">
        <v>118</v>
      </c>
      <c r="F109" s="5" t="s">
        <v>950</v>
      </c>
      <c r="G109" s="5" t="s">
        <v>951</v>
      </c>
      <c r="H109" s="5" t="s">
        <v>121</v>
      </c>
      <c r="I109" s="5" t="s">
        <v>920</v>
      </c>
      <c r="J109" s="5" t="s">
        <v>30</v>
      </c>
      <c r="K109" s="38" t="s">
        <v>30</v>
      </c>
      <c r="L109" s="3" t="s">
        <v>123</v>
      </c>
      <c r="M109" s="3" t="s">
        <v>31</v>
      </c>
      <c r="N109" s="5" t="s">
        <v>171</v>
      </c>
      <c r="O109" s="5" t="s">
        <v>125</v>
      </c>
      <c r="P109" s="5" t="s">
        <v>34</v>
      </c>
      <c r="Q109" s="145">
        <v>144</v>
      </c>
      <c r="R109" s="156">
        <v>1</v>
      </c>
      <c r="S109" s="159">
        <v>2500</v>
      </c>
      <c r="U109" s="145">
        <v>3.6</v>
      </c>
      <c r="V109" s="157">
        <v>0</v>
      </c>
      <c r="W109" s="157">
        <v>2.5744996912091398E-4</v>
      </c>
      <c r="X109" s="157">
        <v>7.1752726942109698E-5</v>
      </c>
    </row>
    <row r="110" spans="1:24">
      <c r="A110" s="5">
        <v>337</v>
      </c>
      <c r="B110" s="5">
        <v>9962</v>
      </c>
      <c r="C110" s="189" t="s">
        <v>224</v>
      </c>
      <c r="D110" s="5" t="s">
        <v>225</v>
      </c>
      <c r="E110" s="189" t="s">
        <v>118</v>
      </c>
      <c r="F110" s="5" t="s">
        <v>952</v>
      </c>
      <c r="G110" s="5" t="s">
        <v>953</v>
      </c>
      <c r="H110" s="5" t="s">
        <v>121</v>
      </c>
      <c r="I110" s="5" t="s">
        <v>920</v>
      </c>
      <c r="J110" s="5" t="s">
        <v>30</v>
      </c>
      <c r="K110" s="38" t="s">
        <v>80</v>
      </c>
      <c r="L110" s="3" t="s">
        <v>123</v>
      </c>
      <c r="M110" s="3" t="s">
        <v>31</v>
      </c>
      <c r="N110" s="5" t="s">
        <v>228</v>
      </c>
      <c r="O110" s="5" t="s">
        <v>125</v>
      </c>
      <c r="P110" s="5" t="s">
        <v>34</v>
      </c>
      <c r="Q110" s="145">
        <v>3244.7</v>
      </c>
      <c r="R110" s="156">
        <v>1</v>
      </c>
      <c r="S110" s="159">
        <v>14480</v>
      </c>
      <c r="U110" s="145">
        <v>469.83300000000003</v>
      </c>
      <c r="V110" s="157">
        <v>2.5000000000000001E-5</v>
      </c>
      <c r="W110" s="157">
        <v>3.3599549462222197E-2</v>
      </c>
      <c r="X110" s="157">
        <v>9.3643798294978792E-3</v>
      </c>
    </row>
    <row r="111" spans="1:24">
      <c r="A111" s="5">
        <v>337</v>
      </c>
      <c r="B111" s="5">
        <v>9962</v>
      </c>
      <c r="C111" s="189" t="s">
        <v>725</v>
      </c>
      <c r="D111" s="5" t="s">
        <v>726</v>
      </c>
      <c r="E111" s="189" t="s">
        <v>727</v>
      </c>
      <c r="F111" s="5" t="s">
        <v>954</v>
      </c>
      <c r="G111" s="5" t="s">
        <v>955</v>
      </c>
      <c r="H111" s="5" t="s">
        <v>121</v>
      </c>
      <c r="I111" s="5" t="s">
        <v>920</v>
      </c>
      <c r="J111" s="5" t="s">
        <v>30</v>
      </c>
      <c r="K111" s="38" t="s">
        <v>956</v>
      </c>
      <c r="L111" s="3" t="s">
        <v>123</v>
      </c>
      <c r="M111" s="3" t="s">
        <v>31</v>
      </c>
      <c r="N111" s="5" t="s">
        <v>377</v>
      </c>
      <c r="O111" s="5" t="s">
        <v>125</v>
      </c>
      <c r="P111" s="5" t="s">
        <v>34</v>
      </c>
      <c r="Q111" s="145">
        <v>2020</v>
      </c>
      <c r="R111" s="156">
        <v>1</v>
      </c>
      <c r="S111" s="159">
        <v>3960</v>
      </c>
      <c r="U111" s="145">
        <v>79.992000000000004</v>
      </c>
      <c r="V111" s="157">
        <v>1.1E-5</v>
      </c>
      <c r="W111" s="157">
        <v>5.7205383138667102E-3</v>
      </c>
      <c r="X111" s="157">
        <v>1.5943455926536801E-3</v>
      </c>
    </row>
    <row r="112" spans="1:24">
      <c r="A112" s="5">
        <v>337</v>
      </c>
      <c r="B112" s="5">
        <v>9962</v>
      </c>
      <c r="C112" s="189" t="s">
        <v>957</v>
      </c>
      <c r="D112" s="5" t="s">
        <v>958</v>
      </c>
      <c r="E112" s="189" t="s">
        <v>118</v>
      </c>
      <c r="F112" s="5" t="s">
        <v>959</v>
      </c>
      <c r="G112" s="5" t="s">
        <v>960</v>
      </c>
      <c r="H112" s="5" t="s">
        <v>121</v>
      </c>
      <c r="I112" s="5" t="s">
        <v>920</v>
      </c>
      <c r="J112" s="5" t="s">
        <v>30</v>
      </c>
      <c r="K112" s="38" t="s">
        <v>30</v>
      </c>
      <c r="L112" s="3" t="s">
        <v>123</v>
      </c>
      <c r="M112" s="3" t="s">
        <v>31</v>
      </c>
      <c r="N112" s="5" t="s">
        <v>124</v>
      </c>
      <c r="O112" s="5" t="s">
        <v>125</v>
      </c>
      <c r="P112" s="5" t="s">
        <v>34</v>
      </c>
      <c r="Q112" s="145">
        <v>66</v>
      </c>
      <c r="R112" s="156">
        <v>1</v>
      </c>
      <c r="S112" s="159">
        <v>27640</v>
      </c>
      <c r="U112" s="145">
        <v>18.242000000000001</v>
      </c>
      <c r="V112" s="157">
        <v>5.0000000000000004E-6</v>
      </c>
      <c r="W112" s="157">
        <v>1.3045848101920401E-3</v>
      </c>
      <c r="X112" s="157">
        <v>3.6359498499131699E-4</v>
      </c>
    </row>
    <row r="113" spans="1:24">
      <c r="A113" s="5">
        <v>337</v>
      </c>
      <c r="B113" s="5">
        <v>9962</v>
      </c>
      <c r="C113" s="189" t="s">
        <v>965</v>
      </c>
      <c r="D113" s="5" t="s">
        <v>966</v>
      </c>
      <c r="E113" s="189" t="s">
        <v>269</v>
      </c>
      <c r="F113" s="5" t="s">
        <v>965</v>
      </c>
      <c r="G113" s="5" t="s">
        <v>967</v>
      </c>
      <c r="H113" s="5" t="s">
        <v>121</v>
      </c>
      <c r="I113" s="5" t="s">
        <v>920</v>
      </c>
      <c r="J113" s="5" t="s">
        <v>30</v>
      </c>
      <c r="K113" s="38" t="s">
        <v>968</v>
      </c>
      <c r="L113" s="3" t="s">
        <v>123</v>
      </c>
      <c r="M113" s="3" t="s">
        <v>31</v>
      </c>
      <c r="N113" s="5" t="s">
        <v>139</v>
      </c>
      <c r="O113" s="5" t="s">
        <v>125</v>
      </c>
      <c r="P113" s="5" t="s">
        <v>34</v>
      </c>
      <c r="Q113" s="145">
        <v>1260</v>
      </c>
      <c r="R113" s="156">
        <v>1</v>
      </c>
      <c r="S113" s="159">
        <v>12990</v>
      </c>
      <c r="U113" s="145">
        <v>163.67400000000001</v>
      </c>
      <c r="V113" s="157">
        <v>5.8E-5</v>
      </c>
      <c r="W113" s="157">
        <v>1.17049628460824E-2</v>
      </c>
      <c r="X113" s="157">
        <v>3.2622377304230201E-3</v>
      </c>
    </row>
    <row r="114" spans="1:24">
      <c r="A114" s="5">
        <v>337</v>
      </c>
      <c r="B114" s="5">
        <v>9962</v>
      </c>
      <c r="C114" s="189" t="s">
        <v>292</v>
      </c>
      <c r="D114" s="5" t="s">
        <v>293</v>
      </c>
      <c r="E114" s="189" t="s">
        <v>118</v>
      </c>
      <c r="F114" s="5" t="s">
        <v>969</v>
      </c>
      <c r="G114" s="5" t="s">
        <v>970</v>
      </c>
      <c r="H114" s="5" t="s">
        <v>121</v>
      </c>
      <c r="I114" s="5" t="s">
        <v>920</v>
      </c>
      <c r="J114" s="5" t="s">
        <v>30</v>
      </c>
      <c r="K114" s="38" t="s">
        <v>30</v>
      </c>
      <c r="L114" s="3" t="s">
        <v>123</v>
      </c>
      <c r="M114" s="3" t="s">
        <v>31</v>
      </c>
      <c r="N114" s="5" t="s">
        <v>124</v>
      </c>
      <c r="O114" s="5" t="s">
        <v>125</v>
      </c>
      <c r="P114" s="5" t="s">
        <v>34</v>
      </c>
      <c r="Q114" s="145">
        <v>800</v>
      </c>
      <c r="R114" s="156">
        <v>1</v>
      </c>
      <c r="S114" s="159">
        <v>7015</v>
      </c>
      <c r="U114" s="145">
        <v>56.12</v>
      </c>
      <c r="V114" s="157">
        <v>6.9999999999999999E-6</v>
      </c>
      <c r="W114" s="157">
        <v>4.0133589630738003E-3</v>
      </c>
      <c r="X114" s="157">
        <v>1.1185452877753299E-3</v>
      </c>
    </row>
    <row r="115" spans="1:24">
      <c r="A115" s="5">
        <v>337</v>
      </c>
      <c r="B115" s="5">
        <v>9962</v>
      </c>
      <c r="C115" s="189" t="s">
        <v>297</v>
      </c>
      <c r="D115" s="5" t="s">
        <v>298</v>
      </c>
      <c r="E115" s="189" t="s">
        <v>118</v>
      </c>
      <c r="F115" s="5" t="s">
        <v>971</v>
      </c>
      <c r="G115" s="5" t="s">
        <v>972</v>
      </c>
      <c r="H115" s="5" t="s">
        <v>121</v>
      </c>
      <c r="I115" s="5" t="s">
        <v>920</v>
      </c>
      <c r="J115" s="5" t="s">
        <v>30</v>
      </c>
      <c r="K115" s="38" t="s">
        <v>30</v>
      </c>
      <c r="L115" s="3" t="s">
        <v>123</v>
      </c>
      <c r="M115" s="3" t="s">
        <v>31</v>
      </c>
      <c r="N115" s="5" t="s">
        <v>301</v>
      </c>
      <c r="O115" s="5" t="s">
        <v>125</v>
      </c>
      <c r="P115" s="5" t="s">
        <v>34</v>
      </c>
      <c r="Q115" s="145">
        <v>17365</v>
      </c>
      <c r="R115" s="156">
        <v>1</v>
      </c>
      <c r="S115" s="159">
        <v>709.9</v>
      </c>
      <c r="U115" s="145">
        <v>123.274</v>
      </c>
      <c r="V115" s="157">
        <v>6.0000000000000002E-6</v>
      </c>
      <c r="W115" s="157">
        <v>8.8158117358770501E-3</v>
      </c>
      <c r="X115" s="157">
        <v>2.4570153743554901E-3</v>
      </c>
    </row>
    <row r="116" spans="1:24">
      <c r="A116" s="5">
        <v>337</v>
      </c>
      <c r="B116" s="5">
        <v>9962</v>
      </c>
      <c r="C116" s="189" t="s">
        <v>303</v>
      </c>
      <c r="D116" s="5" t="s">
        <v>304</v>
      </c>
      <c r="E116" s="189" t="s">
        <v>118</v>
      </c>
      <c r="F116" s="5" t="s">
        <v>973</v>
      </c>
      <c r="G116" s="5" t="s">
        <v>974</v>
      </c>
      <c r="H116" s="5" t="s">
        <v>121</v>
      </c>
      <c r="I116" s="5" t="s">
        <v>920</v>
      </c>
      <c r="J116" s="5" t="s">
        <v>30</v>
      </c>
      <c r="K116" s="38" t="s">
        <v>30</v>
      </c>
      <c r="L116" s="3" t="s">
        <v>123</v>
      </c>
      <c r="M116" s="3" t="s">
        <v>31</v>
      </c>
      <c r="N116" s="5" t="s">
        <v>171</v>
      </c>
      <c r="O116" s="5" t="s">
        <v>125</v>
      </c>
      <c r="P116" s="5" t="s">
        <v>34</v>
      </c>
      <c r="Q116" s="145">
        <v>349</v>
      </c>
      <c r="R116" s="156">
        <v>1</v>
      </c>
      <c r="S116" s="159">
        <v>76490</v>
      </c>
      <c r="U116" s="145">
        <v>266.95</v>
      </c>
      <c r="V116" s="157">
        <v>1.4E-5</v>
      </c>
      <c r="W116" s="157">
        <v>1.90906375005069E-2</v>
      </c>
      <c r="X116" s="157">
        <v>5.32066600901913E-3</v>
      </c>
    </row>
    <row r="117" spans="1:24">
      <c r="A117" s="5">
        <v>337</v>
      </c>
      <c r="B117" s="5">
        <v>9962</v>
      </c>
      <c r="C117" s="189" t="s">
        <v>975</v>
      </c>
      <c r="D117" s="5" t="s">
        <v>976</v>
      </c>
      <c r="E117" s="189" t="s">
        <v>118</v>
      </c>
      <c r="F117" s="5" t="s">
        <v>977</v>
      </c>
      <c r="G117" s="5" t="s">
        <v>978</v>
      </c>
      <c r="H117" s="5" t="s">
        <v>121</v>
      </c>
      <c r="I117" s="5" t="s">
        <v>920</v>
      </c>
      <c r="J117" s="5" t="s">
        <v>30</v>
      </c>
      <c r="K117" s="38" t="s">
        <v>30</v>
      </c>
      <c r="L117" s="3" t="s">
        <v>123</v>
      </c>
      <c r="M117" s="3" t="s">
        <v>31</v>
      </c>
      <c r="N117" s="5" t="s">
        <v>316</v>
      </c>
      <c r="O117" s="5" t="s">
        <v>125</v>
      </c>
      <c r="P117" s="5" t="s">
        <v>34</v>
      </c>
      <c r="Q117" s="145">
        <v>661</v>
      </c>
      <c r="R117" s="156">
        <v>1</v>
      </c>
      <c r="S117" s="159">
        <v>25050</v>
      </c>
      <c r="U117" s="145">
        <v>165.58099999999999</v>
      </c>
      <c r="V117" s="157">
        <v>6.9999999999999999E-6</v>
      </c>
      <c r="W117" s="157">
        <v>1.1841304058896E-2</v>
      </c>
      <c r="X117" s="157">
        <v>3.3002367787327799E-3</v>
      </c>
    </row>
    <row r="118" spans="1:24">
      <c r="A118" s="5">
        <v>337</v>
      </c>
      <c r="B118" s="5">
        <v>9962</v>
      </c>
      <c r="C118" s="189" t="s">
        <v>979</v>
      </c>
      <c r="D118" s="5" t="s">
        <v>980</v>
      </c>
      <c r="E118" s="189" t="s">
        <v>118</v>
      </c>
      <c r="F118" s="5" t="s">
        <v>981</v>
      </c>
      <c r="G118" s="5" t="s">
        <v>982</v>
      </c>
      <c r="H118" s="5" t="s">
        <v>121</v>
      </c>
      <c r="I118" s="5" t="s">
        <v>920</v>
      </c>
      <c r="J118" s="5" t="s">
        <v>30</v>
      </c>
      <c r="K118" s="38" t="s">
        <v>30</v>
      </c>
      <c r="L118" s="3" t="s">
        <v>123</v>
      </c>
      <c r="M118" s="3" t="s">
        <v>31</v>
      </c>
      <c r="N118" s="5" t="s">
        <v>171</v>
      </c>
      <c r="O118" s="5" t="s">
        <v>125</v>
      </c>
      <c r="P118" s="5" t="s">
        <v>34</v>
      </c>
      <c r="Q118" s="145">
        <v>1499</v>
      </c>
      <c r="R118" s="156">
        <v>1</v>
      </c>
      <c r="S118" s="159">
        <v>1440</v>
      </c>
      <c r="U118" s="145">
        <v>21.585999999999999</v>
      </c>
      <c r="V118" s="157">
        <v>2.0999999999999999E-5</v>
      </c>
      <c r="W118" s="157">
        <v>1.5436700148490001E-3</v>
      </c>
      <c r="X118" s="157">
        <v>4.3022935074489002E-4</v>
      </c>
    </row>
    <row r="119" spans="1:24">
      <c r="A119" s="5">
        <v>337</v>
      </c>
      <c r="B119" s="5">
        <v>9962</v>
      </c>
      <c r="C119" s="189" t="s">
        <v>983</v>
      </c>
      <c r="D119" s="5" t="s">
        <v>984</v>
      </c>
      <c r="E119" s="189" t="s">
        <v>118</v>
      </c>
      <c r="F119" s="5" t="s">
        <v>985</v>
      </c>
      <c r="G119" s="5" t="s">
        <v>986</v>
      </c>
      <c r="H119" s="5" t="s">
        <v>121</v>
      </c>
      <c r="I119" s="5" t="s">
        <v>920</v>
      </c>
      <c r="J119" s="5" t="s">
        <v>30</v>
      </c>
      <c r="K119" s="38" t="s">
        <v>30</v>
      </c>
      <c r="L119" s="3" t="s">
        <v>123</v>
      </c>
      <c r="M119" s="3" t="s">
        <v>31</v>
      </c>
      <c r="N119" s="5" t="s">
        <v>724</v>
      </c>
      <c r="O119" s="5" t="s">
        <v>125</v>
      </c>
      <c r="P119" s="5" t="s">
        <v>34</v>
      </c>
      <c r="Q119" s="145">
        <v>612</v>
      </c>
      <c r="R119" s="156">
        <v>1</v>
      </c>
      <c r="S119" s="159">
        <v>75000</v>
      </c>
      <c r="U119" s="145">
        <v>459</v>
      </c>
      <c r="V119" s="157">
        <v>6.7000000000000002E-5</v>
      </c>
      <c r="W119" s="157">
        <v>3.2824871062916497E-2</v>
      </c>
      <c r="X119" s="157">
        <v>9.1484726851189906E-3</v>
      </c>
    </row>
    <row r="120" spans="1:24">
      <c r="A120" s="5">
        <v>337</v>
      </c>
      <c r="B120" s="5">
        <v>9962</v>
      </c>
      <c r="C120" s="189" t="s">
        <v>987</v>
      </c>
      <c r="D120" s="5" t="s">
        <v>988</v>
      </c>
      <c r="E120" s="189" t="s">
        <v>118</v>
      </c>
      <c r="F120" s="5" t="s">
        <v>989</v>
      </c>
      <c r="G120" s="5" t="s">
        <v>990</v>
      </c>
      <c r="H120" s="5" t="s">
        <v>121</v>
      </c>
      <c r="I120" s="5" t="s">
        <v>920</v>
      </c>
      <c r="J120" s="5" t="s">
        <v>30</v>
      </c>
      <c r="K120" s="38" t="s">
        <v>30</v>
      </c>
      <c r="L120" s="3" t="s">
        <v>123</v>
      </c>
      <c r="M120" s="3" t="s">
        <v>31</v>
      </c>
      <c r="N120" s="5" t="s">
        <v>228</v>
      </c>
      <c r="O120" s="5" t="s">
        <v>125</v>
      </c>
      <c r="P120" s="5" t="s">
        <v>34</v>
      </c>
      <c r="Q120" s="145">
        <v>2221</v>
      </c>
      <c r="R120" s="156">
        <v>1</v>
      </c>
      <c r="S120" s="159">
        <v>3663</v>
      </c>
      <c r="U120" s="145">
        <v>81.355000000000004</v>
      </c>
      <c r="V120" s="157">
        <v>1.1E-5</v>
      </c>
      <c r="W120" s="157">
        <v>5.8180281809235698E-3</v>
      </c>
      <c r="X120" s="157">
        <v>1.6215165565284799E-3</v>
      </c>
    </row>
    <row r="121" spans="1:24">
      <c r="A121" s="5">
        <v>337</v>
      </c>
      <c r="B121" s="5">
        <v>9962</v>
      </c>
      <c r="C121" s="189" t="s">
        <v>991</v>
      </c>
      <c r="D121" s="5" t="s">
        <v>992</v>
      </c>
      <c r="E121" s="189" t="s">
        <v>118</v>
      </c>
      <c r="F121" s="5" t="s">
        <v>993</v>
      </c>
      <c r="G121" s="5" t="s">
        <v>994</v>
      </c>
      <c r="H121" s="5" t="s">
        <v>121</v>
      </c>
      <c r="I121" s="5" t="s">
        <v>920</v>
      </c>
      <c r="J121" s="5" t="s">
        <v>30</v>
      </c>
      <c r="K121" s="38" t="s">
        <v>30</v>
      </c>
      <c r="L121" s="3" t="s">
        <v>123</v>
      </c>
      <c r="M121" s="3" t="s">
        <v>31</v>
      </c>
      <c r="N121" s="5" t="s">
        <v>316</v>
      </c>
      <c r="O121" s="5" t="s">
        <v>125</v>
      </c>
      <c r="P121" s="5" t="s">
        <v>34</v>
      </c>
      <c r="Q121" s="145">
        <v>4376</v>
      </c>
      <c r="R121" s="156">
        <v>1</v>
      </c>
      <c r="S121" s="159">
        <v>3382</v>
      </c>
      <c r="U121" s="145">
        <v>147.99600000000001</v>
      </c>
      <c r="V121" s="157">
        <v>3.9999999999999998E-6</v>
      </c>
      <c r="W121" s="157">
        <v>1.0583791115002499E-2</v>
      </c>
      <c r="X121" s="157">
        <v>2.9497609826103E-3</v>
      </c>
    </row>
    <row r="122" spans="1:24">
      <c r="A122" s="5">
        <v>337</v>
      </c>
      <c r="B122" s="5">
        <v>9962</v>
      </c>
      <c r="C122" s="189" t="s">
        <v>999</v>
      </c>
      <c r="D122" s="5" t="s">
        <v>1000</v>
      </c>
      <c r="E122" s="189" t="s">
        <v>118</v>
      </c>
      <c r="F122" s="5" t="s">
        <v>1001</v>
      </c>
      <c r="G122" s="5" t="s">
        <v>1002</v>
      </c>
      <c r="H122" s="5" t="s">
        <v>121</v>
      </c>
      <c r="I122" s="5" t="s">
        <v>920</v>
      </c>
      <c r="J122" s="5" t="s">
        <v>30</v>
      </c>
      <c r="K122" s="38" t="s">
        <v>30</v>
      </c>
      <c r="L122" s="3" t="s">
        <v>123</v>
      </c>
      <c r="M122" s="3" t="s">
        <v>31</v>
      </c>
      <c r="N122" s="5" t="s">
        <v>421</v>
      </c>
      <c r="O122" s="5" t="s">
        <v>125</v>
      </c>
      <c r="P122" s="5" t="s">
        <v>34</v>
      </c>
      <c r="Q122" s="145">
        <v>2060</v>
      </c>
      <c r="R122" s="156">
        <v>1</v>
      </c>
      <c r="S122" s="159">
        <v>11980</v>
      </c>
      <c r="U122" s="145">
        <v>246.78800000000001</v>
      </c>
      <c r="V122" s="157">
        <v>8.2000000000000001E-5</v>
      </c>
      <c r="W122" s="157">
        <v>1.7648767494281101E-2</v>
      </c>
      <c r="X122" s="157">
        <v>4.9188088823859397E-3</v>
      </c>
    </row>
    <row r="123" spans="1:24">
      <c r="A123" s="5">
        <v>337</v>
      </c>
      <c r="B123" s="5">
        <v>9962</v>
      </c>
      <c r="C123" s="189" t="s">
        <v>1003</v>
      </c>
      <c r="D123" s="5" t="s">
        <v>1004</v>
      </c>
      <c r="E123" s="189" t="s">
        <v>118</v>
      </c>
      <c r="F123" s="5" t="s">
        <v>1005</v>
      </c>
      <c r="G123" s="5" t="s">
        <v>1006</v>
      </c>
      <c r="H123" s="5" t="s">
        <v>121</v>
      </c>
      <c r="I123" s="5" t="s">
        <v>920</v>
      </c>
      <c r="J123" s="5" t="s">
        <v>30</v>
      </c>
      <c r="K123" s="38" t="s">
        <v>30</v>
      </c>
      <c r="L123" s="3" t="s">
        <v>123</v>
      </c>
      <c r="M123" s="3" t="s">
        <v>31</v>
      </c>
      <c r="N123" s="5" t="s">
        <v>1007</v>
      </c>
      <c r="O123" s="5" t="s">
        <v>125</v>
      </c>
      <c r="P123" s="5" t="s">
        <v>34</v>
      </c>
      <c r="Q123" s="145">
        <v>2596</v>
      </c>
      <c r="R123" s="156">
        <v>1</v>
      </c>
      <c r="S123" s="159">
        <v>9490</v>
      </c>
      <c r="U123" s="145">
        <v>246.36</v>
      </c>
      <c r="V123" s="157">
        <v>2.4000000000000001E-5</v>
      </c>
      <c r="W123" s="157">
        <v>1.7618188159060001E-2</v>
      </c>
      <c r="X123" s="157">
        <v>4.9102862529302599E-3</v>
      </c>
    </row>
    <row r="124" spans="1:24">
      <c r="A124" s="5">
        <v>337</v>
      </c>
      <c r="B124" s="5">
        <v>9962</v>
      </c>
      <c r="C124" s="189" t="s">
        <v>1008</v>
      </c>
      <c r="D124" s="5" t="s">
        <v>1009</v>
      </c>
      <c r="E124" s="189" t="s">
        <v>118</v>
      </c>
      <c r="F124" s="5" t="s">
        <v>1010</v>
      </c>
      <c r="G124" s="5" t="s">
        <v>1011</v>
      </c>
      <c r="H124" s="5" t="s">
        <v>121</v>
      </c>
      <c r="I124" s="5" t="s">
        <v>920</v>
      </c>
      <c r="J124" s="5" t="s">
        <v>30</v>
      </c>
      <c r="K124" s="38" t="s">
        <v>30</v>
      </c>
      <c r="L124" s="3" t="s">
        <v>123</v>
      </c>
      <c r="M124" s="3" t="s">
        <v>31</v>
      </c>
      <c r="N124" s="5" t="s">
        <v>184</v>
      </c>
      <c r="O124" s="5" t="s">
        <v>125</v>
      </c>
      <c r="P124" s="5" t="s">
        <v>34</v>
      </c>
      <c r="Q124" s="145">
        <v>15342</v>
      </c>
      <c r="R124" s="156">
        <v>1</v>
      </c>
      <c r="S124" s="159">
        <v>673.8</v>
      </c>
      <c r="T124" s="143">
        <v>1.661</v>
      </c>
      <c r="U124" s="145">
        <v>105.036</v>
      </c>
      <c r="V124" s="157">
        <v>1.5100000000000001E-4</v>
      </c>
      <c r="W124" s="157">
        <v>7.5115080467485097E-3</v>
      </c>
      <c r="X124" s="157">
        <v>2.0934987393557299E-3</v>
      </c>
    </row>
    <row r="125" spans="1:24">
      <c r="A125" s="5">
        <v>337</v>
      </c>
      <c r="B125" s="5">
        <v>9962</v>
      </c>
      <c r="C125" s="189" t="s">
        <v>1012</v>
      </c>
      <c r="D125" s="5" t="s">
        <v>1013</v>
      </c>
      <c r="E125" s="189" t="s">
        <v>118</v>
      </c>
      <c r="F125" s="5" t="s">
        <v>1014</v>
      </c>
      <c r="G125" s="5" t="s">
        <v>1015</v>
      </c>
      <c r="H125" s="5" t="s">
        <v>121</v>
      </c>
      <c r="I125" s="5" t="s">
        <v>920</v>
      </c>
      <c r="J125" s="5" t="s">
        <v>30</v>
      </c>
      <c r="K125" s="38" t="s">
        <v>30</v>
      </c>
      <c r="L125" s="3" t="s">
        <v>123</v>
      </c>
      <c r="M125" s="3" t="s">
        <v>31</v>
      </c>
      <c r="N125" s="5" t="s">
        <v>124</v>
      </c>
      <c r="O125" s="5" t="s">
        <v>125</v>
      </c>
      <c r="P125" s="5" t="s">
        <v>34</v>
      </c>
      <c r="Q125" s="145">
        <v>7000</v>
      </c>
      <c r="R125" s="156">
        <v>1</v>
      </c>
      <c r="S125" s="159">
        <v>1104</v>
      </c>
      <c r="U125" s="145">
        <v>77.28</v>
      </c>
      <c r="V125" s="157">
        <v>8.0000000000000007E-5</v>
      </c>
      <c r="W125" s="157">
        <v>5.5265926704622902E-3</v>
      </c>
      <c r="X125" s="157">
        <v>1.5402918716906199E-3</v>
      </c>
    </row>
    <row r="126" spans="1:24">
      <c r="A126" s="5">
        <v>337</v>
      </c>
      <c r="B126" s="5">
        <v>9962</v>
      </c>
      <c r="C126" s="189" t="s">
        <v>784</v>
      </c>
      <c r="D126" s="5" t="s">
        <v>785</v>
      </c>
      <c r="E126" s="189" t="s">
        <v>118</v>
      </c>
      <c r="F126" s="5" t="s">
        <v>1016</v>
      </c>
      <c r="G126" s="5" t="s">
        <v>1017</v>
      </c>
      <c r="H126" s="5" t="s">
        <v>121</v>
      </c>
      <c r="I126" s="5" t="s">
        <v>920</v>
      </c>
      <c r="J126" s="5" t="s">
        <v>30</v>
      </c>
      <c r="K126" s="38" t="s">
        <v>30</v>
      </c>
      <c r="L126" s="3" t="s">
        <v>123</v>
      </c>
      <c r="M126" s="3" t="s">
        <v>31</v>
      </c>
      <c r="N126" s="5" t="s">
        <v>159</v>
      </c>
      <c r="O126" s="5" t="s">
        <v>125</v>
      </c>
      <c r="P126" s="5" t="s">
        <v>34</v>
      </c>
      <c r="Q126" s="145">
        <v>3394</v>
      </c>
      <c r="R126" s="156">
        <v>1</v>
      </c>
      <c r="S126" s="159">
        <v>13180</v>
      </c>
      <c r="U126" s="145">
        <v>447.32900000000001</v>
      </c>
      <c r="V126" s="157">
        <v>1.2999999999999999E-5</v>
      </c>
      <c r="W126" s="157">
        <v>3.1990246868578702E-2</v>
      </c>
      <c r="X126" s="157">
        <v>8.9158583168978799E-3</v>
      </c>
    </row>
    <row r="127" spans="1:24">
      <c r="A127" s="5">
        <v>337</v>
      </c>
      <c r="B127" s="5">
        <v>9962</v>
      </c>
      <c r="C127" s="189" t="s">
        <v>1018</v>
      </c>
      <c r="D127" s="5" t="s">
        <v>1019</v>
      </c>
      <c r="E127" s="189" t="s">
        <v>118</v>
      </c>
      <c r="F127" s="5" t="s">
        <v>1020</v>
      </c>
      <c r="G127" s="5" t="s">
        <v>1021</v>
      </c>
      <c r="H127" s="5" t="s">
        <v>121</v>
      </c>
      <c r="I127" s="5" t="s">
        <v>920</v>
      </c>
      <c r="J127" s="5" t="s">
        <v>30</v>
      </c>
      <c r="K127" s="38" t="s">
        <v>30</v>
      </c>
      <c r="L127" s="3" t="s">
        <v>123</v>
      </c>
      <c r="M127" s="3" t="s">
        <v>31</v>
      </c>
      <c r="N127" s="5" t="s">
        <v>159</v>
      </c>
      <c r="O127" s="5" t="s">
        <v>125</v>
      </c>
      <c r="P127" s="5" t="s">
        <v>34</v>
      </c>
      <c r="Q127" s="145">
        <v>1437</v>
      </c>
      <c r="R127" s="156">
        <v>1</v>
      </c>
      <c r="S127" s="159">
        <v>12430</v>
      </c>
      <c r="U127" s="145">
        <v>178.619</v>
      </c>
      <c r="V127" s="157">
        <v>6.0000000000000002E-6</v>
      </c>
      <c r="W127" s="157">
        <v>1.27737449387237E-2</v>
      </c>
      <c r="X127" s="157">
        <v>3.5601131969292699E-3</v>
      </c>
    </row>
    <row r="128" spans="1:24">
      <c r="A128" s="5">
        <v>337</v>
      </c>
      <c r="B128" s="5">
        <v>9962</v>
      </c>
      <c r="C128" s="189" t="s">
        <v>1022</v>
      </c>
      <c r="D128" s="5" t="s">
        <v>1023</v>
      </c>
      <c r="E128" s="189" t="s">
        <v>118</v>
      </c>
      <c r="F128" s="5" t="s">
        <v>1024</v>
      </c>
      <c r="G128" s="5" t="s">
        <v>1025</v>
      </c>
      <c r="H128" s="5" t="s">
        <v>121</v>
      </c>
      <c r="I128" s="5" t="s">
        <v>920</v>
      </c>
      <c r="J128" s="5" t="s">
        <v>30</v>
      </c>
      <c r="K128" s="38" t="s">
        <v>30</v>
      </c>
      <c r="L128" s="3" t="s">
        <v>123</v>
      </c>
      <c r="M128" s="3" t="s">
        <v>31</v>
      </c>
      <c r="N128" s="5" t="s">
        <v>662</v>
      </c>
      <c r="O128" s="5" t="s">
        <v>125</v>
      </c>
      <c r="P128" s="5" t="s">
        <v>34</v>
      </c>
      <c r="Q128" s="145">
        <v>485</v>
      </c>
      <c r="R128" s="156">
        <v>1</v>
      </c>
      <c r="S128" s="159">
        <v>8801</v>
      </c>
      <c r="U128" s="145">
        <v>42.685000000000002</v>
      </c>
      <c r="V128" s="157">
        <v>6.9999999999999999E-6</v>
      </c>
      <c r="W128" s="157">
        <v>3.0525592540085701E-3</v>
      </c>
      <c r="X128" s="157">
        <v>8.5076510739303095E-4</v>
      </c>
    </row>
    <row r="129" spans="1:24">
      <c r="A129" s="5">
        <v>337</v>
      </c>
      <c r="B129" s="5">
        <v>9962</v>
      </c>
      <c r="C129" s="189" t="s">
        <v>1269</v>
      </c>
      <c r="D129" s="5" t="s">
        <v>1270</v>
      </c>
      <c r="E129" s="189" t="s">
        <v>118</v>
      </c>
      <c r="F129" s="5" t="s">
        <v>1271</v>
      </c>
      <c r="G129" s="5" t="s">
        <v>1272</v>
      </c>
      <c r="H129" s="5" t="s">
        <v>121</v>
      </c>
      <c r="I129" s="5" t="s">
        <v>920</v>
      </c>
      <c r="J129" s="5" t="s">
        <v>30</v>
      </c>
      <c r="K129" s="38" t="s">
        <v>30</v>
      </c>
      <c r="L129" s="3" t="s">
        <v>123</v>
      </c>
      <c r="M129" s="3" t="s">
        <v>31</v>
      </c>
      <c r="N129" s="5" t="s">
        <v>144</v>
      </c>
      <c r="O129" s="5" t="s">
        <v>125</v>
      </c>
      <c r="P129" s="5" t="s">
        <v>34</v>
      </c>
      <c r="Q129" s="145">
        <v>82</v>
      </c>
      <c r="R129" s="156">
        <v>1</v>
      </c>
      <c r="S129" s="159">
        <v>92000</v>
      </c>
      <c r="U129" s="145">
        <v>75.44</v>
      </c>
      <c r="V129" s="157">
        <v>1.1E-5</v>
      </c>
      <c r="W129" s="157">
        <v>5.3950071306893797E-3</v>
      </c>
      <c r="X129" s="157">
        <v>1.5036182556979901E-3</v>
      </c>
    </row>
    <row r="130" spans="1:24">
      <c r="A130" s="5">
        <v>337</v>
      </c>
      <c r="B130" s="5">
        <v>9962</v>
      </c>
      <c r="C130" s="189" t="s">
        <v>791</v>
      </c>
      <c r="D130" s="5" t="s">
        <v>792</v>
      </c>
      <c r="E130" s="189" t="s">
        <v>118</v>
      </c>
      <c r="F130" s="5" t="s">
        <v>1026</v>
      </c>
      <c r="G130" s="5" t="s">
        <v>1027</v>
      </c>
      <c r="H130" s="5" t="s">
        <v>121</v>
      </c>
      <c r="I130" s="5" t="s">
        <v>920</v>
      </c>
      <c r="J130" s="5" t="s">
        <v>30</v>
      </c>
      <c r="K130" s="38" t="s">
        <v>30</v>
      </c>
      <c r="L130" s="3" t="s">
        <v>123</v>
      </c>
      <c r="M130" s="3" t="s">
        <v>31</v>
      </c>
      <c r="N130" s="5" t="s">
        <v>124</v>
      </c>
      <c r="O130" s="5" t="s">
        <v>125</v>
      </c>
      <c r="P130" s="5" t="s">
        <v>34</v>
      </c>
      <c r="Q130" s="145">
        <v>2503</v>
      </c>
      <c r="R130" s="156">
        <v>1</v>
      </c>
      <c r="S130" s="159">
        <v>2216</v>
      </c>
      <c r="U130" s="145">
        <v>55.466000000000001</v>
      </c>
      <c r="V130" s="157">
        <v>4.0000000000000003E-5</v>
      </c>
      <c r="W130" s="157">
        <v>3.9666232120127197E-3</v>
      </c>
      <c r="X130" s="157">
        <v>1.1055197760777701E-3</v>
      </c>
    </row>
    <row r="131" spans="1:24">
      <c r="A131" s="5">
        <v>337</v>
      </c>
      <c r="B131" s="5">
        <v>9962</v>
      </c>
      <c r="C131" s="189" t="s">
        <v>1028</v>
      </c>
      <c r="D131" s="5" t="s">
        <v>1029</v>
      </c>
      <c r="E131" s="189" t="s">
        <v>118</v>
      </c>
      <c r="F131" s="5" t="s">
        <v>1030</v>
      </c>
      <c r="G131" s="5" t="s">
        <v>1031</v>
      </c>
      <c r="H131" s="5" t="s">
        <v>121</v>
      </c>
      <c r="I131" s="5" t="s">
        <v>920</v>
      </c>
      <c r="J131" s="5" t="s">
        <v>30</v>
      </c>
      <c r="K131" s="38" t="s">
        <v>30</v>
      </c>
      <c r="L131" s="3" t="s">
        <v>123</v>
      </c>
      <c r="M131" s="3" t="s">
        <v>31</v>
      </c>
      <c r="N131" s="5" t="s">
        <v>662</v>
      </c>
      <c r="O131" s="5" t="s">
        <v>125</v>
      </c>
      <c r="P131" s="5" t="s">
        <v>34</v>
      </c>
      <c r="Q131" s="145">
        <v>144</v>
      </c>
      <c r="R131" s="156">
        <v>1</v>
      </c>
      <c r="S131" s="159">
        <v>26390</v>
      </c>
      <c r="U131" s="145">
        <v>38.002000000000002</v>
      </c>
      <c r="V131" s="157">
        <v>6.0000000000000002E-6</v>
      </c>
      <c r="W131" s="157">
        <v>2.7176418740403698E-3</v>
      </c>
      <c r="X131" s="157">
        <v>7.5742178560091005E-4</v>
      </c>
    </row>
    <row r="132" spans="1:24">
      <c r="A132" s="5">
        <v>337</v>
      </c>
      <c r="B132" s="5">
        <v>9962</v>
      </c>
      <c r="C132" s="189" t="s">
        <v>1032</v>
      </c>
      <c r="D132" s="5" t="s">
        <v>1033</v>
      </c>
      <c r="E132" s="189" t="s">
        <v>118</v>
      </c>
      <c r="F132" s="5" t="s">
        <v>1034</v>
      </c>
      <c r="G132" s="5" t="s">
        <v>1035</v>
      </c>
      <c r="H132" s="5" t="s">
        <v>121</v>
      </c>
      <c r="I132" s="5" t="s">
        <v>920</v>
      </c>
      <c r="J132" s="5" t="s">
        <v>30</v>
      </c>
      <c r="K132" s="38" t="s">
        <v>30</v>
      </c>
      <c r="L132" s="3" t="s">
        <v>123</v>
      </c>
      <c r="M132" s="3" t="s">
        <v>31</v>
      </c>
      <c r="N132" s="5" t="s">
        <v>724</v>
      </c>
      <c r="O132" s="5" t="s">
        <v>125</v>
      </c>
      <c r="P132" s="5" t="s">
        <v>34</v>
      </c>
      <c r="Q132" s="145">
        <v>1370</v>
      </c>
      <c r="R132" s="156">
        <v>1</v>
      </c>
      <c r="S132" s="159">
        <v>1738</v>
      </c>
      <c r="U132" s="145">
        <v>23.811</v>
      </c>
      <c r="V132" s="157">
        <v>3.6999999999999998E-5</v>
      </c>
      <c r="W132" s="157">
        <v>1.7027883985417901E-3</v>
      </c>
      <c r="X132" s="157">
        <v>4.74576522257721E-4</v>
      </c>
    </row>
    <row r="133" spans="1:24">
      <c r="A133" s="5">
        <v>337</v>
      </c>
      <c r="B133" s="5">
        <v>9962</v>
      </c>
      <c r="C133" s="189" t="s">
        <v>1036</v>
      </c>
      <c r="D133" s="5" t="s">
        <v>1037</v>
      </c>
      <c r="E133" s="189" t="s">
        <v>118</v>
      </c>
      <c r="F133" s="5" t="s">
        <v>1038</v>
      </c>
      <c r="G133" s="5" t="s">
        <v>1039</v>
      </c>
      <c r="H133" s="5" t="s">
        <v>121</v>
      </c>
      <c r="I133" s="5" t="s">
        <v>920</v>
      </c>
      <c r="J133" s="5" t="s">
        <v>30</v>
      </c>
      <c r="K133" s="38" t="s">
        <v>138</v>
      </c>
      <c r="L133" s="3" t="s">
        <v>123</v>
      </c>
      <c r="M133" s="3" t="s">
        <v>31</v>
      </c>
      <c r="N133" s="5" t="s">
        <v>1040</v>
      </c>
      <c r="O133" s="5" t="s">
        <v>125</v>
      </c>
      <c r="P133" s="5" t="s">
        <v>34</v>
      </c>
      <c r="Q133" s="145">
        <v>500</v>
      </c>
      <c r="R133" s="156">
        <v>1</v>
      </c>
      <c r="S133" s="159">
        <v>37300</v>
      </c>
      <c r="U133" s="145">
        <v>186.5</v>
      </c>
      <c r="V133" s="157">
        <v>3.9999999999999998E-6</v>
      </c>
      <c r="W133" s="157">
        <v>1.3337338678069599E-2</v>
      </c>
      <c r="X133" s="157">
        <v>3.71718988186207E-3</v>
      </c>
    </row>
    <row r="134" spans="1:24">
      <c r="A134" s="5">
        <v>337</v>
      </c>
      <c r="B134" s="5">
        <v>9962</v>
      </c>
      <c r="C134" s="189" t="s">
        <v>750</v>
      </c>
      <c r="D134" s="5" t="s">
        <v>751</v>
      </c>
      <c r="E134" s="189" t="s">
        <v>118</v>
      </c>
      <c r="F134" s="5" t="s">
        <v>1041</v>
      </c>
      <c r="G134" s="5" t="s">
        <v>1042</v>
      </c>
      <c r="H134" s="5" t="s">
        <v>121</v>
      </c>
      <c r="I134" s="5" t="s">
        <v>920</v>
      </c>
      <c r="J134" s="5" t="s">
        <v>30</v>
      </c>
      <c r="K134" s="38" t="s">
        <v>80</v>
      </c>
      <c r="L134" s="3" t="s">
        <v>123</v>
      </c>
      <c r="M134" s="3" t="s">
        <v>31</v>
      </c>
      <c r="N134" s="5" t="s">
        <v>754</v>
      </c>
      <c r="O134" s="5" t="s">
        <v>125</v>
      </c>
      <c r="P134" s="5" t="s">
        <v>34</v>
      </c>
      <c r="Q134" s="145">
        <v>7587</v>
      </c>
      <c r="R134" s="156">
        <v>1</v>
      </c>
      <c r="S134" s="159">
        <v>10090</v>
      </c>
      <c r="U134" s="145">
        <v>765.52800000000002</v>
      </c>
      <c r="V134" s="157">
        <v>6.0000000000000002E-6</v>
      </c>
      <c r="W134" s="157">
        <v>5.47458992211627E-2</v>
      </c>
      <c r="X134" s="157">
        <v>1.52579841878771E-2</v>
      </c>
    </row>
    <row r="135" spans="1:24">
      <c r="A135" s="5">
        <v>337</v>
      </c>
      <c r="B135" s="5">
        <v>9962</v>
      </c>
      <c r="C135" s="189" t="s">
        <v>1043</v>
      </c>
      <c r="D135" s="5" t="s">
        <v>1044</v>
      </c>
      <c r="E135" s="189" t="s">
        <v>118</v>
      </c>
      <c r="F135" s="5" t="s">
        <v>1045</v>
      </c>
      <c r="G135" s="5" t="s">
        <v>1046</v>
      </c>
      <c r="H135" s="5" t="s">
        <v>121</v>
      </c>
      <c r="I135" s="5" t="s">
        <v>920</v>
      </c>
      <c r="J135" s="5" t="s">
        <v>30</v>
      </c>
      <c r="K135" s="38" t="s">
        <v>30</v>
      </c>
      <c r="L135" s="3" t="s">
        <v>123</v>
      </c>
      <c r="M135" s="3" t="s">
        <v>31</v>
      </c>
      <c r="N135" s="5" t="s">
        <v>421</v>
      </c>
      <c r="O135" s="5" t="s">
        <v>125</v>
      </c>
      <c r="P135" s="5" t="s">
        <v>34</v>
      </c>
      <c r="Q135" s="145">
        <v>4467</v>
      </c>
      <c r="R135" s="156">
        <v>1</v>
      </c>
      <c r="S135" s="159">
        <v>1101</v>
      </c>
      <c r="U135" s="145">
        <v>49.182000000000002</v>
      </c>
      <c r="V135" s="157">
        <v>4.1E-5</v>
      </c>
      <c r="W135" s="157">
        <v>3.51717206189305E-3</v>
      </c>
      <c r="X135" s="157">
        <v>9.8025526057415207E-4</v>
      </c>
    </row>
    <row r="136" spans="1:24">
      <c r="A136" s="5">
        <v>337</v>
      </c>
      <c r="B136" s="5">
        <v>9962</v>
      </c>
      <c r="C136" s="189" t="s">
        <v>1047</v>
      </c>
      <c r="D136" s="5" t="s">
        <v>1048</v>
      </c>
      <c r="E136" s="189" t="s">
        <v>118</v>
      </c>
      <c r="F136" s="5" t="s">
        <v>1049</v>
      </c>
      <c r="G136" s="5" t="s">
        <v>1050</v>
      </c>
      <c r="H136" s="5" t="s">
        <v>121</v>
      </c>
      <c r="I136" s="5" t="s">
        <v>920</v>
      </c>
      <c r="J136" s="5" t="s">
        <v>30</v>
      </c>
      <c r="K136" s="38" t="s">
        <v>30</v>
      </c>
      <c r="L136" s="3" t="s">
        <v>123</v>
      </c>
      <c r="M136" s="3" t="s">
        <v>31</v>
      </c>
      <c r="N136" s="5" t="s">
        <v>1007</v>
      </c>
      <c r="O136" s="5" t="s">
        <v>125</v>
      </c>
      <c r="P136" s="5" t="s">
        <v>34</v>
      </c>
      <c r="Q136" s="145">
        <v>4287</v>
      </c>
      <c r="R136" s="156">
        <v>1</v>
      </c>
      <c r="S136" s="159">
        <v>1560</v>
      </c>
      <c r="U136" s="145">
        <v>66.876999999999995</v>
      </c>
      <c r="V136" s="157">
        <v>1.2999999999999999E-5</v>
      </c>
      <c r="W136" s="157">
        <v>4.7826480763592197E-3</v>
      </c>
      <c r="X136" s="157">
        <v>1.3329504084035699E-3</v>
      </c>
    </row>
    <row r="137" spans="1:24">
      <c r="A137" s="5">
        <v>337</v>
      </c>
      <c r="B137" s="5">
        <v>9962</v>
      </c>
      <c r="C137" s="189" t="s">
        <v>437</v>
      </c>
      <c r="D137" s="5" t="s">
        <v>438</v>
      </c>
      <c r="E137" s="189" t="s">
        <v>439</v>
      </c>
      <c r="F137" s="5" t="s">
        <v>1051</v>
      </c>
      <c r="G137" s="5" t="s">
        <v>1052</v>
      </c>
      <c r="H137" s="5" t="s">
        <v>121</v>
      </c>
      <c r="I137" s="5" t="s">
        <v>920</v>
      </c>
      <c r="J137" s="5" t="s">
        <v>30</v>
      </c>
      <c r="K137" s="38" t="s">
        <v>30</v>
      </c>
      <c r="L137" s="3" t="s">
        <v>123</v>
      </c>
      <c r="M137" s="3" t="s">
        <v>31</v>
      </c>
      <c r="N137" s="5" t="s">
        <v>377</v>
      </c>
      <c r="O137" s="5" t="s">
        <v>125</v>
      </c>
      <c r="P137" s="5" t="s">
        <v>34</v>
      </c>
      <c r="Q137" s="145">
        <v>40000</v>
      </c>
      <c r="R137" s="156">
        <v>1</v>
      </c>
      <c r="S137" s="159">
        <v>245.5</v>
      </c>
      <c r="U137" s="145">
        <v>98.2</v>
      </c>
      <c r="V137" s="157">
        <v>1.5E-5</v>
      </c>
      <c r="W137" s="157">
        <v>7.0226630465760401E-3</v>
      </c>
      <c r="X137" s="157">
        <v>1.9572549404764401E-3</v>
      </c>
    </row>
    <row r="138" spans="1:24">
      <c r="A138" s="5">
        <v>337</v>
      </c>
      <c r="B138" s="5">
        <v>9962</v>
      </c>
      <c r="C138" s="189" t="s">
        <v>811</v>
      </c>
      <c r="D138" s="5" t="s">
        <v>812</v>
      </c>
      <c r="E138" s="189" t="s">
        <v>118</v>
      </c>
      <c r="F138" s="5" t="s">
        <v>1057</v>
      </c>
      <c r="G138" s="5" t="s">
        <v>1058</v>
      </c>
      <c r="H138" s="5" t="s">
        <v>121</v>
      </c>
      <c r="I138" s="5" t="s">
        <v>920</v>
      </c>
      <c r="J138" s="5" t="s">
        <v>30</v>
      </c>
      <c r="K138" s="38" t="s">
        <v>30</v>
      </c>
      <c r="L138" s="3" t="s">
        <v>123</v>
      </c>
      <c r="M138" s="3" t="s">
        <v>31</v>
      </c>
      <c r="N138" s="5" t="s">
        <v>159</v>
      </c>
      <c r="O138" s="5" t="s">
        <v>125</v>
      </c>
      <c r="P138" s="5" t="s">
        <v>34</v>
      </c>
      <c r="Q138" s="145">
        <v>2639</v>
      </c>
      <c r="R138" s="156">
        <v>1</v>
      </c>
      <c r="S138" s="159">
        <v>20570</v>
      </c>
      <c r="U138" s="145">
        <v>542.84199999999998</v>
      </c>
      <c r="V138" s="157">
        <v>3.3000000000000003E-5</v>
      </c>
      <c r="W138" s="157">
        <v>3.8820759270146103E-2</v>
      </c>
      <c r="X138" s="157">
        <v>1.0819559812368601E-2</v>
      </c>
    </row>
    <row r="139" spans="1:24">
      <c r="A139" s="5">
        <v>337</v>
      </c>
      <c r="B139" s="5">
        <v>9962</v>
      </c>
      <c r="C139" s="189" t="s">
        <v>459</v>
      </c>
      <c r="D139" s="5" t="s">
        <v>460</v>
      </c>
      <c r="E139" s="189" t="s">
        <v>118</v>
      </c>
      <c r="F139" s="5" t="s">
        <v>1059</v>
      </c>
      <c r="G139" s="5" t="s">
        <v>1060</v>
      </c>
      <c r="H139" s="5" t="s">
        <v>121</v>
      </c>
      <c r="I139" s="5" t="s">
        <v>920</v>
      </c>
      <c r="J139" s="5" t="s">
        <v>30</v>
      </c>
      <c r="K139" s="38" t="s">
        <v>30</v>
      </c>
      <c r="L139" s="3" t="s">
        <v>123</v>
      </c>
      <c r="M139" s="3" t="s">
        <v>31</v>
      </c>
      <c r="N139" s="5" t="s">
        <v>316</v>
      </c>
      <c r="O139" s="5" t="s">
        <v>125</v>
      </c>
      <c r="P139" s="5" t="s">
        <v>34</v>
      </c>
      <c r="Q139" s="145">
        <v>10820</v>
      </c>
      <c r="R139" s="156">
        <v>1</v>
      </c>
      <c r="S139" s="159">
        <v>7020</v>
      </c>
      <c r="U139" s="145">
        <v>759.56399999999996</v>
      </c>
      <c r="V139" s="157">
        <v>6.9999999999999999E-6</v>
      </c>
      <c r="W139" s="157">
        <v>5.4319368984821599E-2</v>
      </c>
      <c r="X139" s="157">
        <v>1.51391078575157E-2</v>
      </c>
    </row>
    <row r="140" spans="1:24">
      <c r="A140" s="5">
        <v>337</v>
      </c>
      <c r="B140" s="5">
        <v>9962</v>
      </c>
      <c r="C140" s="189" t="s">
        <v>417</v>
      </c>
      <c r="D140" s="5" t="s">
        <v>418</v>
      </c>
      <c r="E140" s="189" t="s">
        <v>118</v>
      </c>
      <c r="F140" s="5" t="s">
        <v>1061</v>
      </c>
      <c r="G140" s="5" t="s">
        <v>1062</v>
      </c>
      <c r="H140" s="5" t="s">
        <v>121</v>
      </c>
      <c r="I140" s="5" t="s">
        <v>920</v>
      </c>
      <c r="J140" s="5" t="s">
        <v>30</v>
      </c>
      <c r="K140" s="38" t="s">
        <v>30</v>
      </c>
      <c r="L140" s="3" t="s">
        <v>123</v>
      </c>
      <c r="M140" s="3" t="s">
        <v>31</v>
      </c>
      <c r="N140" s="5" t="s">
        <v>421</v>
      </c>
      <c r="O140" s="5" t="s">
        <v>125</v>
      </c>
      <c r="P140" s="5" t="s">
        <v>34</v>
      </c>
      <c r="Q140" s="145">
        <v>316</v>
      </c>
      <c r="R140" s="156">
        <v>1</v>
      </c>
      <c r="S140" s="159">
        <v>33850</v>
      </c>
      <c r="U140" s="145">
        <v>106.96599999999999</v>
      </c>
      <c r="V140" s="157">
        <v>2.1999999999999999E-5</v>
      </c>
      <c r="W140" s="157">
        <v>7.6495537213854704E-3</v>
      </c>
      <c r="X140" s="157">
        <v>2.1319728305804701E-3</v>
      </c>
    </row>
    <row r="141" spans="1:24">
      <c r="A141" s="5">
        <v>337</v>
      </c>
      <c r="B141" s="5">
        <v>9962</v>
      </c>
      <c r="C141" s="189" t="s">
        <v>482</v>
      </c>
      <c r="D141" s="5" t="s">
        <v>483</v>
      </c>
      <c r="E141" s="189" t="s">
        <v>118</v>
      </c>
      <c r="F141" s="5" t="s">
        <v>1063</v>
      </c>
      <c r="G141" s="5" t="s">
        <v>1064</v>
      </c>
      <c r="H141" s="5" t="s">
        <v>121</v>
      </c>
      <c r="I141" s="5" t="s">
        <v>920</v>
      </c>
      <c r="J141" s="5" t="s">
        <v>30</v>
      </c>
      <c r="K141" s="38" t="s">
        <v>30</v>
      </c>
      <c r="L141" s="3" t="s">
        <v>123</v>
      </c>
      <c r="M141" s="3" t="s">
        <v>31</v>
      </c>
      <c r="N141" s="5" t="s">
        <v>171</v>
      </c>
      <c r="O141" s="5" t="s">
        <v>125</v>
      </c>
      <c r="P141" s="5" t="s">
        <v>34</v>
      </c>
      <c r="Q141" s="145">
        <v>5640</v>
      </c>
      <c r="R141" s="156">
        <v>1</v>
      </c>
      <c r="S141" s="159">
        <v>1559</v>
      </c>
      <c r="U141" s="145">
        <v>87.927999999999997</v>
      </c>
      <c r="V141" s="157">
        <v>7.9999999999999996E-6</v>
      </c>
      <c r="W141" s="157">
        <v>6.28804386246558E-3</v>
      </c>
      <c r="X141" s="157">
        <v>1.75251252040973E-3</v>
      </c>
    </row>
    <row r="142" spans="1:24">
      <c r="A142" s="5">
        <v>337</v>
      </c>
      <c r="B142" s="5">
        <v>9962</v>
      </c>
      <c r="C142" s="189" t="s">
        <v>745</v>
      </c>
      <c r="D142" s="5" t="s">
        <v>746</v>
      </c>
      <c r="E142" s="189" t="s">
        <v>118</v>
      </c>
      <c r="F142" s="5" t="s">
        <v>1069</v>
      </c>
      <c r="G142" s="5" t="s">
        <v>1070</v>
      </c>
      <c r="H142" s="5" t="s">
        <v>121</v>
      </c>
      <c r="I142" s="5" t="s">
        <v>920</v>
      </c>
      <c r="J142" s="5" t="s">
        <v>30</v>
      </c>
      <c r="K142" s="38" t="s">
        <v>30</v>
      </c>
      <c r="L142" s="3" t="s">
        <v>123</v>
      </c>
      <c r="M142" s="3" t="s">
        <v>31</v>
      </c>
      <c r="N142" s="5" t="s">
        <v>316</v>
      </c>
      <c r="O142" s="5" t="s">
        <v>125</v>
      </c>
      <c r="P142" s="5" t="s">
        <v>34</v>
      </c>
      <c r="Q142" s="145">
        <v>823</v>
      </c>
      <c r="R142" s="156">
        <v>1</v>
      </c>
      <c r="S142" s="159">
        <v>22240</v>
      </c>
      <c r="U142" s="145">
        <v>183.035</v>
      </c>
      <c r="V142" s="157">
        <v>3.0000000000000001E-6</v>
      </c>
      <c r="W142" s="157">
        <v>1.3089557385566801E-2</v>
      </c>
      <c r="X142" s="157">
        <v>3.6481318684428998E-3</v>
      </c>
    </row>
    <row r="143" spans="1:24">
      <c r="A143" s="5">
        <v>337</v>
      </c>
      <c r="B143" s="5">
        <v>9962</v>
      </c>
      <c r="C143" s="189" t="s">
        <v>1071</v>
      </c>
      <c r="D143" s="5" t="s">
        <v>1072</v>
      </c>
      <c r="E143" s="189" t="s">
        <v>118</v>
      </c>
      <c r="F143" s="5" t="s">
        <v>1073</v>
      </c>
      <c r="G143" s="5" t="s">
        <v>1074</v>
      </c>
      <c r="H143" s="5" t="s">
        <v>121</v>
      </c>
      <c r="I143" s="5" t="s">
        <v>920</v>
      </c>
      <c r="J143" s="5" t="s">
        <v>30</v>
      </c>
      <c r="K143" s="38" t="s">
        <v>30</v>
      </c>
      <c r="L143" s="3" t="s">
        <v>123</v>
      </c>
      <c r="M143" s="3" t="s">
        <v>31</v>
      </c>
      <c r="N143" s="5" t="s">
        <v>662</v>
      </c>
      <c r="O143" s="5" t="s">
        <v>125</v>
      </c>
      <c r="P143" s="5" t="s">
        <v>34</v>
      </c>
      <c r="Q143" s="145">
        <v>1066</v>
      </c>
      <c r="R143" s="156">
        <v>1</v>
      </c>
      <c r="S143" s="159">
        <v>13960</v>
      </c>
      <c r="U143" s="145">
        <v>148.81399999999999</v>
      </c>
      <c r="V143" s="157">
        <v>1.7E-5</v>
      </c>
      <c r="W143" s="157">
        <v>1.0642237979103301E-2</v>
      </c>
      <c r="X143" s="157">
        <v>2.9660504461312001E-3</v>
      </c>
    </row>
    <row r="144" spans="1:24">
      <c r="A144" s="5">
        <v>337</v>
      </c>
      <c r="B144" s="5">
        <v>9962</v>
      </c>
      <c r="C144" s="189" t="s">
        <v>536</v>
      </c>
      <c r="D144" s="5" t="s">
        <v>537</v>
      </c>
      <c r="E144" s="189" t="s">
        <v>118</v>
      </c>
      <c r="F144" s="5" t="s">
        <v>1075</v>
      </c>
      <c r="G144" s="5" t="s">
        <v>1076</v>
      </c>
      <c r="H144" s="5" t="s">
        <v>121</v>
      </c>
      <c r="I144" s="5" t="s">
        <v>920</v>
      </c>
      <c r="J144" s="5" t="s">
        <v>30</v>
      </c>
      <c r="K144" s="38" t="s">
        <v>30</v>
      </c>
      <c r="L144" s="3" t="s">
        <v>123</v>
      </c>
      <c r="M144" s="3" t="s">
        <v>31</v>
      </c>
      <c r="N144" s="5" t="s">
        <v>171</v>
      </c>
      <c r="O144" s="5" t="s">
        <v>125</v>
      </c>
      <c r="P144" s="5" t="s">
        <v>34</v>
      </c>
      <c r="Q144" s="145">
        <v>233</v>
      </c>
      <c r="R144" s="156">
        <v>1</v>
      </c>
      <c r="S144" s="159">
        <v>41330</v>
      </c>
      <c r="U144" s="145">
        <v>96.299000000000007</v>
      </c>
      <c r="V144" s="157">
        <v>5.0000000000000004E-6</v>
      </c>
      <c r="W144" s="157">
        <v>6.8867080087161104E-3</v>
      </c>
      <c r="X144" s="157">
        <v>1.9193635212570899E-3</v>
      </c>
    </row>
    <row r="145" spans="1:24">
      <c r="A145" s="5">
        <v>337</v>
      </c>
      <c r="B145" s="5">
        <v>9962</v>
      </c>
      <c r="C145" s="189" t="s">
        <v>1077</v>
      </c>
      <c r="D145" s="5" t="s">
        <v>1078</v>
      </c>
      <c r="E145" s="189" t="s">
        <v>118</v>
      </c>
      <c r="F145" s="5" t="s">
        <v>1079</v>
      </c>
      <c r="G145" s="5" t="s">
        <v>1080</v>
      </c>
      <c r="H145" s="5" t="s">
        <v>121</v>
      </c>
      <c r="I145" s="5" t="s">
        <v>920</v>
      </c>
      <c r="J145" s="5" t="s">
        <v>30</v>
      </c>
      <c r="K145" s="38" t="s">
        <v>30</v>
      </c>
      <c r="L145" s="3" t="s">
        <v>123</v>
      </c>
      <c r="M145" s="3" t="s">
        <v>31</v>
      </c>
      <c r="N145" s="5" t="s">
        <v>159</v>
      </c>
      <c r="O145" s="5" t="s">
        <v>125</v>
      </c>
      <c r="P145" s="5" t="s">
        <v>34</v>
      </c>
      <c r="Q145" s="145">
        <v>317</v>
      </c>
      <c r="R145" s="156">
        <v>1</v>
      </c>
      <c r="S145" s="159">
        <v>39940</v>
      </c>
      <c r="U145" s="145">
        <v>126.61</v>
      </c>
      <c r="V145" s="157">
        <v>5.0000000000000004E-6</v>
      </c>
      <c r="W145" s="157">
        <v>9.0543580834458598E-3</v>
      </c>
      <c r="X145" s="157">
        <v>2.52349955766531E-3</v>
      </c>
    </row>
    <row r="146" spans="1:24">
      <c r="A146" s="5">
        <v>337</v>
      </c>
      <c r="B146" s="5">
        <v>9962</v>
      </c>
      <c r="C146" s="189" t="s">
        <v>570</v>
      </c>
      <c r="D146" s="5" t="s">
        <v>571</v>
      </c>
      <c r="E146" s="189" t="s">
        <v>439</v>
      </c>
      <c r="F146" s="5" t="s">
        <v>1083</v>
      </c>
      <c r="G146" s="5" t="s">
        <v>1084</v>
      </c>
      <c r="H146" s="5" t="s">
        <v>121</v>
      </c>
      <c r="I146" s="5" t="s">
        <v>920</v>
      </c>
      <c r="J146" s="5" t="s">
        <v>30</v>
      </c>
      <c r="K146" s="38" t="s">
        <v>80</v>
      </c>
      <c r="L146" s="3" t="s">
        <v>123</v>
      </c>
      <c r="M146" s="3" t="s">
        <v>31</v>
      </c>
      <c r="N146" s="5" t="s">
        <v>377</v>
      </c>
      <c r="O146" s="5" t="s">
        <v>125</v>
      </c>
      <c r="P146" s="5" t="s">
        <v>34</v>
      </c>
      <c r="Q146" s="145">
        <v>2073</v>
      </c>
      <c r="R146" s="156">
        <v>1</v>
      </c>
      <c r="S146" s="159">
        <v>11640</v>
      </c>
      <c r="U146" s="145">
        <v>241.297</v>
      </c>
      <c r="V146" s="157">
        <v>1.8E-5</v>
      </c>
      <c r="W146" s="157">
        <v>1.7256099080267501E-2</v>
      </c>
      <c r="X146" s="157">
        <v>4.8093700287487901E-3</v>
      </c>
    </row>
    <row r="147" spans="1:24">
      <c r="A147" s="5">
        <v>337</v>
      </c>
      <c r="B147" s="5">
        <v>9962</v>
      </c>
      <c r="C147" s="189" t="s">
        <v>1085</v>
      </c>
      <c r="D147" s="5" t="s">
        <v>1086</v>
      </c>
      <c r="E147" s="189" t="s">
        <v>118</v>
      </c>
      <c r="F147" s="5" t="s">
        <v>1087</v>
      </c>
      <c r="G147" s="5" t="s">
        <v>1088</v>
      </c>
      <c r="H147" s="5" t="s">
        <v>121</v>
      </c>
      <c r="I147" s="5" t="s">
        <v>920</v>
      </c>
      <c r="J147" s="5" t="s">
        <v>30</v>
      </c>
      <c r="K147" s="38" t="s">
        <v>138</v>
      </c>
      <c r="L147" s="3" t="s">
        <v>123</v>
      </c>
      <c r="M147" s="3" t="s">
        <v>31</v>
      </c>
      <c r="N147" s="5" t="s">
        <v>1040</v>
      </c>
      <c r="O147" s="5" t="s">
        <v>125</v>
      </c>
      <c r="P147" s="5" t="s">
        <v>34</v>
      </c>
      <c r="Q147" s="145">
        <v>281</v>
      </c>
      <c r="R147" s="156">
        <v>1</v>
      </c>
      <c r="S147" s="159">
        <v>106610</v>
      </c>
      <c r="U147" s="145">
        <v>299.57400000000001</v>
      </c>
      <c r="V147" s="157">
        <v>9.0000000000000002E-6</v>
      </c>
      <c r="W147" s="157">
        <v>2.1423706331784899E-2</v>
      </c>
      <c r="X147" s="157">
        <v>5.9709051656189598E-3</v>
      </c>
    </row>
    <row r="148" spans="1:24">
      <c r="A148" s="5">
        <v>337</v>
      </c>
      <c r="B148" s="5">
        <v>9962</v>
      </c>
      <c r="C148" s="189" t="s">
        <v>584</v>
      </c>
      <c r="D148" s="5" t="s">
        <v>585</v>
      </c>
      <c r="E148" s="189" t="s">
        <v>118</v>
      </c>
      <c r="F148" s="5" t="s">
        <v>1089</v>
      </c>
      <c r="G148" s="5" t="s">
        <v>1090</v>
      </c>
      <c r="H148" s="5" t="s">
        <v>121</v>
      </c>
      <c r="I148" s="5" t="s">
        <v>920</v>
      </c>
      <c r="J148" s="5" t="s">
        <v>30</v>
      </c>
      <c r="K148" s="38" t="s">
        <v>30</v>
      </c>
      <c r="L148" s="3" t="s">
        <v>123</v>
      </c>
      <c r="M148" s="3" t="s">
        <v>31</v>
      </c>
      <c r="N148" s="5" t="s">
        <v>228</v>
      </c>
      <c r="O148" s="5" t="s">
        <v>125</v>
      </c>
      <c r="P148" s="5" t="s">
        <v>34</v>
      </c>
      <c r="Q148" s="145">
        <v>666</v>
      </c>
      <c r="R148" s="156">
        <v>1</v>
      </c>
      <c r="S148" s="159">
        <v>11210</v>
      </c>
      <c r="U148" s="145">
        <v>74.659000000000006</v>
      </c>
      <c r="V148" s="157">
        <v>1.7E-5</v>
      </c>
      <c r="W148" s="157">
        <v>5.3391261846140797E-3</v>
      </c>
      <c r="X148" s="157">
        <v>1.4880439276889401E-3</v>
      </c>
    </row>
    <row r="149" spans="1:24">
      <c r="A149" s="5">
        <v>337</v>
      </c>
      <c r="B149" s="5">
        <v>9962</v>
      </c>
      <c r="C149" s="189" t="s">
        <v>1091</v>
      </c>
      <c r="D149" s="5" t="s">
        <v>1092</v>
      </c>
      <c r="E149" s="189" t="s">
        <v>439</v>
      </c>
      <c r="F149" s="5" t="s">
        <v>1093</v>
      </c>
      <c r="G149" s="5" t="s">
        <v>1094</v>
      </c>
      <c r="H149" s="5" t="s">
        <v>121</v>
      </c>
      <c r="I149" s="5" t="s">
        <v>920</v>
      </c>
      <c r="J149" s="5" t="s">
        <v>30</v>
      </c>
      <c r="K149" s="38" t="s">
        <v>30</v>
      </c>
      <c r="L149" s="3" t="s">
        <v>123</v>
      </c>
      <c r="M149" s="3" t="s">
        <v>31</v>
      </c>
      <c r="N149" s="5" t="s">
        <v>377</v>
      </c>
      <c r="O149" s="5" t="s">
        <v>125</v>
      </c>
      <c r="P149" s="5" t="s">
        <v>34</v>
      </c>
      <c r="Q149" s="145">
        <v>11856</v>
      </c>
      <c r="R149" s="156">
        <v>1</v>
      </c>
      <c r="S149" s="159">
        <v>1803</v>
      </c>
      <c r="U149" s="145">
        <v>213.76400000000001</v>
      </c>
      <c r="V149" s="157">
        <v>1.0000000000000001E-5</v>
      </c>
      <c r="W149" s="157">
        <v>1.52870702264369E-2</v>
      </c>
      <c r="X149" s="157">
        <v>4.2605908225501398E-3</v>
      </c>
    </row>
    <row r="150" spans="1:24">
      <c r="A150" s="5">
        <v>337</v>
      </c>
      <c r="B150" s="5">
        <v>9962</v>
      </c>
      <c r="C150" s="189" t="s">
        <v>1095</v>
      </c>
      <c r="D150" s="5" t="s">
        <v>1096</v>
      </c>
      <c r="E150" s="189" t="s">
        <v>118</v>
      </c>
      <c r="F150" s="5" t="s">
        <v>1097</v>
      </c>
      <c r="G150" s="5" t="s">
        <v>1098</v>
      </c>
      <c r="H150" s="5" t="s">
        <v>121</v>
      </c>
      <c r="I150" s="5" t="s">
        <v>920</v>
      </c>
      <c r="J150" s="5" t="s">
        <v>30</v>
      </c>
      <c r="K150" s="38" t="s">
        <v>80</v>
      </c>
      <c r="L150" s="3" t="s">
        <v>123</v>
      </c>
      <c r="M150" s="3" t="s">
        <v>31</v>
      </c>
      <c r="N150" s="5" t="s">
        <v>1099</v>
      </c>
      <c r="O150" s="5" t="s">
        <v>125</v>
      </c>
      <c r="P150" s="5" t="s">
        <v>34</v>
      </c>
      <c r="Q150" s="145">
        <v>138</v>
      </c>
      <c r="R150" s="156">
        <v>1</v>
      </c>
      <c r="S150" s="159">
        <v>35710</v>
      </c>
      <c r="U150" s="145">
        <v>49.28</v>
      </c>
      <c r="V150" s="157">
        <v>1.9999999999999999E-6</v>
      </c>
      <c r="W150" s="157">
        <v>3.5241897189680002E-3</v>
      </c>
      <c r="X150" s="157">
        <v>9.8221112032271596E-4</v>
      </c>
    </row>
    <row r="151" spans="1:24">
      <c r="A151" s="5">
        <v>337</v>
      </c>
      <c r="B151" s="5">
        <v>9962</v>
      </c>
      <c r="C151" s="189" t="s">
        <v>588</v>
      </c>
      <c r="D151" s="5" t="s">
        <v>589</v>
      </c>
      <c r="E151" s="189" t="s">
        <v>118</v>
      </c>
      <c r="F151" s="5" t="s">
        <v>1100</v>
      </c>
      <c r="G151" s="5" t="s">
        <v>1101</v>
      </c>
      <c r="H151" s="5" t="s">
        <v>121</v>
      </c>
      <c r="I151" s="5" t="s">
        <v>920</v>
      </c>
      <c r="J151" s="5" t="s">
        <v>30</v>
      </c>
      <c r="K151" s="38" t="s">
        <v>30</v>
      </c>
      <c r="L151" s="3" t="s">
        <v>123</v>
      </c>
      <c r="M151" s="3" t="s">
        <v>31</v>
      </c>
      <c r="N151" s="5" t="s">
        <v>171</v>
      </c>
      <c r="O151" s="5" t="s">
        <v>125</v>
      </c>
      <c r="P151" s="5" t="s">
        <v>34</v>
      </c>
      <c r="Q151" s="145">
        <v>178</v>
      </c>
      <c r="R151" s="156">
        <v>1</v>
      </c>
      <c r="S151" s="159">
        <v>39300</v>
      </c>
      <c r="U151" s="145">
        <v>69.953999999999994</v>
      </c>
      <c r="V151" s="157">
        <v>2.4000000000000001E-5</v>
      </c>
      <c r="W151" s="157">
        <v>5.0026819833012296E-3</v>
      </c>
      <c r="X151" s="157">
        <v>1.3942750723634301E-3</v>
      </c>
    </row>
    <row r="152" spans="1:24">
      <c r="A152" s="5">
        <v>337</v>
      </c>
      <c r="B152" s="5">
        <v>9962</v>
      </c>
      <c r="C152" s="189" t="s">
        <v>1102</v>
      </c>
      <c r="D152" s="5" t="s">
        <v>1103</v>
      </c>
      <c r="E152" s="189" t="s">
        <v>118</v>
      </c>
      <c r="F152" s="5" t="s">
        <v>1102</v>
      </c>
      <c r="G152" s="5" t="s">
        <v>1104</v>
      </c>
      <c r="H152" s="5" t="s">
        <v>121</v>
      </c>
      <c r="I152" s="5" t="s">
        <v>920</v>
      </c>
      <c r="J152" s="5" t="s">
        <v>30</v>
      </c>
      <c r="K152" s="38" t="s">
        <v>30</v>
      </c>
      <c r="L152" s="3" t="s">
        <v>123</v>
      </c>
      <c r="M152" s="3" t="s">
        <v>31</v>
      </c>
      <c r="N152" s="5" t="s">
        <v>1105</v>
      </c>
      <c r="O152" s="5" t="s">
        <v>125</v>
      </c>
      <c r="P152" s="5" t="s">
        <v>34</v>
      </c>
      <c r="Q152" s="145">
        <v>1563</v>
      </c>
      <c r="R152" s="156">
        <v>1</v>
      </c>
      <c r="S152" s="159">
        <v>20990</v>
      </c>
      <c r="U152" s="145">
        <v>328.07400000000001</v>
      </c>
      <c r="V152" s="157">
        <v>1.7E-5</v>
      </c>
      <c r="W152" s="157">
        <v>2.3461823315106701E-2</v>
      </c>
      <c r="X152" s="157">
        <v>6.5389396147187799E-3</v>
      </c>
    </row>
    <row r="153" spans="1:24">
      <c r="A153" s="5">
        <v>337</v>
      </c>
      <c r="B153" s="5">
        <v>9962</v>
      </c>
      <c r="C153" s="189" t="s">
        <v>604</v>
      </c>
      <c r="D153" s="5" t="s">
        <v>605</v>
      </c>
      <c r="E153" s="189" t="s">
        <v>118</v>
      </c>
      <c r="F153" s="5" t="s">
        <v>1106</v>
      </c>
      <c r="G153" s="5" t="s">
        <v>1107</v>
      </c>
      <c r="H153" s="5" t="s">
        <v>121</v>
      </c>
      <c r="I153" s="5" t="s">
        <v>920</v>
      </c>
      <c r="J153" s="5" t="s">
        <v>30</v>
      </c>
      <c r="K153" s="38" t="s">
        <v>30</v>
      </c>
      <c r="L153" s="3" t="s">
        <v>123</v>
      </c>
      <c r="M153" s="3" t="s">
        <v>31</v>
      </c>
      <c r="N153" s="5" t="s">
        <v>228</v>
      </c>
      <c r="O153" s="5" t="s">
        <v>125</v>
      </c>
      <c r="P153" s="5" t="s">
        <v>34</v>
      </c>
      <c r="Q153" s="145">
        <v>790</v>
      </c>
      <c r="R153" s="156">
        <v>1</v>
      </c>
      <c r="S153" s="159">
        <v>5841</v>
      </c>
      <c r="U153" s="145">
        <v>46.143999999999998</v>
      </c>
      <c r="V153" s="157">
        <v>3.8999999999999999E-5</v>
      </c>
      <c r="W153" s="157">
        <v>3.2999293416996001E-3</v>
      </c>
      <c r="X153" s="157">
        <v>9.1970851576222599E-4</v>
      </c>
    </row>
    <row r="154" spans="1:24">
      <c r="A154" s="5">
        <v>337</v>
      </c>
      <c r="B154" s="5">
        <v>9962</v>
      </c>
      <c r="C154" s="189" t="s">
        <v>1112</v>
      </c>
      <c r="D154" s="5" t="s">
        <v>1113</v>
      </c>
      <c r="E154" s="189" t="s">
        <v>118</v>
      </c>
      <c r="F154" s="5" t="s">
        <v>1114</v>
      </c>
      <c r="G154" s="5" t="s">
        <v>1115</v>
      </c>
      <c r="H154" s="5" t="s">
        <v>121</v>
      </c>
      <c r="I154" s="5" t="s">
        <v>920</v>
      </c>
      <c r="J154" s="5" t="s">
        <v>30</v>
      </c>
      <c r="K154" s="38" t="s">
        <v>138</v>
      </c>
      <c r="L154" s="3" t="s">
        <v>123</v>
      </c>
      <c r="M154" s="3" t="s">
        <v>31</v>
      </c>
      <c r="N154" s="5" t="s">
        <v>695</v>
      </c>
      <c r="O154" s="5" t="s">
        <v>125</v>
      </c>
      <c r="P154" s="5" t="s">
        <v>34</v>
      </c>
      <c r="Q154" s="145">
        <v>152</v>
      </c>
      <c r="R154" s="156">
        <v>1</v>
      </c>
      <c r="S154" s="159">
        <v>17410</v>
      </c>
      <c r="U154" s="145">
        <v>26.463000000000001</v>
      </c>
      <c r="V154" s="157">
        <v>1.1E-5</v>
      </c>
      <c r="W154" s="157">
        <v>1.89248611745571E-3</v>
      </c>
      <c r="X154" s="157">
        <v>5.2744632322623299E-4</v>
      </c>
    </row>
    <row r="155" spans="1:24">
      <c r="A155" s="5">
        <v>337</v>
      </c>
      <c r="B155" s="5">
        <v>9962</v>
      </c>
      <c r="C155" s="189" t="s">
        <v>626</v>
      </c>
      <c r="D155" s="5" t="s">
        <v>627</v>
      </c>
      <c r="E155" s="189" t="s">
        <v>118</v>
      </c>
      <c r="F155" s="5" t="s">
        <v>1116</v>
      </c>
      <c r="G155" s="5" t="s">
        <v>1117</v>
      </c>
      <c r="H155" s="5" t="s">
        <v>121</v>
      </c>
      <c r="I155" s="5" t="s">
        <v>920</v>
      </c>
      <c r="J155" s="5" t="s">
        <v>30</v>
      </c>
      <c r="K155" s="38" t="s">
        <v>30</v>
      </c>
      <c r="L155" s="3" t="s">
        <v>123</v>
      </c>
      <c r="M155" s="3" t="s">
        <v>31</v>
      </c>
      <c r="N155" s="5" t="s">
        <v>171</v>
      </c>
      <c r="O155" s="5" t="s">
        <v>125</v>
      </c>
      <c r="P155" s="5" t="s">
        <v>34</v>
      </c>
      <c r="Q155" s="145">
        <v>718</v>
      </c>
      <c r="R155" s="156">
        <v>1</v>
      </c>
      <c r="S155" s="159">
        <v>36050</v>
      </c>
      <c r="U155" s="145">
        <v>258.839</v>
      </c>
      <c r="V155" s="157">
        <v>6.0000000000000002E-6</v>
      </c>
      <c r="W155" s="157">
        <v>1.8510581265913401E-2</v>
      </c>
      <c r="X155" s="157">
        <v>5.15900113582465E-3</v>
      </c>
    </row>
    <row r="156" spans="1:24">
      <c r="A156" s="5">
        <v>337</v>
      </c>
      <c r="B156" s="5">
        <v>9962</v>
      </c>
      <c r="C156" s="189" t="s">
        <v>644</v>
      </c>
      <c r="D156" s="5" t="s">
        <v>645</v>
      </c>
      <c r="E156" s="189" t="s">
        <v>118</v>
      </c>
      <c r="F156" s="5" t="s">
        <v>1118</v>
      </c>
      <c r="G156" s="5" t="s">
        <v>1119</v>
      </c>
      <c r="H156" s="5" t="s">
        <v>121</v>
      </c>
      <c r="I156" s="5" t="s">
        <v>920</v>
      </c>
      <c r="J156" s="5" t="s">
        <v>30</v>
      </c>
      <c r="K156" s="38" t="s">
        <v>30</v>
      </c>
      <c r="L156" s="3" t="s">
        <v>123</v>
      </c>
      <c r="M156" s="3" t="s">
        <v>31</v>
      </c>
      <c r="N156" s="5" t="s">
        <v>316</v>
      </c>
      <c r="O156" s="5" t="s">
        <v>125</v>
      </c>
      <c r="P156" s="5" t="s">
        <v>34</v>
      </c>
      <c r="Q156" s="145">
        <v>6978</v>
      </c>
      <c r="R156" s="156">
        <v>1</v>
      </c>
      <c r="S156" s="159">
        <v>7205</v>
      </c>
      <c r="U156" s="145">
        <v>502.76499999999999</v>
      </c>
      <c r="V156" s="157">
        <v>5.0000000000000004E-6</v>
      </c>
      <c r="W156" s="157">
        <v>3.5954668883355398E-2</v>
      </c>
      <c r="X156" s="157">
        <v>1.0020764607160299E-2</v>
      </c>
    </row>
    <row r="157" spans="1:24">
      <c r="A157" s="5">
        <v>337</v>
      </c>
      <c r="B157" s="5">
        <v>9962</v>
      </c>
      <c r="C157" s="189" t="s">
        <v>1120</v>
      </c>
      <c r="D157" s="5" t="s">
        <v>1121</v>
      </c>
      <c r="E157" s="189" t="s">
        <v>118</v>
      </c>
      <c r="F157" s="5" t="s">
        <v>1122</v>
      </c>
      <c r="G157" s="5" t="s">
        <v>1123</v>
      </c>
      <c r="H157" s="5" t="s">
        <v>121</v>
      </c>
      <c r="I157" s="5" t="s">
        <v>920</v>
      </c>
      <c r="J157" s="5" t="s">
        <v>30</v>
      </c>
      <c r="K157" s="38" t="s">
        <v>30</v>
      </c>
      <c r="L157" s="3" t="s">
        <v>123</v>
      </c>
      <c r="M157" s="3" t="s">
        <v>31</v>
      </c>
      <c r="N157" s="5" t="s">
        <v>421</v>
      </c>
      <c r="O157" s="5" t="s">
        <v>125</v>
      </c>
      <c r="P157" s="5" t="s">
        <v>34</v>
      </c>
      <c r="Q157" s="145">
        <v>262</v>
      </c>
      <c r="R157" s="156">
        <v>1</v>
      </c>
      <c r="S157" s="159">
        <v>31330</v>
      </c>
      <c r="U157" s="145">
        <v>82.084999999999994</v>
      </c>
      <c r="V157" s="157">
        <v>1.9000000000000001E-5</v>
      </c>
      <c r="W157" s="157">
        <v>5.8701882598062704E-3</v>
      </c>
      <c r="X157" s="157">
        <v>1.6360538583200801E-3</v>
      </c>
    </row>
    <row r="158" spans="1:24">
      <c r="A158" s="5">
        <v>337</v>
      </c>
      <c r="B158" s="5">
        <v>9962</v>
      </c>
      <c r="C158" s="189" t="s">
        <v>658</v>
      </c>
      <c r="D158" s="5" t="s">
        <v>659</v>
      </c>
      <c r="E158" s="189" t="s">
        <v>118</v>
      </c>
      <c r="F158" s="5" t="s">
        <v>1124</v>
      </c>
      <c r="G158" s="5" t="s">
        <v>1125</v>
      </c>
      <c r="H158" s="5" t="s">
        <v>121</v>
      </c>
      <c r="I158" s="5" t="s">
        <v>920</v>
      </c>
      <c r="J158" s="5" t="s">
        <v>30</v>
      </c>
      <c r="K158" s="38" t="s">
        <v>30</v>
      </c>
      <c r="L158" s="3" t="s">
        <v>123</v>
      </c>
      <c r="M158" s="3" t="s">
        <v>31</v>
      </c>
      <c r="N158" s="5" t="s">
        <v>662</v>
      </c>
      <c r="O158" s="5" t="s">
        <v>125</v>
      </c>
      <c r="P158" s="5" t="s">
        <v>34</v>
      </c>
      <c r="Q158" s="145">
        <v>90</v>
      </c>
      <c r="R158" s="156">
        <v>1</v>
      </c>
      <c r="S158" s="159">
        <v>53730</v>
      </c>
      <c r="T158" s="143">
        <v>0.14799999999999999</v>
      </c>
      <c r="U158" s="145">
        <v>48.505000000000003</v>
      </c>
      <c r="V158" s="157">
        <v>6.0000000000000002E-6</v>
      </c>
      <c r="W158" s="157">
        <v>3.4687521589506299E-3</v>
      </c>
      <c r="X158" s="157">
        <v>9.6676036645451495E-4</v>
      </c>
    </row>
    <row r="159" spans="1:24">
      <c r="A159" s="5">
        <v>337</v>
      </c>
      <c r="B159" s="5">
        <v>9962</v>
      </c>
      <c r="C159" s="189" t="s">
        <v>321</v>
      </c>
      <c r="D159" s="5" t="s">
        <v>322</v>
      </c>
      <c r="E159" s="189" t="s">
        <v>118</v>
      </c>
      <c r="F159" s="5" t="s">
        <v>1126</v>
      </c>
      <c r="G159" s="5" t="s">
        <v>1127</v>
      </c>
      <c r="H159" s="5" t="s">
        <v>121</v>
      </c>
      <c r="I159" s="5" t="s">
        <v>920</v>
      </c>
      <c r="J159" s="5" t="s">
        <v>30</v>
      </c>
      <c r="K159" s="38" t="s">
        <v>30</v>
      </c>
      <c r="L159" s="3" t="s">
        <v>123</v>
      </c>
      <c r="M159" s="3" t="s">
        <v>31</v>
      </c>
      <c r="N159" s="5" t="s">
        <v>152</v>
      </c>
      <c r="O159" s="5" t="s">
        <v>125</v>
      </c>
      <c r="P159" s="5" t="s">
        <v>34</v>
      </c>
      <c r="Q159" s="145">
        <v>552</v>
      </c>
      <c r="R159" s="156">
        <v>1</v>
      </c>
      <c r="S159" s="159">
        <v>5900</v>
      </c>
      <c r="U159" s="145">
        <v>32.567999999999998</v>
      </c>
      <c r="V159" s="157">
        <v>4.3999999999999999E-5</v>
      </c>
      <c r="W159" s="157">
        <v>2.3290640539805401E-3</v>
      </c>
      <c r="X159" s="157">
        <v>6.4912300306961903E-4</v>
      </c>
    </row>
    <row r="160" spans="1:24">
      <c r="A160" s="5">
        <v>337</v>
      </c>
      <c r="B160" s="5">
        <v>9962</v>
      </c>
      <c r="C160" s="189" t="s">
        <v>1128</v>
      </c>
      <c r="D160" s="5" t="s">
        <v>1129</v>
      </c>
      <c r="E160" s="189" t="s">
        <v>118</v>
      </c>
      <c r="F160" s="5" t="s">
        <v>1130</v>
      </c>
      <c r="G160" s="5" t="s">
        <v>1131</v>
      </c>
      <c r="H160" s="5" t="s">
        <v>121</v>
      </c>
      <c r="I160" s="5" t="s">
        <v>920</v>
      </c>
      <c r="J160" s="5" t="s">
        <v>30</v>
      </c>
      <c r="K160" s="38" t="s">
        <v>30</v>
      </c>
      <c r="L160" s="3" t="s">
        <v>123</v>
      </c>
      <c r="M160" s="3" t="s">
        <v>31</v>
      </c>
      <c r="N160" s="5" t="s">
        <v>1105</v>
      </c>
      <c r="O160" s="5" t="s">
        <v>125</v>
      </c>
      <c r="P160" s="5" t="s">
        <v>34</v>
      </c>
      <c r="Q160" s="145">
        <v>18947</v>
      </c>
      <c r="R160" s="156">
        <v>1</v>
      </c>
      <c r="S160" s="159">
        <v>1325</v>
      </c>
      <c r="U160" s="145">
        <v>251.048</v>
      </c>
      <c r="V160" s="157">
        <v>2.6200000000000003E-4</v>
      </c>
      <c r="W160" s="157">
        <v>1.7953398745937502E-2</v>
      </c>
      <c r="X160" s="157">
        <v>5.00371129310584E-3</v>
      </c>
    </row>
    <row r="161" spans="1:24">
      <c r="A161" s="5">
        <v>337</v>
      </c>
      <c r="B161" s="5">
        <v>9962</v>
      </c>
      <c r="C161" s="189" t="s">
        <v>1132</v>
      </c>
      <c r="D161" s="5" t="s">
        <v>1133</v>
      </c>
      <c r="E161" s="189" t="s">
        <v>118</v>
      </c>
      <c r="F161" s="5" t="s">
        <v>1134</v>
      </c>
      <c r="G161" s="5" t="s">
        <v>1135</v>
      </c>
      <c r="H161" s="5" t="s">
        <v>121</v>
      </c>
      <c r="I161" s="5" t="s">
        <v>920</v>
      </c>
      <c r="J161" s="5" t="s">
        <v>30</v>
      </c>
      <c r="K161" s="38" t="s">
        <v>30</v>
      </c>
      <c r="L161" s="3" t="s">
        <v>123</v>
      </c>
      <c r="M161" s="3" t="s">
        <v>31</v>
      </c>
      <c r="N161" s="5" t="s">
        <v>124</v>
      </c>
      <c r="O161" s="5" t="s">
        <v>125</v>
      </c>
      <c r="P161" s="5" t="s">
        <v>34</v>
      </c>
      <c r="Q161" s="145">
        <v>516</v>
      </c>
      <c r="R161" s="156">
        <v>1</v>
      </c>
      <c r="S161" s="159">
        <v>15670</v>
      </c>
      <c r="U161" s="145">
        <v>80.856999999999999</v>
      </c>
      <c r="V161" s="157">
        <v>2.1999999999999999E-5</v>
      </c>
      <c r="W161" s="157">
        <v>5.7824121231121002E-3</v>
      </c>
      <c r="X161" s="157">
        <v>1.61159016469543E-3</v>
      </c>
    </row>
    <row r="162" spans="1:24">
      <c r="A162" s="5">
        <v>337</v>
      </c>
      <c r="B162" s="5">
        <v>9962</v>
      </c>
      <c r="C162" s="189" t="s">
        <v>679</v>
      </c>
      <c r="D162" s="5" t="s">
        <v>680</v>
      </c>
      <c r="E162" s="189" t="s">
        <v>118</v>
      </c>
      <c r="F162" s="5" t="s">
        <v>1136</v>
      </c>
      <c r="G162" s="5" t="s">
        <v>1137</v>
      </c>
      <c r="H162" s="5" t="s">
        <v>121</v>
      </c>
      <c r="I162" s="5" t="s">
        <v>920</v>
      </c>
      <c r="J162" s="5" t="s">
        <v>30</v>
      </c>
      <c r="K162" s="38" t="s">
        <v>30</v>
      </c>
      <c r="L162" s="3" t="s">
        <v>123</v>
      </c>
      <c r="M162" s="3" t="s">
        <v>31</v>
      </c>
      <c r="N162" s="5" t="s">
        <v>177</v>
      </c>
      <c r="O162" s="5" t="s">
        <v>125</v>
      </c>
      <c r="P162" s="5" t="s">
        <v>34</v>
      </c>
      <c r="Q162" s="145">
        <v>81</v>
      </c>
      <c r="R162" s="156">
        <v>1</v>
      </c>
      <c r="S162" s="159">
        <v>65150</v>
      </c>
      <c r="U162" s="145">
        <v>52.771999999999998</v>
      </c>
      <c r="V162" s="157">
        <v>5.0000000000000004E-6</v>
      </c>
      <c r="W162" s="157">
        <v>3.7738947348512001E-3</v>
      </c>
      <c r="X162" s="157">
        <v>1.05180528606265E-3</v>
      </c>
    </row>
    <row r="163" spans="1:24">
      <c r="A163" s="5">
        <v>337</v>
      </c>
      <c r="B163" s="5">
        <v>9962</v>
      </c>
      <c r="C163" s="189" t="s">
        <v>1138</v>
      </c>
      <c r="D163" s="5" t="s">
        <v>1139</v>
      </c>
      <c r="E163" s="189" t="s">
        <v>118</v>
      </c>
      <c r="F163" s="5" t="s">
        <v>1140</v>
      </c>
      <c r="G163" s="5" t="s">
        <v>1141</v>
      </c>
      <c r="H163" s="5" t="s">
        <v>121</v>
      </c>
      <c r="I163" s="5" t="s">
        <v>920</v>
      </c>
      <c r="J163" s="5" t="s">
        <v>30</v>
      </c>
      <c r="K163" s="38" t="s">
        <v>138</v>
      </c>
      <c r="L163" s="3" t="s">
        <v>123</v>
      </c>
      <c r="M163" s="3" t="s">
        <v>31</v>
      </c>
      <c r="N163" s="5" t="s">
        <v>1040</v>
      </c>
      <c r="O163" s="5" t="s">
        <v>125</v>
      </c>
      <c r="P163" s="5" t="s">
        <v>34</v>
      </c>
      <c r="Q163" s="145">
        <v>435</v>
      </c>
      <c r="R163" s="156">
        <v>1</v>
      </c>
      <c r="S163" s="159">
        <v>34250</v>
      </c>
      <c r="U163" s="145">
        <v>148.988</v>
      </c>
      <c r="V163" s="157">
        <v>9.0000000000000002E-6</v>
      </c>
      <c r="W163" s="157">
        <v>1.06546742428895E-2</v>
      </c>
      <c r="X163" s="157">
        <v>2.9695165014687699E-3</v>
      </c>
    </row>
    <row r="164" spans="1:24">
      <c r="A164" s="5">
        <v>337</v>
      </c>
      <c r="B164" s="5">
        <v>9962</v>
      </c>
      <c r="C164" s="189" t="s">
        <v>691</v>
      </c>
      <c r="D164" s="5" t="s">
        <v>692</v>
      </c>
      <c r="E164" s="189" t="s">
        <v>118</v>
      </c>
      <c r="F164" s="5" t="s">
        <v>1142</v>
      </c>
      <c r="G164" s="5" t="s">
        <v>1143</v>
      </c>
      <c r="H164" s="5" t="s">
        <v>121</v>
      </c>
      <c r="I164" s="5" t="s">
        <v>920</v>
      </c>
      <c r="J164" s="5" t="s">
        <v>30</v>
      </c>
      <c r="K164" s="38" t="s">
        <v>30</v>
      </c>
      <c r="L164" s="3" t="s">
        <v>123</v>
      </c>
      <c r="M164" s="3" t="s">
        <v>31</v>
      </c>
      <c r="N164" s="5" t="s">
        <v>695</v>
      </c>
      <c r="O164" s="5" t="s">
        <v>125</v>
      </c>
      <c r="P164" s="5" t="s">
        <v>34</v>
      </c>
      <c r="Q164" s="145">
        <v>1650</v>
      </c>
      <c r="R164" s="156">
        <v>1</v>
      </c>
      <c r="S164" s="159">
        <v>3548</v>
      </c>
      <c r="U164" s="145">
        <v>58.542000000000002</v>
      </c>
      <c r="V164" s="157">
        <v>1.7E-5</v>
      </c>
      <c r="W164" s="157">
        <v>4.18656558118793E-3</v>
      </c>
      <c r="X164" s="157">
        <v>1.16681892795694E-3</v>
      </c>
    </row>
    <row r="165" spans="1:24">
      <c r="A165" s="5">
        <v>337</v>
      </c>
      <c r="B165" s="5">
        <v>9962</v>
      </c>
      <c r="C165" s="189" t="s">
        <v>701</v>
      </c>
      <c r="D165" s="5" t="s">
        <v>702</v>
      </c>
      <c r="E165" s="189" t="s">
        <v>118</v>
      </c>
      <c r="F165" s="5" t="s">
        <v>1144</v>
      </c>
      <c r="G165" s="5" t="s">
        <v>1145</v>
      </c>
      <c r="H165" s="5" t="s">
        <v>121</v>
      </c>
      <c r="I165" s="5" t="s">
        <v>920</v>
      </c>
      <c r="J165" s="5" t="s">
        <v>30</v>
      </c>
      <c r="K165" s="38" t="s">
        <v>30</v>
      </c>
      <c r="L165" s="3" t="s">
        <v>123</v>
      </c>
      <c r="M165" s="3" t="s">
        <v>31</v>
      </c>
      <c r="N165" s="5" t="s">
        <v>171</v>
      </c>
      <c r="O165" s="5" t="s">
        <v>125</v>
      </c>
      <c r="P165" s="5" t="s">
        <v>34</v>
      </c>
      <c r="Q165" s="145">
        <v>4598</v>
      </c>
      <c r="R165" s="156">
        <v>1</v>
      </c>
      <c r="S165" s="159">
        <v>2721</v>
      </c>
      <c r="U165" s="145">
        <v>125.11199999999999</v>
      </c>
      <c r="V165" s="157">
        <v>2.3E-5</v>
      </c>
      <c r="W165" s="157">
        <v>8.9472145576857693E-3</v>
      </c>
      <c r="X165" s="157">
        <v>2.4936380658433098E-3</v>
      </c>
    </row>
    <row r="166" spans="1:24">
      <c r="A166" s="5">
        <v>337</v>
      </c>
      <c r="B166" s="5">
        <v>9962</v>
      </c>
      <c r="C166" s="189" t="s">
        <v>1146</v>
      </c>
      <c r="D166" s="5" t="s">
        <v>1147</v>
      </c>
      <c r="E166" s="189" t="s">
        <v>118</v>
      </c>
      <c r="F166" s="5" t="s">
        <v>1148</v>
      </c>
      <c r="G166" s="5" t="s">
        <v>1149</v>
      </c>
      <c r="H166" s="5" t="s">
        <v>121</v>
      </c>
      <c r="I166" s="5" t="s">
        <v>920</v>
      </c>
      <c r="J166" s="5" t="s">
        <v>30</v>
      </c>
      <c r="K166" s="38" t="s">
        <v>30</v>
      </c>
      <c r="L166" s="3" t="s">
        <v>123</v>
      </c>
      <c r="M166" s="3" t="s">
        <v>31</v>
      </c>
      <c r="N166" s="5" t="s">
        <v>421</v>
      </c>
      <c r="O166" s="5" t="s">
        <v>125</v>
      </c>
      <c r="P166" s="5" t="s">
        <v>34</v>
      </c>
      <c r="Q166" s="145">
        <v>164</v>
      </c>
      <c r="R166" s="156">
        <v>1</v>
      </c>
      <c r="S166" s="159">
        <v>4249</v>
      </c>
      <c r="U166" s="145">
        <v>6.968</v>
      </c>
      <c r="V166" s="157">
        <v>3.0000000000000001E-6</v>
      </c>
      <c r="W166" s="157">
        <v>4.9833446300650295E-4</v>
      </c>
      <c r="X166" s="157">
        <v>1.3888856453175499E-4</v>
      </c>
    </row>
    <row r="167" spans="1:24">
      <c r="A167" s="5">
        <v>337</v>
      </c>
      <c r="B167" s="5">
        <v>9962</v>
      </c>
      <c r="C167" s="189" t="s">
        <v>1150</v>
      </c>
      <c r="D167" s="5" t="s">
        <v>1151</v>
      </c>
      <c r="E167" s="189" t="s">
        <v>118</v>
      </c>
      <c r="F167" s="5" t="s">
        <v>1152</v>
      </c>
      <c r="G167" s="5" t="s">
        <v>1153</v>
      </c>
      <c r="H167" s="5" t="s">
        <v>121</v>
      </c>
      <c r="I167" s="5" t="s">
        <v>920</v>
      </c>
      <c r="J167" s="5" t="s">
        <v>30</v>
      </c>
      <c r="K167" s="38" t="s">
        <v>30</v>
      </c>
      <c r="L167" s="3" t="s">
        <v>123</v>
      </c>
      <c r="M167" s="3" t="s">
        <v>31</v>
      </c>
      <c r="N167" s="5" t="s">
        <v>421</v>
      </c>
      <c r="O167" s="5" t="s">
        <v>125</v>
      </c>
      <c r="P167" s="5" t="s">
        <v>34</v>
      </c>
      <c r="Q167" s="145">
        <v>56</v>
      </c>
      <c r="R167" s="156">
        <v>1</v>
      </c>
      <c r="S167" s="159">
        <v>35170</v>
      </c>
      <c r="U167" s="145">
        <v>19.695</v>
      </c>
      <c r="V167" s="157">
        <v>3.9999999999999998E-6</v>
      </c>
      <c r="W167" s="157">
        <v>1.4084801755084001E-3</v>
      </c>
      <c r="X167" s="157">
        <v>3.92551196575066E-4</v>
      </c>
    </row>
    <row r="168" spans="1:24">
      <c r="A168" s="5">
        <v>337</v>
      </c>
      <c r="B168" s="5">
        <v>9962</v>
      </c>
      <c r="C168" s="189" t="s">
        <v>1154</v>
      </c>
      <c r="D168" s="5" t="s">
        <v>1155</v>
      </c>
      <c r="E168" s="189" t="s">
        <v>439</v>
      </c>
      <c r="F168" s="5" t="s">
        <v>1156</v>
      </c>
      <c r="G168" s="5" t="s">
        <v>1157</v>
      </c>
      <c r="H168" s="5" t="s">
        <v>121</v>
      </c>
      <c r="I168" s="5" t="s">
        <v>920</v>
      </c>
      <c r="J168" s="5" t="s">
        <v>30</v>
      </c>
      <c r="K168" s="38" t="s">
        <v>30</v>
      </c>
      <c r="L168" s="3" t="s">
        <v>123</v>
      </c>
      <c r="M168" s="3" t="s">
        <v>31</v>
      </c>
      <c r="N168" s="5" t="s">
        <v>377</v>
      </c>
      <c r="O168" s="5" t="s">
        <v>125</v>
      </c>
      <c r="P168" s="5" t="s">
        <v>34</v>
      </c>
      <c r="Q168" s="145">
        <v>34006</v>
      </c>
      <c r="R168" s="156">
        <v>1</v>
      </c>
      <c r="S168" s="159">
        <v>477.4</v>
      </c>
      <c r="U168" s="145">
        <v>162.345</v>
      </c>
      <c r="V168" s="157">
        <v>3.0000000000000001E-5</v>
      </c>
      <c r="W168" s="157">
        <v>1.1609895440207201E-2</v>
      </c>
      <c r="X168" s="157">
        <v>3.2357419198461102E-3</v>
      </c>
    </row>
    <row r="169" spans="1:24">
      <c r="A169" s="5">
        <v>337</v>
      </c>
      <c r="B169" s="5">
        <v>9962</v>
      </c>
      <c r="C169" s="189" t="s">
        <v>710</v>
      </c>
      <c r="D169" s="5" t="s">
        <v>711</v>
      </c>
      <c r="E169" s="189" t="s">
        <v>118</v>
      </c>
      <c r="F169" s="5" t="s">
        <v>1158</v>
      </c>
      <c r="G169" s="5" t="s">
        <v>1159</v>
      </c>
      <c r="H169" s="5" t="s">
        <v>121</v>
      </c>
      <c r="I169" s="5" t="s">
        <v>920</v>
      </c>
      <c r="J169" s="5" t="s">
        <v>30</v>
      </c>
      <c r="K169" s="38" t="s">
        <v>30</v>
      </c>
      <c r="L169" s="3" t="s">
        <v>123</v>
      </c>
      <c r="M169" s="3" t="s">
        <v>31</v>
      </c>
      <c r="N169" s="5" t="s">
        <v>421</v>
      </c>
      <c r="O169" s="5" t="s">
        <v>125</v>
      </c>
      <c r="P169" s="5" t="s">
        <v>34</v>
      </c>
      <c r="Q169" s="145">
        <v>2404</v>
      </c>
      <c r="R169" s="156">
        <v>1</v>
      </c>
      <c r="S169" s="159">
        <v>3976</v>
      </c>
      <c r="U169" s="145">
        <v>95.582999999999998</v>
      </c>
      <c r="V169" s="157">
        <v>9.0000000000000002E-6</v>
      </c>
      <c r="W169" s="157">
        <v>6.8355140823564099E-3</v>
      </c>
      <c r="X169" s="157">
        <v>1.90509549150465E-3</v>
      </c>
    </row>
    <row r="170" spans="1:24">
      <c r="A170" s="5">
        <v>337</v>
      </c>
      <c r="B170" s="5">
        <v>9962</v>
      </c>
      <c r="C170" s="189" t="s">
        <v>1160</v>
      </c>
      <c r="D170" s="5" t="s">
        <v>1161</v>
      </c>
      <c r="E170" s="189" t="s">
        <v>118</v>
      </c>
      <c r="F170" s="5" t="s">
        <v>1162</v>
      </c>
      <c r="G170" s="5" t="s">
        <v>1163</v>
      </c>
      <c r="H170" s="5" t="s">
        <v>121</v>
      </c>
      <c r="I170" s="5" t="s">
        <v>920</v>
      </c>
      <c r="J170" s="5" t="s">
        <v>30</v>
      </c>
      <c r="K170" s="38" t="s">
        <v>138</v>
      </c>
      <c r="L170" s="3" t="s">
        <v>123</v>
      </c>
      <c r="M170" s="3" t="s">
        <v>31</v>
      </c>
      <c r="N170" s="5" t="s">
        <v>1164</v>
      </c>
      <c r="O170" s="5" t="s">
        <v>125</v>
      </c>
      <c r="P170" s="5" t="s">
        <v>34</v>
      </c>
      <c r="Q170" s="145">
        <v>730</v>
      </c>
      <c r="R170" s="156">
        <v>1</v>
      </c>
      <c r="S170" s="159">
        <v>14330</v>
      </c>
      <c r="U170" s="145">
        <v>104.60899999999999</v>
      </c>
      <c r="V170" s="157">
        <v>5.5000000000000002E-5</v>
      </c>
      <c r="W170" s="157">
        <v>7.4809955054915799E-3</v>
      </c>
      <c r="X170" s="157">
        <v>2.0849947257464301E-3</v>
      </c>
    </row>
    <row r="171" spans="1:24">
      <c r="A171" s="5">
        <v>337</v>
      </c>
      <c r="B171" s="5">
        <v>9962</v>
      </c>
      <c r="C171" s="189" t="s">
        <v>1169</v>
      </c>
      <c r="D171" s="5" t="s">
        <v>1170</v>
      </c>
      <c r="E171" s="189" t="s">
        <v>727</v>
      </c>
      <c r="F171" s="5" t="s">
        <v>1171</v>
      </c>
      <c r="G171" s="5" t="s">
        <v>1172</v>
      </c>
      <c r="H171" s="5" t="s">
        <v>121</v>
      </c>
      <c r="I171" s="5" t="s">
        <v>920</v>
      </c>
      <c r="J171" s="5" t="s">
        <v>79</v>
      </c>
      <c r="K171" s="38" t="s">
        <v>80</v>
      </c>
      <c r="L171" s="3" t="s">
        <v>123</v>
      </c>
      <c r="M171" s="3" t="s">
        <v>1173</v>
      </c>
      <c r="N171" s="5" t="s">
        <v>1174</v>
      </c>
      <c r="O171" s="5" t="s">
        <v>125</v>
      </c>
      <c r="P171" s="5" t="s">
        <v>84</v>
      </c>
      <c r="Q171" s="145">
        <v>115</v>
      </c>
      <c r="R171" s="156">
        <v>3.19</v>
      </c>
      <c r="S171" s="159">
        <v>21416</v>
      </c>
      <c r="U171" s="145">
        <v>78.564999999999998</v>
      </c>
      <c r="V171" s="157">
        <v>0</v>
      </c>
      <c r="W171" s="157">
        <v>5.6184591150547497E-3</v>
      </c>
      <c r="X171" s="157">
        <v>1.56589555669588E-3</v>
      </c>
    </row>
    <row r="172" spans="1:24">
      <c r="A172" s="5">
        <v>337</v>
      </c>
      <c r="B172" s="5">
        <v>9962</v>
      </c>
      <c r="C172" s="189" t="s">
        <v>1175</v>
      </c>
      <c r="D172" s="5" t="s">
        <v>1176</v>
      </c>
      <c r="E172" s="189" t="s">
        <v>727</v>
      </c>
      <c r="F172" s="5" t="s">
        <v>1177</v>
      </c>
      <c r="G172" s="5" t="s">
        <v>1178</v>
      </c>
      <c r="H172" s="5" t="s">
        <v>121</v>
      </c>
      <c r="I172" s="5" t="s">
        <v>920</v>
      </c>
      <c r="J172" s="5" t="s">
        <v>79</v>
      </c>
      <c r="K172" s="38" t="s">
        <v>1179</v>
      </c>
      <c r="L172" s="3" t="s">
        <v>123</v>
      </c>
      <c r="M172" s="3" t="s">
        <v>1180</v>
      </c>
      <c r="N172" s="5" t="s">
        <v>1181</v>
      </c>
      <c r="O172" s="5" t="s">
        <v>125</v>
      </c>
      <c r="P172" s="5" t="s">
        <v>84</v>
      </c>
      <c r="Q172" s="145">
        <v>68</v>
      </c>
      <c r="R172" s="156">
        <v>3.19</v>
      </c>
      <c r="S172" s="159">
        <v>14658</v>
      </c>
      <c r="U172" s="145">
        <v>31.795999999999999</v>
      </c>
      <c r="V172" s="157">
        <v>0</v>
      </c>
      <c r="W172" s="157">
        <v>2.27386489263457E-3</v>
      </c>
      <c r="X172" s="157">
        <v>6.3373869222656601E-4</v>
      </c>
    </row>
    <row r="173" spans="1:24">
      <c r="A173" s="5">
        <v>337</v>
      </c>
      <c r="B173" s="5">
        <v>9962</v>
      </c>
      <c r="C173" s="189" t="s">
        <v>1182</v>
      </c>
      <c r="D173" s="5" t="s">
        <v>1183</v>
      </c>
      <c r="E173" s="189" t="s">
        <v>727</v>
      </c>
      <c r="F173" s="5" t="s">
        <v>1184</v>
      </c>
      <c r="G173" s="5" t="s">
        <v>1185</v>
      </c>
      <c r="H173" s="5" t="s">
        <v>121</v>
      </c>
      <c r="I173" s="5" t="s">
        <v>920</v>
      </c>
      <c r="J173" s="5" t="s">
        <v>79</v>
      </c>
      <c r="K173" s="38" t="s">
        <v>80</v>
      </c>
      <c r="L173" s="3" t="s">
        <v>123</v>
      </c>
      <c r="M173" s="3" t="s">
        <v>1173</v>
      </c>
      <c r="N173" s="5" t="s">
        <v>1174</v>
      </c>
      <c r="O173" s="5" t="s">
        <v>125</v>
      </c>
      <c r="P173" s="5" t="s">
        <v>84</v>
      </c>
      <c r="Q173" s="145">
        <v>51</v>
      </c>
      <c r="R173" s="156">
        <v>3.19</v>
      </c>
      <c r="S173" s="159">
        <v>34610</v>
      </c>
      <c r="U173" s="145">
        <v>56.307000000000002</v>
      </c>
      <c r="V173" s="157">
        <v>0</v>
      </c>
      <c r="W173" s="157">
        <v>4.0267327023169501E-3</v>
      </c>
      <c r="X173" s="157">
        <v>1.12227262269553E-3</v>
      </c>
    </row>
    <row r="174" spans="1:24">
      <c r="A174" s="5">
        <v>337</v>
      </c>
      <c r="B174" s="5">
        <v>9962</v>
      </c>
      <c r="C174" s="189" t="s">
        <v>1186</v>
      </c>
      <c r="D174" s="5" t="s">
        <v>1187</v>
      </c>
      <c r="E174" s="189" t="s">
        <v>727</v>
      </c>
      <c r="F174" s="5" t="s">
        <v>1188</v>
      </c>
      <c r="G174" s="5" t="s">
        <v>1189</v>
      </c>
      <c r="H174" s="5" t="s">
        <v>121</v>
      </c>
      <c r="I174" s="5" t="s">
        <v>920</v>
      </c>
      <c r="J174" s="5" t="s">
        <v>79</v>
      </c>
      <c r="K174" s="38" t="s">
        <v>80</v>
      </c>
      <c r="L174" s="3" t="s">
        <v>123</v>
      </c>
      <c r="M174" s="3" t="s">
        <v>1180</v>
      </c>
      <c r="N174" s="5" t="s">
        <v>1190</v>
      </c>
      <c r="O174" s="5" t="s">
        <v>125</v>
      </c>
      <c r="P174" s="5" t="s">
        <v>84</v>
      </c>
      <c r="Q174" s="145">
        <v>37</v>
      </c>
      <c r="R174" s="156">
        <v>3.19</v>
      </c>
      <c r="S174" s="159">
        <v>107468</v>
      </c>
      <c r="U174" s="145">
        <v>126.84399999999999</v>
      </c>
      <c r="V174" s="157">
        <v>0</v>
      </c>
      <c r="W174" s="157">
        <v>9.0711409894828794E-3</v>
      </c>
      <c r="X174" s="157">
        <v>2.5281770461819402E-3</v>
      </c>
    </row>
    <row r="175" spans="1:24">
      <c r="A175" s="5">
        <v>337</v>
      </c>
      <c r="B175" s="5">
        <v>9962</v>
      </c>
      <c r="C175" s="189" t="s">
        <v>1191</v>
      </c>
      <c r="D175" s="5" t="s">
        <v>1192</v>
      </c>
      <c r="E175" s="189" t="s">
        <v>727</v>
      </c>
      <c r="F175" s="5" t="s">
        <v>1193</v>
      </c>
      <c r="G175" s="5" t="s">
        <v>1194</v>
      </c>
      <c r="H175" s="5" t="s">
        <v>121</v>
      </c>
      <c r="I175" s="5" t="s">
        <v>920</v>
      </c>
      <c r="J175" s="5" t="s">
        <v>79</v>
      </c>
      <c r="K175" s="38" t="s">
        <v>80</v>
      </c>
      <c r="L175" s="3" t="s">
        <v>123</v>
      </c>
      <c r="M175" s="140" t="s">
        <v>1180</v>
      </c>
      <c r="N175" s="38" t="s">
        <v>1216</v>
      </c>
      <c r="O175" s="5" t="s">
        <v>125</v>
      </c>
      <c r="P175" s="5" t="s">
        <v>84</v>
      </c>
      <c r="Q175" s="145">
        <v>59</v>
      </c>
      <c r="R175" s="156">
        <v>3.19</v>
      </c>
      <c r="S175" s="159">
        <v>87900</v>
      </c>
      <c r="U175" s="145">
        <v>165.43700000000001</v>
      </c>
      <c r="V175" s="157">
        <v>0</v>
      </c>
      <c r="W175" s="157">
        <v>1.18310124963804E-2</v>
      </c>
      <c r="X175" s="157">
        <v>3.2973684634732599E-3</v>
      </c>
    </row>
    <row r="176" spans="1:24">
      <c r="A176" s="5">
        <v>337</v>
      </c>
      <c r="B176" s="5">
        <v>9962</v>
      </c>
      <c r="C176" s="189" t="s">
        <v>1196</v>
      </c>
      <c r="D176" s="5" t="s">
        <v>1197</v>
      </c>
      <c r="E176" s="189" t="s">
        <v>727</v>
      </c>
      <c r="F176" s="5" t="s">
        <v>1198</v>
      </c>
      <c r="G176" s="5" t="s">
        <v>1199</v>
      </c>
      <c r="H176" s="5" t="s">
        <v>121</v>
      </c>
      <c r="I176" s="5" t="s">
        <v>920</v>
      </c>
      <c r="J176" s="5" t="s">
        <v>79</v>
      </c>
      <c r="K176" s="38" t="s">
        <v>80</v>
      </c>
      <c r="L176" s="3" t="s">
        <v>123</v>
      </c>
      <c r="M176" s="3" t="s">
        <v>1173</v>
      </c>
      <c r="N176" s="5" t="s">
        <v>1200</v>
      </c>
      <c r="O176" s="5" t="s">
        <v>125</v>
      </c>
      <c r="P176" s="5" t="s">
        <v>84</v>
      </c>
      <c r="Q176" s="145">
        <v>326</v>
      </c>
      <c r="R176" s="156">
        <v>3.19</v>
      </c>
      <c r="S176" s="159">
        <v>31380</v>
      </c>
      <c r="U176" s="145">
        <v>326.33300000000003</v>
      </c>
      <c r="V176" s="157">
        <v>0</v>
      </c>
      <c r="W176" s="157">
        <v>2.3337351404036099E-2</v>
      </c>
      <c r="X176" s="157">
        <v>6.5042486062968103E-3</v>
      </c>
    </row>
    <row r="177" spans="1:24">
      <c r="A177" s="5">
        <v>337</v>
      </c>
      <c r="B177" s="5">
        <v>9962</v>
      </c>
      <c r="C177" s="189" t="s">
        <v>1201</v>
      </c>
      <c r="D177" s="5" t="s">
        <v>1202</v>
      </c>
      <c r="E177" s="189" t="s">
        <v>727</v>
      </c>
      <c r="F177" s="5" t="s">
        <v>1203</v>
      </c>
      <c r="G177" s="5" t="s">
        <v>1204</v>
      </c>
      <c r="H177" s="5" t="s">
        <v>121</v>
      </c>
      <c r="I177" s="5" t="s">
        <v>920</v>
      </c>
      <c r="J177" s="5" t="s">
        <v>79</v>
      </c>
      <c r="K177" s="38" t="s">
        <v>80</v>
      </c>
      <c r="L177" s="3" t="s">
        <v>123</v>
      </c>
      <c r="M177" s="3" t="s">
        <v>1173</v>
      </c>
      <c r="N177" s="5" t="s">
        <v>1174</v>
      </c>
      <c r="O177" s="5" t="s">
        <v>125</v>
      </c>
      <c r="P177" s="5" t="s">
        <v>84</v>
      </c>
      <c r="Q177" s="145">
        <v>1134</v>
      </c>
      <c r="R177" s="156">
        <v>3.19</v>
      </c>
      <c r="S177" s="159">
        <v>3690</v>
      </c>
      <c r="U177" s="145">
        <v>133.48400000000001</v>
      </c>
      <c r="V177" s="157">
        <v>0</v>
      </c>
      <c r="W177" s="157">
        <v>9.5459783942854499E-3</v>
      </c>
      <c r="X177" s="157">
        <v>2.6605168509410402E-3</v>
      </c>
    </row>
    <row r="178" spans="1:24">
      <c r="A178" s="5">
        <v>337</v>
      </c>
      <c r="B178" s="5">
        <v>9962</v>
      </c>
      <c r="C178" s="189" t="s">
        <v>1205</v>
      </c>
      <c r="D178" s="5" t="s">
        <v>1206</v>
      </c>
      <c r="E178" s="189" t="s">
        <v>727</v>
      </c>
      <c r="F178" s="5" t="s">
        <v>1207</v>
      </c>
      <c r="G178" s="5" t="s">
        <v>1208</v>
      </c>
      <c r="H178" s="5" t="s">
        <v>121</v>
      </c>
      <c r="I178" s="5" t="s">
        <v>920</v>
      </c>
      <c r="J178" s="5" t="s">
        <v>79</v>
      </c>
      <c r="K178" s="38" t="s">
        <v>80</v>
      </c>
      <c r="L178" s="3" t="s">
        <v>123</v>
      </c>
      <c r="M178" s="3" t="s">
        <v>1180</v>
      </c>
      <c r="N178" s="5" t="s">
        <v>1209</v>
      </c>
      <c r="O178" s="5" t="s">
        <v>125</v>
      </c>
      <c r="P178" s="5" t="s">
        <v>84</v>
      </c>
      <c r="Q178" s="145">
        <v>164</v>
      </c>
      <c r="R178" s="156">
        <v>3.19</v>
      </c>
      <c r="S178" s="159">
        <v>32222</v>
      </c>
      <c r="U178" s="145">
        <v>168.57300000000001</v>
      </c>
      <c r="V178" s="157">
        <v>0</v>
      </c>
      <c r="W178" s="157">
        <v>1.20552818271866E-2</v>
      </c>
      <c r="X178" s="157">
        <v>3.3598735634341498E-3</v>
      </c>
    </row>
    <row r="179" spans="1:24">
      <c r="A179" s="5">
        <v>337</v>
      </c>
      <c r="B179" s="5">
        <v>9962</v>
      </c>
      <c r="C179" s="189" t="s">
        <v>2943</v>
      </c>
      <c r="D179" s="38" t="s">
        <v>2942</v>
      </c>
      <c r="E179" s="189" t="s">
        <v>727</v>
      </c>
      <c r="F179" s="5" t="s">
        <v>1210</v>
      </c>
      <c r="G179" s="5" t="s">
        <v>1211</v>
      </c>
      <c r="H179" s="5" t="s">
        <v>121</v>
      </c>
      <c r="I179" s="5" t="s">
        <v>920</v>
      </c>
      <c r="J179" s="5" t="s">
        <v>79</v>
      </c>
      <c r="K179" s="38" t="s">
        <v>80</v>
      </c>
      <c r="L179" s="3" t="s">
        <v>123</v>
      </c>
      <c r="M179" s="140" t="s">
        <v>1180</v>
      </c>
      <c r="N179" s="38" t="s">
        <v>1216</v>
      </c>
      <c r="O179" s="5" t="s">
        <v>125</v>
      </c>
      <c r="P179" s="5" t="s">
        <v>84</v>
      </c>
      <c r="Q179" s="145">
        <v>280</v>
      </c>
      <c r="R179" s="156">
        <v>3.19</v>
      </c>
      <c r="S179" s="159">
        <v>12748</v>
      </c>
      <c r="U179" s="145">
        <v>113.86499999999999</v>
      </c>
      <c r="V179" s="157">
        <v>0</v>
      </c>
      <c r="W179" s="157">
        <v>8.1429377075412993E-3</v>
      </c>
      <c r="X179" s="157">
        <v>2.2694816698983801E-3</v>
      </c>
    </row>
    <row r="180" spans="1:24">
      <c r="A180" s="5">
        <v>337</v>
      </c>
      <c r="B180" s="5">
        <v>9962</v>
      </c>
      <c r="C180" s="189" t="s">
        <v>1213</v>
      </c>
      <c r="D180" s="5" t="s">
        <v>1214</v>
      </c>
      <c r="E180" s="189" t="s">
        <v>727</v>
      </c>
      <c r="F180" s="5" t="s">
        <v>1213</v>
      </c>
      <c r="G180" s="5" t="s">
        <v>1215</v>
      </c>
      <c r="H180" s="5" t="s">
        <v>121</v>
      </c>
      <c r="I180" s="5" t="s">
        <v>920</v>
      </c>
      <c r="J180" s="5" t="s">
        <v>79</v>
      </c>
      <c r="K180" s="38" t="s">
        <v>80</v>
      </c>
      <c r="L180" s="3" t="s">
        <v>123</v>
      </c>
      <c r="M180" s="3" t="s">
        <v>1173</v>
      </c>
      <c r="N180" s="5" t="s">
        <v>1216</v>
      </c>
      <c r="O180" s="5" t="s">
        <v>125</v>
      </c>
      <c r="P180" s="5" t="s">
        <v>84</v>
      </c>
      <c r="Q180" s="145">
        <v>25</v>
      </c>
      <c r="R180" s="156">
        <v>3.19</v>
      </c>
      <c r="S180" s="159">
        <v>66009</v>
      </c>
      <c r="U180" s="145">
        <v>52.642000000000003</v>
      </c>
      <c r="V180" s="157">
        <v>0</v>
      </c>
      <c r="W180" s="157">
        <v>3.7646463810646299E-3</v>
      </c>
      <c r="X180" s="157">
        <v>1.0492277188321E-3</v>
      </c>
    </row>
    <row r="181" spans="1:24">
      <c r="A181" s="5">
        <v>337</v>
      </c>
      <c r="B181" s="5">
        <v>9962</v>
      </c>
      <c r="C181" s="189" t="s">
        <v>1217</v>
      </c>
      <c r="D181" s="5" t="s">
        <v>1218</v>
      </c>
      <c r="E181" s="189" t="s">
        <v>727</v>
      </c>
      <c r="F181" s="5" t="s">
        <v>1219</v>
      </c>
      <c r="G181" s="5" t="s">
        <v>1220</v>
      </c>
      <c r="H181" s="5" t="s">
        <v>121</v>
      </c>
      <c r="I181" s="5" t="s">
        <v>920</v>
      </c>
      <c r="J181" s="5" t="s">
        <v>79</v>
      </c>
      <c r="K181" s="38" t="s">
        <v>80</v>
      </c>
      <c r="L181" s="3" t="s">
        <v>123</v>
      </c>
      <c r="M181" s="3" t="s">
        <v>1173</v>
      </c>
      <c r="N181" s="5" t="s">
        <v>1221</v>
      </c>
      <c r="O181" s="5" t="s">
        <v>125</v>
      </c>
      <c r="P181" s="5" t="s">
        <v>84</v>
      </c>
      <c r="Q181" s="145">
        <v>81</v>
      </c>
      <c r="R181" s="156">
        <v>3.19</v>
      </c>
      <c r="S181" s="159">
        <v>48362</v>
      </c>
      <c r="U181" s="145">
        <v>124.96299999999999</v>
      </c>
      <c r="V181" s="157">
        <v>0</v>
      </c>
      <c r="W181" s="157">
        <v>8.93655840310556E-3</v>
      </c>
      <c r="X181" s="157">
        <v>2.49066813676366E-3</v>
      </c>
    </row>
    <row r="182" spans="1:24">
      <c r="A182" s="5">
        <v>337</v>
      </c>
      <c r="B182" s="5">
        <v>9962</v>
      </c>
      <c r="C182" s="189" t="s">
        <v>1222</v>
      </c>
      <c r="D182" s="5" t="s">
        <v>1223</v>
      </c>
      <c r="E182" s="189" t="s">
        <v>727</v>
      </c>
      <c r="F182" s="5" t="s">
        <v>1224</v>
      </c>
      <c r="G182" s="5" t="s">
        <v>1225</v>
      </c>
      <c r="H182" s="5" t="s">
        <v>121</v>
      </c>
      <c r="I182" s="5" t="s">
        <v>920</v>
      </c>
      <c r="J182" s="5" t="s">
        <v>79</v>
      </c>
      <c r="K182" s="38" t="s">
        <v>80</v>
      </c>
      <c r="L182" s="3" t="s">
        <v>123</v>
      </c>
      <c r="M182" s="3" t="s">
        <v>1180</v>
      </c>
      <c r="N182" s="5" t="s">
        <v>1226</v>
      </c>
      <c r="O182" s="5" t="s">
        <v>125</v>
      </c>
      <c r="P182" s="5" t="s">
        <v>84</v>
      </c>
      <c r="Q182" s="145">
        <v>463</v>
      </c>
      <c r="R182" s="156">
        <v>3.19</v>
      </c>
      <c r="S182" s="159">
        <v>13351</v>
      </c>
      <c r="U182" s="145">
        <v>197.19</v>
      </c>
      <c r="V182" s="157">
        <v>9.0000000000000002E-6</v>
      </c>
      <c r="W182" s="157">
        <v>1.4101840988322199E-2</v>
      </c>
      <c r="X182" s="157">
        <v>3.9302608940726203E-3</v>
      </c>
    </row>
    <row r="183" spans="1:24">
      <c r="A183" s="5">
        <v>337</v>
      </c>
      <c r="B183" s="5">
        <v>9962</v>
      </c>
      <c r="C183" s="189" t="s">
        <v>1095</v>
      </c>
      <c r="D183" s="5" t="s">
        <v>1096</v>
      </c>
      <c r="E183" s="189" t="s">
        <v>118</v>
      </c>
      <c r="F183" s="5" t="s">
        <v>1232</v>
      </c>
      <c r="G183" s="5" t="s">
        <v>1233</v>
      </c>
      <c r="H183" s="5" t="s">
        <v>121</v>
      </c>
      <c r="I183" s="5" t="s">
        <v>920</v>
      </c>
      <c r="J183" s="5" t="s">
        <v>79</v>
      </c>
      <c r="K183" s="38" t="s">
        <v>30</v>
      </c>
      <c r="L183" s="3" t="s">
        <v>123</v>
      </c>
      <c r="M183" s="3" t="s">
        <v>1173</v>
      </c>
      <c r="N183" s="5" t="s">
        <v>1221</v>
      </c>
      <c r="O183" s="5" t="s">
        <v>125</v>
      </c>
      <c r="P183" s="5" t="s">
        <v>84</v>
      </c>
      <c r="Q183" s="145">
        <v>53</v>
      </c>
      <c r="R183" s="156">
        <v>3.19</v>
      </c>
      <c r="S183" s="159">
        <v>11304</v>
      </c>
      <c r="U183" s="145">
        <v>19.111999999999998</v>
      </c>
      <c r="V183" s="157">
        <v>9.9999999999999995E-7</v>
      </c>
      <c r="W183" s="157">
        <v>1.36674988116917E-3</v>
      </c>
      <c r="X183" s="157">
        <v>3.8092073328481799E-4</v>
      </c>
    </row>
    <row r="184" spans="1:24">
      <c r="A184" s="5">
        <v>337</v>
      </c>
      <c r="B184" s="5">
        <v>9962</v>
      </c>
      <c r="C184" s="189" t="s">
        <v>1234</v>
      </c>
      <c r="D184" s="5" t="s">
        <v>1235</v>
      </c>
      <c r="E184" s="189" t="s">
        <v>727</v>
      </c>
      <c r="F184" s="5" t="s">
        <v>1234</v>
      </c>
      <c r="G184" s="5" t="s">
        <v>1236</v>
      </c>
      <c r="H184" s="5" t="s">
        <v>121</v>
      </c>
      <c r="I184" s="5" t="s">
        <v>920</v>
      </c>
      <c r="J184" s="5" t="s">
        <v>79</v>
      </c>
      <c r="K184" s="38" t="s">
        <v>80</v>
      </c>
      <c r="L184" s="3" t="s">
        <v>123</v>
      </c>
      <c r="M184" s="3" t="s">
        <v>1180</v>
      </c>
      <c r="N184" s="5" t="s">
        <v>1181</v>
      </c>
      <c r="O184" s="5" t="s">
        <v>125</v>
      </c>
      <c r="P184" s="5" t="s">
        <v>84</v>
      </c>
      <c r="Q184" s="145">
        <v>300</v>
      </c>
      <c r="R184" s="156">
        <v>3.19</v>
      </c>
      <c r="S184" s="159">
        <v>6371</v>
      </c>
      <c r="T184" s="143">
        <v>0.123</v>
      </c>
      <c r="U184" s="145">
        <v>61.363</v>
      </c>
      <c r="V184" s="157">
        <v>0</v>
      </c>
      <c r="W184" s="157">
        <v>4.3882947953254401E-3</v>
      </c>
      <c r="X184" s="157">
        <v>1.2230419730312101E-3</v>
      </c>
    </row>
    <row r="185" spans="1:24">
      <c r="A185" s="5">
        <v>337</v>
      </c>
      <c r="B185" s="5">
        <v>9962</v>
      </c>
      <c r="C185" s="189" t="s">
        <v>1237</v>
      </c>
      <c r="D185" s="5" t="s">
        <v>1238</v>
      </c>
      <c r="E185" s="189" t="s">
        <v>727</v>
      </c>
      <c r="F185" s="5" t="s">
        <v>1239</v>
      </c>
      <c r="G185" s="5" t="s">
        <v>1240</v>
      </c>
      <c r="H185" s="5" t="s">
        <v>121</v>
      </c>
      <c r="I185" s="5" t="s">
        <v>920</v>
      </c>
      <c r="J185" s="5" t="s">
        <v>79</v>
      </c>
      <c r="K185" s="38" t="s">
        <v>80</v>
      </c>
      <c r="L185" s="3" t="s">
        <v>123</v>
      </c>
      <c r="M185" s="3" t="s">
        <v>1173</v>
      </c>
      <c r="N185" s="5" t="s">
        <v>1174</v>
      </c>
      <c r="O185" s="5" t="s">
        <v>125</v>
      </c>
      <c r="P185" s="5" t="s">
        <v>84</v>
      </c>
      <c r="Q185" s="145">
        <v>44</v>
      </c>
      <c r="R185" s="156">
        <v>3.19</v>
      </c>
      <c r="S185" s="159">
        <v>18650</v>
      </c>
      <c r="U185" s="145">
        <v>26.177</v>
      </c>
      <c r="V185" s="157">
        <v>0</v>
      </c>
      <c r="W185" s="157">
        <v>1.87202885685384E-3</v>
      </c>
      <c r="X185" s="157">
        <v>5.2174477181816004E-4</v>
      </c>
    </row>
    <row r="186" spans="1:24">
      <c r="A186" s="5">
        <v>337</v>
      </c>
      <c r="B186" s="5">
        <v>9962</v>
      </c>
      <c r="C186" s="189" t="s">
        <v>921</v>
      </c>
      <c r="D186" s="5" t="s">
        <v>922</v>
      </c>
      <c r="E186" s="189" t="s">
        <v>727</v>
      </c>
      <c r="F186" s="5" t="s">
        <v>1241</v>
      </c>
      <c r="G186" s="5" t="s">
        <v>924</v>
      </c>
      <c r="H186" s="5" t="s">
        <v>121</v>
      </c>
      <c r="I186" s="5" t="s">
        <v>920</v>
      </c>
      <c r="J186" s="5" t="s">
        <v>79</v>
      </c>
      <c r="K186" s="38" t="s">
        <v>80</v>
      </c>
      <c r="L186" s="3" t="s">
        <v>123</v>
      </c>
      <c r="M186" s="3" t="s">
        <v>1180</v>
      </c>
      <c r="N186" s="5" t="s">
        <v>1242</v>
      </c>
      <c r="O186" s="5" t="s">
        <v>125</v>
      </c>
      <c r="P186" s="5" t="s">
        <v>84</v>
      </c>
      <c r="Q186" s="145">
        <v>70</v>
      </c>
      <c r="R186" s="156">
        <v>3.19</v>
      </c>
      <c r="S186" s="159">
        <v>11047</v>
      </c>
      <c r="U186" s="145">
        <v>24.667999999999999</v>
      </c>
      <c r="V186" s="157">
        <v>9.9999999999999995E-7</v>
      </c>
      <c r="W186" s="157">
        <v>1.76410089534062E-3</v>
      </c>
      <c r="X186" s="157">
        <v>4.9166465342342805E-4</v>
      </c>
    </row>
    <row r="187" spans="1:24">
      <c r="A187" s="5">
        <v>337</v>
      </c>
      <c r="B187" s="5">
        <v>9962</v>
      </c>
      <c r="C187" s="189" t="s">
        <v>1243</v>
      </c>
      <c r="D187" s="5" t="s">
        <v>1244</v>
      </c>
      <c r="E187" s="189" t="s">
        <v>727</v>
      </c>
      <c r="F187" s="5" t="s">
        <v>1245</v>
      </c>
      <c r="G187" s="5" t="s">
        <v>1246</v>
      </c>
      <c r="H187" s="5" t="s">
        <v>121</v>
      </c>
      <c r="I187" s="5" t="s">
        <v>920</v>
      </c>
      <c r="J187" s="5" t="s">
        <v>79</v>
      </c>
      <c r="K187" s="38" t="s">
        <v>80</v>
      </c>
      <c r="L187" s="3" t="s">
        <v>123</v>
      </c>
      <c r="M187" s="3" t="s">
        <v>1173</v>
      </c>
      <c r="N187" s="5" t="s">
        <v>1221</v>
      </c>
      <c r="O187" s="5" t="s">
        <v>125</v>
      </c>
      <c r="P187" s="5" t="s">
        <v>84</v>
      </c>
      <c r="Q187" s="145">
        <v>88</v>
      </c>
      <c r="R187" s="156">
        <v>3.19</v>
      </c>
      <c r="S187" s="159">
        <v>18420</v>
      </c>
      <c r="U187" s="145">
        <v>51.709000000000003</v>
      </c>
      <c r="V187" s="157">
        <v>0</v>
      </c>
      <c r="W187" s="157">
        <v>3.69788434780138E-3</v>
      </c>
      <c r="X187" s="157">
        <v>1.0306207717845101E-3</v>
      </c>
    </row>
    <row r="188" spans="1:24">
      <c r="A188" s="5">
        <v>337</v>
      </c>
      <c r="B188" s="5">
        <v>9962</v>
      </c>
      <c r="C188" s="189" t="s">
        <v>1247</v>
      </c>
      <c r="D188" s="5" t="s">
        <v>1248</v>
      </c>
      <c r="E188" s="189" t="s">
        <v>727</v>
      </c>
      <c r="F188" s="5" t="s">
        <v>1249</v>
      </c>
      <c r="G188" s="5" t="s">
        <v>1250</v>
      </c>
      <c r="H188" s="5" t="s">
        <v>121</v>
      </c>
      <c r="I188" s="5" t="s">
        <v>920</v>
      </c>
      <c r="J188" s="5" t="s">
        <v>79</v>
      </c>
      <c r="K188" s="38" t="s">
        <v>956</v>
      </c>
      <c r="L188" s="3" t="s">
        <v>123</v>
      </c>
      <c r="M188" s="3" t="s">
        <v>1251</v>
      </c>
      <c r="N188" s="5" t="s">
        <v>1252</v>
      </c>
      <c r="O188" s="5" t="s">
        <v>125</v>
      </c>
      <c r="P188" s="5" t="s">
        <v>1253</v>
      </c>
      <c r="Q188" s="145">
        <v>700</v>
      </c>
      <c r="R188" s="156">
        <v>4.29</v>
      </c>
      <c r="S188" s="159">
        <v>1796</v>
      </c>
      <c r="U188" s="145">
        <v>53.933999999999997</v>
      </c>
      <c r="V188" s="157">
        <v>1.5999999999999999E-5</v>
      </c>
      <c r="W188" s="157">
        <v>3.85702103904752E-3</v>
      </c>
      <c r="X188" s="157">
        <v>1.07497304571348E-3</v>
      </c>
    </row>
    <row r="189" spans="1:24">
      <c r="A189" s="5">
        <v>337</v>
      </c>
      <c r="B189" s="5">
        <v>9962</v>
      </c>
      <c r="C189" s="189" t="s">
        <v>1254</v>
      </c>
      <c r="D189" s="5" t="s">
        <v>1255</v>
      </c>
      <c r="E189" s="189" t="s">
        <v>727</v>
      </c>
      <c r="F189" s="5" t="s">
        <v>1256</v>
      </c>
      <c r="G189" s="5" t="s">
        <v>1257</v>
      </c>
      <c r="H189" s="5" t="s">
        <v>121</v>
      </c>
      <c r="I189" s="5" t="s">
        <v>920</v>
      </c>
      <c r="J189" s="5" t="s">
        <v>79</v>
      </c>
      <c r="K189" s="38" t="s">
        <v>80</v>
      </c>
      <c r="L189" s="3" t="s">
        <v>123</v>
      </c>
      <c r="M189" s="3" t="s">
        <v>1180</v>
      </c>
      <c r="N189" s="5" t="s">
        <v>1258</v>
      </c>
      <c r="O189" s="5" t="s">
        <v>125</v>
      </c>
      <c r="P189" s="5" t="s">
        <v>84</v>
      </c>
      <c r="Q189" s="145">
        <v>97</v>
      </c>
      <c r="R189" s="156">
        <v>3.19</v>
      </c>
      <c r="S189" s="159">
        <v>42206</v>
      </c>
      <c r="U189" s="145">
        <v>130.59800000000001</v>
      </c>
      <c r="V189" s="157">
        <v>9.9999999999999995E-7</v>
      </c>
      <c r="W189" s="157">
        <v>9.3395715859617597E-3</v>
      </c>
      <c r="X189" s="157">
        <v>2.6029901345572199E-3</v>
      </c>
    </row>
    <row r="190" spans="1:24">
      <c r="A190" s="5">
        <v>337</v>
      </c>
      <c r="B190" s="5">
        <v>9962</v>
      </c>
      <c r="C190" s="189" t="s">
        <v>1259</v>
      </c>
      <c r="D190" s="5" t="s">
        <v>1260</v>
      </c>
      <c r="E190" s="189" t="s">
        <v>727</v>
      </c>
      <c r="F190" s="5" t="s">
        <v>1261</v>
      </c>
      <c r="G190" s="5" t="s">
        <v>1262</v>
      </c>
      <c r="H190" s="5" t="s">
        <v>121</v>
      </c>
      <c r="I190" s="5" t="s">
        <v>920</v>
      </c>
      <c r="J190" s="5" t="s">
        <v>79</v>
      </c>
      <c r="K190" s="38" t="s">
        <v>1179</v>
      </c>
      <c r="L190" s="3" t="s">
        <v>123</v>
      </c>
      <c r="M190" s="3" t="s">
        <v>1180</v>
      </c>
      <c r="N190" s="5" t="s">
        <v>1174</v>
      </c>
      <c r="O190" s="5" t="s">
        <v>125</v>
      </c>
      <c r="P190" s="5" t="s">
        <v>84</v>
      </c>
      <c r="Q190" s="145">
        <v>100</v>
      </c>
      <c r="R190" s="156">
        <v>3.19</v>
      </c>
      <c r="S190" s="159">
        <v>30389</v>
      </c>
      <c r="T190" s="143">
        <v>6.3E-2</v>
      </c>
      <c r="U190" s="145">
        <v>97.141000000000005</v>
      </c>
      <c r="V190" s="157">
        <v>0</v>
      </c>
      <c r="W190" s="157">
        <v>6.9469477257963902E-3</v>
      </c>
      <c r="X190" s="157">
        <v>1.93615266279589E-3</v>
      </c>
    </row>
    <row r="191" spans="1:24">
      <c r="A191" s="5">
        <v>337</v>
      </c>
      <c r="B191" s="5">
        <v>9962</v>
      </c>
      <c r="C191" s="189" t="s">
        <v>1036</v>
      </c>
      <c r="D191" s="5" t="s">
        <v>1037</v>
      </c>
      <c r="E191" s="189" t="s">
        <v>118</v>
      </c>
      <c r="F191" s="5" t="s">
        <v>1263</v>
      </c>
      <c r="G191" s="5" t="s">
        <v>1039</v>
      </c>
      <c r="H191" s="5" t="s">
        <v>121</v>
      </c>
      <c r="I191" s="5" t="s">
        <v>920</v>
      </c>
      <c r="J191" s="5" t="s">
        <v>79</v>
      </c>
      <c r="K191" s="38" t="s">
        <v>138</v>
      </c>
      <c r="L191" s="3" t="s">
        <v>123</v>
      </c>
      <c r="M191" s="3" t="s">
        <v>1173</v>
      </c>
      <c r="N191" s="5" t="s">
        <v>1174</v>
      </c>
      <c r="O191" s="5" t="s">
        <v>125</v>
      </c>
      <c r="P191" s="5" t="s">
        <v>84</v>
      </c>
      <c r="Q191" s="145">
        <v>420</v>
      </c>
      <c r="R191" s="156">
        <v>3.19</v>
      </c>
      <c r="S191" s="159">
        <v>11742</v>
      </c>
      <c r="U191" s="145">
        <v>157.31899999999999</v>
      </c>
      <c r="V191" s="157">
        <v>3.9999999999999998E-6</v>
      </c>
      <c r="W191" s="157">
        <v>1.1250514735089799E-2</v>
      </c>
      <c r="X191" s="157">
        <v>3.1355805343520702E-3</v>
      </c>
    </row>
    <row r="192" spans="1:24">
      <c r="A192" s="5">
        <v>337</v>
      </c>
      <c r="B192" s="5">
        <v>9962</v>
      </c>
      <c r="C192" s="189" t="s">
        <v>1264</v>
      </c>
      <c r="D192" s="5" t="s">
        <v>1265</v>
      </c>
      <c r="E192" s="189" t="s">
        <v>727</v>
      </c>
      <c r="F192" s="5" t="s">
        <v>1266</v>
      </c>
      <c r="G192" s="5" t="s">
        <v>1267</v>
      </c>
      <c r="H192" s="5" t="s">
        <v>121</v>
      </c>
      <c r="I192" s="5" t="s">
        <v>920</v>
      </c>
      <c r="J192" s="5" t="s">
        <v>79</v>
      </c>
      <c r="K192" s="38" t="s">
        <v>80</v>
      </c>
      <c r="L192" s="3" t="s">
        <v>123</v>
      </c>
      <c r="M192" s="3" t="s">
        <v>1180</v>
      </c>
      <c r="N192" s="5" t="s">
        <v>1268</v>
      </c>
      <c r="O192" s="5" t="s">
        <v>125</v>
      </c>
      <c r="P192" s="5" t="s">
        <v>84</v>
      </c>
      <c r="Q192" s="145">
        <v>349</v>
      </c>
      <c r="R192" s="156">
        <v>3.19</v>
      </c>
      <c r="S192" s="159">
        <v>8171</v>
      </c>
      <c r="U192" s="145">
        <v>90.968999999999994</v>
      </c>
      <c r="V192" s="157">
        <v>0</v>
      </c>
      <c r="W192" s="157">
        <v>6.5055147190886198E-3</v>
      </c>
      <c r="X192" s="157">
        <v>1.8131228481033899E-3</v>
      </c>
    </row>
    <row r="193" spans="1:24">
      <c r="A193" s="5">
        <v>337</v>
      </c>
      <c r="B193" s="5">
        <v>9963</v>
      </c>
      <c r="C193" s="189" t="s">
        <v>148</v>
      </c>
      <c r="D193" s="5" t="s">
        <v>149</v>
      </c>
      <c r="E193" s="189" t="s">
        <v>118</v>
      </c>
      <c r="F193" s="5" t="s">
        <v>918</v>
      </c>
      <c r="G193" s="5" t="s">
        <v>919</v>
      </c>
      <c r="H193" s="5" t="s">
        <v>121</v>
      </c>
      <c r="I193" s="5" t="s">
        <v>920</v>
      </c>
      <c r="J193" s="5" t="s">
        <v>30</v>
      </c>
      <c r="K193" s="38" t="s">
        <v>30</v>
      </c>
      <c r="L193" s="3" t="s">
        <v>123</v>
      </c>
      <c r="M193" s="3" t="s">
        <v>31</v>
      </c>
      <c r="N193" s="5" t="s">
        <v>152</v>
      </c>
      <c r="O193" s="5" t="s">
        <v>125</v>
      </c>
      <c r="P193" s="5" t="s">
        <v>34</v>
      </c>
      <c r="Q193" s="145">
        <v>93439</v>
      </c>
      <c r="R193" s="156">
        <v>1</v>
      </c>
      <c r="S193" s="159">
        <v>7459</v>
      </c>
      <c r="U193" s="145">
        <v>6969.6149999999998</v>
      </c>
      <c r="V193" s="157">
        <v>3.1E-4</v>
      </c>
      <c r="W193" s="157">
        <v>2.4928211698207099E-2</v>
      </c>
      <c r="X193" s="157">
        <v>5.9806123195642697E-3</v>
      </c>
    </row>
    <row r="194" spans="1:24">
      <c r="A194" s="5">
        <v>337</v>
      </c>
      <c r="B194" s="5">
        <v>9963</v>
      </c>
      <c r="C194" s="189" t="s">
        <v>921</v>
      </c>
      <c r="D194" s="5" t="s">
        <v>922</v>
      </c>
      <c r="E194" s="189" t="s">
        <v>727</v>
      </c>
      <c r="F194" s="5" t="s">
        <v>923</v>
      </c>
      <c r="G194" s="5" t="s">
        <v>924</v>
      </c>
      <c r="H194" s="5" t="s">
        <v>121</v>
      </c>
      <c r="I194" s="5" t="s">
        <v>920</v>
      </c>
      <c r="J194" s="5" t="s">
        <v>30</v>
      </c>
      <c r="K194" s="38" t="s">
        <v>80</v>
      </c>
      <c r="L194" s="3" t="s">
        <v>123</v>
      </c>
      <c r="M194" s="3" t="s">
        <v>31</v>
      </c>
      <c r="N194" s="5" t="s">
        <v>228</v>
      </c>
      <c r="O194" s="5" t="s">
        <v>125</v>
      </c>
      <c r="P194" s="5" t="s">
        <v>34</v>
      </c>
      <c r="Q194" s="145">
        <v>9356</v>
      </c>
      <c r="R194" s="156">
        <v>1</v>
      </c>
      <c r="S194" s="159">
        <v>35050</v>
      </c>
      <c r="U194" s="145">
        <v>3279.2779999999998</v>
      </c>
      <c r="V194" s="157">
        <v>1.64E-4</v>
      </c>
      <c r="W194" s="157">
        <v>1.17289887725482E-2</v>
      </c>
      <c r="X194" s="157">
        <v>2.8139417138445498E-3</v>
      </c>
    </row>
    <row r="195" spans="1:24">
      <c r="A195" s="5">
        <v>337</v>
      </c>
      <c r="B195" s="5">
        <v>9963</v>
      </c>
      <c r="C195" s="189" t="s">
        <v>161</v>
      </c>
      <c r="D195" s="5" t="s">
        <v>162</v>
      </c>
      <c r="E195" s="189" t="s">
        <v>118</v>
      </c>
      <c r="F195" s="5" t="s">
        <v>929</v>
      </c>
      <c r="G195" s="5" t="s">
        <v>930</v>
      </c>
      <c r="H195" s="5" t="s">
        <v>121</v>
      </c>
      <c r="I195" s="5" t="s">
        <v>920</v>
      </c>
      <c r="J195" s="5" t="s">
        <v>30</v>
      </c>
      <c r="K195" s="38" t="s">
        <v>30</v>
      </c>
      <c r="L195" s="3" t="s">
        <v>123</v>
      </c>
      <c r="M195" s="3" t="s">
        <v>31</v>
      </c>
      <c r="N195" s="5" t="s">
        <v>144</v>
      </c>
      <c r="O195" s="5" t="s">
        <v>125</v>
      </c>
      <c r="P195" s="5" t="s">
        <v>34</v>
      </c>
      <c r="Q195" s="145">
        <v>198052</v>
      </c>
      <c r="R195" s="156">
        <v>1</v>
      </c>
      <c r="S195" s="159">
        <v>1830</v>
      </c>
      <c r="U195" s="145">
        <v>3624.3519999999999</v>
      </c>
      <c r="V195" s="157">
        <v>1.5100000000000001E-4</v>
      </c>
      <c r="W195" s="157">
        <v>1.29632130073044E-2</v>
      </c>
      <c r="X195" s="157">
        <v>3.1100486609794099E-3</v>
      </c>
    </row>
    <row r="196" spans="1:24">
      <c r="A196" s="5">
        <v>337</v>
      </c>
      <c r="B196" s="5">
        <v>9963</v>
      </c>
      <c r="C196" s="189" t="s">
        <v>931</v>
      </c>
      <c r="D196" s="5" t="s">
        <v>932</v>
      </c>
      <c r="E196" s="189" t="s">
        <v>118</v>
      </c>
      <c r="F196" s="5" t="s">
        <v>933</v>
      </c>
      <c r="G196" s="5" t="s">
        <v>934</v>
      </c>
      <c r="H196" s="5" t="s">
        <v>121</v>
      </c>
      <c r="I196" s="5" t="s">
        <v>920</v>
      </c>
      <c r="J196" s="5" t="s">
        <v>30</v>
      </c>
      <c r="K196" s="38" t="s">
        <v>30</v>
      </c>
      <c r="L196" s="3" t="s">
        <v>123</v>
      </c>
      <c r="M196" s="3" t="s">
        <v>31</v>
      </c>
      <c r="N196" s="5" t="s">
        <v>159</v>
      </c>
      <c r="O196" s="5" t="s">
        <v>125</v>
      </c>
      <c r="P196" s="5" t="s">
        <v>34</v>
      </c>
      <c r="Q196" s="145">
        <v>9613</v>
      </c>
      <c r="R196" s="156">
        <v>1</v>
      </c>
      <c r="S196" s="159">
        <v>24170</v>
      </c>
      <c r="U196" s="145">
        <v>2323.462</v>
      </c>
      <c r="V196" s="157">
        <v>6.4999999999999997E-4</v>
      </c>
      <c r="W196" s="157">
        <v>8.3103234566698006E-3</v>
      </c>
      <c r="X196" s="157">
        <v>1.9937580539761699E-3</v>
      </c>
    </row>
    <row r="197" spans="1:24">
      <c r="A197" s="5">
        <v>337</v>
      </c>
      <c r="B197" s="5">
        <v>9963</v>
      </c>
      <c r="C197" s="189" t="s">
        <v>935</v>
      </c>
      <c r="D197" s="5" t="s">
        <v>936</v>
      </c>
      <c r="E197" s="189" t="s">
        <v>118</v>
      </c>
      <c r="F197" s="5" t="s">
        <v>937</v>
      </c>
      <c r="G197" s="5" t="s">
        <v>938</v>
      </c>
      <c r="H197" s="5" t="s">
        <v>121</v>
      </c>
      <c r="I197" s="5" t="s">
        <v>920</v>
      </c>
      <c r="J197" s="5" t="s">
        <v>30</v>
      </c>
      <c r="K197" s="38" t="s">
        <v>30</v>
      </c>
      <c r="L197" s="3" t="s">
        <v>123</v>
      </c>
      <c r="M197" s="3" t="s">
        <v>31</v>
      </c>
      <c r="N197" s="5" t="s">
        <v>724</v>
      </c>
      <c r="O197" s="5" t="s">
        <v>125</v>
      </c>
      <c r="P197" s="5" t="s">
        <v>34</v>
      </c>
      <c r="Q197" s="145">
        <v>84000</v>
      </c>
      <c r="R197" s="156">
        <v>1</v>
      </c>
      <c r="S197" s="159">
        <v>2200</v>
      </c>
      <c r="U197" s="145">
        <v>1848</v>
      </c>
      <c r="V197" s="157">
        <v>5.6300000000000002E-4</v>
      </c>
      <c r="W197" s="157">
        <v>6.6097388668081899E-3</v>
      </c>
      <c r="X197" s="157">
        <v>1.5857650029014699E-3</v>
      </c>
    </row>
    <row r="198" spans="1:24">
      <c r="A198" s="5">
        <v>337</v>
      </c>
      <c r="B198" s="5">
        <v>9963</v>
      </c>
      <c r="C198" s="189" t="s">
        <v>941</v>
      </c>
      <c r="D198" s="5" t="s">
        <v>942</v>
      </c>
      <c r="E198" s="189" t="s">
        <v>118</v>
      </c>
      <c r="F198" s="5" t="s">
        <v>943</v>
      </c>
      <c r="G198" s="5" t="s">
        <v>944</v>
      </c>
      <c r="H198" s="5" t="s">
        <v>121</v>
      </c>
      <c r="I198" s="5" t="s">
        <v>920</v>
      </c>
      <c r="J198" s="5" t="s">
        <v>30</v>
      </c>
      <c r="K198" s="38" t="s">
        <v>30</v>
      </c>
      <c r="L198" s="3" t="s">
        <v>123</v>
      </c>
      <c r="M198" s="3" t="s">
        <v>31</v>
      </c>
      <c r="N198" s="5" t="s">
        <v>945</v>
      </c>
      <c r="O198" s="5" t="s">
        <v>125</v>
      </c>
      <c r="P198" s="5" t="s">
        <v>34</v>
      </c>
      <c r="Q198" s="145">
        <v>5303</v>
      </c>
      <c r="R198" s="156">
        <v>1</v>
      </c>
      <c r="S198" s="159">
        <v>183600</v>
      </c>
      <c r="T198" s="143">
        <v>12.686999999999999</v>
      </c>
      <c r="U198" s="145">
        <v>9748.9950000000008</v>
      </c>
      <c r="V198" s="157">
        <v>1.1400000000000001E-4</v>
      </c>
      <c r="W198" s="157">
        <v>3.4869217535717797E-2</v>
      </c>
      <c r="X198" s="157">
        <v>8.3655929471538708E-3</v>
      </c>
    </row>
    <row r="199" spans="1:24">
      <c r="A199" s="5">
        <v>337</v>
      </c>
      <c r="B199" s="5">
        <v>9963</v>
      </c>
      <c r="C199" s="189" t="s">
        <v>946</v>
      </c>
      <c r="D199" s="5" t="s">
        <v>947</v>
      </c>
      <c r="E199" s="189" t="s">
        <v>118</v>
      </c>
      <c r="F199" s="5" t="s">
        <v>948</v>
      </c>
      <c r="G199" s="5" t="s">
        <v>949</v>
      </c>
      <c r="H199" s="5" t="s">
        <v>121</v>
      </c>
      <c r="I199" s="5" t="s">
        <v>920</v>
      </c>
      <c r="J199" s="5" t="s">
        <v>30</v>
      </c>
      <c r="K199" s="38" t="s">
        <v>30</v>
      </c>
      <c r="L199" s="3" t="s">
        <v>123</v>
      </c>
      <c r="M199" s="3" t="s">
        <v>31</v>
      </c>
      <c r="N199" s="5" t="s">
        <v>139</v>
      </c>
      <c r="O199" s="5" t="s">
        <v>125</v>
      </c>
      <c r="P199" s="5" t="s">
        <v>34</v>
      </c>
      <c r="Q199" s="145">
        <v>18928</v>
      </c>
      <c r="R199" s="156">
        <v>1</v>
      </c>
      <c r="S199" s="159">
        <v>4725</v>
      </c>
      <c r="U199" s="145">
        <v>894.34799999999996</v>
      </c>
      <c r="V199" s="157">
        <v>2.9E-4</v>
      </c>
      <c r="W199" s="157">
        <v>3.1988131688594E-3</v>
      </c>
      <c r="X199" s="157">
        <v>7.67438181176906E-4</v>
      </c>
    </row>
    <row r="200" spans="1:24">
      <c r="A200" s="5">
        <v>337</v>
      </c>
      <c r="B200" s="5">
        <v>9963</v>
      </c>
      <c r="C200" s="189" t="s">
        <v>224</v>
      </c>
      <c r="D200" s="5" t="s">
        <v>225</v>
      </c>
      <c r="E200" s="189" t="s">
        <v>118</v>
      </c>
      <c r="F200" s="5" t="s">
        <v>952</v>
      </c>
      <c r="G200" s="5" t="s">
        <v>953</v>
      </c>
      <c r="H200" s="5" t="s">
        <v>121</v>
      </c>
      <c r="I200" s="5" t="s">
        <v>920</v>
      </c>
      <c r="J200" s="5" t="s">
        <v>30</v>
      </c>
      <c r="K200" s="38" t="s">
        <v>80</v>
      </c>
      <c r="L200" s="3" t="s">
        <v>123</v>
      </c>
      <c r="M200" s="3" t="s">
        <v>31</v>
      </c>
      <c r="N200" s="5" t="s">
        <v>228</v>
      </c>
      <c r="O200" s="5" t="s">
        <v>125</v>
      </c>
      <c r="P200" s="5" t="s">
        <v>34</v>
      </c>
      <c r="Q200" s="145">
        <v>56982.6</v>
      </c>
      <c r="R200" s="156">
        <v>1</v>
      </c>
      <c r="S200" s="159">
        <v>14480</v>
      </c>
      <c r="U200" s="145">
        <v>8251.08</v>
      </c>
      <c r="V200" s="157">
        <v>4.3100000000000001E-4</v>
      </c>
      <c r="W200" s="157">
        <v>2.95116273494688E-2</v>
      </c>
      <c r="X200" s="157">
        <v>7.0802352063351996E-3</v>
      </c>
    </row>
    <row r="201" spans="1:24">
      <c r="A201" s="5">
        <v>337</v>
      </c>
      <c r="B201" s="5">
        <v>9963</v>
      </c>
      <c r="C201" s="189" t="s">
        <v>725</v>
      </c>
      <c r="D201" s="5" t="s">
        <v>726</v>
      </c>
      <c r="E201" s="189" t="s">
        <v>727</v>
      </c>
      <c r="F201" s="5" t="s">
        <v>954</v>
      </c>
      <c r="G201" s="5" t="s">
        <v>955</v>
      </c>
      <c r="H201" s="5" t="s">
        <v>121</v>
      </c>
      <c r="I201" s="5" t="s">
        <v>920</v>
      </c>
      <c r="J201" s="5" t="s">
        <v>30</v>
      </c>
      <c r="K201" s="38" t="s">
        <v>956</v>
      </c>
      <c r="L201" s="3" t="s">
        <v>123</v>
      </c>
      <c r="M201" s="3" t="s">
        <v>31</v>
      </c>
      <c r="N201" s="5" t="s">
        <v>377</v>
      </c>
      <c r="O201" s="5" t="s">
        <v>125</v>
      </c>
      <c r="P201" s="5" t="s">
        <v>34</v>
      </c>
      <c r="Q201" s="145">
        <v>47473</v>
      </c>
      <c r="R201" s="156">
        <v>1</v>
      </c>
      <c r="S201" s="159">
        <v>3960</v>
      </c>
      <c r="U201" s="145">
        <v>1879.931</v>
      </c>
      <c r="V201" s="157">
        <v>2.5799999999999998E-4</v>
      </c>
      <c r="W201" s="157">
        <v>6.7239457119425399E-3</v>
      </c>
      <c r="X201" s="157">
        <v>1.6131647567730299E-3</v>
      </c>
    </row>
    <row r="202" spans="1:24">
      <c r="A202" s="5">
        <v>337</v>
      </c>
      <c r="B202" s="5">
        <v>9963</v>
      </c>
      <c r="C202" s="189" t="s">
        <v>961</v>
      </c>
      <c r="D202" s="5" t="s">
        <v>962</v>
      </c>
      <c r="E202" s="189" t="s">
        <v>118</v>
      </c>
      <c r="F202" s="5" t="s">
        <v>963</v>
      </c>
      <c r="G202" s="5" t="s">
        <v>964</v>
      </c>
      <c r="H202" s="5" t="s">
        <v>121</v>
      </c>
      <c r="I202" s="5" t="s">
        <v>920</v>
      </c>
      <c r="J202" s="5" t="s">
        <v>30</v>
      </c>
      <c r="K202" s="38" t="s">
        <v>30</v>
      </c>
      <c r="L202" s="3" t="s">
        <v>123</v>
      </c>
      <c r="M202" s="3" t="s">
        <v>31</v>
      </c>
      <c r="N202" s="5" t="s">
        <v>945</v>
      </c>
      <c r="O202" s="5" t="s">
        <v>125</v>
      </c>
      <c r="P202" s="5" t="s">
        <v>34</v>
      </c>
      <c r="Q202" s="145">
        <v>46000</v>
      </c>
      <c r="R202" s="156">
        <v>1</v>
      </c>
      <c r="S202" s="159">
        <v>2944</v>
      </c>
      <c r="U202" s="145">
        <v>1354.24</v>
      </c>
      <c r="V202" s="157">
        <v>6.2E-4</v>
      </c>
      <c r="W202" s="157">
        <v>4.8437082050791797E-3</v>
      </c>
      <c r="X202" s="157">
        <v>1.1620705614336E-3</v>
      </c>
    </row>
    <row r="203" spans="1:24">
      <c r="A203" s="5">
        <v>337</v>
      </c>
      <c r="B203" s="5">
        <v>9963</v>
      </c>
      <c r="C203" s="189" t="s">
        <v>965</v>
      </c>
      <c r="D203" s="5" t="s">
        <v>966</v>
      </c>
      <c r="E203" s="189" t="s">
        <v>269</v>
      </c>
      <c r="F203" s="5" t="s">
        <v>965</v>
      </c>
      <c r="G203" s="5" t="s">
        <v>967</v>
      </c>
      <c r="H203" s="5" t="s">
        <v>121</v>
      </c>
      <c r="I203" s="5" t="s">
        <v>920</v>
      </c>
      <c r="J203" s="5" t="s">
        <v>30</v>
      </c>
      <c r="K203" s="38" t="s">
        <v>968</v>
      </c>
      <c r="L203" s="3" t="s">
        <v>123</v>
      </c>
      <c r="M203" s="3" t="s">
        <v>31</v>
      </c>
      <c r="N203" s="5" t="s">
        <v>139</v>
      </c>
      <c r="O203" s="5" t="s">
        <v>125</v>
      </c>
      <c r="P203" s="5" t="s">
        <v>34</v>
      </c>
      <c r="Q203" s="145">
        <v>26578</v>
      </c>
      <c r="R203" s="156">
        <v>1</v>
      </c>
      <c r="S203" s="159">
        <v>12990</v>
      </c>
      <c r="U203" s="145">
        <v>3452.482</v>
      </c>
      <c r="V203" s="157">
        <v>1.2210000000000001E-3</v>
      </c>
      <c r="W203" s="157">
        <v>1.23484879785192E-2</v>
      </c>
      <c r="X203" s="157">
        <v>2.9625678819806701E-3</v>
      </c>
    </row>
    <row r="204" spans="1:24">
      <c r="A204" s="5">
        <v>337</v>
      </c>
      <c r="B204" s="5">
        <v>9963</v>
      </c>
      <c r="C204" s="189" t="s">
        <v>292</v>
      </c>
      <c r="D204" s="5" t="s">
        <v>293</v>
      </c>
      <c r="E204" s="189" t="s">
        <v>118</v>
      </c>
      <c r="F204" s="5" t="s">
        <v>969</v>
      </c>
      <c r="G204" s="5" t="s">
        <v>970</v>
      </c>
      <c r="H204" s="5" t="s">
        <v>121</v>
      </c>
      <c r="I204" s="5" t="s">
        <v>920</v>
      </c>
      <c r="J204" s="5" t="s">
        <v>30</v>
      </c>
      <c r="K204" s="38" t="s">
        <v>30</v>
      </c>
      <c r="L204" s="3" t="s">
        <v>123</v>
      </c>
      <c r="M204" s="3" t="s">
        <v>31</v>
      </c>
      <c r="N204" s="5" t="s">
        <v>124</v>
      </c>
      <c r="O204" s="5" t="s">
        <v>125</v>
      </c>
      <c r="P204" s="5" t="s">
        <v>34</v>
      </c>
      <c r="Q204" s="145">
        <v>21000</v>
      </c>
      <c r="R204" s="156">
        <v>1</v>
      </c>
      <c r="S204" s="159">
        <v>7015</v>
      </c>
      <c r="U204" s="145">
        <v>1473.15</v>
      </c>
      <c r="V204" s="157">
        <v>1.8799999999999999E-4</v>
      </c>
      <c r="W204" s="157">
        <v>5.2690134262113001E-3</v>
      </c>
      <c r="X204" s="157">
        <v>1.2641069881083899E-3</v>
      </c>
    </row>
    <row r="205" spans="1:24">
      <c r="A205" s="5">
        <v>337</v>
      </c>
      <c r="B205" s="5">
        <v>9963</v>
      </c>
      <c r="C205" s="189" t="s">
        <v>297</v>
      </c>
      <c r="D205" s="5" t="s">
        <v>298</v>
      </c>
      <c r="E205" s="189" t="s">
        <v>118</v>
      </c>
      <c r="F205" s="5" t="s">
        <v>971</v>
      </c>
      <c r="G205" s="5" t="s">
        <v>972</v>
      </c>
      <c r="H205" s="5" t="s">
        <v>121</v>
      </c>
      <c r="I205" s="5" t="s">
        <v>920</v>
      </c>
      <c r="J205" s="5" t="s">
        <v>30</v>
      </c>
      <c r="K205" s="38" t="s">
        <v>30</v>
      </c>
      <c r="L205" s="3" t="s">
        <v>123</v>
      </c>
      <c r="M205" s="3" t="s">
        <v>31</v>
      </c>
      <c r="N205" s="5" t="s">
        <v>301</v>
      </c>
      <c r="O205" s="5" t="s">
        <v>125</v>
      </c>
      <c r="P205" s="5" t="s">
        <v>34</v>
      </c>
      <c r="Q205" s="145">
        <v>540229.24</v>
      </c>
      <c r="R205" s="156">
        <v>1</v>
      </c>
      <c r="S205" s="159">
        <v>709.9</v>
      </c>
      <c r="U205" s="145">
        <v>3835.087</v>
      </c>
      <c r="V205" s="157">
        <v>1.95E-4</v>
      </c>
      <c r="W205" s="157">
        <v>1.3716951341210299E-2</v>
      </c>
      <c r="X205" s="157">
        <v>3.2908805963006902E-3</v>
      </c>
    </row>
    <row r="206" spans="1:24">
      <c r="A206" s="5">
        <v>337</v>
      </c>
      <c r="B206" s="5">
        <v>9963</v>
      </c>
      <c r="C206" s="189" t="s">
        <v>303</v>
      </c>
      <c r="D206" s="5" t="s">
        <v>304</v>
      </c>
      <c r="E206" s="189" t="s">
        <v>118</v>
      </c>
      <c r="F206" s="5" t="s">
        <v>973</v>
      </c>
      <c r="G206" s="5" t="s">
        <v>974</v>
      </c>
      <c r="H206" s="5" t="s">
        <v>121</v>
      </c>
      <c r="I206" s="5" t="s">
        <v>920</v>
      </c>
      <c r="J206" s="5" t="s">
        <v>30</v>
      </c>
      <c r="K206" s="38" t="s">
        <v>30</v>
      </c>
      <c r="L206" s="3" t="s">
        <v>123</v>
      </c>
      <c r="M206" s="3" t="s">
        <v>31</v>
      </c>
      <c r="N206" s="5" t="s">
        <v>171</v>
      </c>
      <c r="O206" s="5" t="s">
        <v>125</v>
      </c>
      <c r="P206" s="5" t="s">
        <v>34</v>
      </c>
      <c r="Q206" s="145">
        <v>8163</v>
      </c>
      <c r="R206" s="156">
        <v>1</v>
      </c>
      <c r="S206" s="159">
        <v>76490</v>
      </c>
      <c r="U206" s="145">
        <v>6243.8789999999999</v>
      </c>
      <c r="V206" s="157">
        <v>3.2499999999999999E-4</v>
      </c>
      <c r="W206" s="157">
        <v>2.2332471711594099E-2</v>
      </c>
      <c r="X206" s="157">
        <v>5.3578594831287501E-3</v>
      </c>
    </row>
    <row r="207" spans="1:24">
      <c r="A207" s="5">
        <v>337</v>
      </c>
      <c r="B207" s="5">
        <v>9963</v>
      </c>
      <c r="C207" s="189" t="s">
        <v>975</v>
      </c>
      <c r="D207" s="5" t="s">
        <v>976</v>
      </c>
      <c r="E207" s="189" t="s">
        <v>118</v>
      </c>
      <c r="F207" s="5" t="s">
        <v>977</v>
      </c>
      <c r="G207" s="5" t="s">
        <v>978</v>
      </c>
      <c r="H207" s="5" t="s">
        <v>121</v>
      </c>
      <c r="I207" s="5" t="s">
        <v>920</v>
      </c>
      <c r="J207" s="5" t="s">
        <v>30</v>
      </c>
      <c r="K207" s="38" t="s">
        <v>30</v>
      </c>
      <c r="L207" s="3" t="s">
        <v>123</v>
      </c>
      <c r="M207" s="3" t="s">
        <v>31</v>
      </c>
      <c r="N207" s="5" t="s">
        <v>316</v>
      </c>
      <c r="O207" s="5" t="s">
        <v>125</v>
      </c>
      <c r="P207" s="5" t="s">
        <v>34</v>
      </c>
      <c r="Q207" s="145">
        <v>10450</v>
      </c>
      <c r="R207" s="156">
        <v>1</v>
      </c>
      <c r="S207" s="159">
        <v>25050</v>
      </c>
      <c r="U207" s="145">
        <v>2617.7249999999999</v>
      </c>
      <c r="V207" s="157">
        <v>1.0399999999999999E-4</v>
      </c>
      <c r="W207" s="157">
        <v>9.3628131358850005E-3</v>
      </c>
      <c r="X207" s="157">
        <v>2.2462644438421301E-3</v>
      </c>
    </row>
    <row r="208" spans="1:24">
      <c r="A208" s="5">
        <v>337</v>
      </c>
      <c r="B208" s="5">
        <v>9963</v>
      </c>
      <c r="C208" s="189" t="s">
        <v>979</v>
      </c>
      <c r="D208" s="5" t="s">
        <v>980</v>
      </c>
      <c r="E208" s="189" t="s">
        <v>118</v>
      </c>
      <c r="F208" s="5" t="s">
        <v>981</v>
      </c>
      <c r="G208" s="5" t="s">
        <v>982</v>
      </c>
      <c r="H208" s="5" t="s">
        <v>121</v>
      </c>
      <c r="I208" s="5" t="s">
        <v>920</v>
      </c>
      <c r="J208" s="5" t="s">
        <v>30</v>
      </c>
      <c r="K208" s="38" t="s">
        <v>30</v>
      </c>
      <c r="L208" s="3" t="s">
        <v>123</v>
      </c>
      <c r="M208" s="3" t="s">
        <v>31</v>
      </c>
      <c r="N208" s="5" t="s">
        <v>171</v>
      </c>
      <c r="O208" s="5" t="s">
        <v>125</v>
      </c>
      <c r="P208" s="5" t="s">
        <v>34</v>
      </c>
      <c r="Q208" s="145">
        <v>69139</v>
      </c>
      <c r="R208" s="156">
        <v>1</v>
      </c>
      <c r="S208" s="159">
        <v>1440</v>
      </c>
      <c r="U208" s="145">
        <v>995.60199999999998</v>
      </c>
      <c r="V208" s="157">
        <v>9.8900000000000008E-4</v>
      </c>
      <c r="W208" s="157">
        <v>3.5609667702253401E-3</v>
      </c>
      <c r="X208" s="157">
        <v>8.54323687290426E-4</v>
      </c>
    </row>
    <row r="209" spans="1:24">
      <c r="A209" s="5">
        <v>337</v>
      </c>
      <c r="B209" s="5">
        <v>9963</v>
      </c>
      <c r="C209" s="189" t="s">
        <v>983</v>
      </c>
      <c r="D209" s="5" t="s">
        <v>984</v>
      </c>
      <c r="E209" s="189" t="s">
        <v>118</v>
      </c>
      <c r="F209" s="5" t="s">
        <v>985</v>
      </c>
      <c r="G209" s="5" t="s">
        <v>986</v>
      </c>
      <c r="H209" s="5" t="s">
        <v>121</v>
      </c>
      <c r="I209" s="5" t="s">
        <v>920</v>
      </c>
      <c r="J209" s="5" t="s">
        <v>30</v>
      </c>
      <c r="K209" s="38" t="s">
        <v>30</v>
      </c>
      <c r="L209" s="3" t="s">
        <v>123</v>
      </c>
      <c r="M209" s="3" t="s">
        <v>31</v>
      </c>
      <c r="N209" s="5" t="s">
        <v>724</v>
      </c>
      <c r="O209" s="5" t="s">
        <v>125</v>
      </c>
      <c r="P209" s="5" t="s">
        <v>34</v>
      </c>
      <c r="Q209" s="145">
        <v>11491</v>
      </c>
      <c r="R209" s="156">
        <v>1</v>
      </c>
      <c r="S209" s="159">
        <v>75000</v>
      </c>
      <c r="U209" s="145">
        <v>8618.25</v>
      </c>
      <c r="V209" s="157">
        <v>1.2520000000000001E-3</v>
      </c>
      <c r="W209" s="157">
        <v>3.08248820286092E-2</v>
      </c>
      <c r="X209" s="157">
        <v>7.3953026170214204E-3</v>
      </c>
    </row>
    <row r="210" spans="1:24">
      <c r="A210" s="5">
        <v>337</v>
      </c>
      <c r="B210" s="5">
        <v>9963</v>
      </c>
      <c r="C210" s="189" t="s">
        <v>987</v>
      </c>
      <c r="D210" s="5" t="s">
        <v>988</v>
      </c>
      <c r="E210" s="189" t="s">
        <v>118</v>
      </c>
      <c r="F210" s="5" t="s">
        <v>989</v>
      </c>
      <c r="G210" s="5" t="s">
        <v>990</v>
      </c>
      <c r="H210" s="5" t="s">
        <v>121</v>
      </c>
      <c r="I210" s="5" t="s">
        <v>920</v>
      </c>
      <c r="J210" s="5" t="s">
        <v>30</v>
      </c>
      <c r="K210" s="38" t="s">
        <v>30</v>
      </c>
      <c r="L210" s="3" t="s">
        <v>123</v>
      </c>
      <c r="M210" s="3" t="s">
        <v>31</v>
      </c>
      <c r="N210" s="5" t="s">
        <v>228</v>
      </c>
      <c r="O210" s="5" t="s">
        <v>125</v>
      </c>
      <c r="P210" s="5" t="s">
        <v>34</v>
      </c>
      <c r="Q210" s="145">
        <v>33454</v>
      </c>
      <c r="R210" s="156">
        <v>1</v>
      </c>
      <c r="S210" s="159">
        <v>3663</v>
      </c>
      <c r="U210" s="145">
        <v>1225.42</v>
      </c>
      <c r="V210" s="157">
        <v>1.6799999999999999E-4</v>
      </c>
      <c r="W210" s="157">
        <v>4.3829579731379199E-3</v>
      </c>
      <c r="X210" s="157">
        <v>1.0515304012829101E-3</v>
      </c>
    </row>
    <row r="211" spans="1:24">
      <c r="A211" s="5">
        <v>337</v>
      </c>
      <c r="B211" s="5">
        <v>9963</v>
      </c>
      <c r="C211" s="189" t="s">
        <v>991</v>
      </c>
      <c r="D211" s="5" t="s">
        <v>992</v>
      </c>
      <c r="E211" s="189" t="s">
        <v>118</v>
      </c>
      <c r="F211" s="5" t="s">
        <v>993</v>
      </c>
      <c r="G211" s="5" t="s">
        <v>994</v>
      </c>
      <c r="H211" s="5" t="s">
        <v>121</v>
      </c>
      <c r="I211" s="5" t="s">
        <v>920</v>
      </c>
      <c r="J211" s="5" t="s">
        <v>30</v>
      </c>
      <c r="K211" s="38" t="s">
        <v>30</v>
      </c>
      <c r="L211" s="3" t="s">
        <v>123</v>
      </c>
      <c r="M211" s="3" t="s">
        <v>31</v>
      </c>
      <c r="N211" s="5" t="s">
        <v>316</v>
      </c>
      <c r="O211" s="5" t="s">
        <v>125</v>
      </c>
      <c r="P211" s="5" t="s">
        <v>34</v>
      </c>
      <c r="Q211" s="145">
        <v>0.24</v>
      </c>
      <c r="R211" s="156">
        <v>1</v>
      </c>
      <c r="S211" s="159">
        <v>3382</v>
      </c>
      <c r="U211" s="145">
        <v>8.0000000000000002E-3</v>
      </c>
      <c r="V211" s="157">
        <v>0</v>
      </c>
      <c r="W211" s="157">
        <v>2.90313465552537E-8</v>
      </c>
      <c r="X211" s="157">
        <v>6.9650094023542407E-9</v>
      </c>
    </row>
    <row r="212" spans="1:24">
      <c r="A212" s="5">
        <v>337</v>
      </c>
      <c r="B212" s="5">
        <v>9963</v>
      </c>
      <c r="C212" s="189" t="s">
        <v>999</v>
      </c>
      <c r="D212" s="5" t="s">
        <v>1000</v>
      </c>
      <c r="E212" s="189" t="s">
        <v>118</v>
      </c>
      <c r="F212" s="5" t="s">
        <v>1001</v>
      </c>
      <c r="G212" s="5" t="s">
        <v>1002</v>
      </c>
      <c r="H212" s="5" t="s">
        <v>121</v>
      </c>
      <c r="I212" s="5" t="s">
        <v>920</v>
      </c>
      <c r="J212" s="5" t="s">
        <v>30</v>
      </c>
      <c r="K212" s="38" t="s">
        <v>30</v>
      </c>
      <c r="L212" s="3" t="s">
        <v>123</v>
      </c>
      <c r="M212" s="3" t="s">
        <v>31</v>
      </c>
      <c r="N212" s="5" t="s">
        <v>421</v>
      </c>
      <c r="O212" s="5" t="s">
        <v>125</v>
      </c>
      <c r="P212" s="5" t="s">
        <v>34</v>
      </c>
      <c r="Q212" s="145">
        <v>36183</v>
      </c>
      <c r="R212" s="156">
        <v>1</v>
      </c>
      <c r="S212" s="159">
        <v>11980</v>
      </c>
      <c r="U212" s="145">
        <v>4334.723</v>
      </c>
      <c r="V212" s="157">
        <v>1.446E-3</v>
      </c>
      <c r="W212" s="157">
        <v>1.5503998773724499E-2</v>
      </c>
      <c r="X212" s="157">
        <v>3.7196172429534999E-3</v>
      </c>
    </row>
    <row r="213" spans="1:24">
      <c r="A213" s="5">
        <v>337</v>
      </c>
      <c r="B213" s="5">
        <v>9963</v>
      </c>
      <c r="C213" s="189" t="s">
        <v>1273</v>
      </c>
      <c r="D213" s="5" t="s">
        <v>1274</v>
      </c>
      <c r="E213" s="189" t="s">
        <v>118</v>
      </c>
      <c r="F213" s="5" t="s">
        <v>1275</v>
      </c>
      <c r="G213" s="5" t="s">
        <v>1276</v>
      </c>
      <c r="H213" s="5" t="s">
        <v>121</v>
      </c>
      <c r="I213" s="5" t="s">
        <v>920</v>
      </c>
      <c r="J213" s="5" t="s">
        <v>30</v>
      </c>
      <c r="K213" s="38" t="s">
        <v>30</v>
      </c>
      <c r="L213" s="3" t="s">
        <v>123</v>
      </c>
      <c r="M213" s="3" t="s">
        <v>31</v>
      </c>
      <c r="N213" s="5" t="s">
        <v>124</v>
      </c>
      <c r="O213" s="5" t="s">
        <v>125</v>
      </c>
      <c r="P213" s="5" t="s">
        <v>34</v>
      </c>
      <c r="Q213" s="145">
        <v>2855</v>
      </c>
      <c r="R213" s="156">
        <v>1</v>
      </c>
      <c r="S213" s="159">
        <v>37470</v>
      </c>
      <c r="U213" s="145">
        <v>1069.768</v>
      </c>
      <c r="V213" s="157">
        <v>1.2899999999999999E-4</v>
      </c>
      <c r="W213" s="157">
        <v>3.8262394117624999E-3</v>
      </c>
      <c r="X213" s="157">
        <v>9.17966151789178E-4</v>
      </c>
    </row>
    <row r="214" spans="1:24">
      <c r="A214" s="5">
        <v>337</v>
      </c>
      <c r="B214" s="5">
        <v>9963</v>
      </c>
      <c r="C214" s="189" t="s">
        <v>1277</v>
      </c>
      <c r="D214" s="5" t="s">
        <v>1278</v>
      </c>
      <c r="E214" s="189" t="s">
        <v>118</v>
      </c>
      <c r="F214" s="5" t="s">
        <v>1279</v>
      </c>
      <c r="G214" s="5" t="s">
        <v>1280</v>
      </c>
      <c r="H214" s="5" t="s">
        <v>121</v>
      </c>
      <c r="I214" s="5" t="s">
        <v>920</v>
      </c>
      <c r="J214" s="5" t="s">
        <v>30</v>
      </c>
      <c r="K214" s="38" t="s">
        <v>30</v>
      </c>
      <c r="L214" s="3" t="s">
        <v>123</v>
      </c>
      <c r="M214" s="3" t="s">
        <v>31</v>
      </c>
      <c r="N214" s="5" t="s">
        <v>184</v>
      </c>
      <c r="O214" s="5" t="s">
        <v>125</v>
      </c>
      <c r="P214" s="5" t="s">
        <v>34</v>
      </c>
      <c r="Q214" s="145">
        <v>339</v>
      </c>
      <c r="R214" s="156">
        <v>1</v>
      </c>
      <c r="S214" s="159">
        <v>47200</v>
      </c>
      <c r="U214" s="145">
        <v>160.00800000000001</v>
      </c>
      <c r="V214" s="157">
        <v>5.3999999999999998E-5</v>
      </c>
      <c r="W214" s="157">
        <v>5.7230037694818499E-4</v>
      </c>
      <c r="X214" s="157">
        <v>1.3730253603044299E-4</v>
      </c>
    </row>
    <row r="215" spans="1:24">
      <c r="A215" s="5">
        <v>337</v>
      </c>
      <c r="B215" s="5">
        <v>9963</v>
      </c>
      <c r="C215" s="189" t="s">
        <v>1003</v>
      </c>
      <c r="D215" s="5" t="s">
        <v>1004</v>
      </c>
      <c r="E215" s="189" t="s">
        <v>118</v>
      </c>
      <c r="F215" s="5" t="s">
        <v>1005</v>
      </c>
      <c r="G215" s="5" t="s">
        <v>1006</v>
      </c>
      <c r="H215" s="5" t="s">
        <v>121</v>
      </c>
      <c r="I215" s="5" t="s">
        <v>920</v>
      </c>
      <c r="J215" s="5" t="s">
        <v>30</v>
      </c>
      <c r="K215" s="38" t="s">
        <v>30</v>
      </c>
      <c r="L215" s="3" t="s">
        <v>123</v>
      </c>
      <c r="M215" s="3" t="s">
        <v>31</v>
      </c>
      <c r="N215" s="5" t="s">
        <v>1007</v>
      </c>
      <c r="O215" s="5" t="s">
        <v>125</v>
      </c>
      <c r="P215" s="5" t="s">
        <v>34</v>
      </c>
      <c r="Q215" s="145">
        <v>43316</v>
      </c>
      <c r="R215" s="156">
        <v>1</v>
      </c>
      <c r="S215" s="159">
        <v>9490</v>
      </c>
      <c r="U215" s="145">
        <v>4110.6880000000001</v>
      </c>
      <c r="V215" s="157">
        <v>4.0299999999999998E-4</v>
      </c>
      <c r="W215" s="157">
        <v>1.47026931205723E-2</v>
      </c>
      <c r="X215" s="157">
        <v>3.52737326977978E-3</v>
      </c>
    </row>
    <row r="216" spans="1:24">
      <c r="A216" s="5">
        <v>337</v>
      </c>
      <c r="B216" s="5">
        <v>9963</v>
      </c>
      <c r="C216" s="189" t="s">
        <v>1008</v>
      </c>
      <c r="D216" s="5" t="s">
        <v>1009</v>
      </c>
      <c r="E216" s="189" t="s">
        <v>118</v>
      </c>
      <c r="F216" s="5" t="s">
        <v>1010</v>
      </c>
      <c r="G216" s="5" t="s">
        <v>1011</v>
      </c>
      <c r="H216" s="5" t="s">
        <v>121</v>
      </c>
      <c r="I216" s="5" t="s">
        <v>920</v>
      </c>
      <c r="J216" s="5" t="s">
        <v>30</v>
      </c>
      <c r="K216" s="38" t="s">
        <v>30</v>
      </c>
      <c r="L216" s="3" t="s">
        <v>123</v>
      </c>
      <c r="M216" s="3" t="s">
        <v>31</v>
      </c>
      <c r="N216" s="5" t="s">
        <v>184</v>
      </c>
      <c r="O216" s="5" t="s">
        <v>125</v>
      </c>
      <c r="P216" s="5" t="s">
        <v>34</v>
      </c>
      <c r="Q216" s="145">
        <v>352003</v>
      </c>
      <c r="R216" s="156">
        <v>1</v>
      </c>
      <c r="S216" s="159">
        <v>673.8</v>
      </c>
      <c r="T216" s="143">
        <v>38.116</v>
      </c>
      <c r="U216" s="145">
        <v>2409.9119999999998</v>
      </c>
      <c r="V216" s="157">
        <v>3.4650000000000002E-3</v>
      </c>
      <c r="W216" s="157">
        <v>8.6195283427773408E-3</v>
      </c>
      <c r="X216" s="157">
        <v>2.0679404531595501E-3</v>
      </c>
    </row>
    <row r="217" spans="1:24">
      <c r="A217" s="5">
        <v>337</v>
      </c>
      <c r="B217" s="5">
        <v>9963</v>
      </c>
      <c r="C217" s="189" t="s">
        <v>1012</v>
      </c>
      <c r="D217" s="5" t="s">
        <v>1013</v>
      </c>
      <c r="E217" s="189" t="s">
        <v>118</v>
      </c>
      <c r="F217" s="5" t="s">
        <v>1014</v>
      </c>
      <c r="G217" s="5" t="s">
        <v>1015</v>
      </c>
      <c r="H217" s="5" t="s">
        <v>121</v>
      </c>
      <c r="I217" s="5" t="s">
        <v>920</v>
      </c>
      <c r="J217" s="5" t="s">
        <v>30</v>
      </c>
      <c r="K217" s="38" t="s">
        <v>30</v>
      </c>
      <c r="L217" s="3" t="s">
        <v>123</v>
      </c>
      <c r="M217" s="3" t="s">
        <v>31</v>
      </c>
      <c r="N217" s="5" t="s">
        <v>124</v>
      </c>
      <c r="O217" s="5" t="s">
        <v>125</v>
      </c>
      <c r="P217" s="5" t="s">
        <v>34</v>
      </c>
      <c r="Q217" s="145">
        <v>186000</v>
      </c>
      <c r="R217" s="156">
        <v>1</v>
      </c>
      <c r="S217" s="159">
        <v>1104</v>
      </c>
      <c r="U217" s="145">
        <v>2053.44</v>
      </c>
      <c r="V217" s="157">
        <v>2.1310000000000001E-3</v>
      </c>
      <c r="W217" s="157">
        <v>7.3445358109624596E-3</v>
      </c>
      <c r="X217" s="157">
        <v>1.7620526447824599E-3</v>
      </c>
    </row>
    <row r="218" spans="1:24">
      <c r="A218" s="5">
        <v>337</v>
      </c>
      <c r="B218" s="5">
        <v>9963</v>
      </c>
      <c r="C218" s="189" t="s">
        <v>784</v>
      </c>
      <c r="D218" s="5" t="s">
        <v>785</v>
      </c>
      <c r="E218" s="189" t="s">
        <v>118</v>
      </c>
      <c r="F218" s="5" t="s">
        <v>1016</v>
      </c>
      <c r="G218" s="5" t="s">
        <v>1017</v>
      </c>
      <c r="H218" s="5" t="s">
        <v>121</v>
      </c>
      <c r="I218" s="5" t="s">
        <v>920</v>
      </c>
      <c r="J218" s="5" t="s">
        <v>30</v>
      </c>
      <c r="K218" s="38" t="s">
        <v>30</v>
      </c>
      <c r="L218" s="3" t="s">
        <v>123</v>
      </c>
      <c r="M218" s="3" t="s">
        <v>31</v>
      </c>
      <c r="N218" s="5" t="s">
        <v>159</v>
      </c>
      <c r="O218" s="5" t="s">
        <v>125</v>
      </c>
      <c r="P218" s="5" t="s">
        <v>34</v>
      </c>
      <c r="Q218" s="145">
        <v>31350</v>
      </c>
      <c r="R218" s="156">
        <v>1</v>
      </c>
      <c r="S218" s="159">
        <v>13180</v>
      </c>
      <c r="U218" s="145">
        <v>4131.93</v>
      </c>
      <c r="V218" s="157">
        <v>1.1900000000000001E-4</v>
      </c>
      <c r="W218" s="157">
        <v>1.4778667919876001E-2</v>
      </c>
      <c r="X218" s="157">
        <v>3.5456006430945198E-3</v>
      </c>
    </row>
    <row r="219" spans="1:24">
      <c r="A219" s="5">
        <v>337</v>
      </c>
      <c r="B219" s="5">
        <v>9963</v>
      </c>
      <c r="C219" s="189" t="s">
        <v>1018</v>
      </c>
      <c r="D219" s="5" t="s">
        <v>1019</v>
      </c>
      <c r="E219" s="189" t="s">
        <v>118</v>
      </c>
      <c r="F219" s="5" t="s">
        <v>1020</v>
      </c>
      <c r="G219" s="5" t="s">
        <v>1021</v>
      </c>
      <c r="H219" s="5" t="s">
        <v>121</v>
      </c>
      <c r="I219" s="5" t="s">
        <v>920</v>
      </c>
      <c r="J219" s="5" t="s">
        <v>30</v>
      </c>
      <c r="K219" s="38" t="s">
        <v>30</v>
      </c>
      <c r="L219" s="3" t="s">
        <v>123</v>
      </c>
      <c r="M219" s="3" t="s">
        <v>31</v>
      </c>
      <c r="N219" s="5" t="s">
        <v>159</v>
      </c>
      <c r="O219" s="5" t="s">
        <v>125</v>
      </c>
      <c r="P219" s="5" t="s">
        <v>34</v>
      </c>
      <c r="Q219" s="145">
        <v>20198</v>
      </c>
      <c r="R219" s="156">
        <v>1</v>
      </c>
      <c r="S219" s="159">
        <v>12430</v>
      </c>
      <c r="U219" s="145">
        <v>2510.6109999999999</v>
      </c>
      <c r="V219" s="157">
        <v>8.8999999999999995E-5</v>
      </c>
      <c r="W219" s="157">
        <v>8.9797000811860008E-3</v>
      </c>
      <c r="X219" s="157">
        <v>2.1543504837691898E-3</v>
      </c>
    </row>
    <row r="220" spans="1:24">
      <c r="A220" s="5">
        <v>337</v>
      </c>
      <c r="B220" s="5">
        <v>9963</v>
      </c>
      <c r="C220" s="189" t="s">
        <v>1022</v>
      </c>
      <c r="D220" s="5" t="s">
        <v>1023</v>
      </c>
      <c r="E220" s="189" t="s">
        <v>118</v>
      </c>
      <c r="F220" s="5" t="s">
        <v>1024</v>
      </c>
      <c r="G220" s="5" t="s">
        <v>1025</v>
      </c>
      <c r="H220" s="5" t="s">
        <v>121</v>
      </c>
      <c r="I220" s="5" t="s">
        <v>920</v>
      </c>
      <c r="J220" s="5" t="s">
        <v>30</v>
      </c>
      <c r="K220" s="38" t="s">
        <v>30</v>
      </c>
      <c r="L220" s="3" t="s">
        <v>123</v>
      </c>
      <c r="M220" s="3" t="s">
        <v>31</v>
      </c>
      <c r="N220" s="5" t="s">
        <v>662</v>
      </c>
      <c r="O220" s="5" t="s">
        <v>125</v>
      </c>
      <c r="P220" s="5" t="s">
        <v>34</v>
      </c>
      <c r="Q220" s="145">
        <v>11151</v>
      </c>
      <c r="R220" s="156">
        <v>1</v>
      </c>
      <c r="S220" s="159">
        <v>8801</v>
      </c>
      <c r="U220" s="145">
        <v>981.4</v>
      </c>
      <c r="V220" s="157">
        <v>1.5100000000000001E-4</v>
      </c>
      <c r="W220" s="157">
        <v>3.5101701759272302E-3</v>
      </c>
      <c r="X220" s="157">
        <v>8.4213690304255995E-4</v>
      </c>
    </row>
    <row r="221" spans="1:24">
      <c r="A221" s="5">
        <v>337</v>
      </c>
      <c r="B221" s="5">
        <v>9963</v>
      </c>
      <c r="C221" s="189" t="s">
        <v>1269</v>
      </c>
      <c r="D221" s="5" t="s">
        <v>1270</v>
      </c>
      <c r="E221" s="189" t="s">
        <v>118</v>
      </c>
      <c r="F221" s="5" t="s">
        <v>1271</v>
      </c>
      <c r="G221" s="5" t="s">
        <v>1272</v>
      </c>
      <c r="H221" s="5" t="s">
        <v>121</v>
      </c>
      <c r="I221" s="5" t="s">
        <v>920</v>
      </c>
      <c r="J221" s="5" t="s">
        <v>30</v>
      </c>
      <c r="K221" s="38" t="s">
        <v>30</v>
      </c>
      <c r="L221" s="3" t="s">
        <v>123</v>
      </c>
      <c r="M221" s="3" t="s">
        <v>31</v>
      </c>
      <c r="N221" s="5" t="s">
        <v>144</v>
      </c>
      <c r="O221" s="5" t="s">
        <v>125</v>
      </c>
      <c r="P221" s="5" t="s">
        <v>34</v>
      </c>
      <c r="Q221" s="145">
        <v>1150</v>
      </c>
      <c r="R221" s="156">
        <v>1</v>
      </c>
      <c r="S221" s="159">
        <v>92000</v>
      </c>
      <c r="U221" s="145">
        <v>1058</v>
      </c>
      <c r="V221" s="157">
        <v>1.4899999999999999E-4</v>
      </c>
      <c r="W221" s="157">
        <v>3.78414703521811E-3</v>
      </c>
      <c r="X221" s="157">
        <v>9.0786762611999702E-4</v>
      </c>
    </row>
    <row r="222" spans="1:24">
      <c r="A222" s="5">
        <v>337</v>
      </c>
      <c r="B222" s="5">
        <v>9963</v>
      </c>
      <c r="C222" s="189" t="s">
        <v>1028</v>
      </c>
      <c r="D222" s="5" t="s">
        <v>1029</v>
      </c>
      <c r="E222" s="189" t="s">
        <v>118</v>
      </c>
      <c r="F222" s="5" t="s">
        <v>1030</v>
      </c>
      <c r="G222" s="5" t="s">
        <v>1031</v>
      </c>
      <c r="H222" s="5" t="s">
        <v>121</v>
      </c>
      <c r="I222" s="5" t="s">
        <v>920</v>
      </c>
      <c r="J222" s="5" t="s">
        <v>30</v>
      </c>
      <c r="K222" s="38" t="s">
        <v>30</v>
      </c>
      <c r="L222" s="3" t="s">
        <v>123</v>
      </c>
      <c r="M222" s="3" t="s">
        <v>31</v>
      </c>
      <c r="N222" s="5" t="s">
        <v>662</v>
      </c>
      <c r="O222" s="5" t="s">
        <v>125</v>
      </c>
      <c r="P222" s="5" t="s">
        <v>34</v>
      </c>
      <c r="Q222" s="145">
        <v>3300</v>
      </c>
      <c r="R222" s="156">
        <v>1</v>
      </c>
      <c r="S222" s="159">
        <v>26390</v>
      </c>
      <c r="U222" s="145">
        <v>870.87</v>
      </c>
      <c r="V222" s="157">
        <v>1.44E-4</v>
      </c>
      <c r="W222" s="157">
        <v>3.11483944098336E-3</v>
      </c>
      <c r="X222" s="157">
        <v>7.4729175761731705E-4</v>
      </c>
    </row>
    <row r="223" spans="1:24">
      <c r="A223" s="5">
        <v>337</v>
      </c>
      <c r="B223" s="5">
        <v>9963</v>
      </c>
      <c r="C223" s="189" t="s">
        <v>1032</v>
      </c>
      <c r="D223" s="5" t="s">
        <v>1033</v>
      </c>
      <c r="E223" s="189" t="s">
        <v>118</v>
      </c>
      <c r="F223" s="5" t="s">
        <v>1034</v>
      </c>
      <c r="G223" s="5" t="s">
        <v>1035</v>
      </c>
      <c r="H223" s="5" t="s">
        <v>121</v>
      </c>
      <c r="I223" s="5" t="s">
        <v>920</v>
      </c>
      <c r="J223" s="5" t="s">
        <v>30</v>
      </c>
      <c r="K223" s="38" t="s">
        <v>30</v>
      </c>
      <c r="L223" s="3" t="s">
        <v>123</v>
      </c>
      <c r="M223" s="3" t="s">
        <v>31</v>
      </c>
      <c r="N223" s="5" t="s">
        <v>724</v>
      </c>
      <c r="O223" s="5" t="s">
        <v>125</v>
      </c>
      <c r="P223" s="5" t="s">
        <v>34</v>
      </c>
      <c r="Q223" s="145">
        <v>44598</v>
      </c>
      <c r="R223" s="156">
        <v>1</v>
      </c>
      <c r="S223" s="159">
        <v>1738</v>
      </c>
      <c r="U223" s="145">
        <v>775.11300000000006</v>
      </c>
      <c r="V223" s="157">
        <v>1.212E-3</v>
      </c>
      <c r="W223" s="157">
        <v>2.7723463791156002E-3</v>
      </c>
      <c r="X223" s="157">
        <v>6.6512307861340202E-4</v>
      </c>
    </row>
    <row r="224" spans="1:24">
      <c r="A224" s="5">
        <v>337</v>
      </c>
      <c r="B224" s="5">
        <v>9963</v>
      </c>
      <c r="C224" s="189" t="s">
        <v>1281</v>
      </c>
      <c r="D224" s="5" t="s">
        <v>1282</v>
      </c>
      <c r="E224" s="189" t="s">
        <v>118</v>
      </c>
      <c r="F224" s="5" t="s">
        <v>1283</v>
      </c>
      <c r="G224" s="5" t="s">
        <v>1284</v>
      </c>
      <c r="H224" s="5" t="s">
        <v>121</v>
      </c>
      <c r="I224" s="5" t="s">
        <v>920</v>
      </c>
      <c r="J224" s="5" t="s">
        <v>30</v>
      </c>
      <c r="K224" s="38" t="s">
        <v>30</v>
      </c>
      <c r="L224" s="3" t="s">
        <v>123</v>
      </c>
      <c r="M224" s="3" t="s">
        <v>31</v>
      </c>
      <c r="N224" s="5" t="s">
        <v>730</v>
      </c>
      <c r="O224" s="5" t="s">
        <v>125</v>
      </c>
      <c r="P224" s="5" t="s">
        <v>34</v>
      </c>
      <c r="Q224" s="145">
        <v>6497.5</v>
      </c>
      <c r="R224" s="156">
        <v>1</v>
      </c>
      <c r="S224" s="159">
        <v>0</v>
      </c>
      <c r="U224" s="145">
        <v>0</v>
      </c>
      <c r="V224" s="157">
        <v>5.4100000000000003E-4</v>
      </c>
      <c r="W224" s="157">
        <v>2.3239598640198199E-11</v>
      </c>
      <c r="X224" s="157">
        <v>5.5754913995412897E-12</v>
      </c>
    </row>
    <row r="225" spans="1:24">
      <c r="A225" s="5">
        <v>337</v>
      </c>
      <c r="B225" s="5">
        <v>9963</v>
      </c>
      <c r="C225" s="189" t="s">
        <v>1036</v>
      </c>
      <c r="D225" s="5" t="s">
        <v>1037</v>
      </c>
      <c r="E225" s="189" t="s">
        <v>118</v>
      </c>
      <c r="F225" s="5" t="s">
        <v>1038</v>
      </c>
      <c r="G225" s="5" t="s">
        <v>1039</v>
      </c>
      <c r="H225" s="5" t="s">
        <v>121</v>
      </c>
      <c r="I225" s="5" t="s">
        <v>920</v>
      </c>
      <c r="J225" s="5" t="s">
        <v>30</v>
      </c>
      <c r="K225" s="38" t="s">
        <v>138</v>
      </c>
      <c r="L225" s="3" t="s">
        <v>123</v>
      </c>
      <c r="M225" s="3" t="s">
        <v>31</v>
      </c>
      <c r="N225" s="5" t="s">
        <v>1040</v>
      </c>
      <c r="O225" s="5" t="s">
        <v>125</v>
      </c>
      <c r="P225" s="5" t="s">
        <v>34</v>
      </c>
      <c r="Q225" s="145">
        <v>14959</v>
      </c>
      <c r="R225" s="156">
        <v>1</v>
      </c>
      <c r="S225" s="159">
        <v>37300</v>
      </c>
      <c r="U225" s="145">
        <v>5579.7070000000003</v>
      </c>
      <c r="V225" s="157">
        <v>1.3300000000000001E-4</v>
      </c>
      <c r="W225" s="157">
        <v>1.9956929774513899E-2</v>
      </c>
      <c r="X225" s="157">
        <v>4.7879351120369796E-3</v>
      </c>
    </row>
    <row r="226" spans="1:24">
      <c r="A226" s="5">
        <v>337</v>
      </c>
      <c r="B226" s="5">
        <v>9963</v>
      </c>
      <c r="C226" s="189" t="s">
        <v>750</v>
      </c>
      <c r="D226" s="5" t="s">
        <v>751</v>
      </c>
      <c r="E226" s="189" t="s">
        <v>118</v>
      </c>
      <c r="F226" s="5" t="s">
        <v>1041</v>
      </c>
      <c r="G226" s="5" t="s">
        <v>1042</v>
      </c>
      <c r="H226" s="5" t="s">
        <v>121</v>
      </c>
      <c r="I226" s="5" t="s">
        <v>920</v>
      </c>
      <c r="J226" s="5" t="s">
        <v>30</v>
      </c>
      <c r="K226" s="38" t="s">
        <v>80</v>
      </c>
      <c r="L226" s="3" t="s">
        <v>123</v>
      </c>
      <c r="M226" s="3" t="s">
        <v>31</v>
      </c>
      <c r="N226" s="5" t="s">
        <v>754</v>
      </c>
      <c r="O226" s="5" t="s">
        <v>125</v>
      </c>
      <c r="P226" s="5" t="s">
        <v>34</v>
      </c>
      <c r="Q226" s="145">
        <v>154272</v>
      </c>
      <c r="R226" s="156">
        <v>1</v>
      </c>
      <c r="S226" s="159">
        <v>10090</v>
      </c>
      <c r="U226" s="145">
        <v>15566.045</v>
      </c>
      <c r="V226" s="157">
        <v>1.2300000000000001E-4</v>
      </c>
      <c r="W226" s="157">
        <v>5.5675049413981402E-2</v>
      </c>
      <c r="X226" s="157">
        <v>1.3357191059218799E-2</v>
      </c>
    </row>
    <row r="227" spans="1:24">
      <c r="A227" s="5">
        <v>337</v>
      </c>
      <c r="B227" s="5">
        <v>9963</v>
      </c>
      <c r="C227" s="189" t="s">
        <v>1043</v>
      </c>
      <c r="D227" s="5" t="s">
        <v>1044</v>
      </c>
      <c r="E227" s="189" t="s">
        <v>118</v>
      </c>
      <c r="F227" s="5" t="s">
        <v>1045</v>
      </c>
      <c r="G227" s="5" t="s">
        <v>1046</v>
      </c>
      <c r="H227" s="5" t="s">
        <v>121</v>
      </c>
      <c r="I227" s="5" t="s">
        <v>920</v>
      </c>
      <c r="J227" s="5" t="s">
        <v>30</v>
      </c>
      <c r="K227" s="38" t="s">
        <v>30</v>
      </c>
      <c r="L227" s="3" t="s">
        <v>123</v>
      </c>
      <c r="M227" s="3" t="s">
        <v>31</v>
      </c>
      <c r="N227" s="5" t="s">
        <v>421</v>
      </c>
      <c r="O227" s="5" t="s">
        <v>125</v>
      </c>
      <c r="P227" s="5" t="s">
        <v>34</v>
      </c>
      <c r="Q227" s="145">
        <v>174505</v>
      </c>
      <c r="R227" s="156">
        <v>1</v>
      </c>
      <c r="S227" s="159">
        <v>1101</v>
      </c>
      <c r="U227" s="145">
        <v>1921.3</v>
      </c>
      <c r="V227" s="157">
        <v>1.604E-3</v>
      </c>
      <c r="W227" s="157">
        <v>6.8719110472324303E-3</v>
      </c>
      <c r="X227" s="157">
        <v>1.6486636251963401E-3</v>
      </c>
    </row>
    <row r="228" spans="1:24">
      <c r="A228" s="5">
        <v>337</v>
      </c>
      <c r="B228" s="5">
        <v>9963</v>
      </c>
      <c r="C228" s="189" t="s">
        <v>1047</v>
      </c>
      <c r="D228" s="5" t="s">
        <v>1048</v>
      </c>
      <c r="E228" s="189" t="s">
        <v>118</v>
      </c>
      <c r="F228" s="5" t="s">
        <v>1049</v>
      </c>
      <c r="G228" s="5" t="s">
        <v>1050</v>
      </c>
      <c r="H228" s="5" t="s">
        <v>121</v>
      </c>
      <c r="I228" s="5" t="s">
        <v>920</v>
      </c>
      <c r="J228" s="5" t="s">
        <v>30</v>
      </c>
      <c r="K228" s="38" t="s">
        <v>30</v>
      </c>
      <c r="L228" s="3" t="s">
        <v>123</v>
      </c>
      <c r="M228" s="3" t="s">
        <v>31</v>
      </c>
      <c r="N228" s="5" t="s">
        <v>1007</v>
      </c>
      <c r="O228" s="5" t="s">
        <v>125</v>
      </c>
      <c r="P228" s="5" t="s">
        <v>34</v>
      </c>
      <c r="Q228" s="145">
        <v>56096</v>
      </c>
      <c r="R228" s="156">
        <v>1</v>
      </c>
      <c r="S228" s="159">
        <v>1560</v>
      </c>
      <c r="U228" s="145">
        <v>875.09799999999996</v>
      </c>
      <c r="V228" s="157">
        <v>1.7200000000000001E-4</v>
      </c>
      <c r="W228" s="157">
        <v>3.1299602916507398E-3</v>
      </c>
      <c r="X228" s="157">
        <v>7.5091945249083805E-4</v>
      </c>
    </row>
    <row r="229" spans="1:24">
      <c r="A229" s="5">
        <v>337</v>
      </c>
      <c r="B229" s="5">
        <v>9963</v>
      </c>
      <c r="C229" s="189" t="s">
        <v>437</v>
      </c>
      <c r="D229" s="5" t="s">
        <v>438</v>
      </c>
      <c r="E229" s="189" t="s">
        <v>439</v>
      </c>
      <c r="F229" s="5" t="s">
        <v>1051</v>
      </c>
      <c r="G229" s="5" t="s">
        <v>1052</v>
      </c>
      <c r="H229" s="5" t="s">
        <v>121</v>
      </c>
      <c r="I229" s="5" t="s">
        <v>920</v>
      </c>
      <c r="J229" s="5" t="s">
        <v>30</v>
      </c>
      <c r="K229" s="38" t="s">
        <v>30</v>
      </c>
      <c r="L229" s="3" t="s">
        <v>123</v>
      </c>
      <c r="M229" s="3" t="s">
        <v>31</v>
      </c>
      <c r="N229" s="5" t="s">
        <v>377</v>
      </c>
      <c r="O229" s="5" t="s">
        <v>125</v>
      </c>
      <c r="P229" s="5" t="s">
        <v>34</v>
      </c>
      <c r="Q229" s="145">
        <v>775519</v>
      </c>
      <c r="R229" s="156">
        <v>1</v>
      </c>
      <c r="S229" s="159">
        <v>245.5</v>
      </c>
      <c r="U229" s="145">
        <v>1903.8989999999999</v>
      </c>
      <c r="V229" s="157">
        <v>2.9799999999999998E-4</v>
      </c>
      <c r="W229" s="157">
        <v>6.8096732560548601E-3</v>
      </c>
      <c r="X229" s="157">
        <v>1.6337319443695999E-3</v>
      </c>
    </row>
    <row r="230" spans="1:24">
      <c r="A230" s="5">
        <v>337</v>
      </c>
      <c r="B230" s="5">
        <v>9963</v>
      </c>
      <c r="C230" s="189" t="s">
        <v>811</v>
      </c>
      <c r="D230" s="5" t="s">
        <v>812</v>
      </c>
      <c r="E230" s="189" t="s">
        <v>118</v>
      </c>
      <c r="F230" s="5" t="s">
        <v>1057</v>
      </c>
      <c r="G230" s="5" t="s">
        <v>1058</v>
      </c>
      <c r="H230" s="5" t="s">
        <v>121</v>
      </c>
      <c r="I230" s="5" t="s">
        <v>920</v>
      </c>
      <c r="J230" s="5" t="s">
        <v>30</v>
      </c>
      <c r="K230" s="38" t="s">
        <v>30</v>
      </c>
      <c r="L230" s="3" t="s">
        <v>123</v>
      </c>
      <c r="M230" s="3" t="s">
        <v>31</v>
      </c>
      <c r="N230" s="5" t="s">
        <v>159</v>
      </c>
      <c r="O230" s="5" t="s">
        <v>125</v>
      </c>
      <c r="P230" s="5" t="s">
        <v>34</v>
      </c>
      <c r="Q230" s="145">
        <v>42159</v>
      </c>
      <c r="R230" s="156">
        <v>1</v>
      </c>
      <c r="S230" s="159">
        <v>20570</v>
      </c>
      <c r="U230" s="145">
        <v>8672.1059999999998</v>
      </c>
      <c r="V230" s="157">
        <v>5.2700000000000002E-4</v>
      </c>
      <c r="W230" s="157">
        <v>3.1017509777165699E-2</v>
      </c>
      <c r="X230" s="157">
        <v>7.44151659739251E-3</v>
      </c>
    </row>
    <row r="231" spans="1:24">
      <c r="A231" s="5">
        <v>337</v>
      </c>
      <c r="B231" s="5">
        <v>9963</v>
      </c>
      <c r="C231" s="189" t="s">
        <v>459</v>
      </c>
      <c r="D231" s="5" t="s">
        <v>460</v>
      </c>
      <c r="E231" s="189" t="s">
        <v>118</v>
      </c>
      <c r="F231" s="5" t="s">
        <v>1059</v>
      </c>
      <c r="G231" s="5" t="s">
        <v>1060</v>
      </c>
      <c r="H231" s="5" t="s">
        <v>121</v>
      </c>
      <c r="I231" s="5" t="s">
        <v>920</v>
      </c>
      <c r="J231" s="5" t="s">
        <v>30</v>
      </c>
      <c r="K231" s="38" t="s">
        <v>30</v>
      </c>
      <c r="L231" s="3" t="s">
        <v>123</v>
      </c>
      <c r="M231" s="3" t="s">
        <v>31</v>
      </c>
      <c r="N231" s="5" t="s">
        <v>316</v>
      </c>
      <c r="O231" s="5" t="s">
        <v>125</v>
      </c>
      <c r="P231" s="5" t="s">
        <v>34</v>
      </c>
      <c r="Q231" s="145">
        <v>264430.11</v>
      </c>
      <c r="R231" s="156">
        <v>1</v>
      </c>
      <c r="S231" s="159">
        <v>7020</v>
      </c>
      <c r="U231" s="145">
        <v>18562.993999999999</v>
      </c>
      <c r="V231" s="157">
        <v>1.64E-4</v>
      </c>
      <c r="W231" s="157">
        <v>6.63942321908116E-2</v>
      </c>
      <c r="X231" s="157">
        <v>1.59288667713351E-2</v>
      </c>
    </row>
    <row r="232" spans="1:24">
      <c r="A232" s="5">
        <v>337</v>
      </c>
      <c r="B232" s="5">
        <v>9963</v>
      </c>
      <c r="C232" s="189" t="s">
        <v>417</v>
      </c>
      <c r="D232" s="5" t="s">
        <v>418</v>
      </c>
      <c r="E232" s="189" t="s">
        <v>118</v>
      </c>
      <c r="F232" s="5" t="s">
        <v>1061</v>
      </c>
      <c r="G232" s="5" t="s">
        <v>1062</v>
      </c>
      <c r="H232" s="5" t="s">
        <v>121</v>
      </c>
      <c r="I232" s="5" t="s">
        <v>920</v>
      </c>
      <c r="J232" s="5" t="s">
        <v>30</v>
      </c>
      <c r="K232" s="38" t="s">
        <v>30</v>
      </c>
      <c r="L232" s="3" t="s">
        <v>123</v>
      </c>
      <c r="M232" s="3" t="s">
        <v>31</v>
      </c>
      <c r="N232" s="5" t="s">
        <v>421</v>
      </c>
      <c r="O232" s="5" t="s">
        <v>125</v>
      </c>
      <c r="P232" s="5" t="s">
        <v>34</v>
      </c>
      <c r="Q232" s="145">
        <v>6710</v>
      </c>
      <c r="R232" s="156">
        <v>1</v>
      </c>
      <c r="S232" s="159">
        <v>33850</v>
      </c>
      <c r="U232" s="145">
        <v>2271.335</v>
      </c>
      <c r="V232" s="157">
        <v>4.6299999999999998E-4</v>
      </c>
      <c r="W232" s="157">
        <v>8.1238805351957696E-3</v>
      </c>
      <c r="X232" s="157">
        <v>1.9490278965720799E-3</v>
      </c>
    </row>
    <row r="233" spans="1:24">
      <c r="A233" s="5">
        <v>337</v>
      </c>
      <c r="B233" s="5">
        <v>9963</v>
      </c>
      <c r="C233" s="189" t="s">
        <v>482</v>
      </c>
      <c r="D233" s="5" t="s">
        <v>483</v>
      </c>
      <c r="E233" s="189" t="s">
        <v>118</v>
      </c>
      <c r="F233" s="5" t="s">
        <v>1063</v>
      </c>
      <c r="G233" s="5" t="s">
        <v>1064</v>
      </c>
      <c r="H233" s="5" t="s">
        <v>121</v>
      </c>
      <c r="I233" s="5" t="s">
        <v>920</v>
      </c>
      <c r="J233" s="5" t="s">
        <v>30</v>
      </c>
      <c r="K233" s="38" t="s">
        <v>30</v>
      </c>
      <c r="L233" s="3" t="s">
        <v>123</v>
      </c>
      <c r="M233" s="3" t="s">
        <v>31</v>
      </c>
      <c r="N233" s="5" t="s">
        <v>171</v>
      </c>
      <c r="O233" s="5" t="s">
        <v>125</v>
      </c>
      <c r="P233" s="5" t="s">
        <v>34</v>
      </c>
      <c r="Q233" s="145">
        <v>101430.85</v>
      </c>
      <c r="R233" s="156">
        <v>1</v>
      </c>
      <c r="S233" s="159">
        <v>1559</v>
      </c>
      <c r="U233" s="145">
        <v>1581.307</v>
      </c>
      <c r="V233" s="157">
        <v>1.3999999999999999E-4</v>
      </c>
      <c r="W233" s="157">
        <v>5.65585823467724E-3</v>
      </c>
      <c r="X233" s="157">
        <v>1.35691624595969E-3</v>
      </c>
    </row>
    <row r="234" spans="1:24">
      <c r="A234" s="5">
        <v>337</v>
      </c>
      <c r="B234" s="5">
        <v>9963</v>
      </c>
      <c r="C234" s="189" t="s">
        <v>745</v>
      </c>
      <c r="D234" s="5" t="s">
        <v>746</v>
      </c>
      <c r="E234" s="189" t="s">
        <v>118</v>
      </c>
      <c r="F234" s="5" t="s">
        <v>1069</v>
      </c>
      <c r="G234" s="5" t="s">
        <v>1070</v>
      </c>
      <c r="H234" s="5" t="s">
        <v>121</v>
      </c>
      <c r="I234" s="5" t="s">
        <v>920</v>
      </c>
      <c r="J234" s="5" t="s">
        <v>30</v>
      </c>
      <c r="K234" s="38" t="s">
        <v>30</v>
      </c>
      <c r="L234" s="3" t="s">
        <v>123</v>
      </c>
      <c r="M234" s="3" t="s">
        <v>31</v>
      </c>
      <c r="N234" s="5" t="s">
        <v>316</v>
      </c>
      <c r="O234" s="5" t="s">
        <v>125</v>
      </c>
      <c r="P234" s="5" t="s">
        <v>34</v>
      </c>
      <c r="Q234" s="145">
        <v>18738.650000000001</v>
      </c>
      <c r="R234" s="156">
        <v>1</v>
      </c>
      <c r="S234" s="159">
        <v>22240</v>
      </c>
      <c r="U234" s="145">
        <v>4167.4759999999997</v>
      </c>
      <c r="V234" s="157">
        <v>7.2000000000000002E-5</v>
      </c>
      <c r="W234" s="157">
        <v>1.49058043870958E-2</v>
      </c>
      <c r="X234" s="157">
        <v>3.5761023867143999E-3</v>
      </c>
    </row>
    <row r="235" spans="1:24">
      <c r="A235" s="5">
        <v>337</v>
      </c>
      <c r="B235" s="5">
        <v>9963</v>
      </c>
      <c r="C235" s="189" t="s">
        <v>1071</v>
      </c>
      <c r="D235" s="5" t="s">
        <v>1072</v>
      </c>
      <c r="E235" s="189" t="s">
        <v>118</v>
      </c>
      <c r="F235" s="5" t="s">
        <v>1073</v>
      </c>
      <c r="G235" s="5" t="s">
        <v>1074</v>
      </c>
      <c r="H235" s="5" t="s">
        <v>121</v>
      </c>
      <c r="I235" s="5" t="s">
        <v>920</v>
      </c>
      <c r="J235" s="5" t="s">
        <v>30</v>
      </c>
      <c r="K235" s="38" t="s">
        <v>30</v>
      </c>
      <c r="L235" s="3" t="s">
        <v>123</v>
      </c>
      <c r="M235" s="3" t="s">
        <v>31</v>
      </c>
      <c r="N235" s="5" t="s">
        <v>662</v>
      </c>
      <c r="O235" s="5" t="s">
        <v>125</v>
      </c>
      <c r="P235" s="5" t="s">
        <v>34</v>
      </c>
      <c r="Q235" s="145">
        <v>17178</v>
      </c>
      <c r="R235" s="156">
        <v>1</v>
      </c>
      <c r="S235" s="159">
        <v>13960</v>
      </c>
      <c r="U235" s="145">
        <v>2398.049</v>
      </c>
      <c r="V235" s="157">
        <v>2.6699999999999998E-4</v>
      </c>
      <c r="W235" s="157">
        <v>8.5770975962460808E-3</v>
      </c>
      <c r="X235" s="157">
        <v>2.05776074799235E-3</v>
      </c>
    </row>
    <row r="236" spans="1:24">
      <c r="A236" s="5">
        <v>337</v>
      </c>
      <c r="B236" s="5">
        <v>9963</v>
      </c>
      <c r="C236" s="189" t="s">
        <v>536</v>
      </c>
      <c r="D236" s="5" t="s">
        <v>537</v>
      </c>
      <c r="E236" s="189" t="s">
        <v>118</v>
      </c>
      <c r="F236" s="5" t="s">
        <v>1075</v>
      </c>
      <c r="G236" s="5" t="s">
        <v>1076</v>
      </c>
      <c r="H236" s="5" t="s">
        <v>121</v>
      </c>
      <c r="I236" s="5" t="s">
        <v>920</v>
      </c>
      <c r="J236" s="5" t="s">
        <v>30</v>
      </c>
      <c r="K236" s="38" t="s">
        <v>30</v>
      </c>
      <c r="L236" s="3" t="s">
        <v>123</v>
      </c>
      <c r="M236" s="3" t="s">
        <v>31</v>
      </c>
      <c r="N236" s="5" t="s">
        <v>171</v>
      </c>
      <c r="O236" s="5" t="s">
        <v>125</v>
      </c>
      <c r="P236" s="5" t="s">
        <v>34</v>
      </c>
      <c r="Q236" s="145">
        <v>7471</v>
      </c>
      <c r="R236" s="156">
        <v>1</v>
      </c>
      <c r="S236" s="159">
        <v>41330</v>
      </c>
      <c r="U236" s="145">
        <v>3087.7640000000001</v>
      </c>
      <c r="V236" s="157">
        <v>1.5699999999999999E-4</v>
      </c>
      <c r="W236" s="157">
        <v>1.10440020050069E-2</v>
      </c>
      <c r="X236" s="157">
        <v>2.6496042013790899E-3</v>
      </c>
    </row>
    <row r="237" spans="1:24">
      <c r="A237" s="5">
        <v>337</v>
      </c>
      <c r="B237" s="5">
        <v>9963</v>
      </c>
      <c r="C237" s="189" t="s">
        <v>1077</v>
      </c>
      <c r="D237" s="5" t="s">
        <v>1078</v>
      </c>
      <c r="E237" s="189" t="s">
        <v>118</v>
      </c>
      <c r="F237" s="5" t="s">
        <v>1079</v>
      </c>
      <c r="G237" s="5" t="s">
        <v>1080</v>
      </c>
      <c r="H237" s="5" t="s">
        <v>121</v>
      </c>
      <c r="I237" s="5" t="s">
        <v>920</v>
      </c>
      <c r="J237" s="5" t="s">
        <v>30</v>
      </c>
      <c r="K237" s="38" t="s">
        <v>30</v>
      </c>
      <c r="L237" s="3" t="s">
        <v>123</v>
      </c>
      <c r="M237" s="3" t="s">
        <v>31</v>
      </c>
      <c r="N237" s="5" t="s">
        <v>159</v>
      </c>
      <c r="O237" s="5" t="s">
        <v>125</v>
      </c>
      <c r="P237" s="5" t="s">
        <v>34</v>
      </c>
      <c r="Q237" s="145">
        <v>5633</v>
      </c>
      <c r="R237" s="156">
        <v>1</v>
      </c>
      <c r="S237" s="159">
        <v>39940</v>
      </c>
      <c r="U237" s="145">
        <v>2249.8200000000002</v>
      </c>
      <c r="V237" s="157">
        <v>8.8999999999999995E-5</v>
      </c>
      <c r="W237" s="157">
        <v>8.0469285818561605E-3</v>
      </c>
      <c r="X237" s="157">
        <v>1.9305660908986899E-3</v>
      </c>
    </row>
    <row r="238" spans="1:24">
      <c r="A238" s="5">
        <v>337</v>
      </c>
      <c r="B238" s="5">
        <v>9963</v>
      </c>
      <c r="C238" s="189" t="s">
        <v>1285</v>
      </c>
      <c r="D238" s="5" t="s">
        <v>1286</v>
      </c>
      <c r="E238" s="189" t="s">
        <v>118</v>
      </c>
      <c r="F238" s="5" t="s">
        <v>1287</v>
      </c>
      <c r="G238" s="5" t="s">
        <v>1288</v>
      </c>
      <c r="H238" s="5" t="s">
        <v>121</v>
      </c>
      <c r="I238" s="5" t="s">
        <v>920</v>
      </c>
      <c r="J238" s="5" t="s">
        <v>30</v>
      </c>
      <c r="K238" s="38" t="s">
        <v>30</v>
      </c>
      <c r="L238" s="3" t="s">
        <v>123</v>
      </c>
      <c r="M238" s="3" t="s">
        <v>31</v>
      </c>
      <c r="N238" s="5" t="s">
        <v>171</v>
      </c>
      <c r="O238" s="5" t="s">
        <v>125</v>
      </c>
      <c r="P238" s="5" t="s">
        <v>34</v>
      </c>
      <c r="Q238" s="145">
        <v>991</v>
      </c>
      <c r="R238" s="156">
        <v>1</v>
      </c>
      <c r="S238" s="159">
        <v>236</v>
      </c>
      <c r="U238" s="145">
        <v>2.339</v>
      </c>
      <c r="V238" s="157">
        <v>9.9999999999999995E-7</v>
      </c>
      <c r="W238" s="157">
        <v>8.3650394329742E-6</v>
      </c>
      <c r="X238" s="157">
        <v>2.00688515053346E-6</v>
      </c>
    </row>
    <row r="239" spans="1:24">
      <c r="A239" s="5">
        <v>337</v>
      </c>
      <c r="B239" s="5">
        <v>9963</v>
      </c>
      <c r="C239" s="189" t="s">
        <v>570</v>
      </c>
      <c r="D239" s="5" t="s">
        <v>571</v>
      </c>
      <c r="E239" s="189" t="s">
        <v>439</v>
      </c>
      <c r="F239" s="5" t="s">
        <v>1083</v>
      </c>
      <c r="G239" s="5" t="s">
        <v>1084</v>
      </c>
      <c r="H239" s="5" t="s">
        <v>121</v>
      </c>
      <c r="I239" s="5" t="s">
        <v>920</v>
      </c>
      <c r="J239" s="5" t="s">
        <v>30</v>
      </c>
      <c r="K239" s="38" t="s">
        <v>80</v>
      </c>
      <c r="L239" s="3" t="s">
        <v>123</v>
      </c>
      <c r="M239" s="3" t="s">
        <v>31</v>
      </c>
      <c r="N239" s="5" t="s">
        <v>377</v>
      </c>
      <c r="O239" s="5" t="s">
        <v>125</v>
      </c>
      <c r="P239" s="5" t="s">
        <v>34</v>
      </c>
      <c r="Q239" s="145">
        <v>42994</v>
      </c>
      <c r="R239" s="156">
        <v>1</v>
      </c>
      <c r="S239" s="159">
        <v>11640</v>
      </c>
      <c r="U239" s="145">
        <v>5004.5020000000004</v>
      </c>
      <c r="V239" s="157">
        <v>3.6699999999999998E-4</v>
      </c>
      <c r="W239" s="157">
        <v>1.7899593471062701E-2</v>
      </c>
      <c r="X239" s="157">
        <v>4.2943525401755401E-3</v>
      </c>
    </row>
    <row r="240" spans="1:24">
      <c r="A240" s="5">
        <v>337</v>
      </c>
      <c r="B240" s="5">
        <v>9963</v>
      </c>
      <c r="C240" s="189" t="s">
        <v>1085</v>
      </c>
      <c r="D240" s="5" t="s">
        <v>1086</v>
      </c>
      <c r="E240" s="189" t="s">
        <v>118</v>
      </c>
      <c r="F240" s="5" t="s">
        <v>1087</v>
      </c>
      <c r="G240" s="5" t="s">
        <v>1088</v>
      </c>
      <c r="H240" s="5" t="s">
        <v>121</v>
      </c>
      <c r="I240" s="5" t="s">
        <v>920</v>
      </c>
      <c r="J240" s="5" t="s">
        <v>30</v>
      </c>
      <c r="K240" s="38" t="s">
        <v>138</v>
      </c>
      <c r="L240" s="3" t="s">
        <v>123</v>
      </c>
      <c r="M240" s="3" t="s">
        <v>31</v>
      </c>
      <c r="N240" s="5" t="s">
        <v>1040</v>
      </c>
      <c r="O240" s="5" t="s">
        <v>125</v>
      </c>
      <c r="P240" s="5" t="s">
        <v>34</v>
      </c>
      <c r="Q240" s="145">
        <v>5827</v>
      </c>
      <c r="R240" s="156">
        <v>1</v>
      </c>
      <c r="S240" s="159">
        <v>106610</v>
      </c>
      <c r="U240" s="145">
        <v>6212.165</v>
      </c>
      <c r="V240" s="157">
        <v>1.9100000000000001E-4</v>
      </c>
      <c r="W240" s="157">
        <v>2.2219040294699101E-2</v>
      </c>
      <c r="X240" s="157">
        <v>5.3306457648917196E-3</v>
      </c>
    </row>
    <row r="241" spans="1:24">
      <c r="A241" s="5">
        <v>337</v>
      </c>
      <c r="B241" s="5">
        <v>9963</v>
      </c>
      <c r="C241" s="189" t="s">
        <v>584</v>
      </c>
      <c r="D241" s="5" t="s">
        <v>585</v>
      </c>
      <c r="E241" s="189" t="s">
        <v>118</v>
      </c>
      <c r="F241" s="5" t="s">
        <v>1089</v>
      </c>
      <c r="G241" s="5" t="s">
        <v>1090</v>
      </c>
      <c r="H241" s="5" t="s">
        <v>121</v>
      </c>
      <c r="I241" s="5" t="s">
        <v>920</v>
      </c>
      <c r="J241" s="5" t="s">
        <v>30</v>
      </c>
      <c r="K241" s="38" t="s">
        <v>30</v>
      </c>
      <c r="L241" s="3" t="s">
        <v>123</v>
      </c>
      <c r="M241" s="3" t="s">
        <v>31</v>
      </c>
      <c r="N241" s="5" t="s">
        <v>228</v>
      </c>
      <c r="O241" s="5" t="s">
        <v>125</v>
      </c>
      <c r="P241" s="5" t="s">
        <v>34</v>
      </c>
      <c r="Q241" s="145">
        <v>7839</v>
      </c>
      <c r="R241" s="156">
        <v>1</v>
      </c>
      <c r="S241" s="159">
        <v>11210</v>
      </c>
      <c r="U241" s="145">
        <v>878.75199999999995</v>
      </c>
      <c r="V241" s="157">
        <v>2.0599999999999999E-4</v>
      </c>
      <c r="W241" s="157">
        <v>3.1430306210560302E-3</v>
      </c>
      <c r="X241" s="157">
        <v>7.5405519981232196E-4</v>
      </c>
    </row>
    <row r="242" spans="1:24">
      <c r="A242" s="5">
        <v>337</v>
      </c>
      <c r="B242" s="5">
        <v>9963</v>
      </c>
      <c r="C242" s="189" t="s">
        <v>1091</v>
      </c>
      <c r="D242" s="5" t="s">
        <v>1092</v>
      </c>
      <c r="E242" s="189" t="s">
        <v>439</v>
      </c>
      <c r="F242" s="5" t="s">
        <v>1093</v>
      </c>
      <c r="G242" s="5" t="s">
        <v>1094</v>
      </c>
      <c r="H242" s="5" t="s">
        <v>121</v>
      </c>
      <c r="I242" s="5" t="s">
        <v>920</v>
      </c>
      <c r="J242" s="5" t="s">
        <v>30</v>
      </c>
      <c r="K242" s="38" t="s">
        <v>30</v>
      </c>
      <c r="L242" s="3" t="s">
        <v>123</v>
      </c>
      <c r="M242" s="3" t="s">
        <v>31</v>
      </c>
      <c r="N242" s="5" t="s">
        <v>377</v>
      </c>
      <c r="O242" s="5" t="s">
        <v>125</v>
      </c>
      <c r="P242" s="5" t="s">
        <v>34</v>
      </c>
      <c r="Q242" s="145">
        <v>250595</v>
      </c>
      <c r="R242" s="156">
        <v>1</v>
      </c>
      <c r="S242" s="159">
        <v>1803</v>
      </c>
      <c r="U242" s="145">
        <v>4518.2280000000001</v>
      </c>
      <c r="V242" s="157">
        <v>2.13E-4</v>
      </c>
      <c r="W242" s="157">
        <v>1.6160338868636499E-2</v>
      </c>
      <c r="X242" s="157">
        <v>3.8770820344506199E-3</v>
      </c>
    </row>
    <row r="243" spans="1:24">
      <c r="A243" s="5">
        <v>337</v>
      </c>
      <c r="B243" s="5">
        <v>9963</v>
      </c>
      <c r="C243" s="189" t="s">
        <v>1095</v>
      </c>
      <c r="D243" s="5" t="s">
        <v>1096</v>
      </c>
      <c r="E243" s="189" t="s">
        <v>118</v>
      </c>
      <c r="F243" s="5" t="s">
        <v>1097</v>
      </c>
      <c r="G243" s="5" t="s">
        <v>1098</v>
      </c>
      <c r="H243" s="5" t="s">
        <v>121</v>
      </c>
      <c r="I243" s="5" t="s">
        <v>920</v>
      </c>
      <c r="J243" s="5" t="s">
        <v>30</v>
      </c>
      <c r="K243" s="38" t="s">
        <v>80</v>
      </c>
      <c r="L243" s="3" t="s">
        <v>123</v>
      </c>
      <c r="M243" s="3" t="s">
        <v>31</v>
      </c>
      <c r="N243" s="5" t="s">
        <v>1099</v>
      </c>
      <c r="O243" s="5" t="s">
        <v>125</v>
      </c>
      <c r="P243" s="5" t="s">
        <v>34</v>
      </c>
      <c r="Q243" s="145">
        <v>2470</v>
      </c>
      <c r="R243" s="156">
        <v>1</v>
      </c>
      <c r="S243" s="159">
        <v>35710</v>
      </c>
      <c r="U243" s="145">
        <v>882.03700000000003</v>
      </c>
      <c r="V243" s="157">
        <v>3.3000000000000003E-5</v>
      </c>
      <c r="W243" s="157">
        <v>3.15478043336737E-3</v>
      </c>
      <c r="X243" s="157">
        <v>7.5687413737240397E-4</v>
      </c>
    </row>
    <row r="244" spans="1:24">
      <c r="A244" s="5">
        <v>337</v>
      </c>
      <c r="B244" s="5">
        <v>9963</v>
      </c>
      <c r="C244" s="189" t="s">
        <v>1102</v>
      </c>
      <c r="D244" s="5" t="s">
        <v>1103</v>
      </c>
      <c r="E244" s="189" t="s">
        <v>118</v>
      </c>
      <c r="F244" s="5" t="s">
        <v>1102</v>
      </c>
      <c r="G244" s="5" t="s">
        <v>1104</v>
      </c>
      <c r="H244" s="5" t="s">
        <v>121</v>
      </c>
      <c r="I244" s="5" t="s">
        <v>920</v>
      </c>
      <c r="J244" s="5" t="s">
        <v>30</v>
      </c>
      <c r="K244" s="38" t="s">
        <v>30</v>
      </c>
      <c r="L244" s="3" t="s">
        <v>123</v>
      </c>
      <c r="M244" s="3" t="s">
        <v>31</v>
      </c>
      <c r="N244" s="5" t="s">
        <v>1105</v>
      </c>
      <c r="O244" s="5" t="s">
        <v>125</v>
      </c>
      <c r="P244" s="5" t="s">
        <v>34</v>
      </c>
      <c r="Q244" s="145">
        <v>38463</v>
      </c>
      <c r="R244" s="156">
        <v>1</v>
      </c>
      <c r="S244" s="159">
        <v>20990</v>
      </c>
      <c r="U244" s="145">
        <v>8073.384</v>
      </c>
      <c r="V244" s="157">
        <v>4.2200000000000001E-4</v>
      </c>
      <c r="W244" s="157">
        <v>2.8876059539256399E-2</v>
      </c>
      <c r="X244" s="157">
        <v>6.9277539645320203E-3</v>
      </c>
    </row>
    <row r="245" spans="1:24">
      <c r="A245" s="5">
        <v>337</v>
      </c>
      <c r="B245" s="5">
        <v>9963</v>
      </c>
      <c r="C245" s="189" t="s">
        <v>604</v>
      </c>
      <c r="D245" s="5" t="s">
        <v>605</v>
      </c>
      <c r="E245" s="189" t="s">
        <v>118</v>
      </c>
      <c r="F245" s="5" t="s">
        <v>1106</v>
      </c>
      <c r="G245" s="5" t="s">
        <v>1107</v>
      </c>
      <c r="H245" s="5" t="s">
        <v>121</v>
      </c>
      <c r="I245" s="5" t="s">
        <v>920</v>
      </c>
      <c r="J245" s="5" t="s">
        <v>30</v>
      </c>
      <c r="K245" s="38" t="s">
        <v>30</v>
      </c>
      <c r="L245" s="3" t="s">
        <v>123</v>
      </c>
      <c r="M245" s="3" t="s">
        <v>31</v>
      </c>
      <c r="N245" s="5" t="s">
        <v>228</v>
      </c>
      <c r="O245" s="5" t="s">
        <v>125</v>
      </c>
      <c r="P245" s="5" t="s">
        <v>34</v>
      </c>
      <c r="Q245" s="145">
        <v>31933</v>
      </c>
      <c r="R245" s="156">
        <v>1</v>
      </c>
      <c r="S245" s="159">
        <v>5841</v>
      </c>
      <c r="U245" s="145">
        <v>1865.2070000000001</v>
      </c>
      <c r="V245" s="157">
        <v>1.5740000000000001E-3</v>
      </c>
      <c r="W245" s="157">
        <v>6.6712814372107401E-3</v>
      </c>
      <c r="X245" s="157">
        <v>1.60052989094009E-3</v>
      </c>
    </row>
    <row r="246" spans="1:24">
      <c r="A246" s="5">
        <v>337</v>
      </c>
      <c r="B246" s="5">
        <v>9963</v>
      </c>
      <c r="C246" s="189" t="s">
        <v>626</v>
      </c>
      <c r="D246" s="5" t="s">
        <v>627</v>
      </c>
      <c r="E246" s="189" t="s">
        <v>118</v>
      </c>
      <c r="F246" s="5" t="s">
        <v>1116</v>
      </c>
      <c r="G246" s="5" t="s">
        <v>1117</v>
      </c>
      <c r="H246" s="5" t="s">
        <v>121</v>
      </c>
      <c r="I246" s="5" t="s">
        <v>920</v>
      </c>
      <c r="J246" s="5" t="s">
        <v>30</v>
      </c>
      <c r="K246" s="38" t="s">
        <v>30</v>
      </c>
      <c r="L246" s="3" t="s">
        <v>123</v>
      </c>
      <c r="M246" s="3" t="s">
        <v>31</v>
      </c>
      <c r="N246" s="5" t="s">
        <v>171</v>
      </c>
      <c r="O246" s="5" t="s">
        <v>125</v>
      </c>
      <c r="P246" s="5" t="s">
        <v>34</v>
      </c>
      <c r="Q246" s="145">
        <v>16734</v>
      </c>
      <c r="R246" s="156">
        <v>1</v>
      </c>
      <c r="S246" s="159">
        <v>36050</v>
      </c>
      <c r="U246" s="145">
        <v>6032.607</v>
      </c>
      <c r="V246" s="157">
        <v>1.3799999999999999E-4</v>
      </c>
      <c r="W246" s="157">
        <v>2.15768165346749E-2</v>
      </c>
      <c r="X246" s="157">
        <v>5.17656767146018E-3</v>
      </c>
    </row>
    <row r="247" spans="1:24">
      <c r="A247" s="5">
        <v>337</v>
      </c>
      <c r="B247" s="5">
        <v>9963</v>
      </c>
      <c r="C247" s="189" t="s">
        <v>644</v>
      </c>
      <c r="D247" s="5" t="s">
        <v>645</v>
      </c>
      <c r="E247" s="189" t="s">
        <v>118</v>
      </c>
      <c r="F247" s="5" t="s">
        <v>1118</v>
      </c>
      <c r="G247" s="5" t="s">
        <v>1119</v>
      </c>
      <c r="H247" s="5" t="s">
        <v>121</v>
      </c>
      <c r="I247" s="5" t="s">
        <v>920</v>
      </c>
      <c r="J247" s="5" t="s">
        <v>30</v>
      </c>
      <c r="K247" s="38" t="s">
        <v>30</v>
      </c>
      <c r="L247" s="3" t="s">
        <v>123</v>
      </c>
      <c r="M247" s="3" t="s">
        <v>31</v>
      </c>
      <c r="N247" s="5" t="s">
        <v>316</v>
      </c>
      <c r="O247" s="5" t="s">
        <v>125</v>
      </c>
      <c r="P247" s="5" t="s">
        <v>34</v>
      </c>
      <c r="Q247" s="145">
        <v>188869</v>
      </c>
      <c r="R247" s="156">
        <v>1</v>
      </c>
      <c r="S247" s="159">
        <v>7205</v>
      </c>
      <c r="U247" s="145">
        <v>13608.011</v>
      </c>
      <c r="V247" s="157">
        <v>1.4100000000000001E-4</v>
      </c>
      <c r="W247" s="157">
        <v>4.8671754426967501E-2</v>
      </c>
      <c r="X247" s="157">
        <v>1.16770066647687E-2</v>
      </c>
    </row>
    <row r="248" spans="1:24">
      <c r="A248" s="5">
        <v>337</v>
      </c>
      <c r="B248" s="5">
        <v>9963</v>
      </c>
      <c r="C248" s="189" t="s">
        <v>1120</v>
      </c>
      <c r="D248" s="5" t="s">
        <v>1121</v>
      </c>
      <c r="E248" s="189" t="s">
        <v>118</v>
      </c>
      <c r="F248" s="5" t="s">
        <v>1122</v>
      </c>
      <c r="G248" s="5" t="s">
        <v>1123</v>
      </c>
      <c r="H248" s="5" t="s">
        <v>121</v>
      </c>
      <c r="I248" s="5" t="s">
        <v>920</v>
      </c>
      <c r="J248" s="5" t="s">
        <v>30</v>
      </c>
      <c r="K248" s="38" t="s">
        <v>30</v>
      </c>
      <c r="L248" s="3" t="s">
        <v>123</v>
      </c>
      <c r="M248" s="3" t="s">
        <v>31</v>
      </c>
      <c r="N248" s="5" t="s">
        <v>421</v>
      </c>
      <c r="O248" s="5" t="s">
        <v>125</v>
      </c>
      <c r="P248" s="5" t="s">
        <v>34</v>
      </c>
      <c r="Q248" s="145">
        <v>7026</v>
      </c>
      <c r="R248" s="156">
        <v>1</v>
      </c>
      <c r="S248" s="159">
        <v>31330</v>
      </c>
      <c r="U248" s="145">
        <v>2201.2460000000001</v>
      </c>
      <c r="V248" s="157">
        <v>5.0699999999999996E-4</v>
      </c>
      <c r="W248" s="157">
        <v>7.8731925972176896E-3</v>
      </c>
      <c r="X248" s="157">
        <v>1.88888449806485E-3</v>
      </c>
    </row>
    <row r="249" spans="1:24">
      <c r="A249" s="5">
        <v>337</v>
      </c>
      <c r="B249" s="5">
        <v>9963</v>
      </c>
      <c r="C249" s="189" t="s">
        <v>658</v>
      </c>
      <c r="D249" s="5" t="s">
        <v>659</v>
      </c>
      <c r="E249" s="189" t="s">
        <v>118</v>
      </c>
      <c r="F249" s="5" t="s">
        <v>1124</v>
      </c>
      <c r="G249" s="5" t="s">
        <v>1125</v>
      </c>
      <c r="H249" s="5" t="s">
        <v>121</v>
      </c>
      <c r="I249" s="5" t="s">
        <v>920</v>
      </c>
      <c r="J249" s="5" t="s">
        <v>30</v>
      </c>
      <c r="K249" s="38" t="s">
        <v>30</v>
      </c>
      <c r="L249" s="3" t="s">
        <v>123</v>
      </c>
      <c r="M249" s="3" t="s">
        <v>31</v>
      </c>
      <c r="N249" s="5" t="s">
        <v>662</v>
      </c>
      <c r="O249" s="5" t="s">
        <v>125</v>
      </c>
      <c r="P249" s="5" t="s">
        <v>34</v>
      </c>
      <c r="Q249" s="145">
        <v>4176</v>
      </c>
      <c r="R249" s="156">
        <v>1</v>
      </c>
      <c r="S249" s="159">
        <v>53730</v>
      </c>
      <c r="T249" s="143">
        <v>6.8490000000000002</v>
      </c>
      <c r="U249" s="145">
        <v>2250.6129999999998</v>
      </c>
      <c r="V249" s="157">
        <v>2.63E-4</v>
      </c>
      <c r="W249" s="157">
        <v>8.04976576219096E-3</v>
      </c>
      <c r="X249" s="157">
        <v>1.93124676851282E-3</v>
      </c>
    </row>
    <row r="250" spans="1:24">
      <c r="A250" s="5">
        <v>337</v>
      </c>
      <c r="B250" s="5">
        <v>9963</v>
      </c>
      <c r="C250" s="189" t="s">
        <v>321</v>
      </c>
      <c r="D250" s="5" t="s">
        <v>322</v>
      </c>
      <c r="E250" s="189" t="s">
        <v>118</v>
      </c>
      <c r="F250" s="5" t="s">
        <v>1126</v>
      </c>
      <c r="G250" s="5" t="s">
        <v>1127</v>
      </c>
      <c r="H250" s="5" t="s">
        <v>121</v>
      </c>
      <c r="I250" s="5" t="s">
        <v>920</v>
      </c>
      <c r="J250" s="5" t="s">
        <v>30</v>
      </c>
      <c r="K250" s="38" t="s">
        <v>30</v>
      </c>
      <c r="L250" s="3" t="s">
        <v>123</v>
      </c>
      <c r="M250" s="3" t="s">
        <v>31</v>
      </c>
      <c r="N250" s="5" t="s">
        <v>152</v>
      </c>
      <c r="O250" s="5" t="s">
        <v>125</v>
      </c>
      <c r="P250" s="5" t="s">
        <v>34</v>
      </c>
      <c r="Q250" s="145">
        <v>19650</v>
      </c>
      <c r="R250" s="156">
        <v>1</v>
      </c>
      <c r="S250" s="159">
        <v>5900</v>
      </c>
      <c r="U250" s="145">
        <v>1159.3499999999999</v>
      </c>
      <c r="V250" s="157">
        <v>1.573E-3</v>
      </c>
      <c r="W250" s="157">
        <v>4.1466454303214703E-3</v>
      </c>
      <c r="X250" s="157">
        <v>9.9483585287544292E-4</v>
      </c>
    </row>
    <row r="251" spans="1:24">
      <c r="A251" s="5">
        <v>337</v>
      </c>
      <c r="B251" s="5">
        <v>9963</v>
      </c>
      <c r="C251" s="189" t="s">
        <v>1128</v>
      </c>
      <c r="D251" s="5" t="s">
        <v>1129</v>
      </c>
      <c r="E251" s="189" t="s">
        <v>118</v>
      </c>
      <c r="F251" s="5" t="s">
        <v>1130</v>
      </c>
      <c r="G251" s="5" t="s">
        <v>1131</v>
      </c>
      <c r="H251" s="5" t="s">
        <v>121</v>
      </c>
      <c r="I251" s="5" t="s">
        <v>920</v>
      </c>
      <c r="J251" s="5" t="s">
        <v>30</v>
      </c>
      <c r="K251" s="38" t="s">
        <v>30</v>
      </c>
      <c r="L251" s="3" t="s">
        <v>123</v>
      </c>
      <c r="M251" s="3" t="s">
        <v>31</v>
      </c>
      <c r="N251" s="5" t="s">
        <v>1105</v>
      </c>
      <c r="O251" s="5" t="s">
        <v>125</v>
      </c>
      <c r="P251" s="5" t="s">
        <v>34</v>
      </c>
      <c r="Q251" s="145">
        <v>117000</v>
      </c>
      <c r="R251" s="156">
        <v>1</v>
      </c>
      <c r="S251" s="159">
        <v>1325</v>
      </c>
      <c r="U251" s="145">
        <v>1550.25</v>
      </c>
      <c r="V251" s="157">
        <v>1.6149999999999999E-3</v>
      </c>
      <c r="W251" s="157">
        <v>5.5447768821804098E-3</v>
      </c>
      <c r="X251" s="157">
        <v>1.33026633969048E-3</v>
      </c>
    </row>
    <row r="252" spans="1:24">
      <c r="A252" s="5">
        <v>337</v>
      </c>
      <c r="B252" s="5">
        <v>9963</v>
      </c>
      <c r="C252" s="189" t="s">
        <v>1132</v>
      </c>
      <c r="D252" s="5" t="s">
        <v>1133</v>
      </c>
      <c r="E252" s="189" t="s">
        <v>118</v>
      </c>
      <c r="F252" s="5" t="s">
        <v>1134</v>
      </c>
      <c r="G252" s="5" t="s">
        <v>1135</v>
      </c>
      <c r="H252" s="5" t="s">
        <v>121</v>
      </c>
      <c r="I252" s="5" t="s">
        <v>920</v>
      </c>
      <c r="J252" s="5" t="s">
        <v>30</v>
      </c>
      <c r="K252" s="38" t="s">
        <v>30</v>
      </c>
      <c r="L252" s="3" t="s">
        <v>123</v>
      </c>
      <c r="M252" s="3" t="s">
        <v>31</v>
      </c>
      <c r="N252" s="5" t="s">
        <v>124</v>
      </c>
      <c r="O252" s="5" t="s">
        <v>125</v>
      </c>
      <c r="P252" s="5" t="s">
        <v>34</v>
      </c>
      <c r="Q252" s="145">
        <v>9725</v>
      </c>
      <c r="R252" s="156">
        <v>1</v>
      </c>
      <c r="S252" s="159">
        <v>15670</v>
      </c>
      <c r="U252" s="145">
        <v>1523.9079999999999</v>
      </c>
      <c r="V252" s="157">
        <v>4.2400000000000001E-4</v>
      </c>
      <c r="W252" s="157">
        <v>5.4505577013909696E-3</v>
      </c>
      <c r="X252" s="157">
        <v>1.3076618945665999E-3</v>
      </c>
    </row>
    <row r="253" spans="1:24">
      <c r="A253" s="5">
        <v>337</v>
      </c>
      <c r="B253" s="5">
        <v>9963</v>
      </c>
      <c r="C253" s="189" t="s">
        <v>679</v>
      </c>
      <c r="D253" s="5" t="s">
        <v>680</v>
      </c>
      <c r="E253" s="189" t="s">
        <v>118</v>
      </c>
      <c r="F253" s="5" t="s">
        <v>1136</v>
      </c>
      <c r="G253" s="5" t="s">
        <v>1137</v>
      </c>
      <c r="H253" s="5" t="s">
        <v>121</v>
      </c>
      <c r="I253" s="5" t="s">
        <v>920</v>
      </c>
      <c r="J253" s="5" t="s">
        <v>30</v>
      </c>
      <c r="K253" s="38" t="s">
        <v>30</v>
      </c>
      <c r="L253" s="3" t="s">
        <v>123</v>
      </c>
      <c r="M253" s="3" t="s">
        <v>31</v>
      </c>
      <c r="N253" s="5" t="s">
        <v>177</v>
      </c>
      <c r="O253" s="5" t="s">
        <v>125</v>
      </c>
      <c r="P253" s="5" t="s">
        <v>34</v>
      </c>
      <c r="Q253" s="145">
        <v>3192</v>
      </c>
      <c r="R253" s="156">
        <v>1</v>
      </c>
      <c r="S253" s="159">
        <v>65150</v>
      </c>
      <c r="U253" s="145">
        <v>2079.5880000000002</v>
      </c>
      <c r="V253" s="157">
        <v>1.94E-4</v>
      </c>
      <c r="W253" s="157">
        <v>7.43805932388957E-3</v>
      </c>
      <c r="X253" s="157">
        <v>1.78449018985599E-3</v>
      </c>
    </row>
    <row r="254" spans="1:24">
      <c r="A254" s="5">
        <v>337</v>
      </c>
      <c r="B254" s="5">
        <v>9963</v>
      </c>
      <c r="C254" s="189" t="s">
        <v>1138</v>
      </c>
      <c r="D254" s="5" t="s">
        <v>1139</v>
      </c>
      <c r="E254" s="189" t="s">
        <v>118</v>
      </c>
      <c r="F254" s="5" t="s">
        <v>1140</v>
      </c>
      <c r="G254" s="5" t="s">
        <v>1141</v>
      </c>
      <c r="H254" s="5" t="s">
        <v>121</v>
      </c>
      <c r="I254" s="5" t="s">
        <v>920</v>
      </c>
      <c r="J254" s="5" t="s">
        <v>30</v>
      </c>
      <c r="K254" s="38" t="s">
        <v>138</v>
      </c>
      <c r="L254" s="3" t="s">
        <v>123</v>
      </c>
      <c r="M254" s="3" t="s">
        <v>31</v>
      </c>
      <c r="N254" s="5" t="s">
        <v>1040</v>
      </c>
      <c r="O254" s="5" t="s">
        <v>125</v>
      </c>
      <c r="P254" s="5" t="s">
        <v>34</v>
      </c>
      <c r="Q254" s="145">
        <v>8034</v>
      </c>
      <c r="R254" s="156">
        <v>1</v>
      </c>
      <c r="S254" s="159">
        <v>34250</v>
      </c>
      <c r="U254" s="145">
        <v>2751.645</v>
      </c>
      <c r="V254" s="157">
        <v>1.6799999999999999E-4</v>
      </c>
      <c r="W254" s="157">
        <v>9.8418046018173295E-3</v>
      </c>
      <c r="X254" s="157">
        <v>2.3611809206757601E-3</v>
      </c>
    </row>
    <row r="255" spans="1:24">
      <c r="A255" s="5">
        <v>337</v>
      </c>
      <c r="B255" s="5">
        <v>9963</v>
      </c>
      <c r="C255" s="189" t="s">
        <v>691</v>
      </c>
      <c r="D255" s="5" t="s">
        <v>692</v>
      </c>
      <c r="E255" s="189" t="s">
        <v>118</v>
      </c>
      <c r="F255" s="5" t="s">
        <v>1142</v>
      </c>
      <c r="G255" s="5" t="s">
        <v>1143</v>
      </c>
      <c r="H255" s="5" t="s">
        <v>121</v>
      </c>
      <c r="I255" s="5" t="s">
        <v>920</v>
      </c>
      <c r="J255" s="5" t="s">
        <v>30</v>
      </c>
      <c r="K255" s="38" t="s">
        <v>30</v>
      </c>
      <c r="L255" s="3" t="s">
        <v>123</v>
      </c>
      <c r="M255" s="3" t="s">
        <v>31</v>
      </c>
      <c r="N255" s="5" t="s">
        <v>695</v>
      </c>
      <c r="O255" s="5" t="s">
        <v>125</v>
      </c>
      <c r="P255" s="5" t="s">
        <v>34</v>
      </c>
      <c r="Q255" s="145">
        <v>13318</v>
      </c>
      <c r="R255" s="156">
        <v>1</v>
      </c>
      <c r="S255" s="159">
        <v>3548</v>
      </c>
      <c r="U255" s="145">
        <v>472.52300000000002</v>
      </c>
      <c r="V255" s="157">
        <v>1.4100000000000001E-4</v>
      </c>
      <c r="W255" s="157">
        <v>1.6900710276270599E-3</v>
      </c>
      <c r="X255" s="157">
        <v>4.0547070648842501E-4</v>
      </c>
    </row>
    <row r="256" spans="1:24">
      <c r="A256" s="5">
        <v>337</v>
      </c>
      <c r="B256" s="5">
        <v>9963</v>
      </c>
      <c r="C256" s="189" t="s">
        <v>1146</v>
      </c>
      <c r="D256" s="5" t="s">
        <v>1147</v>
      </c>
      <c r="E256" s="189" t="s">
        <v>118</v>
      </c>
      <c r="F256" s="5" t="s">
        <v>1148</v>
      </c>
      <c r="G256" s="5" t="s">
        <v>1149</v>
      </c>
      <c r="H256" s="5" t="s">
        <v>121</v>
      </c>
      <c r="I256" s="5" t="s">
        <v>920</v>
      </c>
      <c r="J256" s="5" t="s">
        <v>30</v>
      </c>
      <c r="K256" s="38" t="s">
        <v>30</v>
      </c>
      <c r="L256" s="3" t="s">
        <v>123</v>
      </c>
      <c r="M256" s="3" t="s">
        <v>31</v>
      </c>
      <c r="N256" s="5" t="s">
        <v>421</v>
      </c>
      <c r="O256" s="5" t="s">
        <v>125</v>
      </c>
      <c r="P256" s="5" t="s">
        <v>34</v>
      </c>
      <c r="Q256" s="145">
        <v>7542</v>
      </c>
      <c r="R256" s="156">
        <v>1</v>
      </c>
      <c r="S256" s="159">
        <v>4249</v>
      </c>
      <c r="U256" s="145">
        <v>320.45999999999998</v>
      </c>
      <c r="V256" s="157">
        <v>1.55E-4</v>
      </c>
      <c r="W256" s="157">
        <v>1.1461873058263099E-3</v>
      </c>
      <c r="X256" s="157">
        <v>2.7498570714745902E-4</v>
      </c>
    </row>
    <row r="257" spans="1:24">
      <c r="A257" s="5">
        <v>337</v>
      </c>
      <c r="B257" s="5">
        <v>9963</v>
      </c>
      <c r="C257" s="189" t="s">
        <v>1150</v>
      </c>
      <c r="D257" s="5" t="s">
        <v>1151</v>
      </c>
      <c r="E257" s="189" t="s">
        <v>118</v>
      </c>
      <c r="F257" s="5" t="s">
        <v>1152</v>
      </c>
      <c r="G257" s="5" t="s">
        <v>1153</v>
      </c>
      <c r="H257" s="5" t="s">
        <v>121</v>
      </c>
      <c r="I257" s="5" t="s">
        <v>920</v>
      </c>
      <c r="J257" s="5" t="s">
        <v>30</v>
      </c>
      <c r="K257" s="38" t="s">
        <v>30</v>
      </c>
      <c r="L257" s="3" t="s">
        <v>123</v>
      </c>
      <c r="M257" s="3" t="s">
        <v>31</v>
      </c>
      <c r="N257" s="5" t="s">
        <v>421</v>
      </c>
      <c r="O257" s="5" t="s">
        <v>125</v>
      </c>
      <c r="P257" s="5" t="s">
        <v>34</v>
      </c>
      <c r="Q257" s="145">
        <v>2006</v>
      </c>
      <c r="R257" s="156">
        <v>1</v>
      </c>
      <c r="S257" s="159">
        <v>35170</v>
      </c>
      <c r="U257" s="145">
        <v>705.51</v>
      </c>
      <c r="V257" s="157">
        <v>1.46E-4</v>
      </c>
      <c r="W257" s="157">
        <v>2.5233972888904898E-3</v>
      </c>
      <c r="X257" s="157">
        <v>6.0539685300325496E-4</v>
      </c>
    </row>
    <row r="258" spans="1:24">
      <c r="A258" s="5">
        <v>337</v>
      </c>
      <c r="B258" s="5">
        <v>9963</v>
      </c>
      <c r="C258" s="189" t="s">
        <v>1154</v>
      </c>
      <c r="D258" s="5" t="s">
        <v>1155</v>
      </c>
      <c r="E258" s="189" t="s">
        <v>439</v>
      </c>
      <c r="F258" s="5" t="s">
        <v>1156</v>
      </c>
      <c r="G258" s="5" t="s">
        <v>1157</v>
      </c>
      <c r="H258" s="5" t="s">
        <v>121</v>
      </c>
      <c r="I258" s="5" t="s">
        <v>920</v>
      </c>
      <c r="J258" s="5" t="s">
        <v>30</v>
      </c>
      <c r="K258" s="38" t="s">
        <v>30</v>
      </c>
      <c r="L258" s="3" t="s">
        <v>123</v>
      </c>
      <c r="M258" s="3" t="s">
        <v>31</v>
      </c>
      <c r="N258" s="5" t="s">
        <v>377</v>
      </c>
      <c r="O258" s="5" t="s">
        <v>125</v>
      </c>
      <c r="P258" s="5" t="s">
        <v>34</v>
      </c>
      <c r="Q258" s="145">
        <v>636183</v>
      </c>
      <c r="R258" s="156">
        <v>1</v>
      </c>
      <c r="S258" s="159">
        <v>477.4</v>
      </c>
      <c r="U258" s="145">
        <v>3037.1379999999999</v>
      </c>
      <c r="V258" s="157">
        <v>5.6599999999999999E-4</v>
      </c>
      <c r="W258" s="157">
        <v>1.08629257122151E-2</v>
      </c>
      <c r="X258" s="157">
        <v>2.6061615701722398E-3</v>
      </c>
    </row>
    <row r="259" spans="1:24">
      <c r="A259" s="5">
        <v>337</v>
      </c>
      <c r="B259" s="5">
        <v>9963</v>
      </c>
      <c r="C259" s="189" t="s">
        <v>710</v>
      </c>
      <c r="D259" s="5" t="s">
        <v>711</v>
      </c>
      <c r="E259" s="189" t="s">
        <v>118</v>
      </c>
      <c r="F259" s="5" t="s">
        <v>1158</v>
      </c>
      <c r="G259" s="5" t="s">
        <v>1159</v>
      </c>
      <c r="H259" s="5" t="s">
        <v>121</v>
      </c>
      <c r="I259" s="5" t="s">
        <v>920</v>
      </c>
      <c r="J259" s="5" t="s">
        <v>30</v>
      </c>
      <c r="K259" s="38" t="s">
        <v>30</v>
      </c>
      <c r="L259" s="3" t="s">
        <v>123</v>
      </c>
      <c r="M259" s="3" t="s">
        <v>31</v>
      </c>
      <c r="N259" s="5" t="s">
        <v>421</v>
      </c>
      <c r="O259" s="5" t="s">
        <v>125</v>
      </c>
      <c r="P259" s="5" t="s">
        <v>34</v>
      </c>
      <c r="Q259" s="145">
        <v>36360</v>
      </c>
      <c r="R259" s="156">
        <v>1</v>
      </c>
      <c r="S259" s="159">
        <v>3976</v>
      </c>
      <c r="U259" s="145">
        <v>1445.674</v>
      </c>
      <c r="V259" s="157">
        <v>1.3200000000000001E-4</v>
      </c>
      <c r="W259" s="157">
        <v>5.1707386269688998E-3</v>
      </c>
      <c r="X259" s="157">
        <v>1.24052954572434E-3</v>
      </c>
    </row>
    <row r="260" spans="1:24">
      <c r="A260" s="5">
        <v>337</v>
      </c>
      <c r="B260" s="5">
        <v>9963</v>
      </c>
      <c r="C260" s="189" t="s">
        <v>720</v>
      </c>
      <c r="D260" s="5" t="s">
        <v>721</v>
      </c>
      <c r="E260" s="189" t="s">
        <v>118</v>
      </c>
      <c r="F260" s="5" t="s">
        <v>1289</v>
      </c>
      <c r="G260" s="5" t="s">
        <v>1290</v>
      </c>
      <c r="H260" s="5" t="s">
        <v>121</v>
      </c>
      <c r="I260" s="5" t="s">
        <v>920</v>
      </c>
      <c r="J260" s="5" t="s">
        <v>30</v>
      </c>
      <c r="K260" s="38" t="s">
        <v>30</v>
      </c>
      <c r="L260" s="3" t="s">
        <v>123</v>
      </c>
      <c r="M260" s="3" t="s">
        <v>31</v>
      </c>
      <c r="N260" s="5" t="s">
        <v>724</v>
      </c>
      <c r="O260" s="5" t="s">
        <v>125</v>
      </c>
      <c r="P260" s="5" t="s">
        <v>34</v>
      </c>
      <c r="Q260" s="145">
        <v>57744</v>
      </c>
      <c r="R260" s="156">
        <v>1</v>
      </c>
      <c r="S260" s="159">
        <v>3129</v>
      </c>
      <c r="U260" s="145">
        <v>1806.81</v>
      </c>
      <c r="V260" s="157">
        <v>1.6100000000000001E-4</v>
      </c>
      <c r="W260" s="157">
        <v>6.46241379632056E-3</v>
      </c>
      <c r="X260" s="157">
        <v>1.5504197425913399E-3</v>
      </c>
    </row>
    <row r="261" spans="1:24">
      <c r="A261" s="5">
        <v>337</v>
      </c>
      <c r="B261" s="5">
        <v>9963</v>
      </c>
      <c r="C261" s="189" t="s">
        <v>1160</v>
      </c>
      <c r="D261" s="5" t="s">
        <v>1161</v>
      </c>
      <c r="E261" s="189" t="s">
        <v>118</v>
      </c>
      <c r="F261" s="5" t="s">
        <v>1162</v>
      </c>
      <c r="G261" s="5" t="s">
        <v>1163</v>
      </c>
      <c r="H261" s="5" t="s">
        <v>121</v>
      </c>
      <c r="I261" s="5" t="s">
        <v>920</v>
      </c>
      <c r="J261" s="5" t="s">
        <v>30</v>
      </c>
      <c r="K261" s="38" t="s">
        <v>138</v>
      </c>
      <c r="L261" s="3" t="s">
        <v>123</v>
      </c>
      <c r="M261" s="3" t="s">
        <v>31</v>
      </c>
      <c r="N261" s="5" t="s">
        <v>1164</v>
      </c>
      <c r="O261" s="5" t="s">
        <v>125</v>
      </c>
      <c r="P261" s="5" t="s">
        <v>34</v>
      </c>
      <c r="Q261" s="145">
        <v>22000</v>
      </c>
      <c r="R261" s="156">
        <v>1</v>
      </c>
      <c r="S261" s="159">
        <v>14330</v>
      </c>
      <c r="U261" s="145">
        <v>3152.6</v>
      </c>
      <c r="V261" s="157">
        <v>1.67E-3</v>
      </c>
      <c r="W261" s="157">
        <v>1.12758997573049E-2</v>
      </c>
      <c r="X261" s="157">
        <v>2.70523958233072E-3</v>
      </c>
    </row>
    <row r="262" spans="1:24">
      <c r="A262" s="5">
        <v>337</v>
      </c>
      <c r="B262" s="5">
        <v>9963</v>
      </c>
      <c r="C262" s="189" t="s">
        <v>1169</v>
      </c>
      <c r="D262" s="5" t="s">
        <v>1170</v>
      </c>
      <c r="E262" s="189" t="s">
        <v>727</v>
      </c>
      <c r="F262" s="5" t="s">
        <v>1171</v>
      </c>
      <c r="G262" s="5" t="s">
        <v>1172</v>
      </c>
      <c r="H262" s="5" t="s">
        <v>121</v>
      </c>
      <c r="I262" s="5" t="s">
        <v>920</v>
      </c>
      <c r="J262" s="5" t="s">
        <v>79</v>
      </c>
      <c r="K262" s="38" t="s">
        <v>80</v>
      </c>
      <c r="L262" s="3" t="s">
        <v>123</v>
      </c>
      <c r="M262" s="3" t="s">
        <v>1173</v>
      </c>
      <c r="N262" s="5" t="s">
        <v>1174</v>
      </c>
      <c r="O262" s="5" t="s">
        <v>125</v>
      </c>
      <c r="P262" s="5" t="s">
        <v>84</v>
      </c>
      <c r="Q262" s="145">
        <v>1609</v>
      </c>
      <c r="R262" s="156">
        <v>3.19</v>
      </c>
      <c r="S262" s="159">
        <v>21416</v>
      </c>
      <c r="U262" s="145">
        <v>1099.221</v>
      </c>
      <c r="V262" s="157">
        <v>9.9999999999999995E-7</v>
      </c>
      <c r="W262" s="157">
        <v>3.9315827458671201E-3</v>
      </c>
      <c r="X262" s="157">
        <v>9.4323943048872302E-4</v>
      </c>
    </row>
    <row r="263" spans="1:24">
      <c r="A263" s="5">
        <v>337</v>
      </c>
      <c r="B263" s="5">
        <v>9963</v>
      </c>
      <c r="C263" s="189" t="s">
        <v>1175</v>
      </c>
      <c r="D263" s="5" t="s">
        <v>1176</v>
      </c>
      <c r="E263" s="189" t="s">
        <v>727</v>
      </c>
      <c r="F263" s="5" t="s">
        <v>1177</v>
      </c>
      <c r="G263" s="5" t="s">
        <v>1178</v>
      </c>
      <c r="H263" s="5" t="s">
        <v>121</v>
      </c>
      <c r="I263" s="5" t="s">
        <v>920</v>
      </c>
      <c r="J263" s="5" t="s">
        <v>79</v>
      </c>
      <c r="K263" s="38" t="s">
        <v>1179</v>
      </c>
      <c r="L263" s="3" t="s">
        <v>123</v>
      </c>
      <c r="M263" s="3" t="s">
        <v>1180</v>
      </c>
      <c r="N263" s="5" t="s">
        <v>1181</v>
      </c>
      <c r="O263" s="5" t="s">
        <v>125</v>
      </c>
      <c r="P263" s="5" t="s">
        <v>84</v>
      </c>
      <c r="Q263" s="145">
        <v>2053</v>
      </c>
      <c r="R263" s="156">
        <v>3.19</v>
      </c>
      <c r="S263" s="159">
        <v>14658</v>
      </c>
      <c r="U263" s="145">
        <v>959.96299999999997</v>
      </c>
      <c r="V263" s="157">
        <v>9.9999999999999995E-7</v>
      </c>
      <c r="W263" s="157">
        <v>3.4334970999173198E-3</v>
      </c>
      <c r="X263" s="157">
        <v>8.2374200378082301E-4</v>
      </c>
    </row>
    <row r="264" spans="1:24">
      <c r="A264" s="5">
        <v>337</v>
      </c>
      <c r="B264" s="5">
        <v>9963</v>
      </c>
      <c r="C264" s="189" t="s">
        <v>1182</v>
      </c>
      <c r="D264" s="5" t="s">
        <v>1183</v>
      </c>
      <c r="E264" s="189" t="s">
        <v>727</v>
      </c>
      <c r="F264" s="5" t="s">
        <v>1184</v>
      </c>
      <c r="G264" s="5" t="s">
        <v>1185</v>
      </c>
      <c r="H264" s="5" t="s">
        <v>121</v>
      </c>
      <c r="I264" s="5" t="s">
        <v>920</v>
      </c>
      <c r="J264" s="5" t="s">
        <v>79</v>
      </c>
      <c r="K264" s="38" t="s">
        <v>80</v>
      </c>
      <c r="L264" s="3" t="s">
        <v>123</v>
      </c>
      <c r="M264" s="3" t="s">
        <v>1173</v>
      </c>
      <c r="N264" s="5" t="s">
        <v>1174</v>
      </c>
      <c r="O264" s="5" t="s">
        <v>125</v>
      </c>
      <c r="P264" s="5" t="s">
        <v>84</v>
      </c>
      <c r="Q264" s="145">
        <v>922</v>
      </c>
      <c r="R264" s="156">
        <v>3.19</v>
      </c>
      <c r="S264" s="159">
        <v>34610</v>
      </c>
      <c r="U264" s="145">
        <v>1017.942</v>
      </c>
      <c r="V264" s="157">
        <v>1.9999999999999999E-6</v>
      </c>
      <c r="W264" s="157">
        <v>3.6408730693898998E-3</v>
      </c>
      <c r="X264" s="157">
        <v>8.7349428015043198E-4</v>
      </c>
    </row>
    <row r="265" spans="1:24">
      <c r="A265" s="5">
        <v>337</v>
      </c>
      <c r="B265" s="5">
        <v>9963</v>
      </c>
      <c r="C265" s="189" t="s">
        <v>1186</v>
      </c>
      <c r="D265" s="5" t="s">
        <v>1187</v>
      </c>
      <c r="E265" s="189" t="s">
        <v>727</v>
      </c>
      <c r="F265" s="5" t="s">
        <v>1188</v>
      </c>
      <c r="G265" s="5" t="s">
        <v>1189</v>
      </c>
      <c r="H265" s="5" t="s">
        <v>121</v>
      </c>
      <c r="I265" s="5" t="s">
        <v>920</v>
      </c>
      <c r="J265" s="5" t="s">
        <v>79</v>
      </c>
      <c r="K265" s="38" t="s">
        <v>80</v>
      </c>
      <c r="L265" s="3" t="s">
        <v>123</v>
      </c>
      <c r="M265" s="3" t="s">
        <v>1180</v>
      </c>
      <c r="N265" s="5" t="s">
        <v>1190</v>
      </c>
      <c r="O265" s="5" t="s">
        <v>125</v>
      </c>
      <c r="P265" s="5" t="s">
        <v>84</v>
      </c>
      <c r="Q265" s="145">
        <v>944</v>
      </c>
      <c r="R265" s="156">
        <v>3.19</v>
      </c>
      <c r="S265" s="159">
        <v>107468</v>
      </c>
      <c r="U265" s="145">
        <v>3236.248</v>
      </c>
      <c r="V265" s="157">
        <v>9.9999999999999995E-7</v>
      </c>
      <c r="W265" s="157">
        <v>1.15750847399692E-2</v>
      </c>
      <c r="X265" s="157">
        <v>2.77701807229272E-3</v>
      </c>
    </row>
    <row r="266" spans="1:24">
      <c r="A266" s="5">
        <v>337</v>
      </c>
      <c r="B266" s="5">
        <v>9963</v>
      </c>
      <c r="C266" s="189" t="s">
        <v>1191</v>
      </c>
      <c r="D266" s="5" t="s">
        <v>1192</v>
      </c>
      <c r="E266" s="189" t="s">
        <v>727</v>
      </c>
      <c r="F266" s="5" t="s">
        <v>1193</v>
      </c>
      <c r="G266" s="5" t="s">
        <v>1194</v>
      </c>
      <c r="H266" s="5" t="s">
        <v>121</v>
      </c>
      <c r="I266" s="5" t="s">
        <v>920</v>
      </c>
      <c r="J266" s="5" t="s">
        <v>79</v>
      </c>
      <c r="K266" s="38" t="s">
        <v>80</v>
      </c>
      <c r="L266" s="3" t="s">
        <v>123</v>
      </c>
      <c r="M266" s="140" t="s">
        <v>1180</v>
      </c>
      <c r="N266" s="38" t="s">
        <v>1216</v>
      </c>
      <c r="O266" s="5" t="s">
        <v>125</v>
      </c>
      <c r="P266" s="5" t="s">
        <v>84</v>
      </c>
      <c r="Q266" s="145">
        <v>1003</v>
      </c>
      <c r="R266" s="156">
        <v>3.19</v>
      </c>
      <c r="S266" s="159">
        <v>87900</v>
      </c>
      <c r="U266" s="145">
        <v>2812.422</v>
      </c>
      <c r="V266" s="157">
        <v>3.0000000000000001E-6</v>
      </c>
      <c r="W266" s="157">
        <v>1.00591857151291E-2</v>
      </c>
      <c r="X266" s="157">
        <v>2.41333356523978E-3</v>
      </c>
    </row>
    <row r="267" spans="1:24">
      <c r="A267" s="5">
        <v>337</v>
      </c>
      <c r="B267" s="5">
        <v>9963</v>
      </c>
      <c r="C267" s="189" t="s">
        <v>1196</v>
      </c>
      <c r="D267" s="5" t="s">
        <v>1197</v>
      </c>
      <c r="E267" s="189" t="s">
        <v>727</v>
      </c>
      <c r="F267" s="5" t="s">
        <v>1198</v>
      </c>
      <c r="G267" s="5" t="s">
        <v>1199</v>
      </c>
      <c r="H267" s="5" t="s">
        <v>121</v>
      </c>
      <c r="I267" s="5" t="s">
        <v>920</v>
      </c>
      <c r="J267" s="5" t="s">
        <v>79</v>
      </c>
      <c r="K267" s="38" t="s">
        <v>80</v>
      </c>
      <c r="L267" s="3" t="s">
        <v>123</v>
      </c>
      <c r="M267" s="3" t="s">
        <v>1173</v>
      </c>
      <c r="N267" s="5" t="s">
        <v>1200</v>
      </c>
      <c r="O267" s="5" t="s">
        <v>125</v>
      </c>
      <c r="P267" s="5" t="s">
        <v>84</v>
      </c>
      <c r="Q267" s="145">
        <v>5715</v>
      </c>
      <c r="R267" s="156">
        <v>3.19</v>
      </c>
      <c r="S267" s="159">
        <v>31380</v>
      </c>
      <c r="U267" s="145">
        <v>5720.8410000000003</v>
      </c>
      <c r="V267" s="157">
        <v>9.9999999999999995E-7</v>
      </c>
      <c r="W267" s="157">
        <v>2.0461722577868199E-2</v>
      </c>
      <c r="X267" s="157">
        <v>4.9090416757615199E-3</v>
      </c>
    </row>
    <row r="268" spans="1:24">
      <c r="A268" s="5">
        <v>337</v>
      </c>
      <c r="B268" s="5">
        <v>9963</v>
      </c>
      <c r="C268" s="189" t="s">
        <v>1201</v>
      </c>
      <c r="D268" s="5" t="s">
        <v>1202</v>
      </c>
      <c r="E268" s="189" t="s">
        <v>727</v>
      </c>
      <c r="F268" s="5" t="s">
        <v>1203</v>
      </c>
      <c r="G268" s="5" t="s">
        <v>1204</v>
      </c>
      <c r="H268" s="5" t="s">
        <v>121</v>
      </c>
      <c r="I268" s="5" t="s">
        <v>920</v>
      </c>
      <c r="J268" s="5" t="s">
        <v>79</v>
      </c>
      <c r="K268" s="38" t="s">
        <v>80</v>
      </c>
      <c r="L268" s="3" t="s">
        <v>123</v>
      </c>
      <c r="M268" s="3" t="s">
        <v>1173</v>
      </c>
      <c r="N268" s="5" t="s">
        <v>1174</v>
      </c>
      <c r="O268" s="5" t="s">
        <v>125</v>
      </c>
      <c r="P268" s="5" t="s">
        <v>84</v>
      </c>
      <c r="Q268" s="145">
        <v>25595</v>
      </c>
      <c r="R268" s="156">
        <v>3.19</v>
      </c>
      <c r="S268" s="159">
        <v>3690</v>
      </c>
      <c r="U268" s="145">
        <v>3012.8130000000001</v>
      </c>
      <c r="V268" s="157">
        <v>6.0000000000000002E-6</v>
      </c>
      <c r="W268" s="157">
        <v>1.0775923962101299E-2</v>
      </c>
      <c r="X268" s="157">
        <v>2.5852886834664599E-3</v>
      </c>
    </row>
    <row r="269" spans="1:24">
      <c r="A269" s="5">
        <v>337</v>
      </c>
      <c r="B269" s="5">
        <v>9963</v>
      </c>
      <c r="C269" s="189" t="s">
        <v>1205</v>
      </c>
      <c r="D269" s="5" t="s">
        <v>1206</v>
      </c>
      <c r="E269" s="189" t="s">
        <v>727</v>
      </c>
      <c r="F269" s="5" t="s">
        <v>1207</v>
      </c>
      <c r="G269" s="5" t="s">
        <v>1208</v>
      </c>
      <c r="H269" s="5" t="s">
        <v>121</v>
      </c>
      <c r="I269" s="5" t="s">
        <v>920</v>
      </c>
      <c r="J269" s="5" t="s">
        <v>79</v>
      </c>
      <c r="K269" s="38" t="s">
        <v>80</v>
      </c>
      <c r="L269" s="3" t="s">
        <v>123</v>
      </c>
      <c r="M269" s="3" t="s">
        <v>1180</v>
      </c>
      <c r="N269" s="5" t="s">
        <v>1209</v>
      </c>
      <c r="O269" s="5" t="s">
        <v>125</v>
      </c>
      <c r="P269" s="5" t="s">
        <v>84</v>
      </c>
      <c r="Q269" s="145">
        <v>2811</v>
      </c>
      <c r="R269" s="156">
        <v>3.19</v>
      </c>
      <c r="S269" s="159">
        <v>32222</v>
      </c>
      <c r="U269" s="145">
        <v>2889.3760000000002</v>
      </c>
      <c r="V269" s="157">
        <v>9.9999999999999995E-7</v>
      </c>
      <c r="W269" s="157">
        <v>1.03344259351562E-2</v>
      </c>
      <c r="X269" s="157">
        <v>2.4793673855018298E-3</v>
      </c>
    </row>
    <row r="270" spans="1:24">
      <c r="A270" s="5">
        <v>337</v>
      </c>
      <c r="B270" s="5">
        <v>9963</v>
      </c>
      <c r="C270" s="189" t="s">
        <v>2943</v>
      </c>
      <c r="D270" s="38" t="s">
        <v>2942</v>
      </c>
      <c r="E270" s="189" t="s">
        <v>727</v>
      </c>
      <c r="F270" s="5" t="s">
        <v>1210</v>
      </c>
      <c r="G270" s="5" t="s">
        <v>1211</v>
      </c>
      <c r="H270" s="5" t="s">
        <v>121</v>
      </c>
      <c r="I270" s="5" t="s">
        <v>920</v>
      </c>
      <c r="J270" s="5" t="s">
        <v>79</v>
      </c>
      <c r="K270" s="38" t="s">
        <v>80</v>
      </c>
      <c r="L270" s="3" t="s">
        <v>123</v>
      </c>
      <c r="M270" s="140" t="s">
        <v>1180</v>
      </c>
      <c r="N270" s="38" t="s">
        <v>1216</v>
      </c>
      <c r="O270" s="5" t="s">
        <v>125</v>
      </c>
      <c r="P270" s="5" t="s">
        <v>84</v>
      </c>
      <c r="Q270" s="145">
        <v>5364</v>
      </c>
      <c r="R270" s="156">
        <v>3.19</v>
      </c>
      <c r="S270" s="159">
        <v>12748</v>
      </c>
      <c r="U270" s="145">
        <v>2181.3310000000001</v>
      </c>
      <c r="V270" s="157">
        <v>0</v>
      </c>
      <c r="W270" s="157">
        <v>7.8019622055227203E-3</v>
      </c>
      <c r="X270" s="157">
        <v>1.87179537176668E-3</v>
      </c>
    </row>
    <row r="271" spans="1:24">
      <c r="A271" s="5">
        <v>337</v>
      </c>
      <c r="B271" s="5">
        <v>9963</v>
      </c>
      <c r="C271" s="189" t="s">
        <v>1213</v>
      </c>
      <c r="D271" s="5" t="s">
        <v>1214</v>
      </c>
      <c r="E271" s="189" t="s">
        <v>727</v>
      </c>
      <c r="F271" s="5" t="s">
        <v>1213</v>
      </c>
      <c r="G271" s="5" t="s">
        <v>1215</v>
      </c>
      <c r="H271" s="5" t="s">
        <v>121</v>
      </c>
      <c r="I271" s="5" t="s">
        <v>920</v>
      </c>
      <c r="J271" s="5" t="s">
        <v>79</v>
      </c>
      <c r="K271" s="38" t="s">
        <v>80</v>
      </c>
      <c r="L271" s="3" t="s">
        <v>123</v>
      </c>
      <c r="M271" s="3" t="s">
        <v>1173</v>
      </c>
      <c r="N271" s="5" t="s">
        <v>1216</v>
      </c>
      <c r="O271" s="5" t="s">
        <v>125</v>
      </c>
      <c r="P271" s="5" t="s">
        <v>84</v>
      </c>
      <c r="Q271" s="145">
        <v>814</v>
      </c>
      <c r="R271" s="156">
        <v>3.19</v>
      </c>
      <c r="S271" s="159">
        <v>66009</v>
      </c>
      <c r="U271" s="145">
        <v>1714.029</v>
      </c>
      <c r="V271" s="157">
        <v>0</v>
      </c>
      <c r="W271" s="157">
        <v>6.1305660601148199E-3</v>
      </c>
      <c r="X271" s="157">
        <v>1.4708050199871399E-3</v>
      </c>
    </row>
    <row r="272" spans="1:24">
      <c r="A272" s="5">
        <v>337</v>
      </c>
      <c r="B272" s="5">
        <v>9963</v>
      </c>
      <c r="C272" s="189" t="s">
        <v>1217</v>
      </c>
      <c r="D272" s="5" t="s">
        <v>1218</v>
      </c>
      <c r="E272" s="189" t="s">
        <v>727</v>
      </c>
      <c r="F272" s="5" t="s">
        <v>1219</v>
      </c>
      <c r="G272" s="5" t="s">
        <v>1220</v>
      </c>
      <c r="H272" s="5" t="s">
        <v>121</v>
      </c>
      <c r="I272" s="5" t="s">
        <v>920</v>
      </c>
      <c r="J272" s="5" t="s">
        <v>79</v>
      </c>
      <c r="K272" s="38" t="s">
        <v>80</v>
      </c>
      <c r="L272" s="3" t="s">
        <v>123</v>
      </c>
      <c r="M272" s="3" t="s">
        <v>1173</v>
      </c>
      <c r="N272" s="5" t="s">
        <v>1221</v>
      </c>
      <c r="O272" s="5" t="s">
        <v>125</v>
      </c>
      <c r="P272" s="5" t="s">
        <v>84</v>
      </c>
      <c r="Q272" s="145">
        <v>1330</v>
      </c>
      <c r="R272" s="156">
        <v>3.19</v>
      </c>
      <c r="S272" s="159">
        <v>48362</v>
      </c>
      <c r="U272" s="145">
        <v>2051.855</v>
      </c>
      <c r="V272" s="157">
        <v>0</v>
      </c>
      <c r="W272" s="157">
        <v>7.3388652201331001E-3</v>
      </c>
      <c r="X272" s="157">
        <v>1.7606921939894501E-3</v>
      </c>
    </row>
    <row r="273" spans="1:24">
      <c r="A273" s="5">
        <v>337</v>
      </c>
      <c r="B273" s="5">
        <v>9963</v>
      </c>
      <c r="C273" s="189" t="s">
        <v>1222</v>
      </c>
      <c r="D273" s="5" t="s">
        <v>1223</v>
      </c>
      <c r="E273" s="189" t="s">
        <v>727</v>
      </c>
      <c r="F273" s="5" t="s">
        <v>1224</v>
      </c>
      <c r="G273" s="5" t="s">
        <v>1225</v>
      </c>
      <c r="H273" s="5" t="s">
        <v>121</v>
      </c>
      <c r="I273" s="5" t="s">
        <v>920</v>
      </c>
      <c r="J273" s="5" t="s">
        <v>79</v>
      </c>
      <c r="K273" s="38" t="s">
        <v>80</v>
      </c>
      <c r="L273" s="3" t="s">
        <v>123</v>
      </c>
      <c r="M273" s="3" t="s">
        <v>1180</v>
      </c>
      <c r="N273" s="5" t="s">
        <v>1226</v>
      </c>
      <c r="O273" s="5" t="s">
        <v>125</v>
      </c>
      <c r="P273" s="5" t="s">
        <v>84</v>
      </c>
      <c r="Q273" s="145">
        <v>5128</v>
      </c>
      <c r="R273" s="156">
        <v>3.19</v>
      </c>
      <c r="S273" s="159">
        <v>13351</v>
      </c>
      <c r="U273" s="145">
        <v>2183.9989999999998</v>
      </c>
      <c r="V273" s="157">
        <v>9.7999999999999997E-5</v>
      </c>
      <c r="W273" s="157">
        <v>7.8115070776207003E-3</v>
      </c>
      <c r="X273" s="157">
        <v>1.8740853145972701E-3</v>
      </c>
    </row>
    <row r="274" spans="1:24">
      <c r="A274" s="5">
        <v>337</v>
      </c>
      <c r="B274" s="5">
        <v>9963</v>
      </c>
      <c r="C274" s="189" t="s">
        <v>1095</v>
      </c>
      <c r="D274" s="5" t="s">
        <v>1096</v>
      </c>
      <c r="E274" s="189" t="s">
        <v>118</v>
      </c>
      <c r="F274" s="5" t="s">
        <v>1232</v>
      </c>
      <c r="G274" s="5" t="s">
        <v>1233</v>
      </c>
      <c r="H274" s="5" t="s">
        <v>121</v>
      </c>
      <c r="I274" s="5" t="s">
        <v>920</v>
      </c>
      <c r="J274" s="5" t="s">
        <v>79</v>
      </c>
      <c r="K274" s="38" t="s">
        <v>30</v>
      </c>
      <c r="L274" s="3" t="s">
        <v>123</v>
      </c>
      <c r="M274" s="3" t="s">
        <v>1173</v>
      </c>
      <c r="N274" s="5" t="s">
        <v>1221</v>
      </c>
      <c r="O274" s="5" t="s">
        <v>125</v>
      </c>
      <c r="P274" s="5" t="s">
        <v>84</v>
      </c>
      <c r="Q274" s="145">
        <v>2499</v>
      </c>
      <c r="R274" s="156">
        <v>3.19</v>
      </c>
      <c r="S274" s="159">
        <v>11304</v>
      </c>
      <c r="U274" s="145">
        <v>901.13300000000004</v>
      </c>
      <c r="V274" s="157">
        <v>4.1999999999999998E-5</v>
      </c>
      <c r="W274" s="157">
        <v>3.2230825075878701E-3</v>
      </c>
      <c r="X274" s="157">
        <v>7.7326072103433305E-4</v>
      </c>
    </row>
    <row r="275" spans="1:24">
      <c r="A275" s="5">
        <v>337</v>
      </c>
      <c r="B275" s="5">
        <v>9963</v>
      </c>
      <c r="C275" s="189" t="s">
        <v>1234</v>
      </c>
      <c r="D275" s="5" t="s">
        <v>1235</v>
      </c>
      <c r="E275" s="189" t="s">
        <v>727</v>
      </c>
      <c r="F275" s="5" t="s">
        <v>1234</v>
      </c>
      <c r="G275" s="5" t="s">
        <v>1236</v>
      </c>
      <c r="H275" s="5" t="s">
        <v>121</v>
      </c>
      <c r="I275" s="5" t="s">
        <v>920</v>
      </c>
      <c r="J275" s="5" t="s">
        <v>79</v>
      </c>
      <c r="K275" s="38" t="s">
        <v>80</v>
      </c>
      <c r="L275" s="3" t="s">
        <v>123</v>
      </c>
      <c r="M275" s="3" t="s">
        <v>1180</v>
      </c>
      <c r="N275" s="5" t="s">
        <v>1181</v>
      </c>
      <c r="O275" s="5" t="s">
        <v>125</v>
      </c>
      <c r="P275" s="5" t="s">
        <v>84</v>
      </c>
      <c r="Q275" s="145">
        <v>6387</v>
      </c>
      <c r="R275" s="156">
        <v>3.19</v>
      </c>
      <c r="S275" s="159">
        <v>6371</v>
      </c>
      <c r="T275" s="143">
        <v>2.6190000000000002</v>
      </c>
      <c r="U275" s="145">
        <v>1306.415</v>
      </c>
      <c r="V275" s="157">
        <v>5.0000000000000004E-6</v>
      </c>
      <c r="W275" s="157">
        <v>4.6726521104506697E-3</v>
      </c>
      <c r="X275" s="157">
        <v>1.1210319101554E-3</v>
      </c>
    </row>
    <row r="276" spans="1:24">
      <c r="A276" s="5">
        <v>337</v>
      </c>
      <c r="B276" s="5">
        <v>9963</v>
      </c>
      <c r="C276" s="189" t="s">
        <v>1237</v>
      </c>
      <c r="D276" s="5" t="s">
        <v>1238</v>
      </c>
      <c r="E276" s="189" t="s">
        <v>727</v>
      </c>
      <c r="F276" s="5" t="s">
        <v>1239</v>
      </c>
      <c r="G276" s="5" t="s">
        <v>1240</v>
      </c>
      <c r="H276" s="5" t="s">
        <v>121</v>
      </c>
      <c r="I276" s="5" t="s">
        <v>920</v>
      </c>
      <c r="J276" s="5" t="s">
        <v>79</v>
      </c>
      <c r="K276" s="38" t="s">
        <v>80</v>
      </c>
      <c r="L276" s="3" t="s">
        <v>123</v>
      </c>
      <c r="M276" s="3" t="s">
        <v>1173</v>
      </c>
      <c r="N276" s="5" t="s">
        <v>1174</v>
      </c>
      <c r="O276" s="5" t="s">
        <v>125</v>
      </c>
      <c r="P276" s="5" t="s">
        <v>84</v>
      </c>
      <c r="Q276" s="145">
        <v>1657</v>
      </c>
      <c r="R276" s="156">
        <v>3.19</v>
      </c>
      <c r="S276" s="159">
        <v>18650</v>
      </c>
      <c r="U276" s="145">
        <v>985.80700000000002</v>
      </c>
      <c r="V276" s="157">
        <v>0</v>
      </c>
      <c r="W276" s="157">
        <v>3.5259354940176098E-3</v>
      </c>
      <c r="X276" s="157">
        <v>8.4591921429435298E-4</v>
      </c>
    </row>
    <row r="277" spans="1:24">
      <c r="A277" s="5">
        <v>337</v>
      </c>
      <c r="B277" s="5">
        <v>9963</v>
      </c>
      <c r="C277" s="189" t="s">
        <v>921</v>
      </c>
      <c r="D277" s="5" t="s">
        <v>922</v>
      </c>
      <c r="E277" s="189" t="s">
        <v>727</v>
      </c>
      <c r="F277" s="5" t="s">
        <v>1241</v>
      </c>
      <c r="G277" s="5" t="s">
        <v>924</v>
      </c>
      <c r="H277" s="5" t="s">
        <v>121</v>
      </c>
      <c r="I277" s="5" t="s">
        <v>920</v>
      </c>
      <c r="J277" s="5" t="s">
        <v>79</v>
      </c>
      <c r="K277" s="38" t="s">
        <v>80</v>
      </c>
      <c r="L277" s="3" t="s">
        <v>123</v>
      </c>
      <c r="M277" s="3" t="s">
        <v>1180</v>
      </c>
      <c r="N277" s="5" t="s">
        <v>1242</v>
      </c>
      <c r="O277" s="5" t="s">
        <v>125</v>
      </c>
      <c r="P277" s="5" t="s">
        <v>84</v>
      </c>
      <c r="Q277" s="145">
        <v>3123</v>
      </c>
      <c r="R277" s="156">
        <v>3.19</v>
      </c>
      <c r="S277" s="159">
        <v>11047</v>
      </c>
      <c r="U277" s="145">
        <v>1100.5429999999999</v>
      </c>
      <c r="V277" s="157">
        <v>5.1E-5</v>
      </c>
      <c r="W277" s="157">
        <v>3.9363105701131296E-3</v>
      </c>
      <c r="X277" s="157">
        <v>9.4437369893415901E-4</v>
      </c>
    </row>
    <row r="278" spans="1:24">
      <c r="A278" s="5">
        <v>337</v>
      </c>
      <c r="B278" s="5">
        <v>9963</v>
      </c>
      <c r="C278" s="189" t="s">
        <v>1243</v>
      </c>
      <c r="D278" s="5" t="s">
        <v>1244</v>
      </c>
      <c r="E278" s="189" t="s">
        <v>727</v>
      </c>
      <c r="F278" s="5" t="s">
        <v>1245</v>
      </c>
      <c r="G278" s="5" t="s">
        <v>1246</v>
      </c>
      <c r="H278" s="5" t="s">
        <v>121</v>
      </c>
      <c r="I278" s="5" t="s">
        <v>920</v>
      </c>
      <c r="J278" s="5" t="s">
        <v>79</v>
      </c>
      <c r="K278" s="38" t="s">
        <v>80</v>
      </c>
      <c r="L278" s="3" t="s">
        <v>123</v>
      </c>
      <c r="M278" s="3" t="s">
        <v>1173</v>
      </c>
      <c r="N278" s="5" t="s">
        <v>1221</v>
      </c>
      <c r="O278" s="5" t="s">
        <v>125</v>
      </c>
      <c r="P278" s="5" t="s">
        <v>84</v>
      </c>
      <c r="Q278" s="145">
        <v>3040</v>
      </c>
      <c r="R278" s="156">
        <v>3.19</v>
      </c>
      <c r="S278" s="159">
        <v>18420</v>
      </c>
      <c r="U278" s="145">
        <v>1786.298</v>
      </c>
      <c r="V278" s="157">
        <v>9.0000000000000002E-6</v>
      </c>
      <c r="W278" s="157">
        <v>6.3890491285295602E-3</v>
      </c>
      <c r="X278" s="157">
        <v>1.53281857483316E-3</v>
      </c>
    </row>
    <row r="279" spans="1:24">
      <c r="A279" s="5">
        <v>337</v>
      </c>
      <c r="B279" s="5">
        <v>9963</v>
      </c>
      <c r="C279" s="189" t="s">
        <v>1247</v>
      </c>
      <c r="D279" s="5" t="s">
        <v>1248</v>
      </c>
      <c r="E279" s="189" t="s">
        <v>727</v>
      </c>
      <c r="F279" s="5" t="s">
        <v>1249</v>
      </c>
      <c r="G279" s="5" t="s">
        <v>1250</v>
      </c>
      <c r="H279" s="5" t="s">
        <v>121</v>
      </c>
      <c r="I279" s="5" t="s">
        <v>920</v>
      </c>
      <c r="J279" s="5" t="s">
        <v>79</v>
      </c>
      <c r="K279" s="38" t="s">
        <v>956</v>
      </c>
      <c r="L279" s="3" t="s">
        <v>123</v>
      </c>
      <c r="M279" s="3" t="s">
        <v>1251</v>
      </c>
      <c r="N279" s="5" t="s">
        <v>1252</v>
      </c>
      <c r="O279" s="5" t="s">
        <v>125</v>
      </c>
      <c r="P279" s="5" t="s">
        <v>1253</v>
      </c>
      <c r="Q279" s="145">
        <v>26250</v>
      </c>
      <c r="R279" s="156">
        <v>4.29</v>
      </c>
      <c r="S279" s="159">
        <v>1796</v>
      </c>
      <c r="U279" s="145">
        <v>2022.521</v>
      </c>
      <c r="V279" s="157">
        <v>5.9199999999999997E-4</v>
      </c>
      <c r="W279" s="157">
        <v>7.2339460810423896E-3</v>
      </c>
      <c r="X279" s="157">
        <v>1.7355206853629801E-3</v>
      </c>
    </row>
    <row r="280" spans="1:24">
      <c r="A280" s="5">
        <v>337</v>
      </c>
      <c r="B280" s="5">
        <v>9963</v>
      </c>
      <c r="C280" s="189" t="s">
        <v>1254</v>
      </c>
      <c r="D280" s="5" t="s">
        <v>1255</v>
      </c>
      <c r="E280" s="189" t="s">
        <v>727</v>
      </c>
      <c r="F280" s="5" t="s">
        <v>1256</v>
      </c>
      <c r="G280" s="5" t="s">
        <v>1257</v>
      </c>
      <c r="H280" s="5" t="s">
        <v>121</v>
      </c>
      <c r="I280" s="5" t="s">
        <v>920</v>
      </c>
      <c r="J280" s="5" t="s">
        <v>79</v>
      </c>
      <c r="K280" s="38" t="s">
        <v>80</v>
      </c>
      <c r="L280" s="3" t="s">
        <v>123</v>
      </c>
      <c r="M280" s="3" t="s">
        <v>1180</v>
      </c>
      <c r="N280" s="5" t="s">
        <v>1258</v>
      </c>
      <c r="O280" s="5" t="s">
        <v>125</v>
      </c>
      <c r="P280" s="5" t="s">
        <v>84</v>
      </c>
      <c r="Q280" s="145">
        <v>1785</v>
      </c>
      <c r="R280" s="156">
        <v>3.19</v>
      </c>
      <c r="S280" s="159">
        <v>42206</v>
      </c>
      <c r="U280" s="145">
        <v>2403.2730000000001</v>
      </c>
      <c r="V280" s="157">
        <v>1.2E-5</v>
      </c>
      <c r="W280" s="157">
        <v>8.5957828022478599E-3</v>
      </c>
      <c r="X280" s="157">
        <v>2.0622435795151599E-3</v>
      </c>
    </row>
    <row r="281" spans="1:24">
      <c r="A281" s="5">
        <v>337</v>
      </c>
      <c r="B281" s="5">
        <v>9963</v>
      </c>
      <c r="C281" s="189" t="s">
        <v>1291</v>
      </c>
      <c r="D281" s="5" t="s">
        <v>1292</v>
      </c>
      <c r="E281" s="189" t="s">
        <v>727</v>
      </c>
      <c r="F281" s="5" t="s">
        <v>1293</v>
      </c>
      <c r="G281" s="5" t="s">
        <v>1294</v>
      </c>
      <c r="H281" s="5" t="s">
        <v>121</v>
      </c>
      <c r="I281" s="5" t="s">
        <v>920</v>
      </c>
      <c r="J281" s="5" t="s">
        <v>79</v>
      </c>
      <c r="K281" s="38" t="s">
        <v>80</v>
      </c>
      <c r="L281" s="3" t="s">
        <v>123</v>
      </c>
      <c r="M281" s="3" t="s">
        <v>1173</v>
      </c>
      <c r="N281" s="5" t="s">
        <v>1252</v>
      </c>
      <c r="O281" s="5" t="s">
        <v>125</v>
      </c>
      <c r="P281" s="5" t="s">
        <v>84</v>
      </c>
      <c r="Q281" s="145">
        <v>118346</v>
      </c>
      <c r="R281" s="156">
        <v>3.19</v>
      </c>
      <c r="S281" s="159">
        <v>0.02</v>
      </c>
      <c r="U281" s="145">
        <v>7.5999999999999998E-2</v>
      </c>
      <c r="V281" s="157">
        <v>2.1800000000000001E-4</v>
      </c>
      <c r="W281" s="157">
        <v>2.7005772050008599E-7</v>
      </c>
      <c r="X281" s="157">
        <v>6.4790469118666001E-8</v>
      </c>
    </row>
    <row r="282" spans="1:24">
      <c r="A282" s="5">
        <v>337</v>
      </c>
      <c r="B282" s="5">
        <v>9963</v>
      </c>
      <c r="C282" s="189" t="s">
        <v>1295</v>
      </c>
      <c r="D282" s="5" t="s">
        <v>1296</v>
      </c>
      <c r="E282" s="189" t="s">
        <v>118</v>
      </c>
      <c r="F282" s="5" t="s">
        <v>1295</v>
      </c>
      <c r="G282" s="5" t="s">
        <v>1297</v>
      </c>
      <c r="H282" s="5" t="s">
        <v>121</v>
      </c>
      <c r="I282" s="5" t="s">
        <v>920</v>
      </c>
      <c r="J282" s="5" t="s">
        <v>30</v>
      </c>
      <c r="K282" s="38" t="s">
        <v>30</v>
      </c>
      <c r="L282" s="3" t="s">
        <v>123</v>
      </c>
      <c r="M282" s="3" t="s">
        <v>1298</v>
      </c>
      <c r="N282" s="5" t="s">
        <v>1299</v>
      </c>
      <c r="O282" s="5" t="s">
        <v>125</v>
      </c>
      <c r="P282" s="5" t="s">
        <v>1300</v>
      </c>
      <c r="Q282" s="145">
        <v>35710</v>
      </c>
      <c r="R282" s="156">
        <v>4.0213000000000001</v>
      </c>
      <c r="S282" s="159">
        <v>118</v>
      </c>
      <c r="U282" s="145">
        <v>169.44900000000001</v>
      </c>
      <c r="V282" s="157">
        <v>2.1779999999999998E-3</v>
      </c>
      <c r="W282" s="157">
        <v>6.0606704036057595E-4</v>
      </c>
      <c r="X282" s="157">
        <v>1.4540361145613199E-4</v>
      </c>
    </row>
    <row r="283" spans="1:24">
      <c r="A283" s="5">
        <v>337</v>
      </c>
      <c r="B283" s="5">
        <v>9963</v>
      </c>
      <c r="C283" s="189" t="s">
        <v>1295</v>
      </c>
      <c r="D283" s="5" t="s">
        <v>1296</v>
      </c>
      <c r="E283" s="189" t="s">
        <v>118</v>
      </c>
      <c r="F283" s="5" t="s">
        <v>1301</v>
      </c>
      <c r="G283" s="5" t="s">
        <v>1297</v>
      </c>
      <c r="H283" s="5" t="s">
        <v>121</v>
      </c>
      <c r="I283" s="5" t="s">
        <v>920</v>
      </c>
      <c r="J283" s="5" t="s">
        <v>79</v>
      </c>
      <c r="K283" s="38" t="s">
        <v>30</v>
      </c>
      <c r="L283" s="3" t="s">
        <v>123</v>
      </c>
      <c r="M283" s="3" t="s">
        <v>730</v>
      </c>
      <c r="N283" s="5" t="s">
        <v>1299</v>
      </c>
      <c r="O283" s="5" t="s">
        <v>125</v>
      </c>
      <c r="P283" s="5" t="s">
        <v>1300</v>
      </c>
      <c r="Q283" s="145">
        <v>35710</v>
      </c>
      <c r="R283" s="156">
        <v>4.0213000000000001</v>
      </c>
      <c r="S283" s="159">
        <v>0</v>
      </c>
      <c r="U283" s="145">
        <v>0</v>
      </c>
      <c r="V283" s="157">
        <v>0</v>
      </c>
      <c r="W283" s="157">
        <v>5.1361613589879396E-10</v>
      </c>
      <c r="X283" s="157">
        <v>1.23223399539095E-10</v>
      </c>
    </row>
    <row r="284" spans="1:24">
      <c r="A284" s="5">
        <v>337</v>
      </c>
      <c r="B284" s="5">
        <v>9963</v>
      </c>
      <c r="C284" s="189" t="s">
        <v>1259</v>
      </c>
      <c r="D284" s="5" t="s">
        <v>1260</v>
      </c>
      <c r="E284" s="189" t="s">
        <v>727</v>
      </c>
      <c r="F284" s="5" t="s">
        <v>1261</v>
      </c>
      <c r="G284" s="5" t="s">
        <v>1262</v>
      </c>
      <c r="H284" s="5" t="s">
        <v>121</v>
      </c>
      <c r="I284" s="5" t="s">
        <v>920</v>
      </c>
      <c r="J284" s="5" t="s">
        <v>79</v>
      </c>
      <c r="K284" s="38" t="s">
        <v>1179</v>
      </c>
      <c r="L284" s="3" t="s">
        <v>123</v>
      </c>
      <c r="M284" s="3" t="s">
        <v>1180</v>
      </c>
      <c r="N284" s="5" t="s">
        <v>1174</v>
      </c>
      <c r="O284" s="5" t="s">
        <v>125</v>
      </c>
      <c r="P284" s="5" t="s">
        <v>84</v>
      </c>
      <c r="Q284" s="145">
        <v>2450</v>
      </c>
      <c r="R284" s="156">
        <v>3.19</v>
      </c>
      <c r="S284" s="159">
        <v>30389</v>
      </c>
      <c r="T284" s="143">
        <v>1.5389999999999999</v>
      </c>
      <c r="U284" s="145">
        <v>2379.9609999999998</v>
      </c>
      <c r="V284" s="157">
        <v>0</v>
      </c>
      <c r="W284" s="157">
        <v>8.5124022912817197E-3</v>
      </c>
      <c r="X284" s="157">
        <v>2.04223947664838E-3</v>
      </c>
    </row>
    <row r="285" spans="1:24">
      <c r="A285" s="5">
        <v>337</v>
      </c>
      <c r="B285" s="5">
        <v>9963</v>
      </c>
      <c r="C285" s="189" t="s">
        <v>1036</v>
      </c>
      <c r="D285" s="5" t="s">
        <v>1037</v>
      </c>
      <c r="E285" s="189" t="s">
        <v>118</v>
      </c>
      <c r="F285" s="5" t="s">
        <v>1263</v>
      </c>
      <c r="G285" s="5" t="s">
        <v>1039</v>
      </c>
      <c r="H285" s="5" t="s">
        <v>121</v>
      </c>
      <c r="I285" s="5" t="s">
        <v>920</v>
      </c>
      <c r="J285" s="5" t="s">
        <v>79</v>
      </c>
      <c r="K285" s="38" t="s">
        <v>138</v>
      </c>
      <c r="L285" s="3" t="s">
        <v>123</v>
      </c>
      <c r="M285" s="3" t="s">
        <v>1173</v>
      </c>
      <c r="N285" s="5" t="s">
        <v>1174</v>
      </c>
      <c r="O285" s="5" t="s">
        <v>125</v>
      </c>
      <c r="P285" s="5" t="s">
        <v>84</v>
      </c>
      <c r="Q285" s="145">
        <v>7327</v>
      </c>
      <c r="R285" s="156">
        <v>3.19</v>
      </c>
      <c r="S285" s="159">
        <v>11742</v>
      </c>
      <c r="U285" s="145">
        <v>2744.473</v>
      </c>
      <c r="V285" s="157">
        <v>6.7999999999999999E-5</v>
      </c>
      <c r="W285" s="157">
        <v>9.8161522503416501E-3</v>
      </c>
      <c r="X285" s="157">
        <v>2.35502657751154E-3</v>
      </c>
    </row>
    <row r="286" spans="1:24">
      <c r="A286" s="5">
        <v>337</v>
      </c>
      <c r="B286" s="5">
        <v>9963</v>
      </c>
      <c r="C286" s="189" t="s">
        <v>1264</v>
      </c>
      <c r="D286" s="5" t="s">
        <v>1265</v>
      </c>
      <c r="E286" s="189" t="s">
        <v>727</v>
      </c>
      <c r="F286" s="5" t="s">
        <v>1266</v>
      </c>
      <c r="G286" s="5" t="s">
        <v>1267</v>
      </c>
      <c r="H286" s="5" t="s">
        <v>121</v>
      </c>
      <c r="I286" s="5" t="s">
        <v>920</v>
      </c>
      <c r="J286" s="5" t="s">
        <v>79</v>
      </c>
      <c r="K286" s="38" t="s">
        <v>80</v>
      </c>
      <c r="L286" s="3" t="s">
        <v>123</v>
      </c>
      <c r="M286" s="3" t="s">
        <v>1180</v>
      </c>
      <c r="N286" s="5" t="s">
        <v>1268</v>
      </c>
      <c r="O286" s="5" t="s">
        <v>125</v>
      </c>
      <c r="P286" s="5" t="s">
        <v>84</v>
      </c>
      <c r="Q286" s="145">
        <v>5504</v>
      </c>
      <c r="R286" s="156">
        <v>3.19</v>
      </c>
      <c r="S286" s="159">
        <v>8171</v>
      </c>
      <c r="U286" s="145">
        <v>1434.645</v>
      </c>
      <c r="V286" s="157">
        <v>3.0000000000000001E-6</v>
      </c>
      <c r="W286" s="157">
        <v>5.1312911102491497E-3</v>
      </c>
      <c r="X286" s="157">
        <v>1.2310655573995199E-3</v>
      </c>
    </row>
    <row r="287" spans="1:24">
      <c r="A287" s="5">
        <v>337</v>
      </c>
      <c r="B287" s="5">
        <v>9964</v>
      </c>
      <c r="C287" s="189" t="s">
        <v>148</v>
      </c>
      <c r="D287" s="5" t="s">
        <v>149</v>
      </c>
      <c r="E287" s="189" t="s">
        <v>118</v>
      </c>
      <c r="F287" s="5" t="s">
        <v>918</v>
      </c>
      <c r="G287" s="5" t="s">
        <v>919</v>
      </c>
      <c r="H287" s="5" t="s">
        <v>121</v>
      </c>
      <c r="I287" s="5" t="s">
        <v>920</v>
      </c>
      <c r="J287" s="5" t="s">
        <v>30</v>
      </c>
      <c r="K287" s="38" t="s">
        <v>30</v>
      </c>
      <c r="L287" s="3" t="s">
        <v>123</v>
      </c>
      <c r="M287" s="3" t="s">
        <v>31</v>
      </c>
      <c r="N287" s="5" t="s">
        <v>152</v>
      </c>
      <c r="O287" s="5" t="s">
        <v>125</v>
      </c>
      <c r="P287" s="5" t="s">
        <v>34</v>
      </c>
      <c r="Q287" s="145">
        <v>2338</v>
      </c>
      <c r="R287" s="156">
        <v>1</v>
      </c>
      <c r="S287" s="159">
        <v>7459</v>
      </c>
      <c r="U287" s="145">
        <v>174.39099999999999</v>
      </c>
      <c r="V287" s="157">
        <v>7.9999999999999996E-6</v>
      </c>
      <c r="W287" s="157">
        <v>2.9262179578343098E-2</v>
      </c>
      <c r="X287" s="157">
        <v>3.9985329872481599E-3</v>
      </c>
    </row>
    <row r="288" spans="1:24">
      <c r="A288" s="5">
        <v>337</v>
      </c>
      <c r="B288" s="5">
        <v>9964</v>
      </c>
      <c r="C288" s="189" t="s">
        <v>921</v>
      </c>
      <c r="D288" s="5" t="s">
        <v>922</v>
      </c>
      <c r="E288" s="189" t="s">
        <v>727</v>
      </c>
      <c r="F288" s="5" t="s">
        <v>923</v>
      </c>
      <c r="G288" s="5" t="s">
        <v>924</v>
      </c>
      <c r="H288" s="5" t="s">
        <v>121</v>
      </c>
      <c r="I288" s="5" t="s">
        <v>920</v>
      </c>
      <c r="J288" s="5" t="s">
        <v>30</v>
      </c>
      <c r="K288" s="38" t="s">
        <v>80</v>
      </c>
      <c r="L288" s="3" t="s">
        <v>123</v>
      </c>
      <c r="M288" s="3" t="s">
        <v>31</v>
      </c>
      <c r="N288" s="5" t="s">
        <v>228</v>
      </c>
      <c r="O288" s="5" t="s">
        <v>125</v>
      </c>
      <c r="P288" s="5" t="s">
        <v>34</v>
      </c>
      <c r="Q288" s="145">
        <v>228</v>
      </c>
      <c r="R288" s="156">
        <v>1</v>
      </c>
      <c r="S288" s="159">
        <v>35050</v>
      </c>
      <c r="U288" s="145">
        <v>79.914000000000001</v>
      </c>
      <c r="V288" s="157">
        <v>3.9999999999999998E-6</v>
      </c>
      <c r="W288" s="157">
        <v>1.34092481087872E-2</v>
      </c>
      <c r="X288" s="157">
        <v>1.83230783454226E-3</v>
      </c>
    </row>
    <row r="289" spans="1:24">
      <c r="A289" s="5">
        <v>337</v>
      </c>
      <c r="B289" s="5">
        <v>9964</v>
      </c>
      <c r="C289" s="189" t="s">
        <v>161</v>
      </c>
      <c r="D289" s="5" t="s">
        <v>162</v>
      </c>
      <c r="E289" s="189" t="s">
        <v>118</v>
      </c>
      <c r="F289" s="5" t="s">
        <v>929</v>
      </c>
      <c r="G289" s="5" t="s">
        <v>930</v>
      </c>
      <c r="H289" s="5" t="s">
        <v>121</v>
      </c>
      <c r="I289" s="5" t="s">
        <v>920</v>
      </c>
      <c r="J289" s="5" t="s">
        <v>30</v>
      </c>
      <c r="K289" s="38" t="s">
        <v>30</v>
      </c>
      <c r="L289" s="3" t="s">
        <v>123</v>
      </c>
      <c r="M289" s="3" t="s">
        <v>31</v>
      </c>
      <c r="N289" s="5" t="s">
        <v>144</v>
      </c>
      <c r="O289" s="5" t="s">
        <v>125</v>
      </c>
      <c r="P289" s="5" t="s">
        <v>34</v>
      </c>
      <c r="Q289" s="145">
        <v>4822</v>
      </c>
      <c r="R289" s="156">
        <v>1</v>
      </c>
      <c r="S289" s="159">
        <v>1830</v>
      </c>
      <c r="U289" s="145">
        <v>88.242999999999995</v>
      </c>
      <c r="V289" s="157">
        <v>3.9999999999999998E-6</v>
      </c>
      <c r="W289" s="157">
        <v>1.4806753724810001E-2</v>
      </c>
      <c r="X289" s="157">
        <v>2.0232701068696201E-3</v>
      </c>
    </row>
    <row r="290" spans="1:24">
      <c r="A290" s="5">
        <v>337</v>
      </c>
      <c r="B290" s="5">
        <v>9964</v>
      </c>
      <c r="C290" s="189" t="s">
        <v>931</v>
      </c>
      <c r="D290" s="5" t="s">
        <v>932</v>
      </c>
      <c r="E290" s="189" t="s">
        <v>118</v>
      </c>
      <c r="F290" s="5" t="s">
        <v>933</v>
      </c>
      <c r="G290" s="5" t="s">
        <v>934</v>
      </c>
      <c r="H290" s="5" t="s">
        <v>121</v>
      </c>
      <c r="I290" s="5" t="s">
        <v>920</v>
      </c>
      <c r="J290" s="5" t="s">
        <v>30</v>
      </c>
      <c r="K290" s="38" t="s">
        <v>30</v>
      </c>
      <c r="L290" s="3" t="s">
        <v>123</v>
      </c>
      <c r="M290" s="3" t="s">
        <v>31</v>
      </c>
      <c r="N290" s="5" t="s">
        <v>159</v>
      </c>
      <c r="O290" s="5" t="s">
        <v>125</v>
      </c>
      <c r="P290" s="5" t="s">
        <v>34</v>
      </c>
      <c r="Q290" s="145">
        <v>252</v>
      </c>
      <c r="R290" s="156">
        <v>1</v>
      </c>
      <c r="S290" s="159">
        <v>24170</v>
      </c>
      <c r="U290" s="145">
        <v>60.908000000000001</v>
      </c>
      <c r="V290" s="157">
        <v>1.7E-5</v>
      </c>
      <c r="W290" s="157">
        <v>1.02201847925176E-2</v>
      </c>
      <c r="X290" s="157">
        <v>1.3965380097283799E-3</v>
      </c>
    </row>
    <row r="291" spans="1:24">
      <c r="A291" s="5">
        <v>337</v>
      </c>
      <c r="B291" s="5">
        <v>9964</v>
      </c>
      <c r="C291" s="189" t="s">
        <v>935</v>
      </c>
      <c r="D291" s="5" t="s">
        <v>936</v>
      </c>
      <c r="E291" s="189" t="s">
        <v>118</v>
      </c>
      <c r="F291" s="5" t="s">
        <v>937</v>
      </c>
      <c r="G291" s="5" t="s">
        <v>938</v>
      </c>
      <c r="H291" s="5" t="s">
        <v>121</v>
      </c>
      <c r="I291" s="5" t="s">
        <v>920</v>
      </c>
      <c r="J291" s="5" t="s">
        <v>30</v>
      </c>
      <c r="K291" s="38" t="s">
        <v>30</v>
      </c>
      <c r="L291" s="3" t="s">
        <v>123</v>
      </c>
      <c r="M291" s="3" t="s">
        <v>31</v>
      </c>
      <c r="N291" s="5" t="s">
        <v>724</v>
      </c>
      <c r="O291" s="5" t="s">
        <v>125</v>
      </c>
      <c r="P291" s="5" t="s">
        <v>34</v>
      </c>
      <c r="Q291" s="145">
        <v>3000</v>
      </c>
      <c r="R291" s="156">
        <v>1</v>
      </c>
      <c r="S291" s="159">
        <v>2200</v>
      </c>
      <c r="U291" s="145">
        <v>66</v>
      </c>
      <c r="V291" s="157">
        <v>2.0000000000000002E-5</v>
      </c>
      <c r="W291" s="157">
        <v>1.1074534814675199E-2</v>
      </c>
      <c r="X291" s="157">
        <v>1.5132807402931799E-3</v>
      </c>
    </row>
    <row r="292" spans="1:24">
      <c r="A292" s="5">
        <v>337</v>
      </c>
      <c r="B292" s="5">
        <v>9964</v>
      </c>
      <c r="C292" s="189" t="s">
        <v>941</v>
      </c>
      <c r="D292" s="5" t="s">
        <v>942</v>
      </c>
      <c r="E292" s="189" t="s">
        <v>118</v>
      </c>
      <c r="F292" s="5" t="s">
        <v>943</v>
      </c>
      <c r="G292" s="5" t="s">
        <v>944</v>
      </c>
      <c r="H292" s="5" t="s">
        <v>121</v>
      </c>
      <c r="I292" s="5" t="s">
        <v>920</v>
      </c>
      <c r="J292" s="5" t="s">
        <v>30</v>
      </c>
      <c r="K292" s="38" t="s">
        <v>30</v>
      </c>
      <c r="L292" s="3" t="s">
        <v>123</v>
      </c>
      <c r="M292" s="3" t="s">
        <v>31</v>
      </c>
      <c r="N292" s="5" t="s">
        <v>945</v>
      </c>
      <c r="O292" s="5" t="s">
        <v>125</v>
      </c>
      <c r="P292" s="5" t="s">
        <v>34</v>
      </c>
      <c r="Q292" s="145">
        <v>89</v>
      </c>
      <c r="R292" s="156">
        <v>1</v>
      </c>
      <c r="S292" s="159">
        <v>183600</v>
      </c>
      <c r="T292" s="143">
        <v>0.21299999999999999</v>
      </c>
      <c r="U292" s="145">
        <v>163.61699999999999</v>
      </c>
      <c r="V292" s="157">
        <v>1.9999999999999999E-6</v>
      </c>
      <c r="W292" s="157">
        <v>2.7454263447807201E-2</v>
      </c>
      <c r="X292" s="157">
        <v>3.7514901356802601E-3</v>
      </c>
    </row>
    <row r="293" spans="1:24">
      <c r="A293" s="5">
        <v>337</v>
      </c>
      <c r="B293" s="5">
        <v>9964</v>
      </c>
      <c r="C293" s="189" t="s">
        <v>219</v>
      </c>
      <c r="D293" s="5" t="s">
        <v>220</v>
      </c>
      <c r="E293" s="189" t="s">
        <v>118</v>
      </c>
      <c r="F293" s="5" t="s">
        <v>950</v>
      </c>
      <c r="G293" s="5" t="s">
        <v>951</v>
      </c>
      <c r="H293" s="5" t="s">
        <v>121</v>
      </c>
      <c r="I293" s="5" t="s">
        <v>920</v>
      </c>
      <c r="J293" s="5" t="s">
        <v>30</v>
      </c>
      <c r="K293" s="38" t="s">
        <v>30</v>
      </c>
      <c r="L293" s="3" t="s">
        <v>123</v>
      </c>
      <c r="M293" s="3" t="s">
        <v>31</v>
      </c>
      <c r="N293" s="5" t="s">
        <v>171</v>
      </c>
      <c r="O293" s="5" t="s">
        <v>125</v>
      </c>
      <c r="P293" s="5" t="s">
        <v>34</v>
      </c>
      <c r="Q293" s="145">
        <v>31</v>
      </c>
      <c r="R293" s="156">
        <v>1</v>
      </c>
      <c r="S293" s="159">
        <v>2500</v>
      </c>
      <c r="U293" s="145">
        <v>0.77500000000000002</v>
      </c>
      <c r="V293" s="157">
        <v>0</v>
      </c>
      <c r="W293" s="157">
        <v>1.3004188608141301E-4</v>
      </c>
      <c r="X293" s="157">
        <v>1.77695844504123E-5</v>
      </c>
    </row>
    <row r="294" spans="1:24">
      <c r="A294" s="5">
        <v>337</v>
      </c>
      <c r="B294" s="5">
        <v>9964</v>
      </c>
      <c r="C294" s="189" t="s">
        <v>224</v>
      </c>
      <c r="D294" s="5" t="s">
        <v>225</v>
      </c>
      <c r="E294" s="189" t="s">
        <v>118</v>
      </c>
      <c r="F294" s="5" t="s">
        <v>952</v>
      </c>
      <c r="G294" s="5" t="s">
        <v>953</v>
      </c>
      <c r="H294" s="5" t="s">
        <v>121</v>
      </c>
      <c r="I294" s="5" t="s">
        <v>920</v>
      </c>
      <c r="J294" s="5" t="s">
        <v>30</v>
      </c>
      <c r="K294" s="38" t="s">
        <v>80</v>
      </c>
      <c r="L294" s="3" t="s">
        <v>123</v>
      </c>
      <c r="M294" s="3" t="s">
        <v>31</v>
      </c>
      <c r="N294" s="5" t="s">
        <v>228</v>
      </c>
      <c r="O294" s="5" t="s">
        <v>125</v>
      </c>
      <c r="P294" s="5" t="s">
        <v>34</v>
      </c>
      <c r="Q294" s="145">
        <v>1255.2</v>
      </c>
      <c r="R294" s="156">
        <v>1</v>
      </c>
      <c r="S294" s="159">
        <v>14480</v>
      </c>
      <c r="U294" s="145">
        <v>181.75299999999999</v>
      </c>
      <c r="V294" s="157">
        <v>1.0000000000000001E-5</v>
      </c>
      <c r="W294" s="157">
        <v>3.0497416411973802E-2</v>
      </c>
      <c r="X294" s="157">
        <v>4.16732202817086E-3</v>
      </c>
    </row>
    <row r="295" spans="1:24">
      <c r="A295" s="5">
        <v>337</v>
      </c>
      <c r="B295" s="5">
        <v>9964</v>
      </c>
      <c r="C295" s="189" t="s">
        <v>725</v>
      </c>
      <c r="D295" s="5" t="s">
        <v>726</v>
      </c>
      <c r="E295" s="189" t="s">
        <v>727</v>
      </c>
      <c r="F295" s="5" t="s">
        <v>954</v>
      </c>
      <c r="G295" s="5" t="s">
        <v>955</v>
      </c>
      <c r="H295" s="5" t="s">
        <v>121</v>
      </c>
      <c r="I295" s="5" t="s">
        <v>920</v>
      </c>
      <c r="J295" s="5" t="s">
        <v>30</v>
      </c>
      <c r="K295" s="38" t="s">
        <v>956</v>
      </c>
      <c r="L295" s="3" t="s">
        <v>123</v>
      </c>
      <c r="M295" s="3" t="s">
        <v>31</v>
      </c>
      <c r="N295" s="5" t="s">
        <v>377</v>
      </c>
      <c r="O295" s="5" t="s">
        <v>125</v>
      </c>
      <c r="P295" s="5" t="s">
        <v>34</v>
      </c>
      <c r="Q295" s="145">
        <v>763</v>
      </c>
      <c r="R295" s="156">
        <v>1</v>
      </c>
      <c r="S295" s="159">
        <v>3960</v>
      </c>
      <c r="U295" s="145">
        <v>30.215</v>
      </c>
      <c r="V295" s="157">
        <v>3.9999999999999998E-6</v>
      </c>
      <c r="W295" s="157">
        <v>5.06992203815831E-3</v>
      </c>
      <c r="X295" s="157">
        <v>6.9277992290621697E-4</v>
      </c>
    </row>
    <row r="296" spans="1:24">
      <c r="A296" s="5">
        <v>337</v>
      </c>
      <c r="B296" s="5">
        <v>9964</v>
      </c>
      <c r="C296" s="189" t="s">
        <v>957</v>
      </c>
      <c r="D296" s="5" t="s">
        <v>958</v>
      </c>
      <c r="E296" s="189" t="s">
        <v>118</v>
      </c>
      <c r="F296" s="5" t="s">
        <v>959</v>
      </c>
      <c r="G296" s="5" t="s">
        <v>960</v>
      </c>
      <c r="H296" s="5" t="s">
        <v>121</v>
      </c>
      <c r="I296" s="5" t="s">
        <v>920</v>
      </c>
      <c r="J296" s="5" t="s">
        <v>30</v>
      </c>
      <c r="K296" s="38" t="s">
        <v>30</v>
      </c>
      <c r="L296" s="3" t="s">
        <v>123</v>
      </c>
      <c r="M296" s="3" t="s">
        <v>31</v>
      </c>
      <c r="N296" s="5" t="s">
        <v>124</v>
      </c>
      <c r="O296" s="5" t="s">
        <v>125</v>
      </c>
      <c r="P296" s="5" t="s">
        <v>34</v>
      </c>
      <c r="Q296" s="145">
        <v>2</v>
      </c>
      <c r="R296" s="156">
        <v>1</v>
      </c>
      <c r="S296" s="159">
        <v>27640</v>
      </c>
      <c r="U296" s="145">
        <v>0.55300000000000005</v>
      </c>
      <c r="V296" s="157">
        <v>0</v>
      </c>
      <c r="W296" s="157">
        <v>9.2757618872006897E-5</v>
      </c>
      <c r="X296" s="157">
        <v>1.26748726247586E-5</v>
      </c>
    </row>
    <row r="297" spans="1:24">
      <c r="A297" s="5">
        <v>337</v>
      </c>
      <c r="B297" s="5">
        <v>9964</v>
      </c>
      <c r="C297" s="189" t="s">
        <v>965</v>
      </c>
      <c r="D297" s="5" t="s">
        <v>966</v>
      </c>
      <c r="E297" s="189" t="s">
        <v>269</v>
      </c>
      <c r="F297" s="5" t="s">
        <v>965</v>
      </c>
      <c r="G297" s="5" t="s">
        <v>967</v>
      </c>
      <c r="H297" s="5" t="s">
        <v>121</v>
      </c>
      <c r="I297" s="5" t="s">
        <v>920</v>
      </c>
      <c r="J297" s="5" t="s">
        <v>30</v>
      </c>
      <c r="K297" s="38" t="s">
        <v>968</v>
      </c>
      <c r="L297" s="3" t="s">
        <v>123</v>
      </c>
      <c r="M297" s="3" t="s">
        <v>31</v>
      </c>
      <c r="N297" s="5" t="s">
        <v>139</v>
      </c>
      <c r="O297" s="5" t="s">
        <v>125</v>
      </c>
      <c r="P297" s="5" t="s">
        <v>34</v>
      </c>
      <c r="Q297" s="145">
        <v>686</v>
      </c>
      <c r="R297" s="156">
        <v>1</v>
      </c>
      <c r="S297" s="159">
        <v>12990</v>
      </c>
      <c r="U297" s="145">
        <v>89.111000000000004</v>
      </c>
      <c r="V297" s="157">
        <v>3.1999999999999999E-5</v>
      </c>
      <c r="W297" s="157">
        <v>1.4952534874006799E-2</v>
      </c>
      <c r="X297" s="157">
        <v>2.04319038425093E-3</v>
      </c>
    </row>
    <row r="298" spans="1:24">
      <c r="A298" s="5">
        <v>337</v>
      </c>
      <c r="B298" s="5">
        <v>9964</v>
      </c>
      <c r="C298" s="189" t="s">
        <v>292</v>
      </c>
      <c r="D298" s="5" t="s">
        <v>293</v>
      </c>
      <c r="E298" s="189" t="s">
        <v>118</v>
      </c>
      <c r="F298" s="5" t="s">
        <v>969</v>
      </c>
      <c r="G298" s="5" t="s">
        <v>970</v>
      </c>
      <c r="H298" s="5" t="s">
        <v>121</v>
      </c>
      <c r="I298" s="5" t="s">
        <v>920</v>
      </c>
      <c r="J298" s="5" t="s">
        <v>30</v>
      </c>
      <c r="K298" s="38" t="s">
        <v>30</v>
      </c>
      <c r="L298" s="3" t="s">
        <v>123</v>
      </c>
      <c r="M298" s="3" t="s">
        <v>31</v>
      </c>
      <c r="N298" s="5" t="s">
        <v>124</v>
      </c>
      <c r="O298" s="5" t="s">
        <v>125</v>
      </c>
      <c r="P298" s="5" t="s">
        <v>34</v>
      </c>
      <c r="Q298" s="145">
        <v>700</v>
      </c>
      <c r="R298" s="156">
        <v>1</v>
      </c>
      <c r="S298" s="159">
        <v>7015</v>
      </c>
      <c r="U298" s="145">
        <v>49.104999999999997</v>
      </c>
      <c r="V298" s="157">
        <v>6.0000000000000002E-6</v>
      </c>
      <c r="W298" s="157">
        <v>8.2396216981003995E-3</v>
      </c>
      <c r="X298" s="157">
        <v>1.1259037992741899E-3</v>
      </c>
    </row>
    <row r="299" spans="1:24">
      <c r="A299" s="5">
        <v>337</v>
      </c>
      <c r="B299" s="5">
        <v>9964</v>
      </c>
      <c r="C299" s="189" t="s">
        <v>297</v>
      </c>
      <c r="D299" s="5" t="s">
        <v>298</v>
      </c>
      <c r="E299" s="189" t="s">
        <v>118</v>
      </c>
      <c r="F299" s="5" t="s">
        <v>971</v>
      </c>
      <c r="G299" s="5" t="s">
        <v>972</v>
      </c>
      <c r="H299" s="5" t="s">
        <v>121</v>
      </c>
      <c r="I299" s="5" t="s">
        <v>920</v>
      </c>
      <c r="J299" s="5" t="s">
        <v>30</v>
      </c>
      <c r="K299" s="38" t="s">
        <v>30</v>
      </c>
      <c r="L299" s="3" t="s">
        <v>123</v>
      </c>
      <c r="M299" s="3" t="s">
        <v>31</v>
      </c>
      <c r="N299" s="5" t="s">
        <v>301</v>
      </c>
      <c r="O299" s="5" t="s">
        <v>125</v>
      </c>
      <c r="P299" s="5" t="s">
        <v>34</v>
      </c>
      <c r="Q299" s="145">
        <v>9893</v>
      </c>
      <c r="R299" s="156">
        <v>1</v>
      </c>
      <c r="S299" s="159">
        <v>709.9</v>
      </c>
      <c r="U299" s="145">
        <v>70.23</v>
      </c>
      <c r="V299" s="157">
        <v>3.9999999999999998E-6</v>
      </c>
      <c r="W299" s="157">
        <v>1.17843801116714E-2</v>
      </c>
      <c r="X299" s="157">
        <v>1.6102776105462299E-3</v>
      </c>
    </row>
    <row r="300" spans="1:24">
      <c r="A300" s="5">
        <v>337</v>
      </c>
      <c r="B300" s="5">
        <v>9964</v>
      </c>
      <c r="C300" s="189" t="s">
        <v>303</v>
      </c>
      <c r="D300" s="5" t="s">
        <v>304</v>
      </c>
      <c r="E300" s="189" t="s">
        <v>118</v>
      </c>
      <c r="F300" s="5" t="s">
        <v>973</v>
      </c>
      <c r="G300" s="5" t="s">
        <v>974</v>
      </c>
      <c r="H300" s="5" t="s">
        <v>121</v>
      </c>
      <c r="I300" s="5" t="s">
        <v>920</v>
      </c>
      <c r="J300" s="5" t="s">
        <v>30</v>
      </c>
      <c r="K300" s="38" t="s">
        <v>30</v>
      </c>
      <c r="L300" s="3" t="s">
        <v>123</v>
      </c>
      <c r="M300" s="3" t="s">
        <v>31</v>
      </c>
      <c r="N300" s="5" t="s">
        <v>171</v>
      </c>
      <c r="O300" s="5" t="s">
        <v>125</v>
      </c>
      <c r="P300" s="5" t="s">
        <v>34</v>
      </c>
      <c r="Q300" s="145">
        <v>133</v>
      </c>
      <c r="R300" s="156">
        <v>1</v>
      </c>
      <c r="S300" s="159">
        <v>76490</v>
      </c>
      <c r="U300" s="145">
        <v>101.732</v>
      </c>
      <c r="V300" s="157">
        <v>5.0000000000000004E-6</v>
      </c>
      <c r="W300" s="157">
        <v>1.70701705061529E-2</v>
      </c>
      <c r="X300" s="157">
        <v>2.3325548831406601E-3</v>
      </c>
    </row>
    <row r="301" spans="1:24">
      <c r="A301" s="5">
        <v>337</v>
      </c>
      <c r="B301" s="5">
        <v>9964</v>
      </c>
      <c r="C301" s="189" t="s">
        <v>975</v>
      </c>
      <c r="D301" s="5" t="s">
        <v>976</v>
      </c>
      <c r="E301" s="189" t="s">
        <v>118</v>
      </c>
      <c r="F301" s="5" t="s">
        <v>977</v>
      </c>
      <c r="G301" s="5" t="s">
        <v>978</v>
      </c>
      <c r="H301" s="5" t="s">
        <v>121</v>
      </c>
      <c r="I301" s="5" t="s">
        <v>920</v>
      </c>
      <c r="J301" s="5" t="s">
        <v>30</v>
      </c>
      <c r="K301" s="38" t="s">
        <v>30</v>
      </c>
      <c r="L301" s="3" t="s">
        <v>123</v>
      </c>
      <c r="M301" s="3" t="s">
        <v>31</v>
      </c>
      <c r="N301" s="5" t="s">
        <v>316</v>
      </c>
      <c r="O301" s="5" t="s">
        <v>125</v>
      </c>
      <c r="P301" s="5" t="s">
        <v>34</v>
      </c>
      <c r="Q301" s="145">
        <v>365</v>
      </c>
      <c r="R301" s="156">
        <v>1</v>
      </c>
      <c r="S301" s="159">
        <v>25050</v>
      </c>
      <c r="U301" s="145">
        <v>91.433000000000007</v>
      </c>
      <c r="V301" s="157">
        <v>3.9999999999999998E-6</v>
      </c>
      <c r="W301" s="157">
        <v>1.5342006127921101E-2</v>
      </c>
      <c r="X301" s="157">
        <v>2.0964097164675199E-3</v>
      </c>
    </row>
    <row r="302" spans="1:24">
      <c r="A302" s="5">
        <v>337</v>
      </c>
      <c r="B302" s="5">
        <v>9964</v>
      </c>
      <c r="C302" s="189" t="s">
        <v>979</v>
      </c>
      <c r="D302" s="5" t="s">
        <v>980</v>
      </c>
      <c r="E302" s="189" t="s">
        <v>118</v>
      </c>
      <c r="F302" s="5" t="s">
        <v>981</v>
      </c>
      <c r="G302" s="5" t="s">
        <v>982</v>
      </c>
      <c r="H302" s="5" t="s">
        <v>121</v>
      </c>
      <c r="I302" s="5" t="s">
        <v>920</v>
      </c>
      <c r="J302" s="5" t="s">
        <v>30</v>
      </c>
      <c r="K302" s="38" t="s">
        <v>30</v>
      </c>
      <c r="L302" s="3" t="s">
        <v>123</v>
      </c>
      <c r="M302" s="3" t="s">
        <v>31</v>
      </c>
      <c r="N302" s="5" t="s">
        <v>171</v>
      </c>
      <c r="O302" s="5" t="s">
        <v>125</v>
      </c>
      <c r="P302" s="5" t="s">
        <v>34</v>
      </c>
      <c r="Q302" s="145">
        <v>2185</v>
      </c>
      <c r="R302" s="156">
        <v>1</v>
      </c>
      <c r="S302" s="159">
        <v>1440</v>
      </c>
      <c r="U302" s="145">
        <v>31.463999999999999</v>
      </c>
      <c r="V302" s="157">
        <v>3.1000000000000001E-5</v>
      </c>
      <c r="W302" s="157">
        <v>5.2795327789233399E-3</v>
      </c>
      <c r="X302" s="157">
        <v>7.2142220019067501E-4</v>
      </c>
    </row>
    <row r="303" spans="1:24">
      <c r="A303" s="5">
        <v>337</v>
      </c>
      <c r="B303" s="5">
        <v>9964</v>
      </c>
      <c r="C303" s="189" t="s">
        <v>983</v>
      </c>
      <c r="D303" s="5" t="s">
        <v>984</v>
      </c>
      <c r="E303" s="189" t="s">
        <v>118</v>
      </c>
      <c r="F303" s="5" t="s">
        <v>985</v>
      </c>
      <c r="G303" s="5" t="s">
        <v>986</v>
      </c>
      <c r="H303" s="5" t="s">
        <v>121</v>
      </c>
      <c r="I303" s="5" t="s">
        <v>920</v>
      </c>
      <c r="J303" s="5" t="s">
        <v>30</v>
      </c>
      <c r="K303" s="38" t="s">
        <v>30</v>
      </c>
      <c r="L303" s="3" t="s">
        <v>123</v>
      </c>
      <c r="M303" s="3" t="s">
        <v>31</v>
      </c>
      <c r="N303" s="5" t="s">
        <v>724</v>
      </c>
      <c r="O303" s="5" t="s">
        <v>125</v>
      </c>
      <c r="P303" s="5" t="s">
        <v>34</v>
      </c>
      <c r="Q303" s="145">
        <v>205</v>
      </c>
      <c r="R303" s="156">
        <v>1</v>
      </c>
      <c r="S303" s="159">
        <v>75000</v>
      </c>
      <c r="U303" s="145">
        <v>153.75</v>
      </c>
      <c r="V303" s="157">
        <v>2.1999999999999999E-5</v>
      </c>
      <c r="W303" s="157">
        <v>2.5798632238732001E-2</v>
      </c>
      <c r="X303" s="157">
        <v>3.5252562700011599E-3</v>
      </c>
    </row>
    <row r="304" spans="1:24">
      <c r="A304" s="5">
        <v>337</v>
      </c>
      <c r="B304" s="5">
        <v>9964</v>
      </c>
      <c r="C304" s="189" t="s">
        <v>991</v>
      </c>
      <c r="D304" s="5" t="s">
        <v>992</v>
      </c>
      <c r="E304" s="189" t="s">
        <v>118</v>
      </c>
      <c r="F304" s="5" t="s">
        <v>993</v>
      </c>
      <c r="G304" s="5" t="s">
        <v>994</v>
      </c>
      <c r="H304" s="5" t="s">
        <v>121</v>
      </c>
      <c r="I304" s="5" t="s">
        <v>920</v>
      </c>
      <c r="J304" s="5" t="s">
        <v>30</v>
      </c>
      <c r="K304" s="38" t="s">
        <v>30</v>
      </c>
      <c r="L304" s="3" t="s">
        <v>123</v>
      </c>
      <c r="M304" s="3" t="s">
        <v>31</v>
      </c>
      <c r="N304" s="5" t="s">
        <v>316</v>
      </c>
      <c r="O304" s="5" t="s">
        <v>125</v>
      </c>
      <c r="P304" s="5" t="s">
        <v>34</v>
      </c>
      <c r="Q304" s="145">
        <v>1295</v>
      </c>
      <c r="R304" s="156">
        <v>1</v>
      </c>
      <c r="S304" s="159">
        <v>3382</v>
      </c>
      <c r="U304" s="145">
        <v>43.796999999999997</v>
      </c>
      <c r="V304" s="157">
        <v>9.9999999999999995E-7</v>
      </c>
      <c r="W304" s="157">
        <v>7.3489438458310399E-3</v>
      </c>
      <c r="X304" s="157">
        <v>1.0041970493113101E-3</v>
      </c>
    </row>
    <row r="305" spans="1:24">
      <c r="A305" s="5">
        <v>337</v>
      </c>
      <c r="B305" s="5">
        <v>9964</v>
      </c>
      <c r="C305" s="189" t="s">
        <v>999</v>
      </c>
      <c r="D305" s="5" t="s">
        <v>1000</v>
      </c>
      <c r="E305" s="189" t="s">
        <v>118</v>
      </c>
      <c r="F305" s="5" t="s">
        <v>1001</v>
      </c>
      <c r="G305" s="5" t="s">
        <v>1002</v>
      </c>
      <c r="H305" s="5" t="s">
        <v>121</v>
      </c>
      <c r="I305" s="5" t="s">
        <v>920</v>
      </c>
      <c r="J305" s="5" t="s">
        <v>30</v>
      </c>
      <c r="K305" s="38" t="s">
        <v>30</v>
      </c>
      <c r="L305" s="3" t="s">
        <v>123</v>
      </c>
      <c r="M305" s="3" t="s">
        <v>31</v>
      </c>
      <c r="N305" s="5" t="s">
        <v>421</v>
      </c>
      <c r="O305" s="5" t="s">
        <v>125</v>
      </c>
      <c r="P305" s="5" t="s">
        <v>34</v>
      </c>
      <c r="Q305" s="145">
        <v>645</v>
      </c>
      <c r="R305" s="156">
        <v>1</v>
      </c>
      <c r="S305" s="159">
        <v>11980</v>
      </c>
      <c r="U305" s="145">
        <v>77.271000000000001</v>
      </c>
      <c r="V305" s="157">
        <v>2.5999999999999998E-5</v>
      </c>
      <c r="W305" s="157">
        <v>1.2965763328254099E-2</v>
      </c>
      <c r="X305" s="157">
        <v>1.7717078194423399E-3</v>
      </c>
    </row>
    <row r="306" spans="1:24">
      <c r="A306" s="5">
        <v>337</v>
      </c>
      <c r="B306" s="5">
        <v>9964</v>
      </c>
      <c r="C306" s="189" t="s">
        <v>1003</v>
      </c>
      <c r="D306" s="5" t="s">
        <v>1004</v>
      </c>
      <c r="E306" s="189" t="s">
        <v>118</v>
      </c>
      <c r="F306" s="5" t="s">
        <v>1005</v>
      </c>
      <c r="G306" s="5" t="s">
        <v>1006</v>
      </c>
      <c r="H306" s="5" t="s">
        <v>121</v>
      </c>
      <c r="I306" s="5" t="s">
        <v>920</v>
      </c>
      <c r="J306" s="5" t="s">
        <v>30</v>
      </c>
      <c r="K306" s="38" t="s">
        <v>30</v>
      </c>
      <c r="L306" s="3" t="s">
        <v>123</v>
      </c>
      <c r="M306" s="3" t="s">
        <v>31</v>
      </c>
      <c r="N306" s="5" t="s">
        <v>1007</v>
      </c>
      <c r="O306" s="5" t="s">
        <v>125</v>
      </c>
      <c r="P306" s="5" t="s">
        <v>34</v>
      </c>
      <c r="Q306" s="145">
        <v>584</v>
      </c>
      <c r="R306" s="156">
        <v>1</v>
      </c>
      <c r="S306" s="159">
        <v>9490</v>
      </c>
      <c r="U306" s="145">
        <v>55.421999999999997</v>
      </c>
      <c r="V306" s="157">
        <v>5.0000000000000004E-6</v>
      </c>
      <c r="W306" s="157">
        <v>9.29952179825763E-3</v>
      </c>
      <c r="X306" s="157">
        <v>1.2707339375186699E-3</v>
      </c>
    </row>
    <row r="307" spans="1:24">
      <c r="A307" s="5">
        <v>337</v>
      </c>
      <c r="B307" s="5">
        <v>9964</v>
      </c>
      <c r="C307" s="189" t="s">
        <v>1008</v>
      </c>
      <c r="D307" s="5" t="s">
        <v>1009</v>
      </c>
      <c r="E307" s="189" t="s">
        <v>118</v>
      </c>
      <c r="F307" s="5" t="s">
        <v>1010</v>
      </c>
      <c r="G307" s="5" t="s">
        <v>1011</v>
      </c>
      <c r="H307" s="5" t="s">
        <v>121</v>
      </c>
      <c r="I307" s="5" t="s">
        <v>920</v>
      </c>
      <c r="J307" s="5" t="s">
        <v>30</v>
      </c>
      <c r="K307" s="38" t="s">
        <v>30</v>
      </c>
      <c r="L307" s="3" t="s">
        <v>123</v>
      </c>
      <c r="M307" s="3" t="s">
        <v>31</v>
      </c>
      <c r="N307" s="5" t="s">
        <v>184</v>
      </c>
      <c r="O307" s="5" t="s">
        <v>125</v>
      </c>
      <c r="P307" s="5" t="s">
        <v>34</v>
      </c>
      <c r="Q307" s="145">
        <v>11564</v>
      </c>
      <c r="R307" s="156">
        <v>1</v>
      </c>
      <c r="S307" s="159">
        <v>673.8</v>
      </c>
      <c r="T307" s="143">
        <v>1.252</v>
      </c>
      <c r="U307" s="145">
        <v>79.17</v>
      </c>
      <c r="V307" s="157">
        <v>1.1400000000000001E-4</v>
      </c>
      <c r="W307" s="157">
        <v>1.3284477030093601E-2</v>
      </c>
      <c r="X307" s="157">
        <v>1.81525848001024E-3</v>
      </c>
    </row>
    <row r="308" spans="1:24">
      <c r="A308" s="5">
        <v>337</v>
      </c>
      <c r="B308" s="5">
        <v>9964</v>
      </c>
      <c r="C308" s="189" t="s">
        <v>1012</v>
      </c>
      <c r="D308" s="5" t="s">
        <v>1013</v>
      </c>
      <c r="E308" s="189" t="s">
        <v>118</v>
      </c>
      <c r="F308" s="5" t="s">
        <v>1014</v>
      </c>
      <c r="G308" s="5" t="s">
        <v>1015</v>
      </c>
      <c r="H308" s="5" t="s">
        <v>121</v>
      </c>
      <c r="I308" s="5" t="s">
        <v>920</v>
      </c>
      <c r="J308" s="5" t="s">
        <v>30</v>
      </c>
      <c r="K308" s="38" t="s">
        <v>30</v>
      </c>
      <c r="L308" s="3" t="s">
        <v>123</v>
      </c>
      <c r="M308" s="3" t="s">
        <v>31</v>
      </c>
      <c r="N308" s="5" t="s">
        <v>124</v>
      </c>
      <c r="O308" s="5" t="s">
        <v>125</v>
      </c>
      <c r="P308" s="5" t="s">
        <v>34</v>
      </c>
      <c r="Q308" s="145">
        <v>5000</v>
      </c>
      <c r="R308" s="156">
        <v>1</v>
      </c>
      <c r="S308" s="159">
        <v>1104</v>
      </c>
      <c r="U308" s="145">
        <v>55.2</v>
      </c>
      <c r="V308" s="157">
        <v>5.7000000000000003E-5</v>
      </c>
      <c r="W308" s="157">
        <v>9.2623382086374495E-3</v>
      </c>
      <c r="X308" s="157">
        <v>1.26565298279066E-3</v>
      </c>
    </row>
    <row r="309" spans="1:24">
      <c r="A309" s="5">
        <v>337</v>
      </c>
      <c r="B309" s="5">
        <v>9964</v>
      </c>
      <c r="C309" s="189" t="s">
        <v>784</v>
      </c>
      <c r="D309" s="5" t="s">
        <v>785</v>
      </c>
      <c r="E309" s="189" t="s">
        <v>118</v>
      </c>
      <c r="F309" s="5" t="s">
        <v>1016</v>
      </c>
      <c r="G309" s="5" t="s">
        <v>1017</v>
      </c>
      <c r="H309" s="5" t="s">
        <v>121</v>
      </c>
      <c r="I309" s="5" t="s">
        <v>920</v>
      </c>
      <c r="J309" s="5" t="s">
        <v>30</v>
      </c>
      <c r="K309" s="38" t="s">
        <v>30</v>
      </c>
      <c r="L309" s="3" t="s">
        <v>123</v>
      </c>
      <c r="M309" s="3" t="s">
        <v>31</v>
      </c>
      <c r="N309" s="5" t="s">
        <v>159</v>
      </c>
      <c r="O309" s="5" t="s">
        <v>125</v>
      </c>
      <c r="P309" s="5" t="s">
        <v>34</v>
      </c>
      <c r="Q309" s="145">
        <v>1009</v>
      </c>
      <c r="R309" s="156">
        <v>1</v>
      </c>
      <c r="S309" s="159">
        <v>13180</v>
      </c>
      <c r="U309" s="145">
        <v>132.98599999999999</v>
      </c>
      <c r="V309" s="157">
        <v>3.9999999999999998E-6</v>
      </c>
      <c r="W309" s="157">
        <v>2.2314550026838801E-2</v>
      </c>
      <c r="X309" s="157">
        <v>3.0491735634057102E-3</v>
      </c>
    </row>
    <row r="310" spans="1:24">
      <c r="A310" s="5">
        <v>337</v>
      </c>
      <c r="B310" s="5">
        <v>9964</v>
      </c>
      <c r="C310" s="189" t="s">
        <v>1018</v>
      </c>
      <c r="D310" s="5" t="s">
        <v>1019</v>
      </c>
      <c r="E310" s="189" t="s">
        <v>118</v>
      </c>
      <c r="F310" s="5" t="s">
        <v>1020</v>
      </c>
      <c r="G310" s="5" t="s">
        <v>1021</v>
      </c>
      <c r="H310" s="5" t="s">
        <v>121</v>
      </c>
      <c r="I310" s="5" t="s">
        <v>920</v>
      </c>
      <c r="J310" s="5" t="s">
        <v>30</v>
      </c>
      <c r="K310" s="38" t="s">
        <v>30</v>
      </c>
      <c r="L310" s="3" t="s">
        <v>123</v>
      </c>
      <c r="M310" s="3" t="s">
        <v>31</v>
      </c>
      <c r="N310" s="5" t="s">
        <v>159</v>
      </c>
      <c r="O310" s="5" t="s">
        <v>125</v>
      </c>
      <c r="P310" s="5" t="s">
        <v>34</v>
      </c>
      <c r="Q310" s="145">
        <v>415</v>
      </c>
      <c r="R310" s="156">
        <v>1</v>
      </c>
      <c r="S310" s="159">
        <v>12430</v>
      </c>
      <c r="U310" s="145">
        <v>51.584000000000003</v>
      </c>
      <c r="V310" s="157">
        <v>1.9999999999999999E-6</v>
      </c>
      <c r="W310" s="157">
        <v>8.6556718355698999E-3</v>
      </c>
      <c r="X310" s="157">
        <v>1.18275500526748E-3</v>
      </c>
    </row>
    <row r="311" spans="1:24">
      <c r="A311" s="5">
        <v>337</v>
      </c>
      <c r="B311" s="5">
        <v>9964</v>
      </c>
      <c r="C311" s="189" t="s">
        <v>1022</v>
      </c>
      <c r="D311" s="5" t="s">
        <v>1023</v>
      </c>
      <c r="E311" s="189" t="s">
        <v>118</v>
      </c>
      <c r="F311" s="5" t="s">
        <v>1024</v>
      </c>
      <c r="G311" s="5" t="s">
        <v>1025</v>
      </c>
      <c r="H311" s="5" t="s">
        <v>121</v>
      </c>
      <c r="I311" s="5" t="s">
        <v>920</v>
      </c>
      <c r="J311" s="5" t="s">
        <v>30</v>
      </c>
      <c r="K311" s="38" t="s">
        <v>30</v>
      </c>
      <c r="L311" s="3" t="s">
        <v>123</v>
      </c>
      <c r="M311" s="3" t="s">
        <v>31</v>
      </c>
      <c r="N311" s="5" t="s">
        <v>662</v>
      </c>
      <c r="O311" s="5" t="s">
        <v>125</v>
      </c>
      <c r="P311" s="5" t="s">
        <v>34</v>
      </c>
      <c r="Q311" s="145">
        <v>225</v>
      </c>
      <c r="R311" s="156">
        <v>1</v>
      </c>
      <c r="S311" s="159">
        <v>8801</v>
      </c>
      <c r="U311" s="145">
        <v>19.802</v>
      </c>
      <c r="V311" s="157">
        <v>3.0000000000000001E-6</v>
      </c>
      <c r="W311" s="157">
        <v>3.32273798536215E-3</v>
      </c>
      <c r="X311" s="157">
        <v>4.5403581120410003E-4</v>
      </c>
    </row>
    <row r="312" spans="1:24">
      <c r="A312" s="5">
        <v>337</v>
      </c>
      <c r="B312" s="5">
        <v>9964</v>
      </c>
      <c r="C312" s="189" t="s">
        <v>1269</v>
      </c>
      <c r="D312" s="5" t="s">
        <v>1270</v>
      </c>
      <c r="E312" s="189" t="s">
        <v>118</v>
      </c>
      <c r="F312" s="5" t="s">
        <v>1271</v>
      </c>
      <c r="G312" s="5" t="s">
        <v>1272</v>
      </c>
      <c r="H312" s="5" t="s">
        <v>121</v>
      </c>
      <c r="I312" s="5" t="s">
        <v>920</v>
      </c>
      <c r="J312" s="5" t="s">
        <v>30</v>
      </c>
      <c r="K312" s="38" t="s">
        <v>30</v>
      </c>
      <c r="L312" s="3" t="s">
        <v>123</v>
      </c>
      <c r="M312" s="3" t="s">
        <v>31</v>
      </c>
      <c r="N312" s="5" t="s">
        <v>144</v>
      </c>
      <c r="O312" s="5" t="s">
        <v>125</v>
      </c>
      <c r="P312" s="5" t="s">
        <v>34</v>
      </c>
      <c r="Q312" s="145">
        <v>33</v>
      </c>
      <c r="R312" s="156">
        <v>1</v>
      </c>
      <c r="S312" s="159">
        <v>92000</v>
      </c>
      <c r="U312" s="145">
        <v>30.36</v>
      </c>
      <c r="V312" s="157">
        <v>3.9999999999999998E-6</v>
      </c>
      <c r="W312" s="157">
        <v>5.0942860147506E-3</v>
      </c>
      <c r="X312" s="157">
        <v>6.9610914053486205E-4</v>
      </c>
    </row>
    <row r="313" spans="1:24">
      <c r="A313" s="5">
        <v>337</v>
      </c>
      <c r="B313" s="5">
        <v>9964</v>
      </c>
      <c r="C313" s="189" t="s">
        <v>791</v>
      </c>
      <c r="D313" s="5" t="s">
        <v>792</v>
      </c>
      <c r="E313" s="189" t="s">
        <v>118</v>
      </c>
      <c r="F313" s="5" t="s">
        <v>1026</v>
      </c>
      <c r="G313" s="5" t="s">
        <v>1027</v>
      </c>
      <c r="H313" s="5" t="s">
        <v>121</v>
      </c>
      <c r="I313" s="5" t="s">
        <v>920</v>
      </c>
      <c r="J313" s="5" t="s">
        <v>30</v>
      </c>
      <c r="K313" s="38" t="s">
        <v>30</v>
      </c>
      <c r="L313" s="3" t="s">
        <v>123</v>
      </c>
      <c r="M313" s="3" t="s">
        <v>31</v>
      </c>
      <c r="N313" s="5" t="s">
        <v>124</v>
      </c>
      <c r="O313" s="5" t="s">
        <v>125</v>
      </c>
      <c r="P313" s="5" t="s">
        <v>34</v>
      </c>
      <c r="Q313" s="145">
        <v>207</v>
      </c>
      <c r="R313" s="156">
        <v>1</v>
      </c>
      <c r="S313" s="159">
        <v>2216</v>
      </c>
      <c r="U313" s="145">
        <v>4.5869999999999997</v>
      </c>
      <c r="V313" s="157">
        <v>3.0000000000000001E-6</v>
      </c>
      <c r="W313" s="157">
        <v>7.6970030513777204E-4</v>
      </c>
      <c r="X313" s="157">
        <v>1.05175762869904E-4</v>
      </c>
    </row>
    <row r="314" spans="1:24">
      <c r="A314" s="5">
        <v>337</v>
      </c>
      <c r="B314" s="5">
        <v>9964</v>
      </c>
      <c r="C314" s="189" t="s">
        <v>1028</v>
      </c>
      <c r="D314" s="5" t="s">
        <v>1029</v>
      </c>
      <c r="E314" s="189" t="s">
        <v>118</v>
      </c>
      <c r="F314" s="5" t="s">
        <v>1030</v>
      </c>
      <c r="G314" s="5" t="s">
        <v>1031</v>
      </c>
      <c r="H314" s="5" t="s">
        <v>121</v>
      </c>
      <c r="I314" s="5" t="s">
        <v>920</v>
      </c>
      <c r="J314" s="5" t="s">
        <v>30</v>
      </c>
      <c r="K314" s="38" t="s">
        <v>30</v>
      </c>
      <c r="L314" s="3" t="s">
        <v>123</v>
      </c>
      <c r="M314" s="3" t="s">
        <v>31</v>
      </c>
      <c r="N314" s="5" t="s">
        <v>662</v>
      </c>
      <c r="O314" s="5" t="s">
        <v>125</v>
      </c>
      <c r="P314" s="5" t="s">
        <v>34</v>
      </c>
      <c r="Q314" s="145">
        <v>40</v>
      </c>
      <c r="R314" s="156">
        <v>1</v>
      </c>
      <c r="S314" s="159">
        <v>26390</v>
      </c>
      <c r="U314" s="145">
        <v>10.555999999999999</v>
      </c>
      <c r="V314" s="157">
        <v>1.9999999999999999E-6</v>
      </c>
      <c r="W314" s="157">
        <v>1.7712543864198699E-3</v>
      </c>
      <c r="X314" s="157">
        <v>2.4203320446264799E-4</v>
      </c>
    </row>
    <row r="315" spans="1:24">
      <c r="A315" s="5">
        <v>337</v>
      </c>
      <c r="B315" s="5">
        <v>9964</v>
      </c>
      <c r="C315" s="189" t="s">
        <v>1032</v>
      </c>
      <c r="D315" s="5" t="s">
        <v>1033</v>
      </c>
      <c r="E315" s="189" t="s">
        <v>118</v>
      </c>
      <c r="F315" s="5" t="s">
        <v>1034</v>
      </c>
      <c r="G315" s="5" t="s">
        <v>1035</v>
      </c>
      <c r="H315" s="5" t="s">
        <v>121</v>
      </c>
      <c r="I315" s="5" t="s">
        <v>920</v>
      </c>
      <c r="J315" s="5" t="s">
        <v>30</v>
      </c>
      <c r="K315" s="38" t="s">
        <v>30</v>
      </c>
      <c r="L315" s="3" t="s">
        <v>123</v>
      </c>
      <c r="M315" s="3" t="s">
        <v>31</v>
      </c>
      <c r="N315" s="5" t="s">
        <v>724</v>
      </c>
      <c r="O315" s="5" t="s">
        <v>125</v>
      </c>
      <c r="P315" s="5" t="s">
        <v>34</v>
      </c>
      <c r="Q315" s="145">
        <v>1513</v>
      </c>
      <c r="R315" s="156">
        <v>1</v>
      </c>
      <c r="S315" s="159">
        <v>1738</v>
      </c>
      <c r="U315" s="145">
        <v>26.295999999999999</v>
      </c>
      <c r="V315" s="157">
        <v>4.1E-5</v>
      </c>
      <c r="W315" s="157">
        <v>4.4123530759789401E-3</v>
      </c>
      <c r="X315" s="157">
        <v>6.02926356816742E-4</v>
      </c>
    </row>
    <row r="316" spans="1:24">
      <c r="A316" s="5">
        <v>337</v>
      </c>
      <c r="B316" s="5">
        <v>9964</v>
      </c>
      <c r="C316" s="189" t="s">
        <v>1036</v>
      </c>
      <c r="D316" s="5" t="s">
        <v>1037</v>
      </c>
      <c r="E316" s="189" t="s">
        <v>118</v>
      </c>
      <c r="F316" s="5" t="s">
        <v>1038</v>
      </c>
      <c r="G316" s="5" t="s">
        <v>1039</v>
      </c>
      <c r="H316" s="5" t="s">
        <v>121</v>
      </c>
      <c r="I316" s="5" t="s">
        <v>920</v>
      </c>
      <c r="J316" s="5" t="s">
        <v>30</v>
      </c>
      <c r="K316" s="38" t="s">
        <v>138</v>
      </c>
      <c r="L316" s="3" t="s">
        <v>123</v>
      </c>
      <c r="M316" s="3" t="s">
        <v>31</v>
      </c>
      <c r="N316" s="5" t="s">
        <v>1040</v>
      </c>
      <c r="O316" s="5" t="s">
        <v>125</v>
      </c>
      <c r="P316" s="5" t="s">
        <v>34</v>
      </c>
      <c r="Q316" s="145">
        <v>207</v>
      </c>
      <c r="R316" s="156">
        <v>1</v>
      </c>
      <c r="S316" s="159">
        <v>37300</v>
      </c>
      <c r="U316" s="145">
        <v>77.210999999999999</v>
      </c>
      <c r="V316" s="157">
        <v>1.9999999999999999E-6</v>
      </c>
      <c r="W316" s="157">
        <v>1.2955695569331601E-2</v>
      </c>
      <c r="X316" s="157">
        <v>1.7703321096784301E-3</v>
      </c>
    </row>
    <row r="317" spans="1:24">
      <c r="A317" s="5">
        <v>337</v>
      </c>
      <c r="B317" s="5">
        <v>9964</v>
      </c>
      <c r="C317" s="189" t="s">
        <v>750</v>
      </c>
      <c r="D317" s="5" t="s">
        <v>751</v>
      </c>
      <c r="E317" s="189" t="s">
        <v>118</v>
      </c>
      <c r="F317" s="5" t="s">
        <v>1041</v>
      </c>
      <c r="G317" s="5" t="s">
        <v>1042</v>
      </c>
      <c r="H317" s="5" t="s">
        <v>121</v>
      </c>
      <c r="I317" s="5" t="s">
        <v>920</v>
      </c>
      <c r="J317" s="5" t="s">
        <v>30</v>
      </c>
      <c r="K317" s="38" t="s">
        <v>80</v>
      </c>
      <c r="L317" s="3" t="s">
        <v>123</v>
      </c>
      <c r="M317" s="3" t="s">
        <v>31</v>
      </c>
      <c r="N317" s="5" t="s">
        <v>754</v>
      </c>
      <c r="O317" s="5" t="s">
        <v>125</v>
      </c>
      <c r="P317" s="5" t="s">
        <v>34</v>
      </c>
      <c r="Q317" s="145">
        <v>4062</v>
      </c>
      <c r="R317" s="156">
        <v>1</v>
      </c>
      <c r="S317" s="159">
        <v>10090</v>
      </c>
      <c r="U317" s="145">
        <v>409.85599999999999</v>
      </c>
      <c r="V317" s="157">
        <v>3.0000000000000001E-6</v>
      </c>
      <c r="W317" s="157">
        <v>6.8772156456008496E-2</v>
      </c>
      <c r="X317" s="157">
        <v>9.3973770975371608E-3</v>
      </c>
    </row>
    <row r="318" spans="1:24">
      <c r="A318" s="5">
        <v>337</v>
      </c>
      <c r="B318" s="5">
        <v>9964</v>
      </c>
      <c r="C318" s="189" t="s">
        <v>1043</v>
      </c>
      <c r="D318" s="5" t="s">
        <v>1044</v>
      </c>
      <c r="E318" s="189" t="s">
        <v>118</v>
      </c>
      <c r="F318" s="5" t="s">
        <v>1045</v>
      </c>
      <c r="G318" s="5" t="s">
        <v>1046</v>
      </c>
      <c r="H318" s="5" t="s">
        <v>121</v>
      </c>
      <c r="I318" s="5" t="s">
        <v>920</v>
      </c>
      <c r="J318" s="5" t="s">
        <v>30</v>
      </c>
      <c r="K318" s="38" t="s">
        <v>30</v>
      </c>
      <c r="L318" s="3" t="s">
        <v>123</v>
      </c>
      <c r="M318" s="3" t="s">
        <v>31</v>
      </c>
      <c r="N318" s="5" t="s">
        <v>421</v>
      </c>
      <c r="O318" s="5" t="s">
        <v>125</v>
      </c>
      <c r="P318" s="5" t="s">
        <v>34</v>
      </c>
      <c r="Q318" s="145">
        <v>5515</v>
      </c>
      <c r="R318" s="156">
        <v>1</v>
      </c>
      <c r="S318" s="159">
        <v>1101</v>
      </c>
      <c r="U318" s="145">
        <v>60.72</v>
      </c>
      <c r="V318" s="157">
        <v>5.1E-5</v>
      </c>
      <c r="W318" s="157">
        <v>1.0188597198898501E-2</v>
      </c>
      <c r="X318" s="157">
        <v>1.39222172034413E-3</v>
      </c>
    </row>
    <row r="319" spans="1:24">
      <c r="A319" s="5">
        <v>337</v>
      </c>
      <c r="B319" s="5">
        <v>9964</v>
      </c>
      <c r="C319" s="189" t="s">
        <v>1047</v>
      </c>
      <c r="D319" s="5" t="s">
        <v>1048</v>
      </c>
      <c r="E319" s="189" t="s">
        <v>118</v>
      </c>
      <c r="F319" s="5" t="s">
        <v>1049</v>
      </c>
      <c r="G319" s="5" t="s">
        <v>1050</v>
      </c>
      <c r="H319" s="5" t="s">
        <v>121</v>
      </c>
      <c r="I319" s="5" t="s">
        <v>920</v>
      </c>
      <c r="J319" s="5" t="s">
        <v>30</v>
      </c>
      <c r="K319" s="38" t="s">
        <v>30</v>
      </c>
      <c r="L319" s="3" t="s">
        <v>123</v>
      </c>
      <c r="M319" s="3" t="s">
        <v>31</v>
      </c>
      <c r="N319" s="5" t="s">
        <v>1007</v>
      </c>
      <c r="O319" s="5" t="s">
        <v>125</v>
      </c>
      <c r="P319" s="5" t="s">
        <v>34</v>
      </c>
      <c r="Q319" s="145">
        <v>1337</v>
      </c>
      <c r="R319" s="156">
        <v>1</v>
      </c>
      <c r="S319" s="159">
        <v>1560</v>
      </c>
      <c r="U319" s="145">
        <v>20.856999999999999</v>
      </c>
      <c r="V319" s="157">
        <v>3.9999999999999998E-6</v>
      </c>
      <c r="W319" s="157">
        <v>3.4997543566158201E-3</v>
      </c>
      <c r="X319" s="157">
        <v>4.7822422812792299E-4</v>
      </c>
    </row>
    <row r="320" spans="1:24">
      <c r="A320" s="5">
        <v>337</v>
      </c>
      <c r="B320" s="5">
        <v>9964</v>
      </c>
      <c r="C320" s="189" t="s">
        <v>437</v>
      </c>
      <c r="D320" s="5" t="s">
        <v>438</v>
      </c>
      <c r="E320" s="189" t="s">
        <v>439</v>
      </c>
      <c r="F320" s="5" t="s">
        <v>1051</v>
      </c>
      <c r="G320" s="5" t="s">
        <v>1052</v>
      </c>
      <c r="H320" s="5" t="s">
        <v>121</v>
      </c>
      <c r="I320" s="5" t="s">
        <v>920</v>
      </c>
      <c r="J320" s="5" t="s">
        <v>30</v>
      </c>
      <c r="K320" s="38" t="s">
        <v>30</v>
      </c>
      <c r="L320" s="3" t="s">
        <v>123</v>
      </c>
      <c r="M320" s="3" t="s">
        <v>31</v>
      </c>
      <c r="N320" s="5" t="s">
        <v>377</v>
      </c>
      <c r="O320" s="5" t="s">
        <v>125</v>
      </c>
      <c r="P320" s="5" t="s">
        <v>34</v>
      </c>
      <c r="Q320" s="145">
        <v>13636</v>
      </c>
      <c r="R320" s="156">
        <v>1</v>
      </c>
      <c r="S320" s="159">
        <v>245.5</v>
      </c>
      <c r="U320" s="145">
        <v>33.475999999999999</v>
      </c>
      <c r="V320" s="157">
        <v>5.0000000000000004E-6</v>
      </c>
      <c r="W320" s="157">
        <v>5.61720205726207E-3</v>
      </c>
      <c r="X320" s="157">
        <v>7.6756304710205703E-4</v>
      </c>
    </row>
    <row r="321" spans="1:24">
      <c r="A321" s="5">
        <v>337</v>
      </c>
      <c r="B321" s="5">
        <v>9964</v>
      </c>
      <c r="C321" s="189" t="s">
        <v>811</v>
      </c>
      <c r="D321" s="5" t="s">
        <v>812</v>
      </c>
      <c r="E321" s="189" t="s">
        <v>118</v>
      </c>
      <c r="F321" s="5" t="s">
        <v>1057</v>
      </c>
      <c r="G321" s="5" t="s">
        <v>1058</v>
      </c>
      <c r="H321" s="5" t="s">
        <v>121</v>
      </c>
      <c r="I321" s="5" t="s">
        <v>920</v>
      </c>
      <c r="J321" s="5" t="s">
        <v>30</v>
      </c>
      <c r="K321" s="38" t="s">
        <v>30</v>
      </c>
      <c r="L321" s="3" t="s">
        <v>123</v>
      </c>
      <c r="M321" s="3" t="s">
        <v>31</v>
      </c>
      <c r="N321" s="5" t="s">
        <v>159</v>
      </c>
      <c r="O321" s="5" t="s">
        <v>125</v>
      </c>
      <c r="P321" s="5" t="s">
        <v>34</v>
      </c>
      <c r="Q321" s="145">
        <v>703</v>
      </c>
      <c r="R321" s="156">
        <v>1</v>
      </c>
      <c r="S321" s="159">
        <v>20570</v>
      </c>
      <c r="U321" s="145">
        <v>144.607</v>
      </c>
      <c r="V321" s="157">
        <v>9.0000000000000002E-6</v>
      </c>
      <c r="W321" s="157">
        <v>2.42644903545336E-2</v>
      </c>
      <c r="X321" s="157">
        <v>3.3156233233280299E-3</v>
      </c>
    </row>
    <row r="322" spans="1:24">
      <c r="A322" s="5">
        <v>337</v>
      </c>
      <c r="B322" s="5">
        <v>9964</v>
      </c>
      <c r="C322" s="189" t="s">
        <v>459</v>
      </c>
      <c r="D322" s="5" t="s">
        <v>460</v>
      </c>
      <c r="E322" s="189" t="s">
        <v>118</v>
      </c>
      <c r="F322" s="5" t="s">
        <v>1059</v>
      </c>
      <c r="G322" s="5" t="s">
        <v>1060</v>
      </c>
      <c r="H322" s="5" t="s">
        <v>121</v>
      </c>
      <c r="I322" s="5" t="s">
        <v>920</v>
      </c>
      <c r="J322" s="5" t="s">
        <v>30</v>
      </c>
      <c r="K322" s="38" t="s">
        <v>30</v>
      </c>
      <c r="L322" s="3" t="s">
        <v>123</v>
      </c>
      <c r="M322" s="3" t="s">
        <v>31</v>
      </c>
      <c r="N322" s="5" t="s">
        <v>316</v>
      </c>
      <c r="O322" s="5" t="s">
        <v>125</v>
      </c>
      <c r="P322" s="5" t="s">
        <v>34</v>
      </c>
      <c r="Q322" s="145">
        <v>5028</v>
      </c>
      <c r="R322" s="156">
        <v>1</v>
      </c>
      <c r="S322" s="159">
        <v>7020</v>
      </c>
      <c r="U322" s="145">
        <v>352.96600000000001</v>
      </c>
      <c r="V322" s="157">
        <v>3.0000000000000001E-6</v>
      </c>
      <c r="W322" s="157">
        <v>5.9226209478526103E-2</v>
      </c>
      <c r="X322" s="157">
        <v>8.0929703706973596E-3</v>
      </c>
    </row>
    <row r="323" spans="1:24">
      <c r="A323" s="5">
        <v>337</v>
      </c>
      <c r="B323" s="5">
        <v>9964</v>
      </c>
      <c r="C323" s="189" t="s">
        <v>417</v>
      </c>
      <c r="D323" s="5" t="s">
        <v>418</v>
      </c>
      <c r="E323" s="189" t="s">
        <v>118</v>
      </c>
      <c r="F323" s="5" t="s">
        <v>1061</v>
      </c>
      <c r="G323" s="5" t="s">
        <v>1062</v>
      </c>
      <c r="H323" s="5" t="s">
        <v>121</v>
      </c>
      <c r="I323" s="5" t="s">
        <v>920</v>
      </c>
      <c r="J323" s="5" t="s">
        <v>30</v>
      </c>
      <c r="K323" s="38" t="s">
        <v>30</v>
      </c>
      <c r="L323" s="3" t="s">
        <v>123</v>
      </c>
      <c r="M323" s="3" t="s">
        <v>31</v>
      </c>
      <c r="N323" s="5" t="s">
        <v>421</v>
      </c>
      <c r="O323" s="5" t="s">
        <v>125</v>
      </c>
      <c r="P323" s="5" t="s">
        <v>34</v>
      </c>
      <c r="Q323" s="145">
        <v>152</v>
      </c>
      <c r="R323" s="156">
        <v>1</v>
      </c>
      <c r="S323" s="159">
        <v>33850</v>
      </c>
      <c r="U323" s="145">
        <v>51.451999999999998</v>
      </c>
      <c r="V323" s="157">
        <v>1.0000000000000001E-5</v>
      </c>
      <c r="W323" s="157">
        <v>8.6334388679495302E-3</v>
      </c>
      <c r="X323" s="157">
        <v>1.1797169795388601E-3</v>
      </c>
    </row>
    <row r="324" spans="1:24">
      <c r="A324" s="5">
        <v>337</v>
      </c>
      <c r="B324" s="5">
        <v>9964</v>
      </c>
      <c r="C324" s="189" t="s">
        <v>482</v>
      </c>
      <c r="D324" s="5" t="s">
        <v>483</v>
      </c>
      <c r="E324" s="189" t="s">
        <v>118</v>
      </c>
      <c r="F324" s="5" t="s">
        <v>1063</v>
      </c>
      <c r="G324" s="5" t="s">
        <v>1064</v>
      </c>
      <c r="H324" s="5" t="s">
        <v>121</v>
      </c>
      <c r="I324" s="5" t="s">
        <v>920</v>
      </c>
      <c r="J324" s="5" t="s">
        <v>30</v>
      </c>
      <c r="K324" s="38" t="s">
        <v>30</v>
      </c>
      <c r="L324" s="3" t="s">
        <v>123</v>
      </c>
      <c r="M324" s="3" t="s">
        <v>31</v>
      </c>
      <c r="N324" s="5" t="s">
        <v>171</v>
      </c>
      <c r="O324" s="5" t="s">
        <v>125</v>
      </c>
      <c r="P324" s="5" t="s">
        <v>34</v>
      </c>
      <c r="Q324" s="145">
        <v>1351</v>
      </c>
      <c r="R324" s="156">
        <v>1</v>
      </c>
      <c r="S324" s="159">
        <v>1559</v>
      </c>
      <c r="U324" s="145">
        <v>21.062000000000001</v>
      </c>
      <c r="V324" s="157">
        <v>1.9999999999999999E-6</v>
      </c>
      <c r="W324" s="157">
        <v>3.5341340753760999E-3</v>
      </c>
      <c r="X324" s="157">
        <v>4.8292204768668999E-4</v>
      </c>
    </row>
    <row r="325" spans="1:24">
      <c r="A325" s="5">
        <v>337</v>
      </c>
      <c r="B325" s="5">
        <v>9964</v>
      </c>
      <c r="C325" s="189" t="s">
        <v>745</v>
      </c>
      <c r="D325" s="5" t="s">
        <v>746</v>
      </c>
      <c r="E325" s="189" t="s">
        <v>118</v>
      </c>
      <c r="F325" s="5" t="s">
        <v>1069</v>
      </c>
      <c r="G325" s="5" t="s">
        <v>1070</v>
      </c>
      <c r="H325" s="5" t="s">
        <v>121</v>
      </c>
      <c r="I325" s="5" t="s">
        <v>920</v>
      </c>
      <c r="J325" s="5" t="s">
        <v>30</v>
      </c>
      <c r="K325" s="38" t="s">
        <v>30</v>
      </c>
      <c r="L325" s="3" t="s">
        <v>123</v>
      </c>
      <c r="M325" s="3" t="s">
        <v>31</v>
      </c>
      <c r="N325" s="5" t="s">
        <v>316</v>
      </c>
      <c r="O325" s="5" t="s">
        <v>125</v>
      </c>
      <c r="P325" s="5" t="s">
        <v>34</v>
      </c>
      <c r="Q325" s="145">
        <v>438</v>
      </c>
      <c r="R325" s="156">
        <v>1</v>
      </c>
      <c r="S325" s="159">
        <v>22240</v>
      </c>
      <c r="U325" s="145">
        <v>97.411000000000001</v>
      </c>
      <c r="V325" s="157">
        <v>1.9999999999999999E-6</v>
      </c>
      <c r="W325" s="157">
        <v>1.6345207965746799E-2</v>
      </c>
      <c r="X325" s="157">
        <v>2.2334923158916198E-3</v>
      </c>
    </row>
    <row r="326" spans="1:24">
      <c r="A326" s="5">
        <v>337</v>
      </c>
      <c r="B326" s="5">
        <v>9964</v>
      </c>
      <c r="C326" s="189" t="s">
        <v>1071</v>
      </c>
      <c r="D326" s="5" t="s">
        <v>1072</v>
      </c>
      <c r="E326" s="189" t="s">
        <v>118</v>
      </c>
      <c r="F326" s="5" t="s">
        <v>1073</v>
      </c>
      <c r="G326" s="5" t="s">
        <v>1074</v>
      </c>
      <c r="H326" s="5" t="s">
        <v>121</v>
      </c>
      <c r="I326" s="5" t="s">
        <v>920</v>
      </c>
      <c r="J326" s="5" t="s">
        <v>30</v>
      </c>
      <c r="K326" s="38" t="s">
        <v>30</v>
      </c>
      <c r="L326" s="3" t="s">
        <v>123</v>
      </c>
      <c r="M326" s="3" t="s">
        <v>31</v>
      </c>
      <c r="N326" s="5" t="s">
        <v>662</v>
      </c>
      <c r="O326" s="5" t="s">
        <v>125</v>
      </c>
      <c r="P326" s="5" t="s">
        <v>34</v>
      </c>
      <c r="Q326" s="145">
        <v>473</v>
      </c>
      <c r="R326" s="156">
        <v>1</v>
      </c>
      <c r="S326" s="159">
        <v>13960</v>
      </c>
      <c r="U326" s="145">
        <v>66.031000000000006</v>
      </c>
      <c r="V326" s="157">
        <v>6.9999999999999999E-6</v>
      </c>
      <c r="W326" s="157">
        <v>1.10797029309221E-2</v>
      </c>
      <c r="X326" s="157">
        <v>1.51398693797198E-3</v>
      </c>
    </row>
    <row r="327" spans="1:24">
      <c r="A327" s="5">
        <v>337</v>
      </c>
      <c r="B327" s="5">
        <v>9964</v>
      </c>
      <c r="C327" s="189" t="s">
        <v>536</v>
      </c>
      <c r="D327" s="5" t="s">
        <v>537</v>
      </c>
      <c r="E327" s="189" t="s">
        <v>118</v>
      </c>
      <c r="F327" s="5" t="s">
        <v>1075</v>
      </c>
      <c r="G327" s="5" t="s">
        <v>1076</v>
      </c>
      <c r="H327" s="5" t="s">
        <v>121</v>
      </c>
      <c r="I327" s="5" t="s">
        <v>920</v>
      </c>
      <c r="J327" s="5" t="s">
        <v>30</v>
      </c>
      <c r="K327" s="38" t="s">
        <v>30</v>
      </c>
      <c r="L327" s="3" t="s">
        <v>123</v>
      </c>
      <c r="M327" s="3" t="s">
        <v>31</v>
      </c>
      <c r="N327" s="5" t="s">
        <v>171</v>
      </c>
      <c r="O327" s="5" t="s">
        <v>125</v>
      </c>
      <c r="P327" s="5" t="s">
        <v>34</v>
      </c>
      <c r="Q327" s="145">
        <v>106</v>
      </c>
      <c r="R327" s="156">
        <v>1</v>
      </c>
      <c r="S327" s="159">
        <v>41330</v>
      </c>
      <c r="U327" s="145">
        <v>43.81</v>
      </c>
      <c r="V327" s="157">
        <v>1.9999999999999999E-6</v>
      </c>
      <c r="W327" s="157">
        <v>7.3511084139993603E-3</v>
      </c>
      <c r="X327" s="157">
        <v>1.0044928269105501E-3</v>
      </c>
    </row>
    <row r="328" spans="1:24">
      <c r="A328" s="5">
        <v>337</v>
      </c>
      <c r="B328" s="5">
        <v>9964</v>
      </c>
      <c r="C328" s="189" t="s">
        <v>1077</v>
      </c>
      <c r="D328" s="5" t="s">
        <v>1078</v>
      </c>
      <c r="E328" s="189" t="s">
        <v>118</v>
      </c>
      <c r="F328" s="5" t="s">
        <v>1079</v>
      </c>
      <c r="G328" s="5" t="s">
        <v>1080</v>
      </c>
      <c r="H328" s="5" t="s">
        <v>121</v>
      </c>
      <c r="I328" s="5" t="s">
        <v>920</v>
      </c>
      <c r="J328" s="5" t="s">
        <v>30</v>
      </c>
      <c r="K328" s="38" t="s">
        <v>30</v>
      </c>
      <c r="L328" s="3" t="s">
        <v>123</v>
      </c>
      <c r="M328" s="3" t="s">
        <v>31</v>
      </c>
      <c r="N328" s="5" t="s">
        <v>159</v>
      </c>
      <c r="O328" s="5" t="s">
        <v>125</v>
      </c>
      <c r="P328" s="5" t="s">
        <v>34</v>
      </c>
      <c r="Q328" s="145">
        <v>175</v>
      </c>
      <c r="R328" s="156">
        <v>1</v>
      </c>
      <c r="S328" s="159">
        <v>39940</v>
      </c>
      <c r="U328" s="145">
        <v>69.894999999999996</v>
      </c>
      <c r="V328" s="157">
        <v>3.0000000000000001E-6</v>
      </c>
      <c r="W328" s="157">
        <v>1.17281001647231E-2</v>
      </c>
      <c r="X328" s="157">
        <v>1.6025872324665401E-3</v>
      </c>
    </row>
    <row r="329" spans="1:24">
      <c r="A329" s="5">
        <v>337</v>
      </c>
      <c r="B329" s="5">
        <v>9964</v>
      </c>
      <c r="C329" s="189" t="s">
        <v>570</v>
      </c>
      <c r="D329" s="5" t="s">
        <v>571</v>
      </c>
      <c r="E329" s="189" t="s">
        <v>439</v>
      </c>
      <c r="F329" s="5" t="s">
        <v>1083</v>
      </c>
      <c r="G329" s="5" t="s">
        <v>1084</v>
      </c>
      <c r="H329" s="5" t="s">
        <v>121</v>
      </c>
      <c r="I329" s="5" t="s">
        <v>920</v>
      </c>
      <c r="J329" s="5" t="s">
        <v>30</v>
      </c>
      <c r="K329" s="38" t="s">
        <v>80</v>
      </c>
      <c r="L329" s="3" t="s">
        <v>123</v>
      </c>
      <c r="M329" s="3" t="s">
        <v>31</v>
      </c>
      <c r="N329" s="5" t="s">
        <v>377</v>
      </c>
      <c r="O329" s="5" t="s">
        <v>125</v>
      </c>
      <c r="P329" s="5" t="s">
        <v>34</v>
      </c>
      <c r="Q329" s="145">
        <v>835</v>
      </c>
      <c r="R329" s="156">
        <v>1</v>
      </c>
      <c r="S329" s="159">
        <v>11640</v>
      </c>
      <c r="U329" s="145">
        <v>97.194000000000003</v>
      </c>
      <c r="V329" s="157">
        <v>6.9999999999999999E-6</v>
      </c>
      <c r="W329" s="157">
        <v>1.6308762678447601E-2</v>
      </c>
      <c r="X329" s="157">
        <v>2.2285122465462901E-3</v>
      </c>
    </row>
    <row r="330" spans="1:24">
      <c r="A330" s="5">
        <v>337</v>
      </c>
      <c r="B330" s="5">
        <v>9964</v>
      </c>
      <c r="C330" s="189" t="s">
        <v>1085</v>
      </c>
      <c r="D330" s="5" t="s">
        <v>1086</v>
      </c>
      <c r="E330" s="189" t="s">
        <v>118</v>
      </c>
      <c r="F330" s="5" t="s">
        <v>1087</v>
      </c>
      <c r="G330" s="5" t="s">
        <v>1088</v>
      </c>
      <c r="H330" s="5" t="s">
        <v>121</v>
      </c>
      <c r="I330" s="5" t="s">
        <v>920</v>
      </c>
      <c r="J330" s="5" t="s">
        <v>30</v>
      </c>
      <c r="K330" s="38" t="s">
        <v>138</v>
      </c>
      <c r="L330" s="3" t="s">
        <v>123</v>
      </c>
      <c r="M330" s="3" t="s">
        <v>31</v>
      </c>
      <c r="N330" s="5" t="s">
        <v>1040</v>
      </c>
      <c r="O330" s="5" t="s">
        <v>125</v>
      </c>
      <c r="P330" s="5" t="s">
        <v>34</v>
      </c>
      <c r="Q330" s="145">
        <v>107</v>
      </c>
      <c r="R330" s="156">
        <v>1</v>
      </c>
      <c r="S330" s="159">
        <v>106610</v>
      </c>
      <c r="U330" s="145">
        <v>114.07299999999999</v>
      </c>
      <c r="V330" s="157">
        <v>3.9999999999999998E-6</v>
      </c>
      <c r="W330" s="157">
        <v>1.9140940720515202E-2</v>
      </c>
      <c r="X330" s="157">
        <v>2.61551545307942E-3</v>
      </c>
    </row>
    <row r="331" spans="1:24">
      <c r="A331" s="5">
        <v>337</v>
      </c>
      <c r="B331" s="5">
        <v>9964</v>
      </c>
      <c r="C331" s="189" t="s">
        <v>584</v>
      </c>
      <c r="D331" s="5" t="s">
        <v>585</v>
      </c>
      <c r="E331" s="189" t="s">
        <v>118</v>
      </c>
      <c r="F331" s="5" t="s">
        <v>1089</v>
      </c>
      <c r="G331" s="5" t="s">
        <v>1090</v>
      </c>
      <c r="H331" s="5" t="s">
        <v>121</v>
      </c>
      <c r="I331" s="5" t="s">
        <v>920</v>
      </c>
      <c r="J331" s="5" t="s">
        <v>30</v>
      </c>
      <c r="K331" s="38" t="s">
        <v>30</v>
      </c>
      <c r="L331" s="3" t="s">
        <v>123</v>
      </c>
      <c r="M331" s="3" t="s">
        <v>31</v>
      </c>
      <c r="N331" s="5" t="s">
        <v>228</v>
      </c>
      <c r="O331" s="5" t="s">
        <v>125</v>
      </c>
      <c r="P331" s="5" t="s">
        <v>34</v>
      </c>
      <c r="Q331" s="145">
        <v>313</v>
      </c>
      <c r="R331" s="156">
        <v>1</v>
      </c>
      <c r="S331" s="159">
        <v>11210</v>
      </c>
      <c r="U331" s="145">
        <v>35.087000000000003</v>
      </c>
      <c r="V331" s="157">
        <v>7.9999999999999996E-6</v>
      </c>
      <c r="W331" s="157">
        <v>5.8875079606508099E-3</v>
      </c>
      <c r="X331" s="157">
        <v>8.0449901998316396E-4</v>
      </c>
    </row>
    <row r="332" spans="1:24">
      <c r="A332" s="5">
        <v>337</v>
      </c>
      <c r="B332" s="5">
        <v>9964</v>
      </c>
      <c r="C332" s="189" t="s">
        <v>1091</v>
      </c>
      <c r="D332" s="5" t="s">
        <v>1092</v>
      </c>
      <c r="E332" s="189" t="s">
        <v>439</v>
      </c>
      <c r="F332" s="5" t="s">
        <v>1093</v>
      </c>
      <c r="G332" s="5" t="s">
        <v>1094</v>
      </c>
      <c r="H332" s="5" t="s">
        <v>121</v>
      </c>
      <c r="I332" s="5" t="s">
        <v>920</v>
      </c>
      <c r="J332" s="5" t="s">
        <v>30</v>
      </c>
      <c r="K332" s="38" t="s">
        <v>30</v>
      </c>
      <c r="L332" s="3" t="s">
        <v>123</v>
      </c>
      <c r="M332" s="3" t="s">
        <v>31</v>
      </c>
      <c r="N332" s="5" t="s">
        <v>377</v>
      </c>
      <c r="O332" s="5" t="s">
        <v>125</v>
      </c>
      <c r="P332" s="5" t="s">
        <v>34</v>
      </c>
      <c r="Q332" s="145">
        <v>5289</v>
      </c>
      <c r="R332" s="156">
        <v>1</v>
      </c>
      <c r="S332" s="159">
        <v>1803</v>
      </c>
      <c r="U332" s="145">
        <v>95.361000000000004</v>
      </c>
      <c r="V332" s="157">
        <v>5.0000000000000004E-6</v>
      </c>
      <c r="W332" s="157">
        <v>1.6001137270693199E-2</v>
      </c>
      <c r="X332" s="157">
        <v>2.1864767468553598E-3</v>
      </c>
    </row>
    <row r="333" spans="1:24">
      <c r="A333" s="5">
        <v>337</v>
      </c>
      <c r="B333" s="5">
        <v>9964</v>
      </c>
      <c r="C333" s="189" t="s">
        <v>1095</v>
      </c>
      <c r="D333" s="5" t="s">
        <v>1096</v>
      </c>
      <c r="E333" s="189" t="s">
        <v>118</v>
      </c>
      <c r="F333" s="5" t="s">
        <v>1097</v>
      </c>
      <c r="G333" s="5" t="s">
        <v>1098</v>
      </c>
      <c r="H333" s="5" t="s">
        <v>121</v>
      </c>
      <c r="I333" s="5" t="s">
        <v>920</v>
      </c>
      <c r="J333" s="5" t="s">
        <v>30</v>
      </c>
      <c r="K333" s="38" t="s">
        <v>80</v>
      </c>
      <c r="L333" s="3" t="s">
        <v>123</v>
      </c>
      <c r="M333" s="3" t="s">
        <v>31</v>
      </c>
      <c r="N333" s="5" t="s">
        <v>1099</v>
      </c>
      <c r="O333" s="5" t="s">
        <v>125</v>
      </c>
      <c r="P333" s="5" t="s">
        <v>34</v>
      </c>
      <c r="Q333" s="145">
        <v>62</v>
      </c>
      <c r="R333" s="156">
        <v>1</v>
      </c>
      <c r="S333" s="159">
        <v>35710</v>
      </c>
      <c r="U333" s="145">
        <v>22.14</v>
      </c>
      <c r="V333" s="157">
        <v>9.9999999999999995E-7</v>
      </c>
      <c r="W333" s="157">
        <v>3.71503660157382E-3</v>
      </c>
      <c r="X333" s="157">
        <v>5.0764148857937897E-4</v>
      </c>
    </row>
    <row r="334" spans="1:24">
      <c r="A334" s="5">
        <v>337</v>
      </c>
      <c r="B334" s="5">
        <v>9964</v>
      </c>
      <c r="C334" s="189" t="s">
        <v>1102</v>
      </c>
      <c r="D334" s="5" t="s">
        <v>1103</v>
      </c>
      <c r="E334" s="189" t="s">
        <v>118</v>
      </c>
      <c r="F334" s="5" t="s">
        <v>1102</v>
      </c>
      <c r="G334" s="5" t="s">
        <v>1104</v>
      </c>
      <c r="H334" s="5" t="s">
        <v>121</v>
      </c>
      <c r="I334" s="5" t="s">
        <v>920</v>
      </c>
      <c r="J334" s="5" t="s">
        <v>30</v>
      </c>
      <c r="K334" s="38" t="s">
        <v>30</v>
      </c>
      <c r="L334" s="3" t="s">
        <v>123</v>
      </c>
      <c r="M334" s="3" t="s">
        <v>31</v>
      </c>
      <c r="N334" s="5" t="s">
        <v>1105</v>
      </c>
      <c r="O334" s="5" t="s">
        <v>125</v>
      </c>
      <c r="P334" s="5" t="s">
        <v>34</v>
      </c>
      <c r="Q334" s="145">
        <v>569</v>
      </c>
      <c r="R334" s="156">
        <v>1</v>
      </c>
      <c r="S334" s="159">
        <v>20990</v>
      </c>
      <c r="U334" s="145">
        <v>119.43300000000001</v>
      </c>
      <c r="V334" s="157">
        <v>6.0000000000000002E-6</v>
      </c>
      <c r="W334" s="157">
        <v>2.00403943026452E-2</v>
      </c>
      <c r="X334" s="157">
        <v>2.7384213633865001E-3</v>
      </c>
    </row>
    <row r="335" spans="1:24">
      <c r="A335" s="5">
        <v>337</v>
      </c>
      <c r="B335" s="5">
        <v>9964</v>
      </c>
      <c r="C335" s="189" t="s">
        <v>626</v>
      </c>
      <c r="D335" s="5" t="s">
        <v>627</v>
      </c>
      <c r="E335" s="189" t="s">
        <v>118</v>
      </c>
      <c r="F335" s="5" t="s">
        <v>1116</v>
      </c>
      <c r="G335" s="5" t="s">
        <v>1117</v>
      </c>
      <c r="H335" s="5" t="s">
        <v>121</v>
      </c>
      <c r="I335" s="5" t="s">
        <v>920</v>
      </c>
      <c r="J335" s="5" t="s">
        <v>30</v>
      </c>
      <c r="K335" s="38" t="s">
        <v>30</v>
      </c>
      <c r="L335" s="3" t="s">
        <v>123</v>
      </c>
      <c r="M335" s="3" t="s">
        <v>31</v>
      </c>
      <c r="N335" s="5" t="s">
        <v>171</v>
      </c>
      <c r="O335" s="5" t="s">
        <v>125</v>
      </c>
      <c r="P335" s="5" t="s">
        <v>34</v>
      </c>
      <c r="Q335" s="145">
        <v>299</v>
      </c>
      <c r="R335" s="156">
        <v>1</v>
      </c>
      <c r="S335" s="159">
        <v>36050</v>
      </c>
      <c r="U335" s="145">
        <v>107.79</v>
      </c>
      <c r="V335" s="157">
        <v>1.9999999999999999E-6</v>
      </c>
      <c r="W335" s="157">
        <v>1.80866450061581E-2</v>
      </c>
      <c r="X335" s="157">
        <v>2.4714511266035102E-3</v>
      </c>
    </row>
    <row r="336" spans="1:24">
      <c r="A336" s="5">
        <v>337</v>
      </c>
      <c r="B336" s="5">
        <v>9964</v>
      </c>
      <c r="C336" s="189" t="s">
        <v>644</v>
      </c>
      <c r="D336" s="5" t="s">
        <v>645</v>
      </c>
      <c r="E336" s="189" t="s">
        <v>118</v>
      </c>
      <c r="F336" s="5" t="s">
        <v>1118</v>
      </c>
      <c r="G336" s="5" t="s">
        <v>1119</v>
      </c>
      <c r="H336" s="5" t="s">
        <v>121</v>
      </c>
      <c r="I336" s="5" t="s">
        <v>920</v>
      </c>
      <c r="J336" s="5" t="s">
        <v>30</v>
      </c>
      <c r="K336" s="38" t="s">
        <v>30</v>
      </c>
      <c r="L336" s="3" t="s">
        <v>123</v>
      </c>
      <c r="M336" s="3" t="s">
        <v>31</v>
      </c>
      <c r="N336" s="5" t="s">
        <v>316</v>
      </c>
      <c r="O336" s="5" t="s">
        <v>125</v>
      </c>
      <c r="P336" s="5" t="s">
        <v>34</v>
      </c>
      <c r="Q336" s="145">
        <v>2820</v>
      </c>
      <c r="R336" s="156">
        <v>1</v>
      </c>
      <c r="S336" s="159">
        <v>7205</v>
      </c>
      <c r="U336" s="145">
        <v>203.18100000000001</v>
      </c>
      <c r="V336" s="157">
        <v>1.9999999999999999E-6</v>
      </c>
      <c r="W336" s="157">
        <v>3.40929554269776E-2</v>
      </c>
      <c r="X336" s="157">
        <v>4.6586347589925503E-3</v>
      </c>
    </row>
    <row r="337" spans="1:24">
      <c r="A337" s="5">
        <v>337</v>
      </c>
      <c r="B337" s="5">
        <v>9964</v>
      </c>
      <c r="C337" s="189" t="s">
        <v>1120</v>
      </c>
      <c r="D337" s="5" t="s">
        <v>1121</v>
      </c>
      <c r="E337" s="189" t="s">
        <v>118</v>
      </c>
      <c r="F337" s="5" t="s">
        <v>1122</v>
      </c>
      <c r="G337" s="5" t="s">
        <v>1123</v>
      </c>
      <c r="H337" s="5" t="s">
        <v>121</v>
      </c>
      <c r="I337" s="5" t="s">
        <v>920</v>
      </c>
      <c r="J337" s="5" t="s">
        <v>30</v>
      </c>
      <c r="K337" s="38" t="s">
        <v>30</v>
      </c>
      <c r="L337" s="3" t="s">
        <v>123</v>
      </c>
      <c r="M337" s="3" t="s">
        <v>31</v>
      </c>
      <c r="N337" s="5" t="s">
        <v>421</v>
      </c>
      <c r="O337" s="5" t="s">
        <v>125</v>
      </c>
      <c r="P337" s="5" t="s">
        <v>34</v>
      </c>
      <c r="Q337" s="145">
        <v>49</v>
      </c>
      <c r="R337" s="156">
        <v>1</v>
      </c>
      <c r="S337" s="159">
        <v>31330</v>
      </c>
      <c r="U337" s="145">
        <v>15.352</v>
      </c>
      <c r="V337" s="157">
        <v>3.9999999999999998E-6</v>
      </c>
      <c r="W337" s="157">
        <v>2.5759535774916601E-3</v>
      </c>
      <c r="X337" s="157">
        <v>3.5199139304180002E-4</v>
      </c>
    </row>
    <row r="338" spans="1:24">
      <c r="A338" s="5">
        <v>337</v>
      </c>
      <c r="B338" s="5">
        <v>9964</v>
      </c>
      <c r="C338" s="189" t="s">
        <v>658</v>
      </c>
      <c r="D338" s="5" t="s">
        <v>659</v>
      </c>
      <c r="E338" s="189" t="s">
        <v>118</v>
      </c>
      <c r="F338" s="5" t="s">
        <v>1124</v>
      </c>
      <c r="G338" s="5" t="s">
        <v>1125</v>
      </c>
      <c r="H338" s="5" t="s">
        <v>121</v>
      </c>
      <c r="I338" s="5" t="s">
        <v>920</v>
      </c>
      <c r="J338" s="5" t="s">
        <v>30</v>
      </c>
      <c r="K338" s="38" t="s">
        <v>30</v>
      </c>
      <c r="L338" s="3" t="s">
        <v>123</v>
      </c>
      <c r="M338" s="3" t="s">
        <v>31</v>
      </c>
      <c r="N338" s="5" t="s">
        <v>662</v>
      </c>
      <c r="O338" s="5" t="s">
        <v>125</v>
      </c>
      <c r="P338" s="5" t="s">
        <v>34</v>
      </c>
      <c r="Q338" s="145">
        <v>70</v>
      </c>
      <c r="R338" s="156">
        <v>1</v>
      </c>
      <c r="S338" s="159">
        <v>53730</v>
      </c>
      <c r="T338" s="143">
        <v>0.115</v>
      </c>
      <c r="U338" s="145">
        <v>37.725999999999999</v>
      </c>
      <c r="V338" s="157">
        <v>3.9999999999999998E-6</v>
      </c>
      <c r="W338" s="157">
        <v>6.3302376592647598E-3</v>
      </c>
      <c r="X338" s="157">
        <v>8.6499585685079401E-4</v>
      </c>
    </row>
    <row r="339" spans="1:24">
      <c r="A339" s="5">
        <v>337</v>
      </c>
      <c r="B339" s="5">
        <v>9964</v>
      </c>
      <c r="C339" s="189" t="s">
        <v>321</v>
      </c>
      <c r="D339" s="5" t="s">
        <v>322</v>
      </c>
      <c r="E339" s="189" t="s">
        <v>118</v>
      </c>
      <c r="F339" s="5" t="s">
        <v>1126</v>
      </c>
      <c r="G339" s="5" t="s">
        <v>1127</v>
      </c>
      <c r="H339" s="5" t="s">
        <v>121</v>
      </c>
      <c r="I339" s="5" t="s">
        <v>920</v>
      </c>
      <c r="J339" s="5" t="s">
        <v>30</v>
      </c>
      <c r="K339" s="38" t="s">
        <v>30</v>
      </c>
      <c r="L339" s="3" t="s">
        <v>123</v>
      </c>
      <c r="M339" s="3" t="s">
        <v>31</v>
      </c>
      <c r="N339" s="5" t="s">
        <v>152</v>
      </c>
      <c r="O339" s="5" t="s">
        <v>125</v>
      </c>
      <c r="P339" s="5" t="s">
        <v>34</v>
      </c>
      <c r="Q339" s="145">
        <v>645</v>
      </c>
      <c r="R339" s="156">
        <v>1</v>
      </c>
      <c r="S339" s="159">
        <v>5900</v>
      </c>
      <c r="U339" s="145">
        <v>38.055</v>
      </c>
      <c r="V339" s="157">
        <v>5.1999999999999997E-5</v>
      </c>
      <c r="W339" s="157">
        <v>6.3854760965524997E-3</v>
      </c>
      <c r="X339" s="157">
        <v>8.7254391775540795E-4</v>
      </c>
    </row>
    <row r="340" spans="1:24">
      <c r="A340" s="5">
        <v>337</v>
      </c>
      <c r="B340" s="5">
        <v>9964</v>
      </c>
      <c r="C340" s="189" t="s">
        <v>1128</v>
      </c>
      <c r="D340" s="5" t="s">
        <v>1129</v>
      </c>
      <c r="E340" s="189" t="s">
        <v>118</v>
      </c>
      <c r="F340" s="5" t="s">
        <v>1130</v>
      </c>
      <c r="G340" s="5" t="s">
        <v>1131</v>
      </c>
      <c r="H340" s="5" t="s">
        <v>121</v>
      </c>
      <c r="I340" s="5" t="s">
        <v>920</v>
      </c>
      <c r="J340" s="5" t="s">
        <v>30</v>
      </c>
      <c r="K340" s="38" t="s">
        <v>30</v>
      </c>
      <c r="L340" s="3" t="s">
        <v>123</v>
      </c>
      <c r="M340" s="3" t="s">
        <v>31</v>
      </c>
      <c r="N340" s="5" t="s">
        <v>1105</v>
      </c>
      <c r="O340" s="5" t="s">
        <v>125</v>
      </c>
      <c r="P340" s="5" t="s">
        <v>34</v>
      </c>
      <c r="Q340" s="145">
        <v>3300</v>
      </c>
      <c r="R340" s="156">
        <v>1</v>
      </c>
      <c r="S340" s="159">
        <v>1325</v>
      </c>
      <c r="U340" s="145">
        <v>43.725000000000001</v>
      </c>
      <c r="V340" s="157">
        <v>4.6E-5</v>
      </c>
      <c r="W340" s="157">
        <v>7.3368793147223299E-3</v>
      </c>
      <c r="X340" s="157">
        <v>1.00254849044423E-3</v>
      </c>
    </row>
    <row r="341" spans="1:24">
      <c r="A341" s="5">
        <v>337</v>
      </c>
      <c r="B341" s="5">
        <v>9964</v>
      </c>
      <c r="C341" s="189" t="s">
        <v>1132</v>
      </c>
      <c r="D341" s="5" t="s">
        <v>1133</v>
      </c>
      <c r="E341" s="189" t="s">
        <v>118</v>
      </c>
      <c r="F341" s="5" t="s">
        <v>1134</v>
      </c>
      <c r="G341" s="5" t="s">
        <v>1135</v>
      </c>
      <c r="H341" s="5" t="s">
        <v>121</v>
      </c>
      <c r="I341" s="5" t="s">
        <v>920</v>
      </c>
      <c r="J341" s="5" t="s">
        <v>30</v>
      </c>
      <c r="K341" s="38" t="s">
        <v>30</v>
      </c>
      <c r="L341" s="3" t="s">
        <v>123</v>
      </c>
      <c r="M341" s="3" t="s">
        <v>31</v>
      </c>
      <c r="N341" s="5" t="s">
        <v>124</v>
      </c>
      <c r="O341" s="5" t="s">
        <v>125</v>
      </c>
      <c r="P341" s="5" t="s">
        <v>34</v>
      </c>
      <c r="Q341" s="145">
        <v>231</v>
      </c>
      <c r="R341" s="156">
        <v>1</v>
      </c>
      <c r="S341" s="159">
        <v>15670</v>
      </c>
      <c r="U341" s="145">
        <v>36.198</v>
      </c>
      <c r="V341" s="157">
        <v>1.0000000000000001E-5</v>
      </c>
      <c r="W341" s="157">
        <v>6.0738286191086201E-3</v>
      </c>
      <c r="X341" s="157">
        <v>8.2995882201379405E-4</v>
      </c>
    </row>
    <row r="342" spans="1:24">
      <c r="A342" s="5">
        <v>337</v>
      </c>
      <c r="B342" s="5">
        <v>9964</v>
      </c>
      <c r="C342" s="189" t="s">
        <v>679</v>
      </c>
      <c r="D342" s="5" t="s">
        <v>680</v>
      </c>
      <c r="E342" s="189" t="s">
        <v>118</v>
      </c>
      <c r="F342" s="5" t="s">
        <v>1136</v>
      </c>
      <c r="G342" s="5" t="s">
        <v>1137</v>
      </c>
      <c r="H342" s="5" t="s">
        <v>121</v>
      </c>
      <c r="I342" s="5" t="s">
        <v>920</v>
      </c>
      <c r="J342" s="5" t="s">
        <v>30</v>
      </c>
      <c r="K342" s="38" t="s">
        <v>30</v>
      </c>
      <c r="L342" s="3" t="s">
        <v>123</v>
      </c>
      <c r="M342" s="3" t="s">
        <v>31</v>
      </c>
      <c r="N342" s="5" t="s">
        <v>177</v>
      </c>
      <c r="O342" s="5" t="s">
        <v>125</v>
      </c>
      <c r="P342" s="5" t="s">
        <v>34</v>
      </c>
      <c r="Q342" s="145">
        <v>119</v>
      </c>
      <c r="R342" s="156">
        <v>1</v>
      </c>
      <c r="S342" s="159">
        <v>65150</v>
      </c>
      <c r="U342" s="145">
        <v>77.528000000000006</v>
      </c>
      <c r="V342" s="157">
        <v>6.9999999999999999E-6</v>
      </c>
      <c r="W342" s="157">
        <v>1.3008970793629501E-2</v>
      </c>
      <c r="X342" s="157">
        <v>1.77761190717909E-3</v>
      </c>
    </row>
    <row r="343" spans="1:24">
      <c r="A343" s="5">
        <v>337</v>
      </c>
      <c r="B343" s="5">
        <v>9964</v>
      </c>
      <c r="C343" s="189" t="s">
        <v>1138</v>
      </c>
      <c r="D343" s="5" t="s">
        <v>1139</v>
      </c>
      <c r="E343" s="189" t="s">
        <v>118</v>
      </c>
      <c r="F343" s="5" t="s">
        <v>1140</v>
      </c>
      <c r="G343" s="5" t="s">
        <v>1141</v>
      </c>
      <c r="H343" s="5" t="s">
        <v>121</v>
      </c>
      <c r="I343" s="5" t="s">
        <v>920</v>
      </c>
      <c r="J343" s="5" t="s">
        <v>30</v>
      </c>
      <c r="K343" s="38" t="s">
        <v>138</v>
      </c>
      <c r="L343" s="3" t="s">
        <v>123</v>
      </c>
      <c r="M343" s="3" t="s">
        <v>31</v>
      </c>
      <c r="N343" s="5" t="s">
        <v>1040</v>
      </c>
      <c r="O343" s="5" t="s">
        <v>125</v>
      </c>
      <c r="P343" s="5" t="s">
        <v>34</v>
      </c>
      <c r="Q343" s="145">
        <v>190</v>
      </c>
      <c r="R343" s="156">
        <v>1</v>
      </c>
      <c r="S343" s="159">
        <v>34250</v>
      </c>
      <c r="U343" s="145">
        <v>65.075000000000003</v>
      </c>
      <c r="V343" s="157">
        <v>3.9999999999999998E-6</v>
      </c>
      <c r="W343" s="157">
        <v>1.0919323531287699E-2</v>
      </c>
      <c r="X343" s="157">
        <v>1.4920718814330099E-3</v>
      </c>
    </row>
    <row r="344" spans="1:24">
      <c r="A344" s="5">
        <v>337</v>
      </c>
      <c r="B344" s="5">
        <v>9964</v>
      </c>
      <c r="C344" s="189" t="s">
        <v>1146</v>
      </c>
      <c r="D344" s="5" t="s">
        <v>1147</v>
      </c>
      <c r="E344" s="189" t="s">
        <v>118</v>
      </c>
      <c r="F344" s="5" t="s">
        <v>1148</v>
      </c>
      <c r="G344" s="5" t="s">
        <v>1149</v>
      </c>
      <c r="H344" s="5" t="s">
        <v>121</v>
      </c>
      <c r="I344" s="5" t="s">
        <v>920</v>
      </c>
      <c r="J344" s="5" t="s">
        <v>30</v>
      </c>
      <c r="K344" s="38" t="s">
        <v>30</v>
      </c>
      <c r="L344" s="3" t="s">
        <v>123</v>
      </c>
      <c r="M344" s="3" t="s">
        <v>31</v>
      </c>
      <c r="N344" s="5" t="s">
        <v>421</v>
      </c>
      <c r="O344" s="5" t="s">
        <v>125</v>
      </c>
      <c r="P344" s="5" t="s">
        <v>34</v>
      </c>
      <c r="Q344" s="145">
        <v>238</v>
      </c>
      <c r="R344" s="156">
        <v>1</v>
      </c>
      <c r="S344" s="159">
        <v>4249</v>
      </c>
      <c r="U344" s="145">
        <v>10.113</v>
      </c>
      <c r="V344" s="157">
        <v>5.0000000000000004E-6</v>
      </c>
      <c r="W344" s="157">
        <v>1.6968570039027401E-3</v>
      </c>
      <c r="X344" s="157">
        <v>2.31867167877327E-4</v>
      </c>
    </row>
    <row r="345" spans="1:24">
      <c r="A345" s="5">
        <v>337</v>
      </c>
      <c r="B345" s="5">
        <v>9964</v>
      </c>
      <c r="C345" s="189" t="s">
        <v>1150</v>
      </c>
      <c r="D345" s="5" t="s">
        <v>1151</v>
      </c>
      <c r="E345" s="189" t="s">
        <v>118</v>
      </c>
      <c r="F345" s="5" t="s">
        <v>1152</v>
      </c>
      <c r="G345" s="5" t="s">
        <v>1153</v>
      </c>
      <c r="H345" s="5" t="s">
        <v>121</v>
      </c>
      <c r="I345" s="5" t="s">
        <v>920</v>
      </c>
      <c r="J345" s="5" t="s">
        <v>30</v>
      </c>
      <c r="K345" s="38" t="s">
        <v>30</v>
      </c>
      <c r="L345" s="3" t="s">
        <v>123</v>
      </c>
      <c r="M345" s="3" t="s">
        <v>31</v>
      </c>
      <c r="N345" s="5" t="s">
        <v>421</v>
      </c>
      <c r="O345" s="5" t="s">
        <v>125</v>
      </c>
      <c r="P345" s="5" t="s">
        <v>34</v>
      </c>
      <c r="Q345" s="145">
        <v>77</v>
      </c>
      <c r="R345" s="156">
        <v>1</v>
      </c>
      <c r="S345" s="159">
        <v>35170</v>
      </c>
      <c r="U345" s="145">
        <v>27.081</v>
      </c>
      <c r="V345" s="157">
        <v>6.0000000000000002E-6</v>
      </c>
      <c r="W345" s="157">
        <v>4.5440662100414801E-3</v>
      </c>
      <c r="X345" s="157">
        <v>6.2092430908796304E-4</v>
      </c>
    </row>
    <row r="346" spans="1:24">
      <c r="A346" s="5">
        <v>337</v>
      </c>
      <c r="B346" s="5">
        <v>9964</v>
      </c>
      <c r="C346" s="189" t="s">
        <v>1154</v>
      </c>
      <c r="D346" s="5" t="s">
        <v>1155</v>
      </c>
      <c r="E346" s="189" t="s">
        <v>439</v>
      </c>
      <c r="F346" s="5" t="s">
        <v>1156</v>
      </c>
      <c r="G346" s="5" t="s">
        <v>1157</v>
      </c>
      <c r="H346" s="5" t="s">
        <v>121</v>
      </c>
      <c r="I346" s="5" t="s">
        <v>920</v>
      </c>
      <c r="J346" s="5" t="s">
        <v>30</v>
      </c>
      <c r="K346" s="38" t="s">
        <v>30</v>
      </c>
      <c r="L346" s="3" t="s">
        <v>123</v>
      </c>
      <c r="M346" s="3" t="s">
        <v>31</v>
      </c>
      <c r="N346" s="5" t="s">
        <v>377</v>
      </c>
      <c r="O346" s="5" t="s">
        <v>125</v>
      </c>
      <c r="P346" s="5" t="s">
        <v>34</v>
      </c>
      <c r="Q346" s="145">
        <v>13619</v>
      </c>
      <c r="R346" s="156">
        <v>1</v>
      </c>
      <c r="S346" s="159">
        <v>477.4</v>
      </c>
      <c r="U346" s="145">
        <v>65.016999999999996</v>
      </c>
      <c r="V346" s="157">
        <v>1.2E-5</v>
      </c>
      <c r="W346" s="157">
        <v>1.0909609150703501E-2</v>
      </c>
      <c r="X346" s="157">
        <v>1.4907444590818201E-3</v>
      </c>
    </row>
    <row r="347" spans="1:24">
      <c r="A347" s="5">
        <v>337</v>
      </c>
      <c r="B347" s="5">
        <v>9964</v>
      </c>
      <c r="C347" s="189" t="s">
        <v>710</v>
      </c>
      <c r="D347" s="5" t="s">
        <v>711</v>
      </c>
      <c r="E347" s="189" t="s">
        <v>118</v>
      </c>
      <c r="F347" s="5" t="s">
        <v>1158</v>
      </c>
      <c r="G347" s="5" t="s">
        <v>1159</v>
      </c>
      <c r="H347" s="5" t="s">
        <v>121</v>
      </c>
      <c r="I347" s="5" t="s">
        <v>920</v>
      </c>
      <c r="J347" s="5" t="s">
        <v>30</v>
      </c>
      <c r="K347" s="38" t="s">
        <v>30</v>
      </c>
      <c r="L347" s="3" t="s">
        <v>123</v>
      </c>
      <c r="M347" s="3" t="s">
        <v>31</v>
      </c>
      <c r="N347" s="5" t="s">
        <v>421</v>
      </c>
      <c r="O347" s="5" t="s">
        <v>125</v>
      </c>
      <c r="P347" s="5" t="s">
        <v>34</v>
      </c>
      <c r="Q347" s="145">
        <v>956</v>
      </c>
      <c r="R347" s="156">
        <v>1</v>
      </c>
      <c r="S347" s="159">
        <v>3976</v>
      </c>
      <c r="U347" s="145">
        <v>38.011000000000003</v>
      </c>
      <c r="V347" s="157">
        <v>3.0000000000000001E-6</v>
      </c>
      <c r="W347" s="157">
        <v>6.3780192431106197E-3</v>
      </c>
      <c r="X347" s="157">
        <v>8.7152497539027705E-4</v>
      </c>
    </row>
    <row r="348" spans="1:24">
      <c r="A348" s="5">
        <v>337</v>
      </c>
      <c r="B348" s="5">
        <v>9964</v>
      </c>
      <c r="C348" s="189" t="s">
        <v>1160</v>
      </c>
      <c r="D348" s="5" t="s">
        <v>1161</v>
      </c>
      <c r="E348" s="189" t="s">
        <v>118</v>
      </c>
      <c r="F348" s="5" t="s">
        <v>1162</v>
      </c>
      <c r="G348" s="5" t="s">
        <v>1163</v>
      </c>
      <c r="H348" s="5" t="s">
        <v>121</v>
      </c>
      <c r="I348" s="5" t="s">
        <v>920</v>
      </c>
      <c r="J348" s="5" t="s">
        <v>30</v>
      </c>
      <c r="K348" s="38" t="s">
        <v>138</v>
      </c>
      <c r="L348" s="3" t="s">
        <v>123</v>
      </c>
      <c r="M348" s="3" t="s">
        <v>31</v>
      </c>
      <c r="N348" s="5" t="s">
        <v>1164</v>
      </c>
      <c r="O348" s="5" t="s">
        <v>125</v>
      </c>
      <c r="P348" s="5" t="s">
        <v>34</v>
      </c>
      <c r="Q348" s="145">
        <v>760</v>
      </c>
      <c r="R348" s="156">
        <v>1</v>
      </c>
      <c r="S348" s="159">
        <v>14330</v>
      </c>
      <c r="U348" s="145">
        <v>108.908</v>
      </c>
      <c r="V348" s="157">
        <v>5.8E-5</v>
      </c>
      <c r="W348" s="157">
        <v>1.8274324812070399E-2</v>
      </c>
      <c r="X348" s="157">
        <v>2.49709664945227E-3</v>
      </c>
    </row>
    <row r="349" spans="1:24">
      <c r="A349" s="5">
        <v>337</v>
      </c>
      <c r="B349" s="5">
        <v>9964</v>
      </c>
      <c r="C349" s="189" t="s">
        <v>1169</v>
      </c>
      <c r="D349" s="5" t="s">
        <v>1170</v>
      </c>
      <c r="E349" s="189" t="s">
        <v>727</v>
      </c>
      <c r="F349" s="5" t="s">
        <v>1171</v>
      </c>
      <c r="G349" s="5" t="s">
        <v>1172</v>
      </c>
      <c r="H349" s="5" t="s">
        <v>121</v>
      </c>
      <c r="I349" s="5" t="s">
        <v>920</v>
      </c>
      <c r="J349" s="5" t="s">
        <v>79</v>
      </c>
      <c r="K349" s="38" t="s">
        <v>80</v>
      </c>
      <c r="L349" s="3" t="s">
        <v>123</v>
      </c>
      <c r="M349" s="3" t="s">
        <v>1173</v>
      </c>
      <c r="N349" s="5" t="s">
        <v>1174</v>
      </c>
      <c r="O349" s="5" t="s">
        <v>125</v>
      </c>
      <c r="P349" s="5" t="s">
        <v>84</v>
      </c>
      <c r="Q349" s="145">
        <v>34</v>
      </c>
      <c r="R349" s="156">
        <v>3.19</v>
      </c>
      <c r="S349" s="159">
        <v>21416</v>
      </c>
      <c r="U349" s="145">
        <v>23.228000000000002</v>
      </c>
      <c r="V349" s="157">
        <v>0</v>
      </c>
      <c r="W349" s="157">
        <v>3.8975304377468199E-3</v>
      </c>
      <c r="X349" s="157">
        <v>5.3257837415735096E-4</v>
      </c>
    </row>
    <row r="350" spans="1:24">
      <c r="A350" s="5">
        <v>337</v>
      </c>
      <c r="B350" s="5">
        <v>9964</v>
      </c>
      <c r="C350" s="189" t="s">
        <v>1182</v>
      </c>
      <c r="D350" s="5" t="s">
        <v>1183</v>
      </c>
      <c r="E350" s="189" t="s">
        <v>727</v>
      </c>
      <c r="F350" s="5" t="s">
        <v>1184</v>
      </c>
      <c r="G350" s="5" t="s">
        <v>1185</v>
      </c>
      <c r="H350" s="5" t="s">
        <v>121</v>
      </c>
      <c r="I350" s="5" t="s">
        <v>920</v>
      </c>
      <c r="J350" s="5" t="s">
        <v>79</v>
      </c>
      <c r="K350" s="38" t="s">
        <v>80</v>
      </c>
      <c r="L350" s="3" t="s">
        <v>123</v>
      </c>
      <c r="M350" s="3" t="s">
        <v>1173</v>
      </c>
      <c r="N350" s="5" t="s">
        <v>1174</v>
      </c>
      <c r="O350" s="5" t="s">
        <v>125</v>
      </c>
      <c r="P350" s="5" t="s">
        <v>84</v>
      </c>
      <c r="Q350" s="145">
        <v>10</v>
      </c>
      <c r="R350" s="156">
        <v>3.19</v>
      </c>
      <c r="S350" s="159">
        <v>34610</v>
      </c>
      <c r="U350" s="145">
        <v>11.041</v>
      </c>
      <c r="V350" s="157">
        <v>0</v>
      </c>
      <c r="W350" s="157">
        <v>1.8525666413568901E-3</v>
      </c>
      <c r="X350" s="157">
        <v>2.5314412437081E-4</v>
      </c>
    </row>
    <row r="351" spans="1:24">
      <c r="A351" s="5">
        <v>337</v>
      </c>
      <c r="B351" s="5">
        <v>9964</v>
      </c>
      <c r="C351" s="189" t="s">
        <v>1186</v>
      </c>
      <c r="D351" s="5" t="s">
        <v>1187</v>
      </c>
      <c r="E351" s="189" t="s">
        <v>727</v>
      </c>
      <c r="F351" s="5" t="s">
        <v>1188</v>
      </c>
      <c r="G351" s="5" t="s">
        <v>1189</v>
      </c>
      <c r="H351" s="5" t="s">
        <v>121</v>
      </c>
      <c r="I351" s="5" t="s">
        <v>920</v>
      </c>
      <c r="J351" s="5" t="s">
        <v>79</v>
      </c>
      <c r="K351" s="38" t="s">
        <v>80</v>
      </c>
      <c r="L351" s="3" t="s">
        <v>123</v>
      </c>
      <c r="M351" s="3" t="s">
        <v>1180</v>
      </c>
      <c r="N351" s="5" t="s">
        <v>1190</v>
      </c>
      <c r="O351" s="5" t="s">
        <v>125</v>
      </c>
      <c r="P351" s="5" t="s">
        <v>84</v>
      </c>
      <c r="Q351" s="145">
        <v>24</v>
      </c>
      <c r="R351" s="156">
        <v>3.19</v>
      </c>
      <c r="S351" s="159">
        <v>107468</v>
      </c>
      <c r="U351" s="145">
        <v>82.278000000000006</v>
      </c>
      <c r="V351" s="157">
        <v>0</v>
      </c>
      <c r="W351" s="157">
        <v>1.3805834046576799E-2</v>
      </c>
      <c r="X351" s="157">
        <v>1.8864993533348E-3</v>
      </c>
    </row>
    <row r="352" spans="1:24">
      <c r="A352" s="5">
        <v>337</v>
      </c>
      <c r="B352" s="5">
        <v>9964</v>
      </c>
      <c r="C352" s="189" t="s">
        <v>1191</v>
      </c>
      <c r="D352" s="5" t="s">
        <v>1192</v>
      </c>
      <c r="E352" s="189" t="s">
        <v>727</v>
      </c>
      <c r="F352" s="5" t="s">
        <v>1193</v>
      </c>
      <c r="G352" s="5" t="s">
        <v>1194</v>
      </c>
      <c r="H352" s="5" t="s">
        <v>121</v>
      </c>
      <c r="I352" s="5" t="s">
        <v>920</v>
      </c>
      <c r="J352" s="5" t="s">
        <v>79</v>
      </c>
      <c r="K352" s="38" t="s">
        <v>80</v>
      </c>
      <c r="L352" s="3" t="s">
        <v>123</v>
      </c>
      <c r="M352" s="140" t="s">
        <v>1180</v>
      </c>
      <c r="N352" s="38" t="s">
        <v>1216</v>
      </c>
      <c r="O352" s="5" t="s">
        <v>125</v>
      </c>
      <c r="P352" s="5" t="s">
        <v>84</v>
      </c>
      <c r="Q352" s="145">
        <v>26</v>
      </c>
      <c r="R352" s="156">
        <v>3.19</v>
      </c>
      <c r="S352" s="159">
        <v>87900</v>
      </c>
      <c r="U352" s="145">
        <v>72.903999999999996</v>
      </c>
      <c r="V352" s="157">
        <v>0</v>
      </c>
      <c r="W352" s="157">
        <v>1.2233041901638399E-2</v>
      </c>
      <c r="X352" s="157">
        <v>1.67158503853525E-3</v>
      </c>
    </row>
    <row r="353" spans="1:24">
      <c r="A353" s="5">
        <v>337</v>
      </c>
      <c r="B353" s="5">
        <v>9964</v>
      </c>
      <c r="C353" s="189" t="s">
        <v>1196</v>
      </c>
      <c r="D353" s="5" t="s">
        <v>1197</v>
      </c>
      <c r="E353" s="189" t="s">
        <v>727</v>
      </c>
      <c r="F353" s="5" t="s">
        <v>1198</v>
      </c>
      <c r="G353" s="5" t="s">
        <v>1199</v>
      </c>
      <c r="H353" s="5" t="s">
        <v>121</v>
      </c>
      <c r="I353" s="5" t="s">
        <v>920</v>
      </c>
      <c r="J353" s="5" t="s">
        <v>79</v>
      </c>
      <c r="K353" s="5" t="s">
        <v>80</v>
      </c>
      <c r="L353" s="3" t="s">
        <v>123</v>
      </c>
      <c r="M353" s="3" t="s">
        <v>1173</v>
      </c>
      <c r="N353" s="5" t="s">
        <v>1200</v>
      </c>
      <c r="O353" s="5" t="s">
        <v>125</v>
      </c>
      <c r="P353" s="5" t="s">
        <v>84</v>
      </c>
      <c r="Q353" s="145">
        <v>111</v>
      </c>
      <c r="R353" s="156">
        <v>3.19</v>
      </c>
      <c r="S353" s="159">
        <v>31380</v>
      </c>
      <c r="U353" s="145">
        <v>111.113</v>
      </c>
      <c r="V353" s="157">
        <v>0</v>
      </c>
      <c r="W353" s="157">
        <v>1.86443891182939E-2</v>
      </c>
      <c r="X353" s="157">
        <v>2.54766411767096E-3</v>
      </c>
    </row>
    <row r="354" spans="1:24">
      <c r="A354" s="5">
        <v>337</v>
      </c>
      <c r="B354" s="5">
        <v>9964</v>
      </c>
      <c r="C354" s="189" t="s">
        <v>1201</v>
      </c>
      <c r="D354" s="5" t="s">
        <v>1202</v>
      </c>
      <c r="E354" s="189" t="s">
        <v>727</v>
      </c>
      <c r="F354" s="5" t="s">
        <v>1203</v>
      </c>
      <c r="G354" s="5" t="s">
        <v>1204</v>
      </c>
      <c r="H354" s="5" t="s">
        <v>121</v>
      </c>
      <c r="I354" s="5" t="s">
        <v>920</v>
      </c>
      <c r="J354" s="5" t="s">
        <v>79</v>
      </c>
      <c r="K354" s="5" t="s">
        <v>80</v>
      </c>
      <c r="L354" s="3" t="s">
        <v>123</v>
      </c>
      <c r="M354" s="3" t="s">
        <v>1173</v>
      </c>
      <c r="N354" s="5" t="s">
        <v>1174</v>
      </c>
      <c r="O354" s="5" t="s">
        <v>125</v>
      </c>
      <c r="P354" s="5" t="s">
        <v>84</v>
      </c>
      <c r="Q354" s="145">
        <v>330</v>
      </c>
      <c r="R354" s="156">
        <v>3.19</v>
      </c>
      <c r="S354" s="159">
        <v>3690</v>
      </c>
      <c r="U354" s="145">
        <v>38.844999999999999</v>
      </c>
      <c r="V354" s="157">
        <v>0</v>
      </c>
      <c r="W354" s="157">
        <v>6.5179728378511699E-3</v>
      </c>
      <c r="X354" s="157">
        <v>8.9064894610325202E-4</v>
      </c>
    </row>
    <row r="355" spans="1:24">
      <c r="A355" s="5">
        <v>337</v>
      </c>
      <c r="B355" s="5">
        <v>9964</v>
      </c>
      <c r="C355" s="189" t="s">
        <v>1205</v>
      </c>
      <c r="D355" s="5" t="s">
        <v>1206</v>
      </c>
      <c r="E355" s="189" t="s">
        <v>727</v>
      </c>
      <c r="F355" s="5" t="s">
        <v>1207</v>
      </c>
      <c r="G355" s="5" t="s">
        <v>1208</v>
      </c>
      <c r="H355" s="5" t="s">
        <v>121</v>
      </c>
      <c r="I355" s="5" t="s">
        <v>920</v>
      </c>
      <c r="J355" s="5" t="s">
        <v>79</v>
      </c>
      <c r="K355" s="5" t="s">
        <v>80</v>
      </c>
      <c r="L355" s="3" t="s">
        <v>123</v>
      </c>
      <c r="M355" s="3" t="s">
        <v>1180</v>
      </c>
      <c r="N355" s="5" t="s">
        <v>1209</v>
      </c>
      <c r="O355" s="5" t="s">
        <v>125</v>
      </c>
      <c r="P355" s="5" t="s">
        <v>84</v>
      </c>
      <c r="Q355" s="145">
        <v>71</v>
      </c>
      <c r="R355" s="156">
        <v>3.19</v>
      </c>
      <c r="S355" s="159">
        <v>32222</v>
      </c>
      <c r="U355" s="145">
        <v>72.98</v>
      </c>
      <c r="V355" s="157">
        <v>0</v>
      </c>
      <c r="W355" s="157">
        <v>1.2245684959734E-2</v>
      </c>
      <c r="X355" s="157">
        <v>1.67331265027106E-3</v>
      </c>
    </row>
    <row r="356" spans="1:24">
      <c r="A356" s="5">
        <v>337</v>
      </c>
      <c r="B356" s="5">
        <v>9964</v>
      </c>
      <c r="C356" s="189" t="s">
        <v>2943</v>
      </c>
      <c r="D356" s="38" t="s">
        <v>2942</v>
      </c>
      <c r="E356" s="189" t="s">
        <v>727</v>
      </c>
      <c r="F356" s="5" t="s">
        <v>1210</v>
      </c>
      <c r="G356" s="5" t="s">
        <v>1211</v>
      </c>
      <c r="H356" s="5" t="s">
        <v>121</v>
      </c>
      <c r="I356" s="5" t="s">
        <v>920</v>
      </c>
      <c r="J356" s="5" t="s">
        <v>79</v>
      </c>
      <c r="K356" s="5" t="s">
        <v>80</v>
      </c>
      <c r="L356" s="3" t="s">
        <v>123</v>
      </c>
      <c r="M356" s="140" t="s">
        <v>1180</v>
      </c>
      <c r="N356" s="38" t="s">
        <v>1216</v>
      </c>
      <c r="O356" s="5" t="s">
        <v>125</v>
      </c>
      <c r="P356" s="5" t="s">
        <v>84</v>
      </c>
      <c r="Q356" s="145">
        <v>130</v>
      </c>
      <c r="R356" s="156">
        <v>3.19</v>
      </c>
      <c r="S356" s="159">
        <v>12748</v>
      </c>
      <c r="U356" s="145">
        <v>52.866</v>
      </c>
      <c r="V356" s="157">
        <v>0</v>
      </c>
      <c r="W356" s="157">
        <v>8.8706950035316295E-3</v>
      </c>
      <c r="X356" s="157">
        <v>1.2121368641210099E-3</v>
      </c>
    </row>
    <row r="357" spans="1:24">
      <c r="A357" s="5">
        <v>337</v>
      </c>
      <c r="B357" s="5">
        <v>9964</v>
      </c>
      <c r="C357" s="189" t="s">
        <v>1213</v>
      </c>
      <c r="D357" s="5" t="s">
        <v>1214</v>
      </c>
      <c r="E357" s="189" t="s">
        <v>727</v>
      </c>
      <c r="F357" s="5" t="s">
        <v>1213</v>
      </c>
      <c r="G357" s="5" t="s">
        <v>1215</v>
      </c>
      <c r="H357" s="5" t="s">
        <v>121</v>
      </c>
      <c r="I357" s="5" t="s">
        <v>920</v>
      </c>
      <c r="J357" s="5" t="s">
        <v>79</v>
      </c>
      <c r="K357" s="5" t="s">
        <v>80</v>
      </c>
      <c r="L357" s="3" t="s">
        <v>123</v>
      </c>
      <c r="M357" s="3" t="s">
        <v>1173</v>
      </c>
      <c r="N357" s="5" t="s">
        <v>1216</v>
      </c>
      <c r="O357" s="5" t="s">
        <v>125</v>
      </c>
      <c r="P357" s="5" t="s">
        <v>84</v>
      </c>
      <c r="Q357" s="145">
        <v>25</v>
      </c>
      <c r="R357" s="156">
        <v>3.19</v>
      </c>
      <c r="S357" s="159">
        <v>66009</v>
      </c>
      <c r="U357" s="145">
        <v>52.642000000000003</v>
      </c>
      <c r="V357" s="157">
        <v>0</v>
      </c>
      <c r="W357" s="157">
        <v>8.8331458703645796E-3</v>
      </c>
      <c r="X357" s="157">
        <v>1.2070059596643199E-3</v>
      </c>
    </row>
    <row r="358" spans="1:24">
      <c r="A358" s="5">
        <v>337</v>
      </c>
      <c r="B358" s="5">
        <v>9964</v>
      </c>
      <c r="C358" s="189" t="s">
        <v>1217</v>
      </c>
      <c r="D358" s="5" t="s">
        <v>1218</v>
      </c>
      <c r="E358" s="189" t="s">
        <v>727</v>
      </c>
      <c r="F358" s="5" t="s">
        <v>1219</v>
      </c>
      <c r="G358" s="5" t="s">
        <v>1220</v>
      </c>
      <c r="H358" s="5" t="s">
        <v>121</v>
      </c>
      <c r="I358" s="5" t="s">
        <v>920</v>
      </c>
      <c r="J358" s="5" t="s">
        <v>79</v>
      </c>
      <c r="K358" s="5" t="s">
        <v>80</v>
      </c>
      <c r="L358" s="3" t="s">
        <v>123</v>
      </c>
      <c r="M358" s="3" t="s">
        <v>1173</v>
      </c>
      <c r="N358" s="5" t="s">
        <v>1221</v>
      </c>
      <c r="O358" s="5" t="s">
        <v>125</v>
      </c>
      <c r="P358" s="5" t="s">
        <v>84</v>
      </c>
      <c r="Q358" s="145">
        <v>25</v>
      </c>
      <c r="R358" s="156">
        <v>3.19</v>
      </c>
      <c r="S358" s="159">
        <v>48362</v>
      </c>
      <c r="U358" s="145">
        <v>38.569000000000003</v>
      </c>
      <c r="V358" s="157">
        <v>0</v>
      </c>
      <c r="W358" s="157">
        <v>6.4716720535468097E-3</v>
      </c>
      <c r="X358" s="157">
        <v>8.8432217154154301E-4</v>
      </c>
    </row>
    <row r="359" spans="1:24">
      <c r="A359" s="5">
        <v>337</v>
      </c>
      <c r="B359" s="5">
        <v>9964</v>
      </c>
      <c r="C359" s="189" t="s">
        <v>1222</v>
      </c>
      <c r="D359" s="5" t="s">
        <v>1223</v>
      </c>
      <c r="E359" s="189" t="s">
        <v>727</v>
      </c>
      <c r="F359" s="5" t="s">
        <v>1224</v>
      </c>
      <c r="G359" s="5" t="s">
        <v>1225</v>
      </c>
      <c r="H359" s="5" t="s">
        <v>121</v>
      </c>
      <c r="I359" s="5" t="s">
        <v>920</v>
      </c>
      <c r="J359" s="5" t="s">
        <v>79</v>
      </c>
      <c r="K359" s="5" t="s">
        <v>80</v>
      </c>
      <c r="L359" s="3" t="s">
        <v>123</v>
      </c>
      <c r="M359" s="3" t="s">
        <v>1180</v>
      </c>
      <c r="N359" s="5" t="s">
        <v>1226</v>
      </c>
      <c r="O359" s="5" t="s">
        <v>125</v>
      </c>
      <c r="P359" s="5" t="s">
        <v>84</v>
      </c>
      <c r="Q359" s="145">
        <v>122</v>
      </c>
      <c r="R359" s="156">
        <v>3.19</v>
      </c>
      <c r="S359" s="159">
        <v>13351</v>
      </c>
      <c r="U359" s="145">
        <v>51.959000000000003</v>
      </c>
      <c r="V359" s="157">
        <v>1.9999999999999999E-6</v>
      </c>
      <c r="W359" s="157">
        <v>8.7185822071892995E-3</v>
      </c>
      <c r="X359" s="157">
        <v>1.19135139828348E-3</v>
      </c>
    </row>
    <row r="360" spans="1:24">
      <c r="A360" s="5">
        <v>337</v>
      </c>
      <c r="B360" s="5">
        <v>9964</v>
      </c>
      <c r="C360" s="189" t="s">
        <v>1095</v>
      </c>
      <c r="D360" s="5" t="s">
        <v>1096</v>
      </c>
      <c r="E360" s="189" t="s">
        <v>118</v>
      </c>
      <c r="F360" s="5" t="s">
        <v>1232</v>
      </c>
      <c r="G360" s="5" t="s">
        <v>1233</v>
      </c>
      <c r="H360" s="5" t="s">
        <v>121</v>
      </c>
      <c r="I360" s="5" t="s">
        <v>920</v>
      </c>
      <c r="J360" s="5" t="s">
        <v>79</v>
      </c>
      <c r="K360" s="5" t="s">
        <v>30</v>
      </c>
      <c r="L360" s="3" t="s">
        <v>123</v>
      </c>
      <c r="M360" s="3" t="s">
        <v>1173</v>
      </c>
      <c r="N360" s="5" t="s">
        <v>1221</v>
      </c>
      <c r="O360" s="5" t="s">
        <v>125</v>
      </c>
      <c r="P360" s="5" t="s">
        <v>84</v>
      </c>
      <c r="Q360" s="145">
        <v>77</v>
      </c>
      <c r="R360" s="156">
        <v>3.19</v>
      </c>
      <c r="S360" s="159">
        <v>11304</v>
      </c>
      <c r="U360" s="145">
        <v>27.765999999999998</v>
      </c>
      <c r="V360" s="157">
        <v>9.9999999999999995E-7</v>
      </c>
      <c r="W360" s="157">
        <v>4.6590257878363801E-3</v>
      </c>
      <c r="X360" s="157">
        <v>6.3663297025526799E-4</v>
      </c>
    </row>
    <row r="361" spans="1:24">
      <c r="A361" s="5">
        <v>337</v>
      </c>
      <c r="B361" s="5">
        <v>9964</v>
      </c>
      <c r="C361" s="189" t="s">
        <v>1234</v>
      </c>
      <c r="D361" s="5" t="s">
        <v>1235</v>
      </c>
      <c r="E361" s="189" t="s">
        <v>727</v>
      </c>
      <c r="F361" s="5" t="s">
        <v>1234</v>
      </c>
      <c r="G361" s="5" t="s">
        <v>1236</v>
      </c>
      <c r="H361" s="5" t="s">
        <v>121</v>
      </c>
      <c r="I361" s="5" t="s">
        <v>920</v>
      </c>
      <c r="J361" s="5" t="s">
        <v>79</v>
      </c>
      <c r="K361" s="5" t="s">
        <v>80</v>
      </c>
      <c r="L361" s="3" t="s">
        <v>123</v>
      </c>
      <c r="M361" s="3" t="s">
        <v>1180</v>
      </c>
      <c r="N361" s="5" t="s">
        <v>1181</v>
      </c>
      <c r="O361" s="5" t="s">
        <v>125</v>
      </c>
      <c r="P361" s="5" t="s">
        <v>84</v>
      </c>
      <c r="Q361" s="145">
        <v>411</v>
      </c>
      <c r="R361" s="156">
        <v>3.19</v>
      </c>
      <c r="S361" s="159">
        <v>6371</v>
      </c>
      <c r="T361" s="143">
        <v>0.16900000000000001</v>
      </c>
      <c r="U361" s="145">
        <v>84.066999999999993</v>
      </c>
      <c r="V361" s="157">
        <v>0</v>
      </c>
      <c r="W361" s="157">
        <v>1.4106120058076699E-2</v>
      </c>
      <c r="X361" s="157">
        <v>1.9275319606078499E-3</v>
      </c>
    </row>
    <row r="362" spans="1:24">
      <c r="A362" s="5">
        <v>337</v>
      </c>
      <c r="B362" s="5">
        <v>9964</v>
      </c>
      <c r="C362" s="189" t="s">
        <v>1237</v>
      </c>
      <c r="D362" s="5" t="s">
        <v>1238</v>
      </c>
      <c r="E362" s="189" t="s">
        <v>727</v>
      </c>
      <c r="F362" s="5" t="s">
        <v>1239</v>
      </c>
      <c r="G362" s="5" t="s">
        <v>1240</v>
      </c>
      <c r="H362" s="5" t="s">
        <v>121</v>
      </c>
      <c r="I362" s="5" t="s">
        <v>920</v>
      </c>
      <c r="J362" s="5" t="s">
        <v>79</v>
      </c>
      <c r="K362" s="5" t="s">
        <v>80</v>
      </c>
      <c r="L362" s="3" t="s">
        <v>123</v>
      </c>
      <c r="M362" s="3" t="s">
        <v>1173</v>
      </c>
      <c r="N362" s="5" t="s">
        <v>1174</v>
      </c>
      <c r="O362" s="5" t="s">
        <v>125</v>
      </c>
      <c r="P362" s="5" t="s">
        <v>84</v>
      </c>
      <c r="Q362" s="145">
        <v>59</v>
      </c>
      <c r="R362" s="156">
        <v>3.19</v>
      </c>
      <c r="S362" s="159">
        <v>18650</v>
      </c>
      <c r="U362" s="145">
        <v>35.100999999999999</v>
      </c>
      <c r="V362" s="157">
        <v>0</v>
      </c>
      <c r="W362" s="157">
        <v>5.8898344519418E-3</v>
      </c>
      <c r="X362" s="157">
        <v>8.0481692358110599E-4</v>
      </c>
    </row>
    <row r="363" spans="1:24">
      <c r="A363" s="5">
        <v>337</v>
      </c>
      <c r="B363" s="5">
        <v>9964</v>
      </c>
      <c r="C363" s="189" t="s">
        <v>921</v>
      </c>
      <c r="D363" s="5" t="s">
        <v>922</v>
      </c>
      <c r="E363" s="189" t="s">
        <v>727</v>
      </c>
      <c r="F363" s="5" t="s">
        <v>1241</v>
      </c>
      <c r="G363" s="5" t="s">
        <v>924</v>
      </c>
      <c r="H363" s="5" t="s">
        <v>121</v>
      </c>
      <c r="I363" s="5" t="s">
        <v>920</v>
      </c>
      <c r="J363" s="5" t="s">
        <v>79</v>
      </c>
      <c r="K363" s="5" t="s">
        <v>80</v>
      </c>
      <c r="L363" s="3" t="s">
        <v>123</v>
      </c>
      <c r="M363" s="3" t="s">
        <v>1180</v>
      </c>
      <c r="N363" s="5" t="s">
        <v>1242</v>
      </c>
      <c r="O363" s="5" t="s">
        <v>125</v>
      </c>
      <c r="P363" s="5" t="s">
        <v>84</v>
      </c>
      <c r="Q363" s="145">
        <v>98</v>
      </c>
      <c r="R363" s="156">
        <v>3.19</v>
      </c>
      <c r="S363" s="159">
        <v>11047</v>
      </c>
      <c r="U363" s="145">
        <v>34.534999999999997</v>
      </c>
      <c r="V363" s="157">
        <v>1.9999999999999999E-6</v>
      </c>
      <c r="W363" s="157">
        <v>5.79485628816186E-3</v>
      </c>
      <c r="X363" s="157">
        <v>7.9183862441082101E-4</v>
      </c>
    </row>
    <row r="364" spans="1:24">
      <c r="A364" s="5">
        <v>337</v>
      </c>
      <c r="B364" s="5">
        <v>9964</v>
      </c>
      <c r="C364" s="189" t="s">
        <v>1243</v>
      </c>
      <c r="D364" s="5" t="s">
        <v>1244</v>
      </c>
      <c r="E364" s="189" t="s">
        <v>727</v>
      </c>
      <c r="F364" s="5" t="s">
        <v>1245</v>
      </c>
      <c r="G364" s="5" t="s">
        <v>1246</v>
      </c>
      <c r="H364" s="5" t="s">
        <v>121</v>
      </c>
      <c r="I364" s="5" t="s">
        <v>920</v>
      </c>
      <c r="J364" s="5" t="s">
        <v>79</v>
      </c>
      <c r="K364" s="5" t="s">
        <v>80</v>
      </c>
      <c r="L364" s="3" t="s">
        <v>123</v>
      </c>
      <c r="M364" s="3" t="s">
        <v>1173</v>
      </c>
      <c r="N364" s="5" t="s">
        <v>1221</v>
      </c>
      <c r="O364" s="5" t="s">
        <v>125</v>
      </c>
      <c r="P364" s="5" t="s">
        <v>84</v>
      </c>
      <c r="Q364" s="145">
        <v>100</v>
      </c>
      <c r="R364" s="156">
        <v>3.19</v>
      </c>
      <c r="S364" s="159">
        <v>18420</v>
      </c>
      <c r="U364" s="145">
        <v>58.76</v>
      </c>
      <c r="V364" s="157">
        <v>0</v>
      </c>
      <c r="W364" s="157">
        <v>9.8596583455053399E-3</v>
      </c>
      <c r="X364" s="157">
        <v>1.34727384308302E-3</v>
      </c>
    </row>
    <row r="365" spans="1:24">
      <c r="A365" s="5">
        <v>337</v>
      </c>
      <c r="B365" s="5">
        <v>9964</v>
      </c>
      <c r="C365" s="189" t="s">
        <v>1247</v>
      </c>
      <c r="D365" s="5" t="s">
        <v>1248</v>
      </c>
      <c r="E365" s="189" t="s">
        <v>727</v>
      </c>
      <c r="F365" s="5" t="s">
        <v>1249</v>
      </c>
      <c r="G365" s="5" t="s">
        <v>1250</v>
      </c>
      <c r="H365" s="5" t="s">
        <v>121</v>
      </c>
      <c r="I365" s="5" t="s">
        <v>920</v>
      </c>
      <c r="J365" s="5" t="s">
        <v>79</v>
      </c>
      <c r="K365" s="5" t="s">
        <v>956</v>
      </c>
      <c r="L365" s="3" t="s">
        <v>123</v>
      </c>
      <c r="M365" s="3" t="s">
        <v>1251</v>
      </c>
      <c r="N365" s="5" t="s">
        <v>1252</v>
      </c>
      <c r="O365" s="5" t="s">
        <v>125</v>
      </c>
      <c r="P365" s="5" t="s">
        <v>1253</v>
      </c>
      <c r="Q365" s="145">
        <v>570</v>
      </c>
      <c r="R365" s="156">
        <v>4.29</v>
      </c>
      <c r="S365" s="159">
        <v>1796</v>
      </c>
      <c r="U365" s="145">
        <v>43.917999999999999</v>
      </c>
      <c r="V365" s="157">
        <v>1.2999999999999999E-5</v>
      </c>
      <c r="W365" s="157">
        <v>7.36919480731155E-3</v>
      </c>
      <c r="X365" s="157">
        <v>1.0069642436444099E-3</v>
      </c>
    </row>
    <row r="366" spans="1:24">
      <c r="A366" s="5">
        <v>337</v>
      </c>
      <c r="B366" s="5">
        <v>9964</v>
      </c>
      <c r="C366" s="189" t="s">
        <v>1254</v>
      </c>
      <c r="D366" s="5" t="s">
        <v>1255</v>
      </c>
      <c r="E366" s="189" t="s">
        <v>727</v>
      </c>
      <c r="F366" s="5" t="s">
        <v>1256</v>
      </c>
      <c r="G366" s="5" t="s">
        <v>1257</v>
      </c>
      <c r="H366" s="5" t="s">
        <v>121</v>
      </c>
      <c r="I366" s="5" t="s">
        <v>920</v>
      </c>
      <c r="J366" s="5" t="s">
        <v>79</v>
      </c>
      <c r="K366" s="5" t="s">
        <v>80</v>
      </c>
      <c r="L366" s="3" t="s">
        <v>123</v>
      </c>
      <c r="M366" s="3" t="s">
        <v>1180</v>
      </c>
      <c r="N366" s="5" t="s">
        <v>1258</v>
      </c>
      <c r="O366" s="5" t="s">
        <v>125</v>
      </c>
      <c r="P366" s="5" t="s">
        <v>84</v>
      </c>
      <c r="Q366" s="145">
        <v>45</v>
      </c>
      <c r="R366" s="156">
        <v>3.19</v>
      </c>
      <c r="S366" s="159">
        <v>42206</v>
      </c>
      <c r="U366" s="145">
        <v>60.587000000000003</v>
      </c>
      <c r="V366" s="157">
        <v>0</v>
      </c>
      <c r="W366" s="157">
        <v>1.0166207006443001E-2</v>
      </c>
      <c r="X366" s="157">
        <v>1.3891622106146999E-3</v>
      </c>
    </row>
    <row r="367" spans="1:24">
      <c r="A367" s="5">
        <v>337</v>
      </c>
      <c r="B367" s="5">
        <v>9964</v>
      </c>
      <c r="C367" s="189" t="s">
        <v>1259</v>
      </c>
      <c r="D367" s="5" t="s">
        <v>1260</v>
      </c>
      <c r="E367" s="189" t="s">
        <v>727</v>
      </c>
      <c r="F367" s="5" t="s">
        <v>1261</v>
      </c>
      <c r="G367" s="5" t="s">
        <v>1262</v>
      </c>
      <c r="H367" s="5" t="s">
        <v>121</v>
      </c>
      <c r="I367" s="5" t="s">
        <v>920</v>
      </c>
      <c r="J367" s="5" t="s">
        <v>79</v>
      </c>
      <c r="K367" s="5" t="s">
        <v>1179</v>
      </c>
      <c r="L367" s="3" t="s">
        <v>123</v>
      </c>
      <c r="M367" s="3" t="s">
        <v>1180</v>
      </c>
      <c r="N367" s="5" t="s">
        <v>1174</v>
      </c>
      <c r="O367" s="5" t="s">
        <v>125</v>
      </c>
      <c r="P367" s="5" t="s">
        <v>84</v>
      </c>
      <c r="Q367" s="145">
        <v>100</v>
      </c>
      <c r="R367" s="156">
        <v>3.19</v>
      </c>
      <c r="S367" s="159">
        <v>30389</v>
      </c>
      <c r="T367" s="143">
        <v>6.3E-2</v>
      </c>
      <c r="U367" s="145">
        <v>97.141000000000005</v>
      </c>
      <c r="V367" s="157">
        <v>0</v>
      </c>
      <c r="W367" s="157">
        <v>1.6299911440394999E-2</v>
      </c>
      <c r="X367" s="157">
        <v>2.2273027683788601E-3</v>
      </c>
    </row>
    <row r="368" spans="1:24">
      <c r="A368" s="5">
        <v>337</v>
      </c>
      <c r="B368" s="5">
        <v>9964</v>
      </c>
      <c r="C368" s="189" t="s">
        <v>1036</v>
      </c>
      <c r="D368" s="5" t="s">
        <v>1037</v>
      </c>
      <c r="E368" s="189" t="s">
        <v>118</v>
      </c>
      <c r="F368" s="5" t="s">
        <v>1263</v>
      </c>
      <c r="G368" s="5" t="s">
        <v>1039</v>
      </c>
      <c r="H368" s="5" t="s">
        <v>121</v>
      </c>
      <c r="I368" s="5" t="s">
        <v>920</v>
      </c>
      <c r="J368" s="5" t="s">
        <v>79</v>
      </c>
      <c r="K368" s="5" t="s">
        <v>138</v>
      </c>
      <c r="L368" s="3" t="s">
        <v>123</v>
      </c>
      <c r="M368" s="3" t="s">
        <v>1173</v>
      </c>
      <c r="N368" s="5" t="s">
        <v>1174</v>
      </c>
      <c r="O368" s="5" t="s">
        <v>125</v>
      </c>
      <c r="P368" s="5" t="s">
        <v>84</v>
      </c>
      <c r="Q368" s="145">
        <v>131</v>
      </c>
      <c r="R368" s="156">
        <v>3.19</v>
      </c>
      <c r="S368" s="159">
        <v>11742</v>
      </c>
      <c r="U368" s="145">
        <v>49.069000000000003</v>
      </c>
      <c r="V368" s="157">
        <v>9.9999999999999995E-7</v>
      </c>
      <c r="W368" s="157">
        <v>8.2335212738181406E-3</v>
      </c>
      <c r="X368" s="157">
        <v>1.12507020628555E-3</v>
      </c>
    </row>
    <row r="369" spans="1:24">
      <c r="A369" s="5">
        <v>337</v>
      </c>
      <c r="B369" s="5">
        <v>9964</v>
      </c>
      <c r="C369" s="189" t="s">
        <v>1264</v>
      </c>
      <c r="D369" s="5" t="s">
        <v>1265</v>
      </c>
      <c r="E369" s="189" t="s">
        <v>727</v>
      </c>
      <c r="F369" s="5" t="s">
        <v>1266</v>
      </c>
      <c r="G369" s="5" t="s">
        <v>1267</v>
      </c>
      <c r="H369" s="5" t="s">
        <v>121</v>
      </c>
      <c r="I369" s="5" t="s">
        <v>920</v>
      </c>
      <c r="J369" s="5" t="s">
        <v>79</v>
      </c>
      <c r="K369" s="5" t="s">
        <v>80</v>
      </c>
      <c r="L369" s="3" t="s">
        <v>123</v>
      </c>
      <c r="M369" s="3" t="s">
        <v>1180</v>
      </c>
      <c r="N369" s="5" t="s">
        <v>1268</v>
      </c>
      <c r="O369" s="5" t="s">
        <v>125</v>
      </c>
      <c r="P369" s="5" t="s">
        <v>84</v>
      </c>
      <c r="Q369" s="145">
        <v>129</v>
      </c>
      <c r="R369" s="156">
        <v>3.19</v>
      </c>
      <c r="S369" s="159">
        <v>8171</v>
      </c>
      <c r="U369" s="145">
        <v>33.624000000000002</v>
      </c>
      <c r="V369" s="157">
        <v>0</v>
      </c>
      <c r="W369" s="157">
        <v>5.6420529945738398E-3</v>
      </c>
      <c r="X369" s="157">
        <v>7.7095880551913195E-4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26"/>
  <sheetViews>
    <sheetView rightToLeft="1" topLeftCell="N1" workbookViewId="0">
      <selection activeCell="N1" sqref="A1:XFD1"/>
    </sheetView>
  </sheetViews>
  <sheetFormatPr defaultColWidth="0" defaultRowHeight="14.25"/>
  <cols>
    <col min="1" max="2" width="11.625" style="3" customWidth="1"/>
    <col min="3" max="3" width="29.875" style="185" customWidth="1"/>
    <col min="4" max="4" width="30" style="3" customWidth="1"/>
    <col min="5" max="5" width="15.75" style="189" customWidth="1"/>
    <col min="6" max="6" width="37.75" style="3" customWidth="1"/>
    <col min="7" max="7" width="16.125" style="3" customWidth="1"/>
    <col min="8" max="8" width="11.625" style="3" customWidth="1"/>
    <col min="9" max="9" width="27.625" style="3" customWidth="1"/>
    <col min="10" max="12" width="11.625" style="3" customWidth="1"/>
    <col min="13" max="13" width="45.875" style="3" customWidth="1"/>
    <col min="14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18" t="s">
        <v>0</v>
      </c>
      <c r="B1" s="18" t="s">
        <v>1</v>
      </c>
      <c r="C1" s="186" t="s">
        <v>2</v>
      </c>
      <c r="D1" s="18" t="s">
        <v>105</v>
      </c>
      <c r="E1" s="186" t="s">
        <v>106</v>
      </c>
      <c r="F1" s="18" t="s">
        <v>3</v>
      </c>
      <c r="G1" s="18" t="s">
        <v>4</v>
      </c>
      <c r="H1" s="18" t="s">
        <v>107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1302</v>
      </c>
      <c r="N1" s="18" t="s">
        <v>109</v>
      </c>
      <c r="O1" s="18" t="s">
        <v>11</v>
      </c>
      <c r="P1" s="18" t="s">
        <v>17</v>
      </c>
      <c r="Q1" s="152" t="s">
        <v>18</v>
      </c>
      <c r="R1" s="158" t="s">
        <v>19</v>
      </c>
      <c r="S1" s="18" t="s">
        <v>16</v>
      </c>
      <c r="T1" s="18" t="s">
        <v>20</v>
      </c>
      <c r="U1" s="154" t="s">
        <v>23</v>
      </c>
      <c r="V1" s="154" t="s">
        <v>24</v>
      </c>
      <c r="W1" s="154" t="s">
        <v>25</v>
      </c>
    </row>
    <row r="2" spans="1:23">
      <c r="A2" s="19">
        <v>337</v>
      </c>
      <c r="B2" s="19">
        <v>1405</v>
      </c>
      <c r="C2" s="187" t="s">
        <v>1303</v>
      </c>
      <c r="D2" s="19" t="s">
        <v>1304</v>
      </c>
      <c r="E2" s="188" t="s">
        <v>118</v>
      </c>
      <c r="F2" s="19" t="s">
        <v>1305</v>
      </c>
      <c r="G2" s="19" t="s">
        <v>1306</v>
      </c>
      <c r="H2" s="17" t="s">
        <v>121</v>
      </c>
      <c r="I2" s="19" t="s">
        <v>1307</v>
      </c>
      <c r="J2" s="17" t="s">
        <v>30</v>
      </c>
      <c r="K2" s="17" t="s">
        <v>30</v>
      </c>
      <c r="L2" s="17" t="s">
        <v>31</v>
      </c>
      <c r="M2" s="19" t="s">
        <v>1308</v>
      </c>
      <c r="N2" s="19" t="s">
        <v>125</v>
      </c>
      <c r="O2" s="17" t="s">
        <v>34</v>
      </c>
      <c r="P2" s="147">
        <v>3192</v>
      </c>
      <c r="Q2" s="160">
        <v>1</v>
      </c>
      <c r="R2" s="162">
        <v>4274.3100000000004</v>
      </c>
      <c r="S2" s="19"/>
      <c r="T2" s="146">
        <v>136.43600000000001</v>
      </c>
      <c r="U2" s="161">
        <v>5.8999999999999998E-5</v>
      </c>
      <c r="V2" s="161">
        <v>0.54128543413755104</v>
      </c>
      <c r="W2" s="161">
        <v>1.8178136982780899E-2</v>
      </c>
    </row>
    <row r="3" spans="1:23">
      <c r="A3" s="19">
        <v>337</v>
      </c>
      <c r="B3" s="19">
        <v>1405</v>
      </c>
      <c r="C3" s="187" t="s">
        <v>1309</v>
      </c>
      <c r="D3" s="19" t="s">
        <v>1310</v>
      </c>
      <c r="E3" s="188" t="s">
        <v>727</v>
      </c>
      <c r="F3" s="19" t="s">
        <v>1311</v>
      </c>
      <c r="G3" s="19" t="s">
        <v>1312</v>
      </c>
      <c r="H3" s="17" t="s">
        <v>121</v>
      </c>
      <c r="I3" s="19" t="s">
        <v>1313</v>
      </c>
      <c r="J3" s="17" t="s">
        <v>79</v>
      </c>
      <c r="K3" s="17" t="s">
        <v>80</v>
      </c>
      <c r="L3" s="17" t="s">
        <v>1180</v>
      </c>
      <c r="M3" s="19" t="s">
        <v>1314</v>
      </c>
      <c r="N3" s="19" t="s">
        <v>125</v>
      </c>
      <c r="O3" s="17" t="s">
        <v>84</v>
      </c>
      <c r="P3" s="147">
        <v>114</v>
      </c>
      <c r="Q3" s="160">
        <v>3.19</v>
      </c>
      <c r="R3" s="162">
        <v>8063</v>
      </c>
      <c r="S3" s="19"/>
      <c r="T3" s="146">
        <v>29.321999999999999</v>
      </c>
      <c r="U3" s="161">
        <v>0</v>
      </c>
      <c r="V3" s="161">
        <v>0.11632943941235099</v>
      </c>
      <c r="W3" s="161">
        <v>3.9067234242820097E-3</v>
      </c>
    </row>
    <row r="4" spans="1:23">
      <c r="A4" s="19">
        <v>337</v>
      </c>
      <c r="B4" s="19">
        <v>1405</v>
      </c>
      <c r="C4" s="187" t="s">
        <v>1315</v>
      </c>
      <c r="D4" s="19" t="s">
        <v>1316</v>
      </c>
      <c r="E4" s="188" t="s">
        <v>727</v>
      </c>
      <c r="F4" s="19" t="s">
        <v>1317</v>
      </c>
      <c r="G4" s="19" t="s">
        <v>1318</v>
      </c>
      <c r="H4" s="17" t="s">
        <v>121</v>
      </c>
      <c r="I4" s="19" t="s">
        <v>1313</v>
      </c>
      <c r="J4" s="17" t="s">
        <v>79</v>
      </c>
      <c r="K4" s="17" t="s">
        <v>80</v>
      </c>
      <c r="L4" s="17" t="s">
        <v>1180</v>
      </c>
      <c r="M4" s="19" t="s">
        <v>1314</v>
      </c>
      <c r="N4" s="19" t="s">
        <v>125</v>
      </c>
      <c r="O4" s="17" t="s">
        <v>84</v>
      </c>
      <c r="P4" s="147">
        <v>2326</v>
      </c>
      <c r="Q4" s="160">
        <v>3.19</v>
      </c>
      <c r="R4" s="162">
        <v>1163.0999999999999</v>
      </c>
      <c r="S4" s="19"/>
      <c r="T4" s="146">
        <v>86.301000000000002</v>
      </c>
      <c r="U4" s="161">
        <v>0</v>
      </c>
      <c r="V4" s="161">
        <v>0.342385126450099</v>
      </c>
      <c r="W4" s="161">
        <v>1.1498413474571799E-2</v>
      </c>
    </row>
    <row r="5" spans="1:23">
      <c r="A5" s="19">
        <v>337</v>
      </c>
      <c r="B5" s="19">
        <v>1477</v>
      </c>
      <c r="C5" s="187" t="s">
        <v>1319</v>
      </c>
      <c r="D5" s="19" t="s">
        <v>1320</v>
      </c>
      <c r="E5" s="188" t="s">
        <v>118</v>
      </c>
      <c r="F5" s="19" t="s">
        <v>1321</v>
      </c>
      <c r="G5" s="19" t="s">
        <v>1322</v>
      </c>
      <c r="H5" s="17" t="s">
        <v>121</v>
      </c>
      <c r="I5" s="19" t="s">
        <v>1323</v>
      </c>
      <c r="J5" s="17" t="s">
        <v>30</v>
      </c>
      <c r="K5" s="17" t="s">
        <v>30</v>
      </c>
      <c r="L5" s="17" t="s">
        <v>31</v>
      </c>
      <c r="M5" s="19" t="s">
        <v>1324</v>
      </c>
      <c r="N5" s="19" t="s">
        <v>125</v>
      </c>
      <c r="O5" s="17" t="s">
        <v>34</v>
      </c>
      <c r="P5" s="147">
        <v>2378</v>
      </c>
      <c r="Q5" s="160">
        <v>1</v>
      </c>
      <c r="R5" s="162">
        <v>5318</v>
      </c>
      <c r="S5" s="19"/>
      <c r="T5" s="146">
        <v>126.462</v>
      </c>
      <c r="U5" s="161">
        <v>4.0000000000000003E-5</v>
      </c>
      <c r="V5" s="161">
        <v>1.2948896942971E-2</v>
      </c>
      <c r="W5" s="161">
        <v>5.0884153470162801E-3</v>
      </c>
    </row>
    <row r="6" spans="1:23">
      <c r="A6" s="19">
        <v>337</v>
      </c>
      <c r="B6" s="19">
        <v>1477</v>
      </c>
      <c r="C6" s="187" t="s">
        <v>1319</v>
      </c>
      <c r="D6" s="19" t="s">
        <v>1320</v>
      </c>
      <c r="E6" s="188" t="s">
        <v>118</v>
      </c>
      <c r="F6" s="19" t="s">
        <v>1325</v>
      </c>
      <c r="G6" s="19" t="s">
        <v>1326</v>
      </c>
      <c r="H6" s="17" t="s">
        <v>121</v>
      </c>
      <c r="I6" s="19" t="s">
        <v>1327</v>
      </c>
      <c r="J6" s="17" t="s">
        <v>30</v>
      </c>
      <c r="K6" s="17" t="s">
        <v>80</v>
      </c>
      <c r="L6" s="17" t="s">
        <v>31</v>
      </c>
      <c r="M6" s="19" t="s">
        <v>1328</v>
      </c>
      <c r="N6" s="19" t="s">
        <v>125</v>
      </c>
      <c r="O6" s="17" t="s">
        <v>34</v>
      </c>
      <c r="P6" s="147">
        <v>1649</v>
      </c>
      <c r="Q6" s="160">
        <v>1</v>
      </c>
      <c r="R6" s="162">
        <v>8701</v>
      </c>
      <c r="S6" s="19"/>
      <c r="T6" s="146">
        <v>143.47900000000001</v>
      </c>
      <c r="U6" s="161">
        <v>6.7999999999999999E-5</v>
      </c>
      <c r="V6" s="161">
        <v>1.46913740236994E-2</v>
      </c>
      <c r="W6" s="161">
        <v>5.7731414019421799E-3</v>
      </c>
    </row>
    <row r="7" spans="1:23">
      <c r="A7" s="19">
        <v>337</v>
      </c>
      <c r="B7" s="19">
        <v>1477</v>
      </c>
      <c r="C7" s="187" t="s">
        <v>1329</v>
      </c>
      <c r="D7" s="19" t="s">
        <v>1330</v>
      </c>
      <c r="E7" s="188" t="s">
        <v>118</v>
      </c>
      <c r="F7" s="19" t="s">
        <v>1331</v>
      </c>
      <c r="G7" s="19" t="s">
        <v>1332</v>
      </c>
      <c r="H7" s="17" t="s">
        <v>121</v>
      </c>
      <c r="I7" s="19" t="s">
        <v>1327</v>
      </c>
      <c r="J7" s="17" t="s">
        <v>30</v>
      </c>
      <c r="K7" s="17" t="s">
        <v>80</v>
      </c>
      <c r="L7" s="17" t="s">
        <v>31</v>
      </c>
      <c r="M7" s="19" t="s">
        <v>1333</v>
      </c>
      <c r="N7" s="19" t="s">
        <v>125</v>
      </c>
      <c r="O7" s="17" t="s">
        <v>34</v>
      </c>
      <c r="P7" s="147">
        <v>2943</v>
      </c>
      <c r="Q7" s="160">
        <v>1</v>
      </c>
      <c r="R7" s="162">
        <v>21640</v>
      </c>
      <c r="S7" s="19"/>
      <c r="T7" s="146">
        <v>636.86500000000001</v>
      </c>
      <c r="U7" s="161">
        <v>3.0000000000000001E-5</v>
      </c>
      <c r="V7" s="161">
        <v>6.5210887325276606E-2</v>
      </c>
      <c r="W7" s="161">
        <v>2.56253549101421E-2</v>
      </c>
    </row>
    <row r="8" spans="1:23">
      <c r="A8" s="19">
        <v>337</v>
      </c>
      <c r="B8" s="19">
        <v>1477</v>
      </c>
      <c r="C8" s="187" t="s">
        <v>1334</v>
      </c>
      <c r="D8" s="19" t="s">
        <v>1335</v>
      </c>
      <c r="E8" s="188" t="s">
        <v>118</v>
      </c>
      <c r="F8" s="19" t="s">
        <v>1336</v>
      </c>
      <c r="G8" s="19" t="s">
        <v>1337</v>
      </c>
      <c r="H8" s="17" t="s">
        <v>121</v>
      </c>
      <c r="I8" s="19" t="s">
        <v>1327</v>
      </c>
      <c r="J8" s="17" t="s">
        <v>30</v>
      </c>
      <c r="K8" s="17" t="s">
        <v>138</v>
      </c>
      <c r="L8" s="17" t="s">
        <v>31</v>
      </c>
      <c r="M8" s="19" t="s">
        <v>1338</v>
      </c>
      <c r="N8" s="19" t="s">
        <v>125</v>
      </c>
      <c r="O8" s="17" t="s">
        <v>34</v>
      </c>
      <c r="P8" s="147">
        <v>37152</v>
      </c>
      <c r="Q8" s="160">
        <v>1</v>
      </c>
      <c r="R8" s="162">
        <v>958.8</v>
      </c>
      <c r="S8" s="19"/>
      <c r="T8" s="146">
        <v>356.21300000000002</v>
      </c>
      <c r="U8" s="161">
        <v>7.3999999999999996E-5</v>
      </c>
      <c r="V8" s="161">
        <v>3.6473951357512399E-2</v>
      </c>
      <c r="W8" s="161">
        <v>1.43328512591674E-2</v>
      </c>
    </row>
    <row r="9" spans="1:23">
      <c r="A9" s="19">
        <v>337</v>
      </c>
      <c r="B9" s="19">
        <v>1477</v>
      </c>
      <c r="C9" s="187" t="s">
        <v>1334</v>
      </c>
      <c r="D9" s="19" t="s">
        <v>1335</v>
      </c>
      <c r="E9" s="188" t="s">
        <v>118</v>
      </c>
      <c r="F9" s="19" t="s">
        <v>1339</v>
      </c>
      <c r="G9" s="19" t="s">
        <v>1340</v>
      </c>
      <c r="H9" s="17" t="s">
        <v>121</v>
      </c>
      <c r="I9" s="19" t="s">
        <v>1327</v>
      </c>
      <c r="J9" s="17" t="s">
        <v>30</v>
      </c>
      <c r="K9" s="17" t="s">
        <v>1341</v>
      </c>
      <c r="L9" s="17" t="s">
        <v>31</v>
      </c>
      <c r="M9" s="19" t="s">
        <v>1342</v>
      </c>
      <c r="N9" s="19" t="s">
        <v>125</v>
      </c>
      <c r="O9" s="17" t="s">
        <v>34</v>
      </c>
      <c r="P9" s="147">
        <v>47386</v>
      </c>
      <c r="Q9" s="160">
        <v>1</v>
      </c>
      <c r="R9" s="162">
        <v>774.5</v>
      </c>
      <c r="S9" s="19"/>
      <c r="T9" s="146">
        <v>367.005</v>
      </c>
      <c r="U9" s="161">
        <v>2.0100000000000001E-4</v>
      </c>
      <c r="V9" s="161">
        <v>3.75788999966266E-2</v>
      </c>
      <c r="W9" s="161">
        <v>1.47670533103302E-2</v>
      </c>
    </row>
    <row r="10" spans="1:23">
      <c r="A10" s="19">
        <v>337</v>
      </c>
      <c r="B10" s="19">
        <v>1477</v>
      </c>
      <c r="C10" s="187" t="s">
        <v>1334</v>
      </c>
      <c r="D10" s="19" t="s">
        <v>1335</v>
      </c>
      <c r="E10" s="188" t="s">
        <v>118</v>
      </c>
      <c r="F10" s="19" t="s">
        <v>1343</v>
      </c>
      <c r="G10" s="19" t="s">
        <v>1344</v>
      </c>
      <c r="H10" s="17" t="s">
        <v>121</v>
      </c>
      <c r="I10" s="19" t="s">
        <v>1323</v>
      </c>
      <c r="J10" s="17" t="s">
        <v>30</v>
      </c>
      <c r="K10" s="17" t="s">
        <v>30</v>
      </c>
      <c r="L10" s="17" t="s">
        <v>31</v>
      </c>
      <c r="M10" s="19" t="s">
        <v>1345</v>
      </c>
      <c r="N10" s="19" t="s">
        <v>125</v>
      </c>
      <c r="O10" s="17" t="s">
        <v>34</v>
      </c>
      <c r="P10" s="147">
        <v>14046</v>
      </c>
      <c r="Q10" s="160">
        <v>1</v>
      </c>
      <c r="R10" s="162">
        <v>3592</v>
      </c>
      <c r="S10" s="19"/>
      <c r="T10" s="146">
        <v>504.53199999999998</v>
      </c>
      <c r="U10" s="161">
        <v>6.7999999999999999E-5</v>
      </c>
      <c r="V10" s="161">
        <v>5.1660854245891299E-2</v>
      </c>
      <c r="W10" s="161">
        <v>2.0300716326841901E-2</v>
      </c>
    </row>
    <row r="11" spans="1:23">
      <c r="A11" s="19">
        <v>337</v>
      </c>
      <c r="B11" s="19">
        <v>1477</v>
      </c>
      <c r="C11" s="187" t="s">
        <v>1334</v>
      </c>
      <c r="D11" s="19" t="s">
        <v>1335</v>
      </c>
      <c r="E11" s="188" t="s">
        <v>118</v>
      </c>
      <c r="F11" s="19" t="s">
        <v>1346</v>
      </c>
      <c r="G11" s="19" t="s">
        <v>1347</v>
      </c>
      <c r="H11" s="17" t="s">
        <v>121</v>
      </c>
      <c r="I11" s="19" t="s">
        <v>1327</v>
      </c>
      <c r="J11" s="17" t="s">
        <v>30</v>
      </c>
      <c r="K11" s="17" t="s">
        <v>968</v>
      </c>
      <c r="L11" s="17" t="s">
        <v>31</v>
      </c>
      <c r="M11" s="19" t="s">
        <v>1348</v>
      </c>
      <c r="N11" s="19" t="s">
        <v>125</v>
      </c>
      <c r="O11" s="17" t="s">
        <v>34</v>
      </c>
      <c r="P11" s="147">
        <v>467</v>
      </c>
      <c r="Q11" s="160">
        <v>1</v>
      </c>
      <c r="R11" s="162">
        <v>21020</v>
      </c>
      <c r="S11" s="19"/>
      <c r="T11" s="146">
        <v>98.162999999999997</v>
      </c>
      <c r="U11" s="161">
        <v>4.1E-5</v>
      </c>
      <c r="V11" s="161">
        <v>1.0051298794259899E-2</v>
      </c>
      <c r="W11" s="161">
        <v>3.9497714181686303E-3</v>
      </c>
    </row>
    <row r="12" spans="1:23">
      <c r="A12" s="19">
        <v>337</v>
      </c>
      <c r="B12" s="19">
        <v>1477</v>
      </c>
      <c r="C12" s="187" t="s">
        <v>1349</v>
      </c>
      <c r="D12" s="19" t="s">
        <v>1350</v>
      </c>
      <c r="E12" s="188" t="s">
        <v>118</v>
      </c>
      <c r="F12" s="19" t="s">
        <v>1351</v>
      </c>
      <c r="G12" s="19" t="s">
        <v>1352</v>
      </c>
      <c r="H12" s="17" t="s">
        <v>121</v>
      </c>
      <c r="I12" s="19" t="s">
        <v>1323</v>
      </c>
      <c r="J12" s="17" t="s">
        <v>30</v>
      </c>
      <c r="K12" s="17" t="s">
        <v>30</v>
      </c>
      <c r="L12" s="17" t="s">
        <v>31</v>
      </c>
      <c r="M12" s="19" t="s">
        <v>1345</v>
      </c>
      <c r="N12" s="19" t="s">
        <v>125</v>
      </c>
      <c r="O12" s="17" t="s">
        <v>34</v>
      </c>
      <c r="P12" s="147">
        <v>4143</v>
      </c>
      <c r="Q12" s="160">
        <v>1</v>
      </c>
      <c r="R12" s="162">
        <v>9943</v>
      </c>
      <c r="S12" s="19"/>
      <c r="T12" s="146">
        <v>411.93799999999999</v>
      </c>
      <c r="U12" s="161">
        <v>2.5099999999999998E-4</v>
      </c>
      <c r="V12" s="161">
        <v>4.21798434838873E-2</v>
      </c>
      <c r="W12" s="161">
        <v>1.6575046033914301E-2</v>
      </c>
    </row>
    <row r="13" spans="1:23">
      <c r="A13" s="19">
        <v>337</v>
      </c>
      <c r="B13" s="19">
        <v>1477</v>
      </c>
      <c r="C13" s="187" t="s">
        <v>1349</v>
      </c>
      <c r="D13" s="19" t="s">
        <v>1350</v>
      </c>
      <c r="E13" s="188" t="s">
        <v>118</v>
      </c>
      <c r="F13" s="19" t="s">
        <v>1353</v>
      </c>
      <c r="G13" s="19" t="s">
        <v>1354</v>
      </c>
      <c r="H13" s="17" t="s">
        <v>121</v>
      </c>
      <c r="I13" s="19" t="s">
        <v>1327</v>
      </c>
      <c r="J13" s="17" t="s">
        <v>30</v>
      </c>
      <c r="K13" s="17" t="s">
        <v>80</v>
      </c>
      <c r="L13" s="17" t="s">
        <v>31</v>
      </c>
      <c r="M13" s="19" t="s">
        <v>1355</v>
      </c>
      <c r="N13" s="19" t="s">
        <v>125</v>
      </c>
      <c r="O13" s="17" t="s">
        <v>34</v>
      </c>
      <c r="P13" s="147">
        <v>908</v>
      </c>
      <c r="Q13" s="160">
        <v>1</v>
      </c>
      <c r="R13" s="162">
        <v>11800</v>
      </c>
      <c r="S13" s="19"/>
      <c r="T13" s="146">
        <v>107.14400000000001</v>
      </c>
      <c r="U13" s="161">
        <v>6.7999999999999999E-5</v>
      </c>
      <c r="V13" s="161">
        <v>1.09708542900121E-2</v>
      </c>
      <c r="W13" s="161">
        <v>4.3111211391237397E-3</v>
      </c>
    </row>
    <row r="14" spans="1:23">
      <c r="A14" s="19">
        <v>337</v>
      </c>
      <c r="B14" s="19">
        <v>1477</v>
      </c>
      <c r="C14" s="187" t="s">
        <v>1349</v>
      </c>
      <c r="D14" s="19" t="s">
        <v>1350</v>
      </c>
      <c r="E14" s="188" t="s">
        <v>118</v>
      </c>
      <c r="F14" s="19" t="s">
        <v>1356</v>
      </c>
      <c r="G14" s="19" t="s">
        <v>1357</v>
      </c>
      <c r="H14" s="17" t="s">
        <v>121</v>
      </c>
      <c r="I14" s="19" t="s">
        <v>1327</v>
      </c>
      <c r="J14" s="17" t="s">
        <v>30</v>
      </c>
      <c r="K14" s="17" t="s">
        <v>80</v>
      </c>
      <c r="L14" s="17" t="s">
        <v>31</v>
      </c>
      <c r="M14" s="19" t="s">
        <v>1328</v>
      </c>
      <c r="N14" s="19" t="s">
        <v>125</v>
      </c>
      <c r="O14" s="17" t="s">
        <v>34</v>
      </c>
      <c r="P14" s="147">
        <v>667</v>
      </c>
      <c r="Q14" s="160">
        <v>1</v>
      </c>
      <c r="R14" s="162">
        <v>10690</v>
      </c>
      <c r="S14" s="19"/>
      <c r="T14" s="146">
        <v>71.302000000000007</v>
      </c>
      <c r="U14" s="161">
        <v>4.8999999999999998E-5</v>
      </c>
      <c r="V14" s="161">
        <v>7.3008954663138599E-3</v>
      </c>
      <c r="W14" s="161">
        <v>2.8689693571095202E-3</v>
      </c>
    </row>
    <row r="15" spans="1:23">
      <c r="A15" s="19">
        <v>337</v>
      </c>
      <c r="B15" s="19">
        <v>1477</v>
      </c>
      <c r="C15" s="187" t="s">
        <v>1303</v>
      </c>
      <c r="D15" s="19" t="s">
        <v>1304</v>
      </c>
      <c r="E15" s="188" t="s">
        <v>118</v>
      </c>
      <c r="F15" s="19" t="s">
        <v>1358</v>
      </c>
      <c r="G15" s="19" t="s">
        <v>1359</v>
      </c>
      <c r="H15" s="17" t="s">
        <v>121</v>
      </c>
      <c r="I15" s="19" t="s">
        <v>1327</v>
      </c>
      <c r="J15" s="17" t="s">
        <v>30</v>
      </c>
      <c r="K15" s="17" t="s">
        <v>1341</v>
      </c>
      <c r="L15" s="17" t="s">
        <v>31</v>
      </c>
      <c r="M15" s="19" t="s">
        <v>1360</v>
      </c>
      <c r="N15" s="19" t="s">
        <v>125</v>
      </c>
      <c r="O15" s="17" t="s">
        <v>34</v>
      </c>
      <c r="P15" s="147">
        <v>4609</v>
      </c>
      <c r="Q15" s="160">
        <v>1</v>
      </c>
      <c r="R15" s="162">
        <v>8220</v>
      </c>
      <c r="S15" s="19"/>
      <c r="T15" s="146">
        <v>378.86</v>
      </c>
      <c r="U15" s="161">
        <v>3.3100000000000002E-4</v>
      </c>
      <c r="V15" s="161">
        <v>3.8792799056812703E-2</v>
      </c>
      <c r="W15" s="161">
        <v>1.5244068660346799E-2</v>
      </c>
    </row>
    <row r="16" spans="1:23">
      <c r="A16" s="19">
        <v>337</v>
      </c>
      <c r="B16" s="19">
        <v>1477</v>
      </c>
      <c r="C16" s="187" t="s">
        <v>1303</v>
      </c>
      <c r="D16" s="19" t="s">
        <v>1304</v>
      </c>
      <c r="E16" s="188" t="s">
        <v>118</v>
      </c>
      <c r="F16" s="19" t="s">
        <v>1361</v>
      </c>
      <c r="G16" s="19" t="s">
        <v>1362</v>
      </c>
      <c r="H16" s="17" t="s">
        <v>121</v>
      </c>
      <c r="I16" s="19" t="s">
        <v>1323</v>
      </c>
      <c r="J16" s="17" t="s">
        <v>30</v>
      </c>
      <c r="K16" s="17" t="s">
        <v>30</v>
      </c>
      <c r="L16" s="17" t="s">
        <v>31</v>
      </c>
      <c r="M16" s="19" t="s">
        <v>1345</v>
      </c>
      <c r="N16" s="19" t="s">
        <v>125</v>
      </c>
      <c r="O16" s="17" t="s">
        <v>34</v>
      </c>
      <c r="P16" s="147">
        <v>243</v>
      </c>
      <c r="Q16" s="160">
        <v>1</v>
      </c>
      <c r="R16" s="162">
        <v>35680</v>
      </c>
      <c r="S16" s="19"/>
      <c r="T16" s="146">
        <v>86.701999999999998</v>
      </c>
      <c r="U16" s="161">
        <v>6.9999999999999999E-6</v>
      </c>
      <c r="V16" s="161">
        <v>8.8777663424395997E-3</v>
      </c>
      <c r="W16" s="161">
        <v>3.4886185829608998E-3</v>
      </c>
    </row>
    <row r="17" spans="1:23">
      <c r="A17" s="19">
        <v>337</v>
      </c>
      <c r="B17" s="19">
        <v>1477</v>
      </c>
      <c r="C17" s="187" t="s">
        <v>1363</v>
      </c>
      <c r="D17" s="19" t="s">
        <v>1364</v>
      </c>
      <c r="E17" s="188" t="s">
        <v>727</v>
      </c>
      <c r="F17" s="19" t="s">
        <v>1365</v>
      </c>
      <c r="G17" s="19" t="s">
        <v>1366</v>
      </c>
      <c r="H17" s="17" t="s">
        <v>121</v>
      </c>
      <c r="I17" s="19" t="s">
        <v>1327</v>
      </c>
      <c r="J17" s="17" t="s">
        <v>79</v>
      </c>
      <c r="K17" s="17" t="s">
        <v>1367</v>
      </c>
      <c r="L17" s="17" t="s">
        <v>1173</v>
      </c>
      <c r="M17" s="19" t="s">
        <v>1368</v>
      </c>
      <c r="N17" s="19" t="s">
        <v>125</v>
      </c>
      <c r="O17" s="17" t="s">
        <v>84</v>
      </c>
      <c r="P17" s="147">
        <v>2098</v>
      </c>
      <c r="Q17" s="160">
        <v>3.19</v>
      </c>
      <c r="R17" s="162">
        <v>7006</v>
      </c>
      <c r="S17" s="19"/>
      <c r="T17" s="146">
        <v>468.88499999999999</v>
      </c>
      <c r="U17" s="161">
        <v>0</v>
      </c>
      <c r="V17" s="161">
        <v>4.8010794297578797E-2</v>
      </c>
      <c r="W17" s="161">
        <v>1.88663840327228E-2</v>
      </c>
    </row>
    <row r="18" spans="1:23">
      <c r="A18" s="19">
        <v>337</v>
      </c>
      <c r="B18" s="19">
        <v>1477</v>
      </c>
      <c r="C18" s="187" t="s">
        <v>1309</v>
      </c>
      <c r="D18" s="19" t="s">
        <v>1310</v>
      </c>
      <c r="E18" s="188" t="s">
        <v>727</v>
      </c>
      <c r="F18" s="19" t="s">
        <v>1369</v>
      </c>
      <c r="G18" s="19" t="s">
        <v>1370</v>
      </c>
      <c r="H18" s="17" t="s">
        <v>121</v>
      </c>
      <c r="I18" s="19" t="s">
        <v>1327</v>
      </c>
      <c r="J18" s="17" t="s">
        <v>79</v>
      </c>
      <c r="K18" s="17" t="s">
        <v>80</v>
      </c>
      <c r="L18" s="17" t="s">
        <v>1180</v>
      </c>
      <c r="M18" s="19" t="s">
        <v>1371</v>
      </c>
      <c r="N18" s="19" t="s">
        <v>125</v>
      </c>
      <c r="O18" s="17" t="s">
        <v>84</v>
      </c>
      <c r="P18" s="147">
        <v>188</v>
      </c>
      <c r="Q18" s="160">
        <v>3.19</v>
      </c>
      <c r="R18" s="162">
        <v>24616</v>
      </c>
      <c r="S18" s="19"/>
      <c r="T18" s="146">
        <v>147.62700000000001</v>
      </c>
      <c r="U18" s="161">
        <v>9.9999999999999995E-7</v>
      </c>
      <c r="V18" s="161">
        <v>1.5116059987305501E-2</v>
      </c>
      <c r="W18" s="161">
        <v>5.9400265493329604E-3</v>
      </c>
    </row>
    <row r="19" spans="1:23">
      <c r="A19" s="19">
        <v>337</v>
      </c>
      <c r="B19" s="19">
        <v>1477</v>
      </c>
      <c r="C19" s="187" t="s">
        <v>1315</v>
      </c>
      <c r="D19" s="19" t="s">
        <v>1316</v>
      </c>
      <c r="E19" s="188" t="s">
        <v>727</v>
      </c>
      <c r="F19" s="19" t="s">
        <v>1372</v>
      </c>
      <c r="G19" s="19" t="s">
        <v>1373</v>
      </c>
      <c r="H19" s="17" t="s">
        <v>121</v>
      </c>
      <c r="I19" s="19" t="s">
        <v>1327</v>
      </c>
      <c r="J19" s="17" t="s">
        <v>79</v>
      </c>
      <c r="K19" s="17" t="s">
        <v>80</v>
      </c>
      <c r="L19" s="17" t="s">
        <v>1180</v>
      </c>
      <c r="M19" s="19" t="s">
        <v>1374</v>
      </c>
      <c r="N19" s="19" t="s">
        <v>125</v>
      </c>
      <c r="O19" s="17" t="s">
        <v>84</v>
      </c>
      <c r="P19" s="147">
        <v>614</v>
      </c>
      <c r="Q19" s="160">
        <v>3.19</v>
      </c>
      <c r="R19" s="162">
        <v>5477</v>
      </c>
      <c r="S19" s="19"/>
      <c r="T19" s="146">
        <v>107.276</v>
      </c>
      <c r="U19" s="161">
        <v>9.9999999999999995E-7</v>
      </c>
      <c r="V19" s="161">
        <v>1.09843505992448E-2</v>
      </c>
      <c r="W19" s="161">
        <v>4.3164246663145297E-3</v>
      </c>
    </row>
    <row r="20" spans="1:23">
      <c r="A20" s="3">
        <v>337</v>
      </c>
      <c r="B20" s="3">
        <v>1477</v>
      </c>
      <c r="C20" s="185" t="s">
        <v>1375</v>
      </c>
      <c r="D20" s="3" t="s">
        <v>1376</v>
      </c>
      <c r="E20" s="188" t="s">
        <v>727</v>
      </c>
      <c r="F20" s="3" t="s">
        <v>1377</v>
      </c>
      <c r="G20" s="3" t="s">
        <v>1378</v>
      </c>
      <c r="H20" s="17" t="s">
        <v>121</v>
      </c>
      <c r="I20" s="19" t="s">
        <v>1327</v>
      </c>
      <c r="J20" s="17" t="s">
        <v>79</v>
      </c>
      <c r="K20" s="17" t="s">
        <v>80</v>
      </c>
      <c r="L20" s="17" t="s">
        <v>1251</v>
      </c>
      <c r="M20" s="19" t="s">
        <v>1333</v>
      </c>
      <c r="N20" s="19" t="s">
        <v>125</v>
      </c>
      <c r="O20" s="3" t="s">
        <v>84</v>
      </c>
      <c r="P20" s="147">
        <v>283</v>
      </c>
      <c r="Q20" s="153">
        <v>3.19</v>
      </c>
      <c r="R20" s="163">
        <v>6977</v>
      </c>
      <c r="T20" s="143">
        <v>62.985999999999997</v>
      </c>
      <c r="U20" s="155">
        <v>1.9999999999999999E-6</v>
      </c>
      <c r="V20" s="155">
        <v>6.4493869236569197E-3</v>
      </c>
      <c r="W20" s="155">
        <v>2.53435945515004E-3</v>
      </c>
    </row>
    <row r="21" spans="1:23" s="35" customFormat="1">
      <c r="A21" s="35">
        <v>337</v>
      </c>
      <c r="B21" s="35">
        <v>1477</v>
      </c>
      <c r="C21" s="185" t="s">
        <v>1309</v>
      </c>
      <c r="D21" s="35" t="s">
        <v>1310</v>
      </c>
      <c r="E21" s="189" t="s">
        <v>727</v>
      </c>
      <c r="F21" s="35" t="s">
        <v>1379</v>
      </c>
      <c r="G21" s="35" t="s">
        <v>1380</v>
      </c>
      <c r="H21" s="38" t="s">
        <v>121</v>
      </c>
      <c r="I21" s="35" t="s">
        <v>1327</v>
      </c>
      <c r="J21" s="35" t="s">
        <v>79</v>
      </c>
      <c r="K21" s="35" t="s">
        <v>80</v>
      </c>
      <c r="L21" s="38" t="s">
        <v>1381</v>
      </c>
      <c r="M21" s="34" t="s">
        <v>1382</v>
      </c>
      <c r="N21" s="35" t="s">
        <v>125</v>
      </c>
      <c r="O21" s="35" t="s">
        <v>84</v>
      </c>
      <c r="P21" s="145">
        <v>217</v>
      </c>
      <c r="Q21" s="153">
        <v>3.19</v>
      </c>
      <c r="R21" s="163">
        <v>21469</v>
      </c>
      <c r="T21" s="143">
        <v>148.61500000000001</v>
      </c>
      <c r="U21" s="155">
        <v>0</v>
      </c>
      <c r="V21" s="155">
        <v>1.5217202644370599E-2</v>
      </c>
      <c r="W21" s="155">
        <v>5.97977169911015E-3</v>
      </c>
    </row>
    <row r="22" spans="1:23">
      <c r="A22" s="3">
        <v>337</v>
      </c>
      <c r="B22" s="3">
        <v>1477</v>
      </c>
      <c r="C22" s="185" t="s">
        <v>1309</v>
      </c>
      <c r="D22" s="3" t="s">
        <v>1310</v>
      </c>
      <c r="E22" s="189" t="s">
        <v>727</v>
      </c>
      <c r="F22" s="3" t="s">
        <v>1383</v>
      </c>
      <c r="G22" s="3" t="s">
        <v>1384</v>
      </c>
      <c r="H22" s="3" t="s">
        <v>121</v>
      </c>
      <c r="I22" s="3" t="s">
        <v>1327</v>
      </c>
      <c r="J22" s="3" t="s">
        <v>79</v>
      </c>
      <c r="K22" s="3" t="s">
        <v>1385</v>
      </c>
      <c r="L22" s="5" t="s">
        <v>1180</v>
      </c>
      <c r="M22" s="3" t="s">
        <v>1368</v>
      </c>
      <c r="N22" s="3" t="s">
        <v>125</v>
      </c>
      <c r="O22" s="3" t="s">
        <v>84</v>
      </c>
      <c r="P22" s="145">
        <v>819</v>
      </c>
      <c r="Q22" s="153">
        <v>3.19</v>
      </c>
      <c r="R22" s="163">
        <v>5471</v>
      </c>
      <c r="T22" s="143">
        <v>142.93600000000001</v>
      </c>
      <c r="U22" s="155">
        <v>9.9999999999999995E-7</v>
      </c>
      <c r="V22" s="155">
        <v>1.46357132085124E-2</v>
      </c>
      <c r="W22" s="155">
        <v>5.7512688557729902E-3</v>
      </c>
    </row>
    <row r="23" spans="1:23">
      <c r="A23" s="3">
        <v>337</v>
      </c>
      <c r="B23" s="3">
        <v>1477</v>
      </c>
      <c r="C23" s="185" t="s">
        <v>1309</v>
      </c>
      <c r="D23" s="3" t="s">
        <v>1310</v>
      </c>
      <c r="E23" s="189" t="s">
        <v>727</v>
      </c>
      <c r="F23" s="3" t="s">
        <v>1386</v>
      </c>
      <c r="G23" s="3" t="s">
        <v>1387</v>
      </c>
      <c r="H23" s="3" t="s">
        <v>121</v>
      </c>
      <c r="I23" s="3" t="s">
        <v>1327</v>
      </c>
      <c r="J23" s="3" t="s">
        <v>79</v>
      </c>
      <c r="K23" s="3" t="s">
        <v>80</v>
      </c>
      <c r="L23" s="3" t="s">
        <v>1180</v>
      </c>
      <c r="M23" s="3" t="s">
        <v>1333</v>
      </c>
      <c r="N23" s="3" t="s">
        <v>125</v>
      </c>
      <c r="O23" s="3" t="s">
        <v>84</v>
      </c>
      <c r="P23" s="145">
        <v>408</v>
      </c>
      <c r="Q23" s="153">
        <v>3.19</v>
      </c>
      <c r="R23" s="163">
        <v>68494</v>
      </c>
      <c r="T23" s="143">
        <v>891.46299999999997</v>
      </c>
      <c r="U23" s="155">
        <v>9.9999999999999995E-7</v>
      </c>
      <c r="V23" s="155">
        <v>9.1280070480531203E-2</v>
      </c>
      <c r="W23" s="155">
        <v>3.5869534953862497E-2</v>
      </c>
    </row>
    <row r="24" spans="1:23">
      <c r="A24" s="3">
        <v>337</v>
      </c>
      <c r="B24" s="3">
        <v>1477</v>
      </c>
      <c r="C24" s="185" t="s">
        <v>1388</v>
      </c>
      <c r="D24" s="3" t="s">
        <v>1389</v>
      </c>
      <c r="E24" s="189" t="s">
        <v>727</v>
      </c>
      <c r="F24" s="3" t="s">
        <v>1390</v>
      </c>
      <c r="G24" s="3" t="s">
        <v>1391</v>
      </c>
      <c r="H24" s="3" t="s">
        <v>121</v>
      </c>
      <c r="I24" s="3" t="s">
        <v>1327</v>
      </c>
      <c r="J24" s="3" t="s">
        <v>79</v>
      </c>
      <c r="K24" s="3" t="s">
        <v>1179</v>
      </c>
      <c r="L24" s="3" t="s">
        <v>1180</v>
      </c>
      <c r="M24" s="3" t="s">
        <v>1392</v>
      </c>
      <c r="N24" s="3" t="s">
        <v>125</v>
      </c>
      <c r="O24" s="3" t="s">
        <v>84</v>
      </c>
      <c r="P24" s="145">
        <v>260</v>
      </c>
      <c r="Q24" s="153">
        <v>3.19</v>
      </c>
      <c r="R24" s="163">
        <v>3405</v>
      </c>
      <c r="T24" s="143">
        <v>28.241</v>
      </c>
      <c r="U24" s="155">
        <v>9.9999999999999995E-7</v>
      </c>
      <c r="V24" s="155">
        <v>2.8917033521618902E-3</v>
      </c>
      <c r="W24" s="155">
        <v>1.1363275019457299E-3</v>
      </c>
    </row>
    <row r="25" spans="1:23">
      <c r="A25" s="3">
        <v>337</v>
      </c>
      <c r="B25" s="3">
        <v>1477</v>
      </c>
      <c r="C25" s="185" t="s">
        <v>1393</v>
      </c>
      <c r="D25" s="3" t="s">
        <v>1364</v>
      </c>
      <c r="E25" s="189" t="s">
        <v>727</v>
      </c>
      <c r="F25" s="3" t="s">
        <v>1394</v>
      </c>
      <c r="G25" s="3" t="s">
        <v>1395</v>
      </c>
      <c r="H25" s="3" t="s">
        <v>121</v>
      </c>
      <c r="I25" s="3" t="s">
        <v>1327</v>
      </c>
      <c r="J25" s="3" t="s">
        <v>79</v>
      </c>
      <c r="K25" s="3" t="s">
        <v>80</v>
      </c>
      <c r="L25" s="3" t="s">
        <v>1251</v>
      </c>
      <c r="M25" s="3" t="s">
        <v>1333</v>
      </c>
      <c r="N25" s="3" t="s">
        <v>125</v>
      </c>
      <c r="O25" s="3" t="s">
        <v>755</v>
      </c>
      <c r="P25" s="145">
        <v>241</v>
      </c>
      <c r="Q25" s="153">
        <v>3.7454999999999998</v>
      </c>
      <c r="R25" s="163">
        <v>42357</v>
      </c>
      <c r="T25" s="143">
        <v>382.34199999999998</v>
      </c>
      <c r="U25" s="155">
        <v>2.6999999999999999E-5</v>
      </c>
      <c r="V25" s="155">
        <v>3.9149356514446398E-2</v>
      </c>
      <c r="W25" s="155">
        <v>1.5384181941617499E-2</v>
      </c>
    </row>
    <row r="26" spans="1:23">
      <c r="A26" s="3">
        <v>337</v>
      </c>
      <c r="B26" s="3">
        <v>1477</v>
      </c>
      <c r="C26" s="185" t="s">
        <v>1393</v>
      </c>
      <c r="D26" s="3" t="s">
        <v>1364</v>
      </c>
      <c r="E26" s="189" t="s">
        <v>727</v>
      </c>
      <c r="F26" s="3" t="s">
        <v>1396</v>
      </c>
      <c r="G26" s="9" t="s">
        <v>1395</v>
      </c>
      <c r="H26" s="3" t="s">
        <v>121</v>
      </c>
      <c r="I26" s="3" t="s">
        <v>1327</v>
      </c>
      <c r="J26" s="3" t="s">
        <v>79</v>
      </c>
      <c r="K26" s="3" t="s">
        <v>80</v>
      </c>
      <c r="L26" s="3" t="s">
        <v>1251</v>
      </c>
      <c r="M26" s="3" t="s">
        <v>1333</v>
      </c>
      <c r="N26" s="3" t="s">
        <v>125</v>
      </c>
      <c r="O26" s="3" t="s">
        <v>84</v>
      </c>
      <c r="P26" s="145">
        <v>85</v>
      </c>
      <c r="Q26" s="153">
        <v>3.19</v>
      </c>
      <c r="R26" s="163">
        <v>49771.5</v>
      </c>
      <c r="T26" s="143">
        <v>134.95500000000001</v>
      </c>
      <c r="U26" s="155">
        <v>1.0000000000000001E-5</v>
      </c>
      <c r="V26" s="155">
        <v>1.3818564484729101E-2</v>
      </c>
      <c r="W26" s="155">
        <v>5.43016103282821E-3</v>
      </c>
    </row>
    <row r="27" spans="1:23">
      <c r="A27" s="3">
        <v>337</v>
      </c>
      <c r="B27" s="3">
        <v>1477</v>
      </c>
      <c r="C27" s="185" t="s">
        <v>1309</v>
      </c>
      <c r="D27" s="3" t="s">
        <v>1310</v>
      </c>
      <c r="E27" s="189" t="s">
        <v>727</v>
      </c>
      <c r="F27" s="3" t="s">
        <v>1397</v>
      </c>
      <c r="G27" s="3" t="s">
        <v>1398</v>
      </c>
      <c r="H27" s="3" t="s">
        <v>121</v>
      </c>
      <c r="I27" s="3" t="s">
        <v>1327</v>
      </c>
      <c r="J27" s="3" t="s">
        <v>79</v>
      </c>
      <c r="K27" s="3" t="s">
        <v>1179</v>
      </c>
      <c r="L27" s="3" t="s">
        <v>1173</v>
      </c>
      <c r="M27" s="3" t="s">
        <v>1392</v>
      </c>
      <c r="N27" s="3" t="s">
        <v>125</v>
      </c>
      <c r="O27" s="3" t="s">
        <v>84</v>
      </c>
      <c r="P27" s="145">
        <v>420</v>
      </c>
      <c r="Q27" s="153">
        <v>3.19</v>
      </c>
      <c r="R27" s="163">
        <v>6007</v>
      </c>
      <c r="T27" s="143">
        <v>80.481999999999999</v>
      </c>
      <c r="U27" s="155">
        <v>3.0000000000000001E-6</v>
      </c>
      <c r="V27" s="155">
        <v>8.2408156052223101E-3</v>
      </c>
      <c r="W27" s="155">
        <v>3.2383215946672999E-3</v>
      </c>
    </row>
    <row r="28" spans="1:23">
      <c r="A28" s="3">
        <v>337</v>
      </c>
      <c r="B28" s="3">
        <v>1477</v>
      </c>
      <c r="C28" s="185" t="s">
        <v>1399</v>
      </c>
      <c r="D28" s="3" t="s">
        <v>1400</v>
      </c>
      <c r="E28" s="189" t="s">
        <v>727</v>
      </c>
      <c r="F28" s="3" t="s">
        <v>1401</v>
      </c>
      <c r="G28" s="3" t="s">
        <v>1402</v>
      </c>
      <c r="H28" s="3" t="s">
        <v>121</v>
      </c>
      <c r="I28" s="3" t="s">
        <v>1327</v>
      </c>
      <c r="J28" s="3" t="s">
        <v>79</v>
      </c>
      <c r="K28" s="3" t="s">
        <v>80</v>
      </c>
      <c r="L28" s="3" t="s">
        <v>1173</v>
      </c>
      <c r="M28" s="3" t="s">
        <v>1403</v>
      </c>
      <c r="N28" s="3" t="s">
        <v>125</v>
      </c>
      <c r="O28" s="3" t="s">
        <v>84</v>
      </c>
      <c r="P28" s="145">
        <v>306</v>
      </c>
      <c r="Q28" s="153">
        <v>3.19</v>
      </c>
      <c r="R28" s="163">
        <v>61431</v>
      </c>
      <c r="T28" s="143">
        <v>599.65300000000002</v>
      </c>
      <c r="U28" s="155">
        <v>9.9999999999999995E-7</v>
      </c>
      <c r="V28" s="155">
        <v>6.1400553439237497E-2</v>
      </c>
      <c r="W28" s="155">
        <v>2.4128041161460102E-2</v>
      </c>
    </row>
    <row r="29" spans="1:23">
      <c r="A29" s="3">
        <v>337</v>
      </c>
      <c r="B29" s="3">
        <v>1477</v>
      </c>
      <c r="C29" s="185" t="s">
        <v>1399</v>
      </c>
      <c r="D29" s="3" t="s">
        <v>1400</v>
      </c>
      <c r="E29" s="189" t="s">
        <v>727</v>
      </c>
      <c r="F29" s="3" t="s">
        <v>1404</v>
      </c>
      <c r="G29" s="3" t="s">
        <v>1405</v>
      </c>
      <c r="H29" s="3" t="s">
        <v>121</v>
      </c>
      <c r="I29" s="3" t="s">
        <v>1327</v>
      </c>
      <c r="J29" s="3" t="s">
        <v>79</v>
      </c>
      <c r="K29" s="3" t="s">
        <v>80</v>
      </c>
      <c r="L29" s="3" t="s">
        <v>1251</v>
      </c>
      <c r="M29" s="3" t="s">
        <v>1333</v>
      </c>
      <c r="N29" s="3" t="s">
        <v>125</v>
      </c>
      <c r="O29" s="3" t="s">
        <v>84</v>
      </c>
      <c r="P29" s="145">
        <v>2700</v>
      </c>
      <c r="Q29" s="153">
        <v>3.19</v>
      </c>
      <c r="R29" s="163">
        <v>1375</v>
      </c>
      <c r="T29" s="143">
        <v>118.429</v>
      </c>
      <c r="U29" s="155">
        <v>9.9999999999999995E-7</v>
      </c>
      <c r="V29" s="155">
        <v>1.21263398790252E-2</v>
      </c>
      <c r="W29" s="155">
        <v>4.7651822557026099E-3</v>
      </c>
    </row>
    <row r="30" spans="1:23">
      <c r="A30" s="3">
        <v>337</v>
      </c>
      <c r="B30" s="3">
        <v>1477</v>
      </c>
      <c r="C30" s="185" t="s">
        <v>1315</v>
      </c>
      <c r="D30" s="3" t="s">
        <v>1316</v>
      </c>
      <c r="E30" s="189" t="s">
        <v>727</v>
      </c>
      <c r="F30" s="3" t="s">
        <v>1406</v>
      </c>
      <c r="G30" s="3" t="s">
        <v>1407</v>
      </c>
      <c r="H30" s="3" t="s">
        <v>121</v>
      </c>
      <c r="I30" s="3" t="s">
        <v>1327</v>
      </c>
      <c r="J30" s="3" t="s">
        <v>79</v>
      </c>
      <c r="K30" s="3" t="s">
        <v>80</v>
      </c>
      <c r="L30" s="3" t="s">
        <v>1180</v>
      </c>
      <c r="M30" s="3" t="s">
        <v>1333</v>
      </c>
      <c r="N30" s="3" t="s">
        <v>125</v>
      </c>
      <c r="O30" s="3" t="s">
        <v>84</v>
      </c>
      <c r="P30" s="145">
        <v>623</v>
      </c>
      <c r="Q30" s="153">
        <v>3.19</v>
      </c>
      <c r="R30" s="163">
        <v>68192</v>
      </c>
      <c r="S30" s="143">
        <v>0.92900000000000005</v>
      </c>
      <c r="T30" s="143">
        <v>1358.19</v>
      </c>
      <c r="U30" s="155">
        <v>9.9999999999999995E-7</v>
      </c>
      <c r="V30" s="155">
        <v>0.139069906096011</v>
      </c>
      <c r="W30" s="155">
        <v>5.4649090776120603E-2</v>
      </c>
    </row>
    <row r="31" spans="1:23">
      <c r="A31" s="3">
        <v>337</v>
      </c>
      <c r="B31" s="3">
        <v>1477</v>
      </c>
      <c r="C31" s="185" t="s">
        <v>1315</v>
      </c>
      <c r="D31" s="3" t="s">
        <v>1316</v>
      </c>
      <c r="E31" s="189" t="s">
        <v>727</v>
      </c>
      <c r="F31" s="3" t="s">
        <v>1408</v>
      </c>
      <c r="G31" s="3" t="s">
        <v>1409</v>
      </c>
      <c r="H31" s="3" t="s">
        <v>121</v>
      </c>
      <c r="I31" s="3" t="s">
        <v>1327</v>
      </c>
      <c r="J31" s="3" t="s">
        <v>79</v>
      </c>
      <c r="K31" s="37" t="s">
        <v>80</v>
      </c>
      <c r="L31" s="140" t="s">
        <v>1180</v>
      </c>
      <c r="M31" s="190" t="s">
        <v>1382</v>
      </c>
      <c r="N31" s="3" t="s">
        <v>125</v>
      </c>
      <c r="O31" s="3" t="s">
        <v>84</v>
      </c>
      <c r="P31" s="145">
        <v>315</v>
      </c>
      <c r="Q31" s="153">
        <v>3.19</v>
      </c>
      <c r="R31" s="163">
        <v>12193</v>
      </c>
      <c r="T31" s="143">
        <v>122.521</v>
      </c>
      <c r="U31" s="155">
        <v>3.9999999999999998E-6</v>
      </c>
      <c r="V31" s="155">
        <v>1.25453967880567E-2</v>
      </c>
      <c r="W31" s="155">
        <v>4.9298554025027103E-3</v>
      </c>
    </row>
    <row r="32" spans="1:23">
      <c r="A32" s="3">
        <v>337</v>
      </c>
      <c r="B32" s="3">
        <v>1477</v>
      </c>
      <c r="C32" s="185" t="s">
        <v>1411</v>
      </c>
      <c r="D32" s="3" t="s">
        <v>1412</v>
      </c>
      <c r="E32" s="189" t="s">
        <v>727</v>
      </c>
      <c r="F32" s="3" t="s">
        <v>1413</v>
      </c>
      <c r="G32" s="3" t="s">
        <v>1414</v>
      </c>
      <c r="H32" s="3" t="s">
        <v>121</v>
      </c>
      <c r="I32" s="3" t="s">
        <v>1327</v>
      </c>
      <c r="J32" s="3" t="s">
        <v>79</v>
      </c>
      <c r="K32" s="37" t="s">
        <v>80</v>
      </c>
      <c r="L32" s="3" t="s">
        <v>1173</v>
      </c>
      <c r="M32" s="3" t="s">
        <v>1415</v>
      </c>
      <c r="N32" s="3" t="s">
        <v>125</v>
      </c>
      <c r="O32" s="3" t="s">
        <v>84</v>
      </c>
      <c r="P32" s="145">
        <v>91</v>
      </c>
      <c r="Q32" s="153">
        <v>3.19</v>
      </c>
      <c r="R32" s="163">
        <v>36013</v>
      </c>
      <c r="T32" s="143">
        <v>104.542</v>
      </c>
      <c r="U32" s="155">
        <v>3.9999999999999998E-6</v>
      </c>
      <c r="V32" s="155">
        <v>1.07044403781181E-2</v>
      </c>
      <c r="W32" s="155">
        <v>4.20643078256977E-3</v>
      </c>
    </row>
    <row r="33" spans="1:23">
      <c r="A33" s="3">
        <v>337</v>
      </c>
      <c r="B33" s="3">
        <v>1477</v>
      </c>
      <c r="C33" s="185" t="s">
        <v>1416</v>
      </c>
      <c r="D33" s="3" t="s">
        <v>1417</v>
      </c>
      <c r="E33" s="189" t="s">
        <v>727</v>
      </c>
      <c r="F33" s="3" t="s">
        <v>1418</v>
      </c>
      <c r="G33" s="3" t="s">
        <v>1419</v>
      </c>
      <c r="H33" s="3" t="s">
        <v>121</v>
      </c>
      <c r="I33" s="3" t="s">
        <v>1327</v>
      </c>
      <c r="J33" s="3" t="s">
        <v>79</v>
      </c>
      <c r="K33" s="37" t="s">
        <v>80</v>
      </c>
      <c r="L33" s="3" t="s">
        <v>1180</v>
      </c>
      <c r="M33" s="3" t="s">
        <v>1333</v>
      </c>
      <c r="N33" s="3" t="s">
        <v>125</v>
      </c>
      <c r="O33" s="3" t="s">
        <v>84</v>
      </c>
      <c r="P33" s="145">
        <v>789</v>
      </c>
      <c r="Q33" s="153">
        <v>3.19</v>
      </c>
      <c r="R33" s="163">
        <v>62713</v>
      </c>
      <c r="T33" s="143">
        <v>1578.43</v>
      </c>
      <c r="U33" s="155">
        <v>9.9999999999999995E-7</v>
      </c>
      <c r="V33" s="155">
        <v>0.16162102399608899</v>
      </c>
      <c r="W33" s="155">
        <v>6.3510807331631405E-2</v>
      </c>
    </row>
    <row r="34" spans="1:23">
      <c r="A34" s="3">
        <v>337</v>
      </c>
      <c r="B34" s="3">
        <v>9962</v>
      </c>
      <c r="C34" s="185" t="s">
        <v>1319</v>
      </c>
      <c r="D34" s="3" t="s">
        <v>1320</v>
      </c>
      <c r="E34" s="189" t="s">
        <v>118</v>
      </c>
      <c r="F34" s="3" t="s">
        <v>1420</v>
      </c>
      <c r="G34" s="3" t="s">
        <v>1421</v>
      </c>
      <c r="H34" s="3" t="s">
        <v>121</v>
      </c>
      <c r="I34" s="3" t="s">
        <v>1327</v>
      </c>
      <c r="J34" s="3" t="s">
        <v>30</v>
      </c>
      <c r="K34" s="37" t="s">
        <v>80</v>
      </c>
      <c r="L34" s="3" t="s">
        <v>31</v>
      </c>
      <c r="M34" s="3" t="s">
        <v>1333</v>
      </c>
      <c r="N34" s="3" t="s">
        <v>125</v>
      </c>
      <c r="O34" s="3" t="s">
        <v>34</v>
      </c>
      <c r="P34" s="145">
        <v>872</v>
      </c>
      <c r="Q34" s="153">
        <v>1</v>
      </c>
      <c r="R34" s="163">
        <v>9445</v>
      </c>
      <c r="T34" s="143">
        <v>82.36</v>
      </c>
      <c r="U34" s="155">
        <v>1.0000000000000001E-5</v>
      </c>
      <c r="V34" s="155">
        <v>6.60188414479172E-3</v>
      </c>
      <c r="W34" s="155">
        <v>1.6415509144563701E-3</v>
      </c>
    </row>
    <row r="35" spans="1:23">
      <c r="A35" s="3">
        <v>337</v>
      </c>
      <c r="B35" s="3">
        <v>9962</v>
      </c>
      <c r="C35" s="185" t="s">
        <v>1319</v>
      </c>
      <c r="D35" s="3" t="s">
        <v>1320</v>
      </c>
      <c r="E35" s="189" t="s">
        <v>118</v>
      </c>
      <c r="F35" s="3" t="s">
        <v>1321</v>
      </c>
      <c r="G35" s="3" t="s">
        <v>1322</v>
      </c>
      <c r="H35" s="3" t="s">
        <v>121</v>
      </c>
      <c r="I35" s="3" t="s">
        <v>1323</v>
      </c>
      <c r="J35" s="3" t="s">
        <v>30</v>
      </c>
      <c r="K35" s="37" t="s">
        <v>30</v>
      </c>
      <c r="L35" s="3" t="s">
        <v>31</v>
      </c>
      <c r="M35" s="3" t="s">
        <v>1324</v>
      </c>
      <c r="N35" s="3" t="s">
        <v>125</v>
      </c>
      <c r="O35" s="3" t="s">
        <v>34</v>
      </c>
      <c r="P35" s="145">
        <v>1424</v>
      </c>
      <c r="Q35" s="153">
        <v>1</v>
      </c>
      <c r="R35" s="163">
        <v>5318</v>
      </c>
      <c r="T35" s="143">
        <v>75.727999999999994</v>
      </c>
      <c r="U35" s="155">
        <v>2.4000000000000001E-5</v>
      </c>
      <c r="V35" s="155">
        <v>6.07026671943936E-3</v>
      </c>
      <c r="W35" s="155">
        <v>1.5093648518735301E-3</v>
      </c>
    </row>
    <row r="36" spans="1:23">
      <c r="A36" s="3">
        <v>337</v>
      </c>
      <c r="B36" s="3">
        <v>9962</v>
      </c>
      <c r="C36" s="185" t="s">
        <v>1319</v>
      </c>
      <c r="D36" s="3" t="s">
        <v>1320</v>
      </c>
      <c r="E36" s="189" t="s">
        <v>118</v>
      </c>
      <c r="F36" s="3" t="s">
        <v>1422</v>
      </c>
      <c r="G36" s="3" t="s">
        <v>1423</v>
      </c>
      <c r="H36" s="3" t="s">
        <v>121</v>
      </c>
      <c r="I36" s="3" t="s">
        <v>1307</v>
      </c>
      <c r="J36" s="3" t="s">
        <v>30</v>
      </c>
      <c r="K36" s="37" t="s">
        <v>30</v>
      </c>
      <c r="L36" s="3" t="s">
        <v>31</v>
      </c>
      <c r="M36" s="3" t="s">
        <v>1424</v>
      </c>
      <c r="N36" s="3" t="s">
        <v>125</v>
      </c>
      <c r="O36" s="3" t="s">
        <v>34</v>
      </c>
      <c r="P36" s="145">
        <v>303768</v>
      </c>
      <c r="Q36" s="153">
        <v>1</v>
      </c>
      <c r="R36" s="163">
        <v>505.55</v>
      </c>
      <c r="T36" s="143">
        <v>1535.6990000000001</v>
      </c>
      <c r="U36" s="155">
        <v>1.4469999999999999E-3</v>
      </c>
      <c r="V36" s="155">
        <v>0.123099301337853</v>
      </c>
      <c r="W36" s="155">
        <v>3.0608499974891401E-2</v>
      </c>
    </row>
    <row r="37" spans="1:23">
      <c r="A37" s="3">
        <v>337</v>
      </c>
      <c r="B37" s="3">
        <v>9962</v>
      </c>
      <c r="C37" s="185" t="s">
        <v>1329</v>
      </c>
      <c r="D37" s="3" t="s">
        <v>1330</v>
      </c>
      <c r="E37" s="189" t="s">
        <v>118</v>
      </c>
      <c r="F37" s="3" t="s">
        <v>1425</v>
      </c>
      <c r="G37" s="3" t="s">
        <v>1426</v>
      </c>
      <c r="H37" s="3" t="s">
        <v>121</v>
      </c>
      <c r="I37" s="3" t="s">
        <v>1323</v>
      </c>
      <c r="J37" s="3" t="s">
        <v>30</v>
      </c>
      <c r="K37" s="37" t="s">
        <v>30</v>
      </c>
      <c r="L37" s="3" t="s">
        <v>31</v>
      </c>
      <c r="M37" s="3" t="s">
        <v>1345</v>
      </c>
      <c r="N37" s="3" t="s">
        <v>125</v>
      </c>
      <c r="O37" s="3" t="s">
        <v>34</v>
      </c>
      <c r="P37" s="145">
        <v>6288</v>
      </c>
      <c r="Q37" s="153">
        <v>1</v>
      </c>
      <c r="R37" s="163">
        <v>3579</v>
      </c>
      <c r="T37" s="143">
        <v>225.048</v>
      </c>
      <c r="U37" s="155">
        <v>1.5999999999999999E-5</v>
      </c>
      <c r="V37" s="155">
        <v>1.80394662254275E-2</v>
      </c>
      <c r="W37" s="155">
        <v>4.4854925698774896E-3</v>
      </c>
    </row>
    <row r="38" spans="1:23">
      <c r="A38" s="3">
        <v>337</v>
      </c>
      <c r="B38" s="3">
        <v>9962</v>
      </c>
      <c r="C38" s="185" t="s">
        <v>1334</v>
      </c>
      <c r="D38" s="3" t="s">
        <v>1335</v>
      </c>
      <c r="E38" s="189" t="s">
        <v>118</v>
      </c>
      <c r="F38" s="3" t="s">
        <v>1336</v>
      </c>
      <c r="G38" s="3" t="s">
        <v>1337</v>
      </c>
      <c r="H38" s="3" t="s">
        <v>121</v>
      </c>
      <c r="I38" s="3" t="s">
        <v>1327</v>
      </c>
      <c r="J38" s="3" t="s">
        <v>30</v>
      </c>
      <c r="K38" s="37" t="s">
        <v>138</v>
      </c>
      <c r="L38" s="3" t="s">
        <v>31</v>
      </c>
      <c r="M38" s="3" t="s">
        <v>1338</v>
      </c>
      <c r="N38" s="3" t="s">
        <v>125</v>
      </c>
      <c r="O38" s="3" t="s">
        <v>34</v>
      </c>
      <c r="P38" s="145">
        <v>49536</v>
      </c>
      <c r="Q38" s="153">
        <v>1</v>
      </c>
      <c r="R38" s="163">
        <v>958.8</v>
      </c>
      <c r="T38" s="143">
        <v>474.95100000000002</v>
      </c>
      <c r="U38" s="155">
        <v>9.8999999999999994E-5</v>
      </c>
      <c r="V38" s="155">
        <v>3.8071361790004803E-2</v>
      </c>
      <c r="W38" s="155">
        <v>9.4664004078722393E-3</v>
      </c>
    </row>
    <row r="39" spans="1:23">
      <c r="A39" s="3">
        <v>337</v>
      </c>
      <c r="B39" s="3">
        <v>9962</v>
      </c>
      <c r="C39" s="185" t="s">
        <v>1334</v>
      </c>
      <c r="D39" s="3" t="s">
        <v>1335</v>
      </c>
      <c r="E39" s="189" t="s">
        <v>118</v>
      </c>
      <c r="F39" s="3" t="s">
        <v>1339</v>
      </c>
      <c r="G39" s="3" t="s">
        <v>1340</v>
      </c>
      <c r="H39" s="3" t="s">
        <v>121</v>
      </c>
      <c r="I39" s="3" t="s">
        <v>1327</v>
      </c>
      <c r="J39" s="3" t="s">
        <v>30</v>
      </c>
      <c r="K39" s="37" t="s">
        <v>1341</v>
      </c>
      <c r="L39" s="3" t="s">
        <v>31</v>
      </c>
      <c r="M39" s="3" t="s">
        <v>1342</v>
      </c>
      <c r="N39" s="3" t="s">
        <v>125</v>
      </c>
      <c r="O39" s="3" t="s">
        <v>34</v>
      </c>
      <c r="P39" s="145">
        <v>13763</v>
      </c>
      <c r="Q39" s="153">
        <v>1</v>
      </c>
      <c r="R39" s="163">
        <v>774.5</v>
      </c>
      <c r="T39" s="143">
        <v>106.59399999999999</v>
      </c>
      <c r="U39" s="155">
        <v>5.8E-5</v>
      </c>
      <c r="V39" s="155">
        <v>8.5444474571460503E-3</v>
      </c>
      <c r="W39" s="155">
        <v>2.12456705225096E-3</v>
      </c>
    </row>
    <row r="40" spans="1:23">
      <c r="A40" s="3">
        <v>337</v>
      </c>
      <c r="B40" s="3">
        <v>9962</v>
      </c>
      <c r="C40" s="185" t="s">
        <v>1334</v>
      </c>
      <c r="D40" s="3" t="s">
        <v>1335</v>
      </c>
      <c r="E40" s="189" t="s">
        <v>118</v>
      </c>
      <c r="F40" s="3" t="s">
        <v>1343</v>
      </c>
      <c r="G40" s="3" t="s">
        <v>1344</v>
      </c>
      <c r="H40" s="3" t="s">
        <v>121</v>
      </c>
      <c r="I40" s="3" t="s">
        <v>1323</v>
      </c>
      <c r="J40" s="3" t="s">
        <v>30</v>
      </c>
      <c r="K40" s="37" t="s">
        <v>30</v>
      </c>
      <c r="L40" s="3" t="s">
        <v>31</v>
      </c>
      <c r="M40" s="3" t="s">
        <v>1345</v>
      </c>
      <c r="N40" s="3" t="s">
        <v>125</v>
      </c>
      <c r="O40" s="3" t="s">
        <v>34</v>
      </c>
      <c r="P40" s="145">
        <v>18828</v>
      </c>
      <c r="Q40" s="153">
        <v>1</v>
      </c>
      <c r="R40" s="163">
        <v>3592</v>
      </c>
      <c r="T40" s="143">
        <v>676.30200000000002</v>
      </c>
      <c r="U40" s="155">
        <v>9.1000000000000003E-5</v>
      </c>
      <c r="V40" s="155">
        <v>5.4211318381633997E-2</v>
      </c>
      <c r="W40" s="155">
        <v>1.34795820877078E-2</v>
      </c>
    </row>
    <row r="41" spans="1:23">
      <c r="A41" s="3">
        <v>337</v>
      </c>
      <c r="B41" s="3">
        <v>9962</v>
      </c>
      <c r="C41" s="185" t="s">
        <v>1334</v>
      </c>
      <c r="D41" s="3" t="s">
        <v>1335</v>
      </c>
      <c r="E41" s="189" t="s">
        <v>118</v>
      </c>
      <c r="F41" s="3" t="s">
        <v>1427</v>
      </c>
      <c r="G41" s="3" t="s">
        <v>1428</v>
      </c>
      <c r="H41" s="3" t="s">
        <v>121</v>
      </c>
      <c r="I41" s="3" t="s">
        <v>1307</v>
      </c>
      <c r="J41" s="3" t="s">
        <v>30</v>
      </c>
      <c r="K41" s="37" t="s">
        <v>30</v>
      </c>
      <c r="L41" s="3" t="s">
        <v>31</v>
      </c>
      <c r="M41" s="3" t="s">
        <v>1429</v>
      </c>
      <c r="N41" s="3" t="s">
        <v>125</v>
      </c>
      <c r="O41" s="3" t="s">
        <v>34</v>
      </c>
      <c r="P41" s="145">
        <v>35590</v>
      </c>
      <c r="Q41" s="153">
        <v>1</v>
      </c>
      <c r="R41" s="163">
        <v>407.48</v>
      </c>
      <c r="T41" s="143">
        <v>145.02199999999999</v>
      </c>
      <c r="U41" s="155">
        <v>1.46E-4</v>
      </c>
      <c r="V41" s="155">
        <v>1.16247530839419E-2</v>
      </c>
      <c r="W41" s="155">
        <v>2.89048151054405E-3</v>
      </c>
    </row>
    <row r="42" spans="1:23">
      <c r="A42" s="3">
        <v>337</v>
      </c>
      <c r="B42" s="3">
        <v>9962</v>
      </c>
      <c r="C42" s="185" t="s">
        <v>1334</v>
      </c>
      <c r="D42" s="3" t="s">
        <v>1335</v>
      </c>
      <c r="E42" s="189" t="s">
        <v>118</v>
      </c>
      <c r="F42" s="3" t="s">
        <v>1346</v>
      </c>
      <c r="G42" s="3" t="s">
        <v>1347</v>
      </c>
      <c r="H42" s="3" t="s">
        <v>121</v>
      </c>
      <c r="I42" s="3" t="s">
        <v>1327</v>
      </c>
      <c r="J42" s="3" t="s">
        <v>30</v>
      </c>
      <c r="K42" s="37" t="s">
        <v>968</v>
      </c>
      <c r="L42" s="3" t="s">
        <v>31</v>
      </c>
      <c r="M42" s="3" t="s">
        <v>1348</v>
      </c>
      <c r="N42" s="3" t="s">
        <v>125</v>
      </c>
      <c r="O42" s="3" t="s">
        <v>34</v>
      </c>
      <c r="P42" s="145">
        <v>673</v>
      </c>
      <c r="Q42" s="153">
        <v>1</v>
      </c>
      <c r="R42" s="163">
        <v>21020</v>
      </c>
      <c r="T42" s="143">
        <v>141.465</v>
      </c>
      <c r="U42" s="155">
        <v>5.8999999999999998E-5</v>
      </c>
      <c r="V42" s="155">
        <v>1.13395867405853E-2</v>
      </c>
      <c r="W42" s="155">
        <v>2.8195752266041E-3</v>
      </c>
    </row>
    <row r="43" spans="1:23">
      <c r="A43" s="3">
        <v>337</v>
      </c>
      <c r="B43" s="3">
        <v>9962</v>
      </c>
      <c r="C43" s="185" t="s">
        <v>1303</v>
      </c>
      <c r="D43" s="3" t="s">
        <v>1304</v>
      </c>
      <c r="E43" s="189" t="s">
        <v>118</v>
      </c>
      <c r="F43" s="3" t="s">
        <v>1358</v>
      </c>
      <c r="G43" s="3" t="s">
        <v>1359</v>
      </c>
      <c r="H43" s="3" t="s">
        <v>121</v>
      </c>
      <c r="I43" s="3" t="s">
        <v>1327</v>
      </c>
      <c r="J43" s="3" t="s">
        <v>30</v>
      </c>
      <c r="K43" s="37" t="s">
        <v>1341</v>
      </c>
      <c r="L43" s="3" t="s">
        <v>31</v>
      </c>
      <c r="M43" s="3" t="s">
        <v>1360</v>
      </c>
      <c r="N43" s="3" t="s">
        <v>125</v>
      </c>
      <c r="O43" s="3" t="s">
        <v>34</v>
      </c>
      <c r="P43" s="145">
        <v>5531</v>
      </c>
      <c r="Q43" s="153">
        <v>1</v>
      </c>
      <c r="R43" s="163">
        <v>8220</v>
      </c>
      <c r="T43" s="143">
        <v>454.64800000000002</v>
      </c>
      <c r="U43" s="155">
        <v>3.97E-4</v>
      </c>
      <c r="V43" s="155">
        <v>3.6443906817330798E-2</v>
      </c>
      <c r="W43" s="155">
        <v>9.0617355970338005E-3</v>
      </c>
    </row>
    <row r="44" spans="1:23">
      <c r="A44" s="3">
        <v>337</v>
      </c>
      <c r="B44" s="3">
        <v>9962</v>
      </c>
      <c r="C44" s="185" t="s">
        <v>1303</v>
      </c>
      <c r="D44" s="3" t="s">
        <v>1304</v>
      </c>
      <c r="E44" s="189" t="s">
        <v>118</v>
      </c>
      <c r="F44" s="3" t="s">
        <v>1430</v>
      </c>
      <c r="G44" s="140" t="s">
        <v>2944</v>
      </c>
      <c r="H44" s="140" t="s">
        <v>121</v>
      </c>
      <c r="I44" s="3" t="s">
        <v>1307</v>
      </c>
      <c r="J44" s="3" t="s">
        <v>30</v>
      </c>
      <c r="K44" s="37" t="s">
        <v>30</v>
      </c>
      <c r="L44" s="3" t="s">
        <v>31</v>
      </c>
      <c r="M44" s="3" t="s">
        <v>2352</v>
      </c>
      <c r="N44" s="3" t="s">
        <v>125</v>
      </c>
      <c r="O44" s="3" t="s">
        <v>34</v>
      </c>
      <c r="P44" s="145">
        <v>4495</v>
      </c>
      <c r="Q44" s="153">
        <v>1</v>
      </c>
      <c r="R44" s="163">
        <v>4305.75</v>
      </c>
      <c r="T44" s="143">
        <v>193.54300000000001</v>
      </c>
      <c r="U44" s="155">
        <v>1.56E-4</v>
      </c>
      <c r="V44" s="155">
        <v>1.5514148989160301E-2</v>
      </c>
      <c r="W44" s="155">
        <v>3.8575753378313699E-3</v>
      </c>
    </row>
    <row r="45" spans="1:23">
      <c r="A45" s="3">
        <v>337</v>
      </c>
      <c r="B45" s="3">
        <v>9962</v>
      </c>
      <c r="C45" s="185" t="s">
        <v>1303</v>
      </c>
      <c r="D45" s="3" t="s">
        <v>1304</v>
      </c>
      <c r="E45" s="189" t="s">
        <v>118</v>
      </c>
      <c r="F45" s="3" t="s">
        <v>1432</v>
      </c>
      <c r="G45" s="3" t="s">
        <v>1433</v>
      </c>
      <c r="H45" s="3" t="s">
        <v>121</v>
      </c>
      <c r="I45" s="3" t="s">
        <v>1307</v>
      </c>
      <c r="J45" s="3" t="s">
        <v>30</v>
      </c>
      <c r="K45" s="37" t="s">
        <v>30</v>
      </c>
      <c r="L45" s="3" t="s">
        <v>31</v>
      </c>
      <c r="M45" s="3" t="s">
        <v>1424</v>
      </c>
      <c r="N45" s="3" t="s">
        <v>125</v>
      </c>
      <c r="O45" s="3" t="s">
        <v>34</v>
      </c>
      <c r="P45" s="145">
        <v>13000</v>
      </c>
      <c r="Q45" s="153">
        <v>1</v>
      </c>
      <c r="R45" s="163">
        <v>3947.29</v>
      </c>
      <c r="T45" s="143">
        <v>513.14800000000002</v>
      </c>
      <c r="U45" s="155">
        <v>1.8100000000000001E-4</v>
      </c>
      <c r="V45" s="155">
        <v>4.1133137582701602E-2</v>
      </c>
      <c r="W45" s="155">
        <v>1.02277074441866E-2</v>
      </c>
    </row>
    <row r="46" spans="1:23">
      <c r="A46" s="3">
        <v>337</v>
      </c>
      <c r="B46" s="3">
        <v>9962</v>
      </c>
      <c r="C46" s="185" t="s">
        <v>1303</v>
      </c>
      <c r="D46" s="3" t="s">
        <v>1304</v>
      </c>
      <c r="E46" s="189" t="s">
        <v>118</v>
      </c>
      <c r="F46" s="3" t="s">
        <v>1434</v>
      </c>
      <c r="G46" s="3" t="s">
        <v>1435</v>
      </c>
      <c r="H46" s="3" t="s">
        <v>121</v>
      </c>
      <c r="I46" s="3" t="s">
        <v>1307</v>
      </c>
      <c r="J46" s="3" t="s">
        <v>30</v>
      </c>
      <c r="K46" s="37" t="s">
        <v>30</v>
      </c>
      <c r="L46" s="3" t="s">
        <v>31</v>
      </c>
      <c r="M46" s="3" t="s">
        <v>1436</v>
      </c>
      <c r="N46" s="3" t="s">
        <v>125</v>
      </c>
      <c r="O46" s="3" t="s">
        <v>34</v>
      </c>
      <c r="P46" s="145">
        <v>4359</v>
      </c>
      <c r="Q46" s="153">
        <v>1</v>
      </c>
      <c r="R46" s="163">
        <v>4414.59</v>
      </c>
      <c r="T46" s="143">
        <v>192.43199999999999</v>
      </c>
      <c r="U46" s="155">
        <v>1.5300000000000001E-4</v>
      </c>
      <c r="V46" s="155">
        <v>1.5425054093585E-2</v>
      </c>
      <c r="W46" s="155">
        <v>3.8354219943164802E-3</v>
      </c>
    </row>
    <row r="47" spans="1:23">
      <c r="A47" s="3">
        <v>337</v>
      </c>
      <c r="B47" s="3">
        <v>9962</v>
      </c>
      <c r="C47" s="185" t="s">
        <v>1303</v>
      </c>
      <c r="D47" s="3" t="s">
        <v>1304</v>
      </c>
      <c r="E47" s="189" t="s">
        <v>118</v>
      </c>
      <c r="F47" s="3" t="s">
        <v>1437</v>
      </c>
      <c r="G47" s="3" t="s">
        <v>1438</v>
      </c>
      <c r="H47" s="3" t="s">
        <v>121</v>
      </c>
      <c r="I47" s="3" t="s">
        <v>1323</v>
      </c>
      <c r="J47" s="3" t="s">
        <v>30</v>
      </c>
      <c r="K47" s="37" t="s">
        <v>30</v>
      </c>
      <c r="L47" s="3" t="s">
        <v>31</v>
      </c>
      <c r="M47" s="3" t="s">
        <v>1324</v>
      </c>
      <c r="N47" s="3" t="s">
        <v>125</v>
      </c>
      <c r="O47" s="3" t="s">
        <v>34</v>
      </c>
      <c r="P47" s="145">
        <v>748</v>
      </c>
      <c r="Q47" s="153">
        <v>1</v>
      </c>
      <c r="R47" s="163">
        <v>33940</v>
      </c>
      <c r="T47" s="143">
        <v>253.87100000000001</v>
      </c>
      <c r="U47" s="155">
        <v>2.5000000000000001E-5</v>
      </c>
      <c r="V47" s="155">
        <v>2.03499284862537E-2</v>
      </c>
      <c r="W47" s="155">
        <v>5.0599863589071399E-3</v>
      </c>
    </row>
    <row r="48" spans="1:23">
      <c r="A48" s="3">
        <v>337</v>
      </c>
      <c r="B48" s="3">
        <v>9962</v>
      </c>
      <c r="C48" s="185" t="s">
        <v>1363</v>
      </c>
      <c r="D48" s="3" t="s">
        <v>1364</v>
      </c>
      <c r="E48" s="189" t="s">
        <v>727</v>
      </c>
      <c r="F48" s="3" t="s">
        <v>1365</v>
      </c>
      <c r="G48" s="3" t="s">
        <v>1366</v>
      </c>
      <c r="H48" s="3" t="s">
        <v>121</v>
      </c>
      <c r="I48" s="3" t="s">
        <v>1327</v>
      </c>
      <c r="J48" s="3" t="s">
        <v>79</v>
      </c>
      <c r="K48" s="37" t="s">
        <v>1367</v>
      </c>
      <c r="L48" s="3" t="s">
        <v>1173</v>
      </c>
      <c r="M48" s="3" t="s">
        <v>1368</v>
      </c>
      <c r="N48" s="3" t="s">
        <v>125</v>
      </c>
      <c r="O48" s="3" t="s">
        <v>84</v>
      </c>
      <c r="P48" s="145">
        <v>4210</v>
      </c>
      <c r="Q48" s="153">
        <v>3.19</v>
      </c>
      <c r="R48" s="163">
        <v>7006</v>
      </c>
      <c r="T48" s="143">
        <v>940.899</v>
      </c>
      <c r="U48" s="155">
        <v>0</v>
      </c>
      <c r="V48" s="155">
        <v>7.5421013374901605E-2</v>
      </c>
      <c r="W48" s="155">
        <v>1.8753348401678398E-2</v>
      </c>
    </row>
    <row r="49" spans="1:23">
      <c r="A49" s="3">
        <v>337</v>
      </c>
      <c r="B49" s="3">
        <v>9962</v>
      </c>
      <c r="C49" s="185" t="s">
        <v>1309</v>
      </c>
      <c r="D49" s="3" t="s">
        <v>1310</v>
      </c>
      <c r="E49" s="189" t="s">
        <v>727</v>
      </c>
      <c r="F49" s="3" t="s">
        <v>1369</v>
      </c>
      <c r="G49" s="3" t="s">
        <v>1370</v>
      </c>
      <c r="H49" s="3" t="s">
        <v>121</v>
      </c>
      <c r="I49" s="3" t="s">
        <v>1327</v>
      </c>
      <c r="J49" s="3" t="s">
        <v>79</v>
      </c>
      <c r="K49" s="37" t="s">
        <v>80</v>
      </c>
      <c r="L49" s="3" t="s">
        <v>1180</v>
      </c>
      <c r="M49" s="3" t="s">
        <v>1371</v>
      </c>
      <c r="N49" s="3" t="s">
        <v>125</v>
      </c>
      <c r="O49" s="3" t="s">
        <v>84</v>
      </c>
      <c r="P49" s="145">
        <v>423</v>
      </c>
      <c r="Q49" s="153">
        <v>3.19</v>
      </c>
      <c r="R49" s="163">
        <v>24616</v>
      </c>
      <c r="T49" s="143">
        <v>332.161</v>
      </c>
      <c r="U49" s="155">
        <v>9.9999999999999995E-7</v>
      </c>
      <c r="V49" s="155">
        <v>2.6625513061931699E-2</v>
      </c>
      <c r="W49" s="155">
        <v>6.6204032600549302E-3</v>
      </c>
    </row>
    <row r="50" spans="1:23">
      <c r="A50" s="3">
        <v>337</v>
      </c>
      <c r="B50" s="3">
        <v>9962</v>
      </c>
      <c r="C50" s="185" t="s">
        <v>1315</v>
      </c>
      <c r="D50" s="3" t="s">
        <v>1316</v>
      </c>
      <c r="E50" s="189" t="s">
        <v>727</v>
      </c>
      <c r="F50" s="3" t="s">
        <v>1372</v>
      </c>
      <c r="G50" s="3" t="s">
        <v>1373</v>
      </c>
      <c r="H50" s="3" t="s">
        <v>121</v>
      </c>
      <c r="I50" s="3" t="s">
        <v>1327</v>
      </c>
      <c r="J50" s="3" t="s">
        <v>79</v>
      </c>
      <c r="K50" s="37" t="s">
        <v>80</v>
      </c>
      <c r="L50" s="3" t="s">
        <v>1180</v>
      </c>
      <c r="M50" s="3" t="s">
        <v>1374</v>
      </c>
      <c r="N50" s="3" t="s">
        <v>125</v>
      </c>
      <c r="O50" s="3" t="s">
        <v>84</v>
      </c>
      <c r="P50" s="145">
        <v>975</v>
      </c>
      <c r="Q50" s="153">
        <v>3.19</v>
      </c>
      <c r="R50" s="163">
        <v>5477</v>
      </c>
      <c r="T50" s="143">
        <v>170.34800000000001</v>
      </c>
      <c r="U50" s="155">
        <v>9.9999999999999995E-7</v>
      </c>
      <c r="V50" s="155">
        <v>1.3654867527798599E-2</v>
      </c>
      <c r="W50" s="155">
        <v>3.3952671366888399E-3</v>
      </c>
    </row>
    <row r="51" spans="1:23">
      <c r="A51" s="3">
        <v>337</v>
      </c>
      <c r="B51" s="3">
        <v>9962</v>
      </c>
      <c r="C51" s="185" t="s">
        <v>1309</v>
      </c>
      <c r="D51" s="3" t="s">
        <v>1310</v>
      </c>
      <c r="E51" s="189" t="s">
        <v>727</v>
      </c>
      <c r="F51" s="3" t="s">
        <v>1379</v>
      </c>
      <c r="G51" s="3" t="s">
        <v>1380</v>
      </c>
      <c r="H51" s="3" t="s">
        <v>121</v>
      </c>
      <c r="I51" s="3" t="s">
        <v>1327</v>
      </c>
      <c r="J51" s="3" t="s">
        <v>79</v>
      </c>
      <c r="K51" s="37" t="s">
        <v>80</v>
      </c>
      <c r="L51" s="3" t="s">
        <v>1381</v>
      </c>
      <c r="M51" s="3" t="s">
        <v>1382</v>
      </c>
      <c r="N51" s="3" t="s">
        <v>125</v>
      </c>
      <c r="O51" s="3" t="s">
        <v>84</v>
      </c>
      <c r="P51" s="145">
        <v>259</v>
      </c>
      <c r="Q51" s="153">
        <v>3.19</v>
      </c>
      <c r="R51" s="163">
        <v>21469</v>
      </c>
      <c r="T51" s="143">
        <v>177.37899999999999</v>
      </c>
      <c r="U51" s="155">
        <v>0</v>
      </c>
      <c r="V51" s="155">
        <v>1.4218432306131601E-2</v>
      </c>
      <c r="W51" s="155">
        <v>3.5353968719187201E-3</v>
      </c>
    </row>
    <row r="52" spans="1:23">
      <c r="A52" s="3">
        <v>337</v>
      </c>
      <c r="B52" s="3">
        <v>9962</v>
      </c>
      <c r="C52" s="185" t="s">
        <v>1309</v>
      </c>
      <c r="D52" s="3" t="s">
        <v>1310</v>
      </c>
      <c r="E52" s="189" t="s">
        <v>727</v>
      </c>
      <c r="F52" s="3" t="s">
        <v>1311</v>
      </c>
      <c r="G52" s="3" t="s">
        <v>1312</v>
      </c>
      <c r="H52" s="3" t="s">
        <v>121</v>
      </c>
      <c r="I52" s="3" t="s">
        <v>1313</v>
      </c>
      <c r="J52" s="3" t="s">
        <v>79</v>
      </c>
      <c r="K52" s="37" t="s">
        <v>80</v>
      </c>
      <c r="L52" s="3" t="s">
        <v>1180</v>
      </c>
      <c r="M52" s="3" t="s">
        <v>1314</v>
      </c>
      <c r="N52" s="3" t="s">
        <v>125</v>
      </c>
      <c r="O52" s="3" t="s">
        <v>84</v>
      </c>
      <c r="P52" s="145">
        <v>363</v>
      </c>
      <c r="Q52" s="153">
        <v>3.19</v>
      </c>
      <c r="R52" s="163">
        <v>8063</v>
      </c>
      <c r="T52" s="143">
        <v>93.367000000000004</v>
      </c>
      <c r="U52" s="155">
        <v>9.9999999999999995E-7</v>
      </c>
      <c r="V52" s="155">
        <v>7.4841661336630004E-3</v>
      </c>
      <c r="W52" s="155">
        <v>1.8609293182386599E-3</v>
      </c>
    </row>
    <row r="53" spans="1:23">
      <c r="A53" s="3">
        <v>337</v>
      </c>
      <c r="B53" s="3">
        <v>9962</v>
      </c>
      <c r="C53" s="185" t="s">
        <v>1309</v>
      </c>
      <c r="D53" s="3" t="s">
        <v>1310</v>
      </c>
      <c r="E53" s="189" t="s">
        <v>727</v>
      </c>
      <c r="F53" s="3" t="s">
        <v>1383</v>
      </c>
      <c r="G53" s="3" t="s">
        <v>1384</v>
      </c>
      <c r="H53" s="3" t="s">
        <v>121</v>
      </c>
      <c r="I53" s="3" t="s">
        <v>1327</v>
      </c>
      <c r="J53" s="3" t="s">
        <v>79</v>
      </c>
      <c r="K53" s="37" t="s">
        <v>1385</v>
      </c>
      <c r="L53" s="3" t="s">
        <v>1180</v>
      </c>
      <c r="M53" s="3" t="s">
        <v>1368</v>
      </c>
      <c r="N53" s="3" t="s">
        <v>125</v>
      </c>
      <c r="O53" s="3" t="s">
        <v>84</v>
      </c>
      <c r="P53" s="145">
        <v>976</v>
      </c>
      <c r="Q53" s="153">
        <v>3.19</v>
      </c>
      <c r="R53" s="163">
        <v>5471</v>
      </c>
      <c r="T53" s="143">
        <v>170.33600000000001</v>
      </c>
      <c r="U53" s="155">
        <v>9.9999999999999995E-7</v>
      </c>
      <c r="V53" s="155">
        <v>1.36538984038082E-2</v>
      </c>
      <c r="W53" s="155">
        <v>3.3950261651210598E-3</v>
      </c>
    </row>
    <row r="54" spans="1:23">
      <c r="A54" s="3">
        <v>337</v>
      </c>
      <c r="B54" s="3">
        <v>9962</v>
      </c>
      <c r="C54" s="185" t="s">
        <v>1388</v>
      </c>
      <c r="D54" s="3" t="s">
        <v>1389</v>
      </c>
      <c r="E54" s="189" t="s">
        <v>727</v>
      </c>
      <c r="F54" s="3" t="s">
        <v>1390</v>
      </c>
      <c r="G54" s="3" t="s">
        <v>1391</v>
      </c>
      <c r="H54" s="3" t="s">
        <v>121</v>
      </c>
      <c r="I54" s="3" t="s">
        <v>1327</v>
      </c>
      <c r="J54" s="3" t="s">
        <v>79</v>
      </c>
      <c r="K54" s="37" t="s">
        <v>1179</v>
      </c>
      <c r="L54" s="3" t="s">
        <v>1180</v>
      </c>
      <c r="M54" s="3" t="s">
        <v>1392</v>
      </c>
      <c r="N54" s="3" t="s">
        <v>125</v>
      </c>
      <c r="O54" s="3" t="s">
        <v>84</v>
      </c>
      <c r="P54" s="145">
        <v>265</v>
      </c>
      <c r="Q54" s="153">
        <v>3.19</v>
      </c>
      <c r="R54" s="163">
        <v>3405</v>
      </c>
      <c r="T54" s="143">
        <v>28.783999999999999</v>
      </c>
      <c r="U54" s="155">
        <v>9.9999999999999995E-7</v>
      </c>
      <c r="V54" s="155">
        <v>2.3072949990441899E-3</v>
      </c>
      <c r="W54" s="155">
        <v>5.7370625302317999E-4</v>
      </c>
    </row>
    <row r="55" spans="1:23">
      <c r="A55" s="3">
        <v>337</v>
      </c>
      <c r="B55" s="3">
        <v>9962</v>
      </c>
      <c r="C55" s="185" t="s">
        <v>1309</v>
      </c>
      <c r="D55" s="3" t="s">
        <v>1310</v>
      </c>
      <c r="E55" s="189" t="s">
        <v>727</v>
      </c>
      <c r="F55" s="3" t="s">
        <v>1397</v>
      </c>
      <c r="G55" s="3" t="s">
        <v>1398</v>
      </c>
      <c r="H55" s="3" t="s">
        <v>121</v>
      </c>
      <c r="I55" s="3" t="s">
        <v>1327</v>
      </c>
      <c r="J55" s="3" t="s">
        <v>79</v>
      </c>
      <c r="K55" s="37" t="s">
        <v>1179</v>
      </c>
      <c r="L55" s="3" t="s">
        <v>1173</v>
      </c>
      <c r="M55" s="3" t="s">
        <v>1392</v>
      </c>
      <c r="N55" s="3" t="s">
        <v>125</v>
      </c>
      <c r="O55" s="3" t="s">
        <v>84</v>
      </c>
      <c r="P55" s="145">
        <v>710</v>
      </c>
      <c r="Q55" s="153">
        <v>3.19</v>
      </c>
      <c r="R55" s="163">
        <v>6007</v>
      </c>
      <c r="T55" s="143">
        <v>136.053</v>
      </c>
      <c r="U55" s="155">
        <v>3.9999999999999998E-6</v>
      </c>
      <c r="V55" s="155">
        <v>1.09057644995689E-2</v>
      </c>
      <c r="W55" s="155">
        <v>2.7117058243496198E-3</v>
      </c>
    </row>
    <row r="56" spans="1:23">
      <c r="A56" s="3">
        <v>337</v>
      </c>
      <c r="B56" s="3">
        <v>9962</v>
      </c>
      <c r="C56" s="185" t="s">
        <v>1399</v>
      </c>
      <c r="D56" s="3" t="s">
        <v>1400</v>
      </c>
      <c r="E56" s="189" t="s">
        <v>727</v>
      </c>
      <c r="F56" s="3" t="s">
        <v>1401</v>
      </c>
      <c r="G56" s="3" t="s">
        <v>1402</v>
      </c>
      <c r="H56" s="3" t="s">
        <v>121</v>
      </c>
      <c r="I56" s="3" t="s">
        <v>1327</v>
      </c>
      <c r="J56" s="3" t="s">
        <v>79</v>
      </c>
      <c r="K56" s="37" t="s">
        <v>80</v>
      </c>
      <c r="L56" s="3" t="s">
        <v>1173</v>
      </c>
      <c r="M56" s="3" t="s">
        <v>1403</v>
      </c>
      <c r="N56" s="3" t="s">
        <v>125</v>
      </c>
      <c r="O56" s="3" t="s">
        <v>84</v>
      </c>
      <c r="P56" s="145">
        <v>748</v>
      </c>
      <c r="Q56" s="153">
        <v>3.19</v>
      </c>
      <c r="R56" s="163">
        <v>61431</v>
      </c>
      <c r="T56" s="143">
        <v>1465.817</v>
      </c>
      <c r="U56" s="155">
        <v>9.9999999999999995E-7</v>
      </c>
      <c r="V56" s="155">
        <v>0.117497687015809</v>
      </c>
      <c r="W56" s="155">
        <v>2.9215665003675301E-2</v>
      </c>
    </row>
    <row r="57" spans="1:23">
      <c r="A57" s="3">
        <v>337</v>
      </c>
      <c r="B57" s="3">
        <v>9962</v>
      </c>
      <c r="C57" s="185" t="s">
        <v>1399</v>
      </c>
      <c r="D57" s="3" t="s">
        <v>1400</v>
      </c>
      <c r="E57" s="189" t="s">
        <v>727</v>
      </c>
      <c r="F57" s="3" t="s">
        <v>1404</v>
      </c>
      <c r="G57" s="3" t="s">
        <v>1405</v>
      </c>
      <c r="H57" s="3" t="s">
        <v>121</v>
      </c>
      <c r="I57" s="3" t="s">
        <v>1327</v>
      </c>
      <c r="J57" s="3" t="s">
        <v>79</v>
      </c>
      <c r="K57" s="37" t="s">
        <v>80</v>
      </c>
      <c r="L57" s="3" t="s">
        <v>1251</v>
      </c>
      <c r="M57" s="3" t="s">
        <v>1333</v>
      </c>
      <c r="N57" s="3" t="s">
        <v>125</v>
      </c>
      <c r="O57" s="3" t="s">
        <v>84</v>
      </c>
      <c r="P57" s="145">
        <v>51300</v>
      </c>
      <c r="Q57" s="153">
        <v>3.19</v>
      </c>
      <c r="R57" s="163">
        <v>1375</v>
      </c>
      <c r="T57" s="143">
        <v>2250.1460000000002</v>
      </c>
      <c r="U57" s="155">
        <v>2.4000000000000001E-5</v>
      </c>
      <c r="V57" s="155">
        <v>0.180368294123602</v>
      </c>
      <c r="W57" s="155">
        <v>4.48483692933506E-2</v>
      </c>
    </row>
    <row r="58" spans="1:23">
      <c r="A58" s="3">
        <v>337</v>
      </c>
      <c r="B58" s="3">
        <v>9962</v>
      </c>
      <c r="C58" s="185" t="s">
        <v>1315</v>
      </c>
      <c r="D58" s="3" t="s">
        <v>1316</v>
      </c>
      <c r="E58" s="189" t="s">
        <v>727</v>
      </c>
      <c r="F58" s="3" t="s">
        <v>1317</v>
      </c>
      <c r="G58" s="3" t="s">
        <v>1318</v>
      </c>
      <c r="H58" s="3" t="s">
        <v>121</v>
      </c>
      <c r="I58" s="3" t="s">
        <v>1313</v>
      </c>
      <c r="J58" s="3" t="s">
        <v>79</v>
      </c>
      <c r="K58" s="37" t="s">
        <v>80</v>
      </c>
      <c r="L58" s="3" t="s">
        <v>1180</v>
      </c>
      <c r="M58" s="3" t="s">
        <v>1314</v>
      </c>
      <c r="N58" s="3" t="s">
        <v>125</v>
      </c>
      <c r="O58" s="3" t="s">
        <v>84</v>
      </c>
      <c r="P58" s="145">
        <v>2754</v>
      </c>
      <c r="Q58" s="153">
        <v>3.19</v>
      </c>
      <c r="R58" s="163">
        <v>1163.0999999999999</v>
      </c>
      <c r="T58" s="143">
        <v>102.181</v>
      </c>
      <c r="U58" s="155">
        <v>0</v>
      </c>
      <c r="V58" s="155">
        <v>8.1907020154283298E-3</v>
      </c>
      <c r="W58" s="155">
        <v>2.0366086542238501E-3</v>
      </c>
    </row>
    <row r="59" spans="1:23">
      <c r="A59" s="3">
        <v>337</v>
      </c>
      <c r="B59" s="3">
        <v>9962</v>
      </c>
      <c r="C59" s="185" t="s">
        <v>1315</v>
      </c>
      <c r="D59" s="3" t="s">
        <v>1316</v>
      </c>
      <c r="E59" s="189" t="s">
        <v>727</v>
      </c>
      <c r="F59" s="3" t="s">
        <v>1408</v>
      </c>
      <c r="G59" s="3" t="s">
        <v>1409</v>
      </c>
      <c r="H59" s="3" t="s">
        <v>121</v>
      </c>
      <c r="I59" s="3" t="s">
        <v>1327</v>
      </c>
      <c r="J59" s="3" t="s">
        <v>79</v>
      </c>
      <c r="K59" s="37" t="s">
        <v>80</v>
      </c>
      <c r="L59" s="140" t="s">
        <v>1180</v>
      </c>
      <c r="M59" s="190" t="s">
        <v>1382</v>
      </c>
      <c r="N59" s="3" t="s">
        <v>125</v>
      </c>
      <c r="O59" s="3" t="s">
        <v>84</v>
      </c>
      <c r="P59" s="145">
        <v>439</v>
      </c>
      <c r="Q59" s="153">
        <v>3.19</v>
      </c>
      <c r="R59" s="163">
        <v>12193</v>
      </c>
      <c r="T59" s="143">
        <v>170.75200000000001</v>
      </c>
      <c r="U59" s="155">
        <v>6.0000000000000002E-6</v>
      </c>
      <c r="V59" s="155">
        <v>1.36872193925125E-2</v>
      </c>
      <c r="W59" s="155">
        <v>3.4033113907139998E-3</v>
      </c>
    </row>
    <row r="60" spans="1:23">
      <c r="A60" s="3">
        <v>337</v>
      </c>
      <c r="B60" s="3">
        <v>9962</v>
      </c>
      <c r="C60" s="185" t="s">
        <v>1411</v>
      </c>
      <c r="D60" s="3" t="s">
        <v>1412</v>
      </c>
      <c r="E60" s="189" t="s">
        <v>727</v>
      </c>
      <c r="F60" s="3" t="s">
        <v>1413</v>
      </c>
      <c r="G60" s="3" t="s">
        <v>1414</v>
      </c>
      <c r="H60" s="3" t="s">
        <v>121</v>
      </c>
      <c r="I60" s="3" t="s">
        <v>1327</v>
      </c>
      <c r="J60" s="3" t="s">
        <v>79</v>
      </c>
      <c r="K60" s="37" t="s">
        <v>80</v>
      </c>
      <c r="L60" s="3" t="s">
        <v>1173</v>
      </c>
      <c r="M60" s="3" t="s">
        <v>1415</v>
      </c>
      <c r="N60" s="3" t="s">
        <v>125</v>
      </c>
      <c r="O60" s="3" t="s">
        <v>84</v>
      </c>
      <c r="P60" s="145">
        <v>181</v>
      </c>
      <c r="Q60" s="153">
        <v>3.19</v>
      </c>
      <c r="R60" s="163">
        <v>36013</v>
      </c>
      <c r="T60" s="143">
        <v>207.935</v>
      </c>
      <c r="U60" s="155">
        <v>7.9999999999999996E-6</v>
      </c>
      <c r="V60" s="155">
        <v>1.6667789631124801E-2</v>
      </c>
      <c r="W60" s="155">
        <v>4.1444267592191299E-3</v>
      </c>
    </row>
    <row r="61" spans="1:23">
      <c r="A61" s="3">
        <v>337</v>
      </c>
      <c r="B61" s="3">
        <v>9962</v>
      </c>
      <c r="C61" s="185" t="s">
        <v>1416</v>
      </c>
      <c r="D61" s="3" t="s">
        <v>1417</v>
      </c>
      <c r="E61" s="189" t="s">
        <v>727</v>
      </c>
      <c r="F61" s="3" t="s">
        <v>1418</v>
      </c>
      <c r="G61" s="3" t="s">
        <v>1419</v>
      </c>
      <c r="H61" s="3" t="s">
        <v>121</v>
      </c>
      <c r="I61" s="3" t="s">
        <v>1327</v>
      </c>
      <c r="J61" s="3" t="s">
        <v>79</v>
      </c>
      <c r="K61" s="37" t="s">
        <v>80</v>
      </c>
      <c r="L61" s="3" t="s">
        <v>1180</v>
      </c>
      <c r="M61" s="3" t="s">
        <v>1333</v>
      </c>
      <c r="N61" s="3" t="s">
        <v>125</v>
      </c>
      <c r="O61" s="3" t="s">
        <v>84</v>
      </c>
      <c r="P61" s="145">
        <v>579</v>
      </c>
      <c r="Q61" s="153">
        <v>3.19</v>
      </c>
      <c r="R61" s="163">
        <v>62713</v>
      </c>
      <c r="T61" s="143">
        <v>1158.3150000000001</v>
      </c>
      <c r="U61" s="155">
        <v>9.9999999999999995E-7</v>
      </c>
      <c r="V61" s="155">
        <v>9.2848795664820002E-2</v>
      </c>
      <c r="W61" s="155">
        <v>2.3086746463128999E-2</v>
      </c>
    </row>
    <row r="62" spans="1:23">
      <c r="A62" s="3">
        <v>337</v>
      </c>
      <c r="B62" s="3">
        <v>9963</v>
      </c>
      <c r="C62" s="185" t="s">
        <v>1319</v>
      </c>
      <c r="D62" s="3" t="s">
        <v>1320</v>
      </c>
      <c r="E62" s="189" t="s">
        <v>118</v>
      </c>
      <c r="F62" s="3" t="s">
        <v>1321</v>
      </c>
      <c r="G62" s="3" t="s">
        <v>1322</v>
      </c>
      <c r="H62" s="3" t="s">
        <v>121</v>
      </c>
      <c r="I62" s="3" t="s">
        <v>1323</v>
      </c>
      <c r="J62" s="3" t="s">
        <v>30</v>
      </c>
      <c r="K62" s="37" t="s">
        <v>30</v>
      </c>
      <c r="L62" s="3" t="s">
        <v>31</v>
      </c>
      <c r="M62" s="3" t="s">
        <v>1324</v>
      </c>
      <c r="N62" s="3" t="s">
        <v>125</v>
      </c>
      <c r="O62" s="3" t="s">
        <v>34</v>
      </c>
      <c r="P62" s="145">
        <v>29743</v>
      </c>
      <c r="Q62" s="153">
        <v>1</v>
      </c>
      <c r="R62" s="163">
        <v>5318</v>
      </c>
      <c r="T62" s="143">
        <v>1581.7329999999999</v>
      </c>
      <c r="U62" s="155">
        <v>4.9600000000000002E-4</v>
      </c>
      <c r="V62" s="155">
        <v>9.7663826262674395E-3</v>
      </c>
      <c r="W62" s="155">
        <v>1.35728161419667E-3</v>
      </c>
    </row>
    <row r="63" spans="1:23">
      <c r="A63" s="3">
        <v>337</v>
      </c>
      <c r="B63" s="3">
        <v>9963</v>
      </c>
      <c r="C63" s="185" t="s">
        <v>1319</v>
      </c>
      <c r="D63" s="3" t="s">
        <v>1320</v>
      </c>
      <c r="E63" s="189" t="s">
        <v>118</v>
      </c>
      <c r="F63" s="3" t="s">
        <v>1439</v>
      </c>
      <c r="G63" s="3" t="s">
        <v>1440</v>
      </c>
      <c r="H63" s="3" t="s">
        <v>121</v>
      </c>
      <c r="I63" s="3" t="s">
        <v>1307</v>
      </c>
      <c r="J63" s="3" t="s">
        <v>30</v>
      </c>
      <c r="K63" s="37" t="s">
        <v>30</v>
      </c>
      <c r="L63" s="3" t="s">
        <v>31</v>
      </c>
      <c r="M63" s="3" t="s">
        <v>1441</v>
      </c>
      <c r="N63" s="3" t="s">
        <v>125</v>
      </c>
      <c r="O63" s="3" t="s">
        <v>34</v>
      </c>
      <c r="P63" s="145">
        <v>1077354</v>
      </c>
      <c r="Q63" s="153">
        <v>1</v>
      </c>
      <c r="R63" s="163">
        <v>498.26</v>
      </c>
      <c r="T63" s="143">
        <v>5368.0240000000003</v>
      </c>
      <c r="U63" s="155">
        <v>4.3750000000000004E-3</v>
      </c>
      <c r="V63" s="155">
        <v>3.3144775599415401E-2</v>
      </c>
      <c r="W63" s="155">
        <v>4.60629039935068E-3</v>
      </c>
    </row>
    <row r="64" spans="1:23">
      <c r="A64" s="3">
        <v>337</v>
      </c>
      <c r="B64" s="3">
        <v>9963</v>
      </c>
      <c r="C64" s="185" t="s">
        <v>1319</v>
      </c>
      <c r="D64" s="3" t="s">
        <v>1320</v>
      </c>
      <c r="E64" s="189" t="s">
        <v>118</v>
      </c>
      <c r="F64" s="3" t="s">
        <v>1325</v>
      </c>
      <c r="G64" s="3" t="s">
        <v>1326</v>
      </c>
      <c r="H64" s="3" t="s">
        <v>121</v>
      </c>
      <c r="I64" s="3" t="s">
        <v>1327</v>
      </c>
      <c r="J64" s="3" t="s">
        <v>30</v>
      </c>
      <c r="K64" s="37" t="s">
        <v>80</v>
      </c>
      <c r="L64" s="3" t="s">
        <v>31</v>
      </c>
      <c r="M64" s="3" t="s">
        <v>1328</v>
      </c>
      <c r="N64" s="3" t="s">
        <v>125</v>
      </c>
      <c r="O64" s="3" t="s">
        <v>34</v>
      </c>
      <c r="P64" s="145">
        <v>340258</v>
      </c>
      <c r="Q64" s="153">
        <v>1</v>
      </c>
      <c r="R64" s="163">
        <v>8701</v>
      </c>
      <c r="T64" s="143">
        <v>29605.848999999998</v>
      </c>
      <c r="U64" s="155">
        <v>1.396E-2</v>
      </c>
      <c r="V64" s="155">
        <v>0.18280082209565701</v>
      </c>
      <c r="W64" s="155">
        <v>2.5404717835153801E-2</v>
      </c>
    </row>
    <row r="65" spans="1:23">
      <c r="A65" s="3">
        <v>337</v>
      </c>
      <c r="B65" s="3">
        <v>9963</v>
      </c>
      <c r="C65" s="185" t="s">
        <v>1334</v>
      </c>
      <c r="D65" s="3" t="s">
        <v>1335</v>
      </c>
      <c r="E65" s="189" t="s">
        <v>118</v>
      </c>
      <c r="F65" s="3" t="s">
        <v>1336</v>
      </c>
      <c r="G65" s="3" t="s">
        <v>1337</v>
      </c>
      <c r="H65" s="3" t="s">
        <v>121</v>
      </c>
      <c r="I65" s="3" t="s">
        <v>1327</v>
      </c>
      <c r="J65" s="3" t="s">
        <v>30</v>
      </c>
      <c r="K65" s="37" t="s">
        <v>138</v>
      </c>
      <c r="L65" s="3" t="s">
        <v>31</v>
      </c>
      <c r="M65" s="3" t="s">
        <v>1338</v>
      </c>
      <c r="N65" s="3" t="s">
        <v>125</v>
      </c>
      <c r="O65" s="3" t="s">
        <v>34</v>
      </c>
      <c r="P65" s="145">
        <v>573613</v>
      </c>
      <c r="Q65" s="153">
        <v>1</v>
      </c>
      <c r="R65" s="163">
        <v>958.8</v>
      </c>
      <c r="T65" s="143">
        <v>5499.8010000000004</v>
      </c>
      <c r="U65" s="155">
        <v>1.1410000000000001E-3</v>
      </c>
      <c r="V65" s="155">
        <v>3.3958432997095403E-2</v>
      </c>
      <c r="W65" s="155">
        <v>4.7193683186158896E-3</v>
      </c>
    </row>
    <row r="66" spans="1:23">
      <c r="A66" s="3">
        <v>337</v>
      </c>
      <c r="B66" s="3">
        <v>9963</v>
      </c>
      <c r="C66" s="185" t="s">
        <v>1334</v>
      </c>
      <c r="D66" s="3" t="s">
        <v>1335</v>
      </c>
      <c r="E66" s="189" t="s">
        <v>118</v>
      </c>
      <c r="F66" s="3" t="s">
        <v>1442</v>
      </c>
      <c r="G66" s="3" t="s">
        <v>1443</v>
      </c>
      <c r="H66" s="3" t="s">
        <v>121</v>
      </c>
      <c r="I66" s="3" t="s">
        <v>1307</v>
      </c>
      <c r="J66" s="3" t="s">
        <v>30</v>
      </c>
      <c r="K66" s="37" t="s">
        <v>30</v>
      </c>
      <c r="L66" s="3" t="s">
        <v>31</v>
      </c>
      <c r="M66" s="3" t="s">
        <v>1441</v>
      </c>
      <c r="N66" s="3" t="s">
        <v>125</v>
      </c>
      <c r="O66" s="3" t="s">
        <v>34</v>
      </c>
      <c r="P66" s="145">
        <v>1202935</v>
      </c>
      <c r="Q66" s="153">
        <v>1</v>
      </c>
      <c r="R66" s="163">
        <v>446.84</v>
      </c>
      <c r="T66" s="143">
        <v>5375.1949999999997</v>
      </c>
      <c r="U66" s="155">
        <v>1.1140000000000001E-2</v>
      </c>
      <c r="V66" s="155">
        <v>3.3189051051867001E-2</v>
      </c>
      <c r="W66" s="155">
        <v>4.61244357395713E-3</v>
      </c>
    </row>
    <row r="67" spans="1:23">
      <c r="A67" s="3">
        <v>337</v>
      </c>
      <c r="B67" s="3">
        <v>9963</v>
      </c>
      <c r="C67" s="185" t="s">
        <v>1334</v>
      </c>
      <c r="D67" s="3" t="s">
        <v>1335</v>
      </c>
      <c r="E67" s="189" t="s">
        <v>118</v>
      </c>
      <c r="F67" s="3" t="s">
        <v>1339</v>
      </c>
      <c r="G67" s="3" t="s">
        <v>1340</v>
      </c>
      <c r="H67" s="3" t="s">
        <v>121</v>
      </c>
      <c r="I67" s="3" t="s">
        <v>1327</v>
      </c>
      <c r="J67" s="3" t="s">
        <v>30</v>
      </c>
      <c r="K67" s="37" t="s">
        <v>1341</v>
      </c>
      <c r="L67" s="3" t="s">
        <v>31</v>
      </c>
      <c r="M67" s="3" t="s">
        <v>1342</v>
      </c>
      <c r="N67" s="3" t="s">
        <v>125</v>
      </c>
      <c r="O67" s="3" t="s">
        <v>34</v>
      </c>
      <c r="P67" s="145">
        <v>1137800</v>
      </c>
      <c r="Q67" s="153">
        <v>1</v>
      </c>
      <c r="R67" s="163">
        <v>774.5</v>
      </c>
      <c r="T67" s="143">
        <v>8812.2610000000004</v>
      </c>
      <c r="U67" s="155">
        <v>4.8190000000000004E-3</v>
      </c>
      <c r="V67" s="155">
        <v>5.4411159706116999E-2</v>
      </c>
      <c r="W67" s="155">
        <v>7.5617830574856602E-3</v>
      </c>
    </row>
    <row r="68" spans="1:23">
      <c r="A68" s="3">
        <v>337</v>
      </c>
      <c r="B68" s="3">
        <v>9963</v>
      </c>
      <c r="C68" s="185" t="s">
        <v>1334</v>
      </c>
      <c r="D68" s="3" t="s">
        <v>1335</v>
      </c>
      <c r="E68" s="189" t="s">
        <v>118</v>
      </c>
      <c r="F68" s="3" t="s">
        <v>1346</v>
      </c>
      <c r="G68" s="3" t="s">
        <v>1347</v>
      </c>
      <c r="H68" s="3" t="s">
        <v>121</v>
      </c>
      <c r="I68" s="3" t="s">
        <v>1327</v>
      </c>
      <c r="J68" s="3" t="s">
        <v>30</v>
      </c>
      <c r="K68" s="37" t="s">
        <v>968</v>
      </c>
      <c r="L68" s="3" t="s">
        <v>31</v>
      </c>
      <c r="M68" s="3" t="s">
        <v>1348</v>
      </c>
      <c r="N68" s="3" t="s">
        <v>125</v>
      </c>
      <c r="O68" s="3" t="s">
        <v>34</v>
      </c>
      <c r="P68" s="145">
        <v>16336</v>
      </c>
      <c r="Q68" s="153">
        <v>1</v>
      </c>
      <c r="R68" s="163">
        <v>21020</v>
      </c>
      <c r="T68" s="143">
        <v>3433.8270000000002</v>
      </c>
      <c r="U68" s="155">
        <v>1.431E-3</v>
      </c>
      <c r="V68" s="155">
        <v>2.1202109218327599E-2</v>
      </c>
      <c r="W68" s="155">
        <v>2.9465600648112202E-3</v>
      </c>
    </row>
    <row r="69" spans="1:23">
      <c r="A69" s="3">
        <v>337</v>
      </c>
      <c r="B69" s="3">
        <v>9963</v>
      </c>
      <c r="C69" s="185" t="s">
        <v>1349</v>
      </c>
      <c r="D69" s="3" t="s">
        <v>1350</v>
      </c>
      <c r="E69" s="189" t="s">
        <v>118</v>
      </c>
      <c r="F69" s="3" t="s">
        <v>1444</v>
      </c>
      <c r="G69" s="3" t="s">
        <v>1445</v>
      </c>
      <c r="H69" s="3" t="s">
        <v>121</v>
      </c>
      <c r="I69" s="3" t="s">
        <v>1307</v>
      </c>
      <c r="J69" s="3" t="s">
        <v>30</v>
      </c>
      <c r="K69" s="37" t="s">
        <v>30</v>
      </c>
      <c r="L69" s="3" t="s">
        <v>31</v>
      </c>
      <c r="M69" s="3" t="s">
        <v>1424</v>
      </c>
      <c r="N69" s="3" t="s">
        <v>125</v>
      </c>
      <c r="O69" s="3" t="s">
        <v>34</v>
      </c>
      <c r="P69" s="145">
        <v>2832</v>
      </c>
      <c r="Q69" s="153">
        <v>1</v>
      </c>
      <c r="R69" s="163">
        <v>5782.73</v>
      </c>
      <c r="T69" s="143">
        <v>163.767</v>
      </c>
      <c r="U69" s="155">
        <v>4.7199999999999998E-4</v>
      </c>
      <c r="V69" s="155">
        <v>1.01117609776509E-3</v>
      </c>
      <c r="W69" s="155">
        <v>1.4052805206713701E-4</v>
      </c>
    </row>
    <row r="70" spans="1:23">
      <c r="A70" s="3">
        <v>337</v>
      </c>
      <c r="B70" s="3">
        <v>9963</v>
      </c>
      <c r="C70" s="185" t="s">
        <v>1303</v>
      </c>
      <c r="D70" s="3" t="s">
        <v>1304</v>
      </c>
      <c r="E70" s="189" t="s">
        <v>118</v>
      </c>
      <c r="F70" s="3" t="s">
        <v>1358</v>
      </c>
      <c r="G70" s="3" t="s">
        <v>1359</v>
      </c>
      <c r="H70" s="3" t="s">
        <v>121</v>
      </c>
      <c r="I70" s="3" t="s">
        <v>1327</v>
      </c>
      <c r="J70" s="3" t="s">
        <v>30</v>
      </c>
      <c r="K70" s="37" t="s">
        <v>1341</v>
      </c>
      <c r="L70" s="3" t="s">
        <v>31</v>
      </c>
      <c r="M70" s="3" t="s">
        <v>1360</v>
      </c>
      <c r="N70" s="3" t="s">
        <v>125</v>
      </c>
      <c r="O70" s="3" t="s">
        <v>34</v>
      </c>
      <c r="P70" s="145">
        <v>110633</v>
      </c>
      <c r="Q70" s="153">
        <v>1</v>
      </c>
      <c r="R70" s="163">
        <v>8220</v>
      </c>
      <c r="T70" s="143">
        <v>9094.0329999999994</v>
      </c>
      <c r="U70" s="155">
        <v>7.9450000000000007E-3</v>
      </c>
      <c r="V70" s="155">
        <v>5.6150953787142098E-2</v>
      </c>
      <c r="W70" s="155">
        <v>7.8035706884875796E-3</v>
      </c>
    </row>
    <row r="71" spans="1:23">
      <c r="A71" s="3">
        <v>337</v>
      </c>
      <c r="B71" s="3">
        <v>9963</v>
      </c>
      <c r="C71" s="185" t="s">
        <v>1303</v>
      </c>
      <c r="D71" s="3" t="s">
        <v>1304</v>
      </c>
      <c r="E71" s="189" t="s">
        <v>118</v>
      </c>
      <c r="F71" s="3" t="s">
        <v>1305</v>
      </c>
      <c r="G71" s="3" t="s">
        <v>1306</v>
      </c>
      <c r="H71" s="3" t="s">
        <v>121</v>
      </c>
      <c r="I71" s="3" t="s">
        <v>1307</v>
      </c>
      <c r="J71" s="3" t="s">
        <v>30</v>
      </c>
      <c r="K71" s="37" t="s">
        <v>30</v>
      </c>
      <c r="L71" s="3" t="s">
        <v>31</v>
      </c>
      <c r="M71" s="3" t="s">
        <v>1308</v>
      </c>
      <c r="N71" s="3" t="s">
        <v>125</v>
      </c>
      <c r="O71" s="3" t="s">
        <v>34</v>
      </c>
      <c r="P71" s="145">
        <v>73572</v>
      </c>
      <c r="Q71" s="153">
        <v>1</v>
      </c>
      <c r="R71" s="163">
        <v>4274.3100000000004</v>
      </c>
      <c r="T71" s="143">
        <v>3144.6950000000002</v>
      </c>
      <c r="U71" s="155">
        <v>1.3619999999999999E-3</v>
      </c>
      <c r="V71" s="155">
        <v>1.94168694152442E-2</v>
      </c>
      <c r="W71" s="155">
        <v>2.6984566211533702E-3</v>
      </c>
    </row>
    <row r="72" spans="1:23">
      <c r="A72" s="3">
        <v>337</v>
      </c>
      <c r="B72" s="3">
        <v>9963</v>
      </c>
      <c r="C72" s="185" t="s">
        <v>1303</v>
      </c>
      <c r="D72" s="3" t="s">
        <v>1304</v>
      </c>
      <c r="E72" s="189" t="s">
        <v>118</v>
      </c>
      <c r="F72" s="3" t="s">
        <v>1446</v>
      </c>
      <c r="G72" s="3" t="s">
        <v>1447</v>
      </c>
      <c r="H72" s="3" t="s">
        <v>121</v>
      </c>
      <c r="I72" s="3" t="s">
        <v>1307</v>
      </c>
      <c r="J72" s="3" t="s">
        <v>30</v>
      </c>
      <c r="K72" s="37" t="s">
        <v>30</v>
      </c>
      <c r="L72" s="3" t="s">
        <v>31</v>
      </c>
      <c r="M72" s="3" t="s">
        <v>1441</v>
      </c>
      <c r="N72" s="3" t="s">
        <v>125</v>
      </c>
      <c r="O72" s="3" t="s">
        <v>34</v>
      </c>
      <c r="P72" s="145">
        <v>3860</v>
      </c>
      <c r="Q72" s="153">
        <v>1</v>
      </c>
      <c r="R72" s="163">
        <v>4341.57</v>
      </c>
      <c r="T72" s="143">
        <v>167.58500000000001</v>
      </c>
      <c r="U72" s="155">
        <v>9.8999999999999994E-5</v>
      </c>
      <c r="V72" s="155">
        <v>1.03474835161011E-3</v>
      </c>
      <c r="W72" s="155">
        <v>1.4380400263894601E-4</v>
      </c>
    </row>
    <row r="73" spans="1:23">
      <c r="A73" s="3">
        <v>337</v>
      </c>
      <c r="B73" s="3">
        <v>9963</v>
      </c>
      <c r="C73" s="185" t="s">
        <v>1363</v>
      </c>
      <c r="D73" s="3" t="s">
        <v>1364</v>
      </c>
      <c r="E73" s="189" t="s">
        <v>727</v>
      </c>
      <c r="F73" s="3" t="s">
        <v>1365</v>
      </c>
      <c r="G73" s="3" t="s">
        <v>1366</v>
      </c>
      <c r="H73" s="3" t="s">
        <v>121</v>
      </c>
      <c r="I73" s="3" t="s">
        <v>1327</v>
      </c>
      <c r="J73" s="3" t="s">
        <v>79</v>
      </c>
      <c r="K73" s="37" t="s">
        <v>1367</v>
      </c>
      <c r="L73" s="3" t="s">
        <v>1173</v>
      </c>
      <c r="M73" s="3" t="s">
        <v>1368</v>
      </c>
      <c r="N73" s="3" t="s">
        <v>125</v>
      </c>
      <c r="O73" s="3" t="s">
        <v>84</v>
      </c>
      <c r="P73" s="145">
        <v>90825</v>
      </c>
      <c r="Q73" s="153">
        <v>3.19</v>
      </c>
      <c r="R73" s="163">
        <v>7006</v>
      </c>
      <c r="T73" s="143">
        <v>20298.606</v>
      </c>
      <c r="U73" s="155">
        <v>0</v>
      </c>
      <c r="V73" s="155">
        <v>0.125333409316186</v>
      </c>
      <c r="W73" s="155">
        <v>1.7418192448441901E-2</v>
      </c>
    </row>
    <row r="74" spans="1:23">
      <c r="A74" s="3">
        <v>337</v>
      </c>
      <c r="B74" s="3">
        <v>9963</v>
      </c>
      <c r="C74" s="185" t="s">
        <v>1309</v>
      </c>
      <c r="D74" s="3" t="s">
        <v>1310</v>
      </c>
      <c r="E74" s="189" t="s">
        <v>727</v>
      </c>
      <c r="F74" s="3" t="s">
        <v>1369</v>
      </c>
      <c r="G74" s="3" t="s">
        <v>1370</v>
      </c>
      <c r="H74" s="3" t="s">
        <v>121</v>
      </c>
      <c r="I74" s="3" t="s">
        <v>1327</v>
      </c>
      <c r="J74" s="3" t="s">
        <v>79</v>
      </c>
      <c r="K74" s="37" t="s">
        <v>80</v>
      </c>
      <c r="L74" s="3" t="s">
        <v>1180</v>
      </c>
      <c r="M74" s="3" t="s">
        <v>1371</v>
      </c>
      <c r="N74" s="3" t="s">
        <v>125</v>
      </c>
      <c r="O74" s="3" t="s">
        <v>84</v>
      </c>
      <c r="P74" s="145">
        <v>11534</v>
      </c>
      <c r="Q74" s="153">
        <v>3.19</v>
      </c>
      <c r="R74" s="163">
        <v>24616</v>
      </c>
      <c r="T74" s="143">
        <v>9057.0779999999995</v>
      </c>
      <c r="U74" s="155">
        <v>4.0000000000000003E-5</v>
      </c>
      <c r="V74" s="155">
        <v>5.5922778922443003E-2</v>
      </c>
      <c r="W74" s="155">
        <v>7.7718601196383897E-3</v>
      </c>
    </row>
    <row r="75" spans="1:23">
      <c r="A75" s="3">
        <v>337</v>
      </c>
      <c r="B75" s="3">
        <v>9963</v>
      </c>
      <c r="C75" s="185" t="s">
        <v>1315</v>
      </c>
      <c r="D75" s="3" t="s">
        <v>1316</v>
      </c>
      <c r="E75" s="189" t="s">
        <v>727</v>
      </c>
      <c r="F75" s="3" t="s">
        <v>1372</v>
      </c>
      <c r="G75" s="3" t="s">
        <v>1373</v>
      </c>
      <c r="H75" s="3" t="s">
        <v>121</v>
      </c>
      <c r="I75" s="3" t="s">
        <v>1327</v>
      </c>
      <c r="J75" s="3" t="s">
        <v>79</v>
      </c>
      <c r="K75" s="37" t="s">
        <v>80</v>
      </c>
      <c r="L75" s="3" t="s">
        <v>1180</v>
      </c>
      <c r="M75" s="3" t="s">
        <v>1374</v>
      </c>
      <c r="N75" s="3" t="s">
        <v>125</v>
      </c>
      <c r="O75" s="3" t="s">
        <v>84</v>
      </c>
      <c r="P75" s="145">
        <v>15309</v>
      </c>
      <c r="Q75" s="153">
        <v>3.19</v>
      </c>
      <c r="R75" s="163">
        <v>5477</v>
      </c>
      <c r="T75" s="143">
        <v>2674.732</v>
      </c>
      <c r="U75" s="155">
        <v>1.7E-5</v>
      </c>
      <c r="V75" s="155">
        <v>1.6515087460269199E-2</v>
      </c>
      <c r="W75" s="155">
        <v>2.2951818932820502E-3</v>
      </c>
    </row>
    <row r="76" spans="1:23">
      <c r="A76" s="3">
        <v>337</v>
      </c>
      <c r="B76" s="3">
        <v>9963</v>
      </c>
      <c r="C76" s="185" t="s">
        <v>1309</v>
      </c>
      <c r="D76" s="3" t="s">
        <v>1310</v>
      </c>
      <c r="E76" s="189" t="s">
        <v>727</v>
      </c>
      <c r="F76" s="3" t="s">
        <v>1379</v>
      </c>
      <c r="G76" s="3" t="s">
        <v>1380</v>
      </c>
      <c r="H76" s="3" t="s">
        <v>121</v>
      </c>
      <c r="I76" s="3" t="s">
        <v>1327</v>
      </c>
      <c r="J76" s="3" t="s">
        <v>79</v>
      </c>
      <c r="K76" s="37" t="s">
        <v>80</v>
      </c>
      <c r="L76" s="3" t="s">
        <v>1381</v>
      </c>
      <c r="M76" s="3" t="s">
        <v>1382</v>
      </c>
      <c r="N76" s="3" t="s">
        <v>125</v>
      </c>
      <c r="O76" s="3" t="s">
        <v>84</v>
      </c>
      <c r="P76" s="145">
        <v>5084</v>
      </c>
      <c r="Q76" s="153">
        <v>3.19</v>
      </c>
      <c r="R76" s="163">
        <v>21469</v>
      </c>
      <c r="T76" s="143">
        <v>3481.8339999999998</v>
      </c>
      <c r="U76" s="155">
        <v>9.9999999999999995E-7</v>
      </c>
      <c r="V76" s="155">
        <v>2.1498525375596302E-2</v>
      </c>
      <c r="W76" s="155">
        <v>2.9877544574341002E-3</v>
      </c>
    </row>
    <row r="77" spans="1:23">
      <c r="A77" s="3">
        <v>337</v>
      </c>
      <c r="B77" s="3">
        <v>9963</v>
      </c>
      <c r="C77" s="185" t="s">
        <v>1309</v>
      </c>
      <c r="D77" s="3" t="s">
        <v>1310</v>
      </c>
      <c r="E77" s="189" t="s">
        <v>727</v>
      </c>
      <c r="F77" s="3" t="s">
        <v>1383</v>
      </c>
      <c r="G77" s="3" t="s">
        <v>1384</v>
      </c>
      <c r="H77" s="3" t="s">
        <v>121</v>
      </c>
      <c r="I77" s="3" t="s">
        <v>1327</v>
      </c>
      <c r="J77" s="3" t="s">
        <v>79</v>
      </c>
      <c r="K77" s="37" t="s">
        <v>1385</v>
      </c>
      <c r="L77" s="3" t="s">
        <v>1180</v>
      </c>
      <c r="M77" s="3" t="s">
        <v>1368</v>
      </c>
      <c r="N77" s="3" t="s">
        <v>125</v>
      </c>
      <c r="O77" s="3" t="s">
        <v>84</v>
      </c>
      <c r="P77" s="145">
        <v>19163</v>
      </c>
      <c r="Q77" s="153">
        <v>3.19</v>
      </c>
      <c r="R77" s="163">
        <v>5471</v>
      </c>
      <c r="T77" s="143">
        <v>3344.4209999999998</v>
      </c>
      <c r="U77" s="155">
        <v>2.9E-5</v>
      </c>
      <c r="V77" s="155">
        <v>2.0650070008703E-2</v>
      </c>
      <c r="W77" s="155">
        <v>2.8698404954259401E-3</v>
      </c>
    </row>
    <row r="78" spans="1:23">
      <c r="A78" s="3">
        <v>337</v>
      </c>
      <c r="B78" s="3">
        <v>9963</v>
      </c>
      <c r="C78" s="185" t="s">
        <v>1309</v>
      </c>
      <c r="D78" s="3" t="s">
        <v>1310</v>
      </c>
      <c r="E78" s="189" t="s">
        <v>727</v>
      </c>
      <c r="F78" s="3" t="s">
        <v>1386</v>
      </c>
      <c r="G78" s="3" t="s">
        <v>1387</v>
      </c>
      <c r="H78" s="3" t="s">
        <v>121</v>
      </c>
      <c r="I78" s="3" t="s">
        <v>1327</v>
      </c>
      <c r="J78" s="3" t="s">
        <v>79</v>
      </c>
      <c r="K78" s="37" t="s">
        <v>80</v>
      </c>
      <c r="L78" s="3" t="s">
        <v>1180</v>
      </c>
      <c r="M78" s="3" t="s">
        <v>1333</v>
      </c>
      <c r="N78" s="3" t="s">
        <v>125</v>
      </c>
      <c r="O78" s="3" t="s">
        <v>84</v>
      </c>
      <c r="P78" s="145">
        <v>2656</v>
      </c>
      <c r="Q78" s="153">
        <v>3.19</v>
      </c>
      <c r="R78" s="163">
        <v>68494</v>
      </c>
      <c r="T78" s="143">
        <v>5803.25</v>
      </c>
      <c r="U78" s="155">
        <v>3.9999999999999998E-6</v>
      </c>
      <c r="V78" s="155">
        <v>3.5832071341058598E-2</v>
      </c>
      <c r="W78" s="155">
        <v>4.9797569367184902E-3</v>
      </c>
    </row>
    <row r="79" spans="1:23">
      <c r="A79" s="3">
        <v>337</v>
      </c>
      <c r="B79" s="3">
        <v>9963</v>
      </c>
      <c r="C79" s="185" t="s">
        <v>1388</v>
      </c>
      <c r="D79" s="3" t="s">
        <v>1389</v>
      </c>
      <c r="E79" s="189" t="s">
        <v>727</v>
      </c>
      <c r="F79" s="3" t="s">
        <v>1390</v>
      </c>
      <c r="G79" s="3" t="s">
        <v>1391</v>
      </c>
      <c r="H79" s="3" t="s">
        <v>121</v>
      </c>
      <c r="I79" s="3" t="s">
        <v>1327</v>
      </c>
      <c r="J79" s="3" t="s">
        <v>79</v>
      </c>
      <c r="K79" s="37" t="s">
        <v>1179</v>
      </c>
      <c r="L79" s="3" t="s">
        <v>1180</v>
      </c>
      <c r="M79" s="3" t="s">
        <v>1392</v>
      </c>
      <c r="N79" s="3" t="s">
        <v>125</v>
      </c>
      <c r="O79" s="3" t="s">
        <v>84</v>
      </c>
      <c r="P79" s="145">
        <v>6944</v>
      </c>
      <c r="Q79" s="153">
        <v>3.19</v>
      </c>
      <c r="R79" s="163">
        <v>3405</v>
      </c>
      <c r="T79" s="143">
        <v>754.25400000000002</v>
      </c>
      <c r="U79" s="155">
        <v>2.8E-5</v>
      </c>
      <c r="V79" s="155">
        <v>4.65712765498377E-3</v>
      </c>
      <c r="W79" s="155">
        <v>6.4722364287422298E-4</v>
      </c>
    </row>
    <row r="80" spans="1:23">
      <c r="A80" s="3">
        <v>337</v>
      </c>
      <c r="B80" s="3">
        <v>9963</v>
      </c>
      <c r="C80" s="185" t="s">
        <v>1393</v>
      </c>
      <c r="D80" s="3" t="s">
        <v>1364</v>
      </c>
      <c r="E80" s="189" t="s">
        <v>727</v>
      </c>
      <c r="F80" s="3" t="s">
        <v>1396</v>
      </c>
      <c r="G80" s="3" t="s">
        <v>1395</v>
      </c>
      <c r="H80" s="3" t="s">
        <v>121</v>
      </c>
      <c r="I80" s="3" t="s">
        <v>1327</v>
      </c>
      <c r="J80" s="3" t="s">
        <v>79</v>
      </c>
      <c r="K80" s="37" t="s">
        <v>80</v>
      </c>
      <c r="L80" s="3" t="s">
        <v>1251</v>
      </c>
      <c r="M80" s="3" t="s">
        <v>1333</v>
      </c>
      <c r="N80" s="3" t="s">
        <v>125</v>
      </c>
      <c r="O80" s="3" t="s">
        <v>84</v>
      </c>
      <c r="P80" s="145">
        <v>4215</v>
      </c>
      <c r="Q80" s="153">
        <v>3.19</v>
      </c>
      <c r="R80" s="163">
        <v>49771.5</v>
      </c>
      <c r="T80" s="143">
        <v>6692.201</v>
      </c>
      <c r="U80" s="155">
        <v>4.75E-4</v>
      </c>
      <c r="V80" s="155">
        <v>4.1320885759129601E-2</v>
      </c>
      <c r="W80" s="155">
        <v>5.7425641273100804E-3</v>
      </c>
    </row>
    <row r="81" spans="1:23">
      <c r="A81" s="3">
        <v>337</v>
      </c>
      <c r="B81" s="3">
        <v>9963</v>
      </c>
      <c r="C81" s="185" t="s">
        <v>1309</v>
      </c>
      <c r="D81" s="3" t="s">
        <v>1310</v>
      </c>
      <c r="E81" s="189" t="s">
        <v>727</v>
      </c>
      <c r="F81" s="3" t="s">
        <v>1397</v>
      </c>
      <c r="G81" s="3" t="s">
        <v>1398</v>
      </c>
      <c r="H81" s="3" t="s">
        <v>121</v>
      </c>
      <c r="I81" s="3" t="s">
        <v>1327</v>
      </c>
      <c r="J81" s="3" t="s">
        <v>79</v>
      </c>
      <c r="K81" s="37" t="s">
        <v>1179</v>
      </c>
      <c r="L81" s="3" t="s">
        <v>1173</v>
      </c>
      <c r="M81" s="3" t="s">
        <v>1392</v>
      </c>
      <c r="N81" s="3" t="s">
        <v>125</v>
      </c>
      <c r="O81" s="3" t="s">
        <v>84</v>
      </c>
      <c r="P81" s="145">
        <v>20000</v>
      </c>
      <c r="Q81" s="153">
        <v>3.19</v>
      </c>
      <c r="R81" s="163">
        <v>6007</v>
      </c>
      <c r="T81" s="143">
        <v>3832.4659999999999</v>
      </c>
      <c r="U81" s="155">
        <v>1.26E-4</v>
      </c>
      <c r="V81" s="155">
        <v>2.3663497891660699E-2</v>
      </c>
      <c r="W81" s="155">
        <v>3.2886312000052899E-3</v>
      </c>
    </row>
    <row r="82" spans="1:23">
      <c r="A82" s="3">
        <v>337</v>
      </c>
      <c r="B82" s="3">
        <v>9963</v>
      </c>
      <c r="C82" s="185" t="s">
        <v>1399</v>
      </c>
      <c r="D82" s="3" t="s">
        <v>1400</v>
      </c>
      <c r="E82" s="189" t="s">
        <v>727</v>
      </c>
      <c r="F82" s="3" t="s">
        <v>1401</v>
      </c>
      <c r="G82" s="3" t="s">
        <v>1402</v>
      </c>
      <c r="H82" s="3" t="s">
        <v>121</v>
      </c>
      <c r="I82" s="3" t="s">
        <v>1327</v>
      </c>
      <c r="J82" s="3" t="s">
        <v>79</v>
      </c>
      <c r="K82" s="37" t="s">
        <v>80</v>
      </c>
      <c r="L82" s="3" t="s">
        <v>1173</v>
      </c>
      <c r="M82" s="3" t="s">
        <v>1403</v>
      </c>
      <c r="N82" s="3" t="s">
        <v>125</v>
      </c>
      <c r="O82" s="3" t="s">
        <v>84</v>
      </c>
      <c r="P82" s="145">
        <v>3843</v>
      </c>
      <c r="Q82" s="153">
        <v>3.19</v>
      </c>
      <c r="R82" s="163">
        <v>61431</v>
      </c>
      <c r="T82" s="143">
        <v>7530.9309999999996</v>
      </c>
      <c r="U82" s="155">
        <v>6.9999999999999999E-6</v>
      </c>
      <c r="V82" s="155">
        <v>4.6499607114284601E-2</v>
      </c>
      <c r="W82" s="155">
        <v>6.4622761792928196E-3</v>
      </c>
    </row>
    <row r="83" spans="1:23">
      <c r="A83" s="3">
        <v>337</v>
      </c>
      <c r="B83" s="3">
        <v>9963</v>
      </c>
      <c r="C83" s="185" t="s">
        <v>1315</v>
      </c>
      <c r="D83" s="3" t="s">
        <v>1316</v>
      </c>
      <c r="E83" s="189" t="s">
        <v>727</v>
      </c>
      <c r="F83" s="3" t="s">
        <v>1317</v>
      </c>
      <c r="G83" s="3" t="s">
        <v>1318</v>
      </c>
      <c r="H83" s="3" t="s">
        <v>121</v>
      </c>
      <c r="I83" s="3" t="s">
        <v>1313</v>
      </c>
      <c r="J83" s="3" t="s">
        <v>79</v>
      </c>
      <c r="K83" s="37" t="s">
        <v>80</v>
      </c>
      <c r="L83" s="3" t="s">
        <v>1180</v>
      </c>
      <c r="M83" s="3" t="s">
        <v>1314</v>
      </c>
      <c r="N83" s="3" t="s">
        <v>125</v>
      </c>
      <c r="O83" s="3" t="s">
        <v>84</v>
      </c>
      <c r="P83" s="145">
        <v>323004</v>
      </c>
      <c r="Q83" s="153">
        <v>3.19</v>
      </c>
      <c r="R83" s="163">
        <v>1163.0999999999999</v>
      </c>
      <c r="T83" s="143">
        <v>11984.382</v>
      </c>
      <c r="U83" s="155">
        <v>0</v>
      </c>
      <c r="V83" s="155">
        <v>7.3997367592341698E-2</v>
      </c>
      <c r="W83" s="155">
        <v>1.02837734681733E-2</v>
      </c>
    </row>
    <row r="84" spans="1:23">
      <c r="A84" s="3">
        <v>337</v>
      </c>
      <c r="B84" s="3">
        <v>9963</v>
      </c>
      <c r="C84" s="185" t="s">
        <v>1315</v>
      </c>
      <c r="D84" s="3" t="s">
        <v>1316</v>
      </c>
      <c r="E84" s="189" t="s">
        <v>727</v>
      </c>
      <c r="F84" s="3" t="s">
        <v>1406</v>
      </c>
      <c r="G84" s="3" t="s">
        <v>1407</v>
      </c>
      <c r="H84" s="3" t="s">
        <v>121</v>
      </c>
      <c r="I84" s="3" t="s">
        <v>1327</v>
      </c>
      <c r="J84" s="3" t="s">
        <v>79</v>
      </c>
      <c r="K84" s="37" t="s">
        <v>80</v>
      </c>
      <c r="L84" s="3" t="s">
        <v>1180</v>
      </c>
      <c r="M84" s="3" t="s">
        <v>1333</v>
      </c>
      <c r="N84" s="3" t="s">
        <v>125</v>
      </c>
      <c r="O84" s="3" t="s">
        <v>84</v>
      </c>
      <c r="P84" s="145">
        <v>1875</v>
      </c>
      <c r="Q84" s="153">
        <v>3.19</v>
      </c>
      <c r="R84" s="163">
        <v>68192</v>
      </c>
      <c r="S84" s="143">
        <v>2.609</v>
      </c>
      <c r="T84" s="143">
        <v>4087.056</v>
      </c>
      <c r="U84" s="155">
        <v>1.9999999999999999E-6</v>
      </c>
      <c r="V84" s="155">
        <v>2.5235462411844801E-2</v>
      </c>
      <c r="W84" s="155">
        <v>3.5070947420415099E-3</v>
      </c>
    </row>
    <row r="85" spans="1:23">
      <c r="A85" s="3">
        <v>337</v>
      </c>
      <c r="B85" s="3">
        <v>9963</v>
      </c>
      <c r="C85" s="185" t="s">
        <v>1315</v>
      </c>
      <c r="D85" s="3" t="s">
        <v>1316</v>
      </c>
      <c r="E85" s="189" t="s">
        <v>727</v>
      </c>
      <c r="F85" s="3" t="s">
        <v>1408</v>
      </c>
      <c r="G85" s="3" t="s">
        <v>1409</v>
      </c>
      <c r="H85" s="3" t="s">
        <v>121</v>
      </c>
      <c r="I85" s="3" t="s">
        <v>1327</v>
      </c>
      <c r="J85" s="3" t="s">
        <v>79</v>
      </c>
      <c r="K85" s="37" t="s">
        <v>80</v>
      </c>
      <c r="L85" s="140" t="s">
        <v>1180</v>
      </c>
      <c r="M85" s="190" t="s">
        <v>1382</v>
      </c>
      <c r="N85" s="3" t="s">
        <v>125</v>
      </c>
      <c r="O85" s="3" t="s">
        <v>84</v>
      </c>
      <c r="P85" s="145">
        <v>5967</v>
      </c>
      <c r="Q85" s="153">
        <v>3.19</v>
      </c>
      <c r="R85" s="163">
        <v>12193</v>
      </c>
      <c r="T85" s="143">
        <v>2320.9050000000002</v>
      </c>
      <c r="U85" s="155">
        <v>7.7000000000000001E-5</v>
      </c>
      <c r="V85" s="155">
        <v>1.43303872213663E-2</v>
      </c>
      <c r="W85" s="155">
        <v>1.9915634932801099E-3</v>
      </c>
    </row>
    <row r="86" spans="1:23">
      <c r="A86" s="3">
        <v>337</v>
      </c>
      <c r="B86" s="3">
        <v>9963</v>
      </c>
      <c r="C86" s="185" t="s">
        <v>1411</v>
      </c>
      <c r="D86" s="3" t="s">
        <v>1412</v>
      </c>
      <c r="E86" s="189" t="s">
        <v>727</v>
      </c>
      <c r="F86" s="3" t="s">
        <v>1413</v>
      </c>
      <c r="G86" s="3" t="s">
        <v>1414</v>
      </c>
      <c r="H86" s="3" t="s">
        <v>121</v>
      </c>
      <c r="I86" s="3" t="s">
        <v>1327</v>
      </c>
      <c r="J86" s="3" t="s">
        <v>79</v>
      </c>
      <c r="K86" s="37" t="s">
        <v>80</v>
      </c>
      <c r="L86" s="3" t="s">
        <v>1173</v>
      </c>
      <c r="M86" s="3" t="s">
        <v>1415</v>
      </c>
      <c r="N86" s="3" t="s">
        <v>125</v>
      </c>
      <c r="O86" s="3" t="s">
        <v>84</v>
      </c>
      <c r="P86" s="145">
        <v>2706</v>
      </c>
      <c r="Q86" s="153">
        <v>3.19</v>
      </c>
      <c r="R86" s="163">
        <v>36013</v>
      </c>
      <c r="T86" s="143">
        <v>3108.6930000000002</v>
      </c>
      <c r="U86" s="155">
        <v>1.18E-4</v>
      </c>
      <c r="V86" s="155">
        <v>1.9194570876834099E-2</v>
      </c>
      <c r="W86" s="155">
        <v>2.6675627139010299E-3</v>
      </c>
    </row>
    <row r="87" spans="1:23">
      <c r="A87" s="3">
        <v>337</v>
      </c>
      <c r="B87" s="3">
        <v>9963</v>
      </c>
      <c r="C87" s="185" t="s">
        <v>1416</v>
      </c>
      <c r="D87" s="3" t="s">
        <v>1417</v>
      </c>
      <c r="E87" s="189" t="s">
        <v>727</v>
      </c>
      <c r="F87" s="3" t="s">
        <v>1418</v>
      </c>
      <c r="G87" s="3" t="s">
        <v>1419</v>
      </c>
      <c r="H87" s="3" t="s">
        <v>121</v>
      </c>
      <c r="I87" s="3" t="s">
        <v>1327</v>
      </c>
      <c r="J87" s="3" t="s">
        <v>79</v>
      </c>
      <c r="K87" s="37" t="s">
        <v>80</v>
      </c>
      <c r="L87" s="3" t="s">
        <v>1180</v>
      </c>
      <c r="M87" s="3" t="s">
        <v>1333</v>
      </c>
      <c r="N87" s="3" t="s">
        <v>125</v>
      </c>
      <c r="O87" s="3" t="s">
        <v>84</v>
      </c>
      <c r="P87" s="145">
        <v>2369</v>
      </c>
      <c r="Q87" s="153">
        <v>3.19</v>
      </c>
      <c r="R87" s="163">
        <v>62713</v>
      </c>
      <c r="T87" s="143">
        <v>4739.29</v>
      </c>
      <c r="U87" s="155">
        <v>3.0000000000000001E-6</v>
      </c>
      <c r="V87" s="155">
        <v>2.9262670106789099E-2</v>
      </c>
      <c r="W87" s="155">
        <v>4.0667753494956996E-3</v>
      </c>
    </row>
    <row r="88" spans="1:23">
      <c r="A88" s="3">
        <v>337</v>
      </c>
      <c r="B88" s="3">
        <v>9964</v>
      </c>
      <c r="C88" s="185" t="s">
        <v>1319</v>
      </c>
      <c r="D88" s="3" t="s">
        <v>1320</v>
      </c>
      <c r="E88" s="189" t="s">
        <v>118</v>
      </c>
      <c r="F88" s="3" t="s">
        <v>1420</v>
      </c>
      <c r="G88" s="3" t="s">
        <v>1421</v>
      </c>
      <c r="H88" s="3" t="s">
        <v>121</v>
      </c>
      <c r="I88" s="3" t="s">
        <v>1327</v>
      </c>
      <c r="J88" s="3" t="s">
        <v>30</v>
      </c>
      <c r="K88" s="37" t="s">
        <v>80</v>
      </c>
      <c r="L88" s="3" t="s">
        <v>31</v>
      </c>
      <c r="M88" s="3" t="s">
        <v>1333</v>
      </c>
      <c r="N88" s="3" t="s">
        <v>125</v>
      </c>
      <c r="O88" s="3" t="s">
        <v>34</v>
      </c>
      <c r="P88" s="145">
        <v>466</v>
      </c>
      <c r="Q88" s="153">
        <v>1</v>
      </c>
      <c r="R88" s="163">
        <v>9445</v>
      </c>
      <c r="T88" s="143">
        <v>44.014000000000003</v>
      </c>
      <c r="U88" s="155">
        <v>5.0000000000000004E-6</v>
      </c>
      <c r="V88" s="155">
        <v>5.6180464785285404E-3</v>
      </c>
      <c r="W88" s="155">
        <v>1.0091679472582101E-3</v>
      </c>
    </row>
    <row r="89" spans="1:23">
      <c r="A89" s="3">
        <v>337</v>
      </c>
      <c r="B89" s="3">
        <v>9964</v>
      </c>
      <c r="C89" s="185" t="s">
        <v>1319</v>
      </c>
      <c r="D89" s="3" t="s">
        <v>1320</v>
      </c>
      <c r="E89" s="189" t="s">
        <v>118</v>
      </c>
      <c r="F89" s="3" t="s">
        <v>1448</v>
      </c>
      <c r="G89" s="3" t="s">
        <v>1449</v>
      </c>
      <c r="H89" s="3" t="s">
        <v>121</v>
      </c>
      <c r="I89" s="3" t="s">
        <v>1307</v>
      </c>
      <c r="J89" s="3" t="s">
        <v>30</v>
      </c>
      <c r="K89" s="37" t="s">
        <v>30</v>
      </c>
      <c r="L89" s="3" t="s">
        <v>31</v>
      </c>
      <c r="M89" s="3" t="s">
        <v>1441</v>
      </c>
      <c r="N89" s="3" t="s">
        <v>125</v>
      </c>
      <c r="O89" s="3" t="s">
        <v>34</v>
      </c>
      <c r="P89" s="145">
        <v>166566</v>
      </c>
      <c r="Q89" s="153">
        <v>1</v>
      </c>
      <c r="R89" s="163">
        <v>445.75</v>
      </c>
      <c r="T89" s="143">
        <v>742.46799999999996</v>
      </c>
      <c r="U89" s="155">
        <v>3.143E-3</v>
      </c>
      <c r="V89" s="155">
        <v>9.4770933228235099E-2</v>
      </c>
      <c r="W89" s="155">
        <v>1.70236733553569E-2</v>
      </c>
    </row>
    <row r="90" spans="1:23">
      <c r="A90" s="3">
        <v>337</v>
      </c>
      <c r="B90" s="3">
        <v>9964</v>
      </c>
      <c r="C90" s="185" t="s">
        <v>1319</v>
      </c>
      <c r="D90" s="3" t="s">
        <v>1320</v>
      </c>
      <c r="E90" s="189" t="s">
        <v>118</v>
      </c>
      <c r="F90" s="3" t="s">
        <v>1422</v>
      </c>
      <c r="G90" s="3" t="s">
        <v>1423</v>
      </c>
      <c r="H90" s="3" t="s">
        <v>121</v>
      </c>
      <c r="I90" s="3" t="s">
        <v>1307</v>
      </c>
      <c r="J90" s="3" t="s">
        <v>30</v>
      </c>
      <c r="K90" s="37" t="s">
        <v>30</v>
      </c>
      <c r="L90" s="3" t="s">
        <v>31</v>
      </c>
      <c r="M90" s="3" t="s">
        <v>1424</v>
      </c>
      <c r="N90" s="3" t="s">
        <v>125</v>
      </c>
      <c r="O90" s="3" t="s">
        <v>34</v>
      </c>
      <c r="P90" s="145">
        <v>12861</v>
      </c>
      <c r="Q90" s="153">
        <v>1</v>
      </c>
      <c r="R90" s="163">
        <v>505.55</v>
      </c>
      <c r="T90" s="143">
        <v>65.019000000000005</v>
      </c>
      <c r="U90" s="155">
        <v>6.0999999999999999E-5</v>
      </c>
      <c r="V90" s="155">
        <v>8.2992013604054494E-3</v>
      </c>
      <c r="W90" s="155">
        <v>1.4907829674909599E-3</v>
      </c>
    </row>
    <row r="91" spans="1:23">
      <c r="A91" s="3">
        <v>337</v>
      </c>
      <c r="B91" s="3">
        <v>9964</v>
      </c>
      <c r="C91" s="185" t="s">
        <v>1319</v>
      </c>
      <c r="D91" s="3" t="s">
        <v>1320</v>
      </c>
      <c r="E91" s="189" t="s">
        <v>118</v>
      </c>
      <c r="F91" s="3" t="s">
        <v>1439</v>
      </c>
      <c r="G91" s="3" t="s">
        <v>1440</v>
      </c>
      <c r="H91" s="3" t="s">
        <v>121</v>
      </c>
      <c r="I91" s="3" t="s">
        <v>1307</v>
      </c>
      <c r="J91" s="3" t="s">
        <v>30</v>
      </c>
      <c r="K91" s="37" t="s">
        <v>30</v>
      </c>
      <c r="L91" s="3" t="s">
        <v>31</v>
      </c>
      <c r="M91" s="3" t="s">
        <v>1441</v>
      </c>
      <c r="N91" s="3" t="s">
        <v>125</v>
      </c>
      <c r="O91" s="3" t="s">
        <v>34</v>
      </c>
      <c r="P91" s="145">
        <v>100000</v>
      </c>
      <c r="Q91" s="153">
        <v>1</v>
      </c>
      <c r="R91" s="163">
        <v>498.26</v>
      </c>
      <c r="T91" s="143">
        <v>498.26</v>
      </c>
      <c r="U91" s="155">
        <v>4.06E-4</v>
      </c>
      <c r="V91" s="155">
        <v>6.3599466493197102E-2</v>
      </c>
      <c r="W91" s="155">
        <v>1.14243524493709E-2</v>
      </c>
    </row>
    <row r="92" spans="1:23">
      <c r="A92" s="3">
        <v>337</v>
      </c>
      <c r="B92" s="3">
        <v>9964</v>
      </c>
      <c r="C92" s="185" t="s">
        <v>1319</v>
      </c>
      <c r="D92" s="3" t="s">
        <v>1320</v>
      </c>
      <c r="E92" s="189" t="s">
        <v>118</v>
      </c>
      <c r="F92" s="3" t="s">
        <v>1325</v>
      </c>
      <c r="G92" s="3" t="s">
        <v>1326</v>
      </c>
      <c r="H92" s="3" t="s">
        <v>121</v>
      </c>
      <c r="I92" s="3" t="s">
        <v>1327</v>
      </c>
      <c r="J92" s="3" t="s">
        <v>30</v>
      </c>
      <c r="K92" s="37" t="s">
        <v>80</v>
      </c>
      <c r="L92" s="3" t="s">
        <v>31</v>
      </c>
      <c r="M92" s="3" t="s">
        <v>1328</v>
      </c>
      <c r="N92" s="3" t="s">
        <v>125</v>
      </c>
      <c r="O92" s="3" t="s">
        <v>34</v>
      </c>
      <c r="P92" s="145">
        <v>3217</v>
      </c>
      <c r="Q92" s="153">
        <v>1</v>
      </c>
      <c r="R92" s="163">
        <v>8701</v>
      </c>
      <c r="T92" s="143">
        <v>279.911</v>
      </c>
      <c r="U92" s="155">
        <v>1.3200000000000001E-4</v>
      </c>
      <c r="V92" s="155">
        <v>3.5728738163783198E-2</v>
      </c>
      <c r="W92" s="155">
        <v>6.4179421599080298E-3</v>
      </c>
    </row>
    <row r="93" spans="1:23">
      <c r="A93" s="3">
        <v>337</v>
      </c>
      <c r="B93" s="3">
        <v>9964</v>
      </c>
      <c r="C93" s="185" t="s">
        <v>1319</v>
      </c>
      <c r="D93" s="3" t="s">
        <v>1320</v>
      </c>
      <c r="E93" s="189" t="s">
        <v>118</v>
      </c>
      <c r="F93" s="3" t="s">
        <v>1450</v>
      </c>
      <c r="G93" s="3" t="s">
        <v>1451</v>
      </c>
      <c r="H93" s="3" t="s">
        <v>121</v>
      </c>
      <c r="I93" s="3" t="s">
        <v>1327</v>
      </c>
      <c r="J93" s="3" t="s">
        <v>30</v>
      </c>
      <c r="K93" s="37" t="s">
        <v>1341</v>
      </c>
      <c r="L93" s="3" t="s">
        <v>31</v>
      </c>
      <c r="M93" s="3" t="s">
        <v>1342</v>
      </c>
      <c r="N93" s="3" t="s">
        <v>125</v>
      </c>
      <c r="O93" s="3" t="s">
        <v>34</v>
      </c>
      <c r="P93" s="145">
        <v>1057</v>
      </c>
      <c r="Q93" s="153">
        <v>1</v>
      </c>
      <c r="R93" s="163">
        <v>8963</v>
      </c>
      <c r="T93" s="143">
        <v>94.739000000000004</v>
      </c>
      <c r="U93" s="155">
        <v>2.5900000000000001E-4</v>
      </c>
      <c r="V93" s="155">
        <v>1.2092771107748999E-2</v>
      </c>
      <c r="W93" s="155">
        <v>2.1722207251419498E-3</v>
      </c>
    </row>
    <row r="94" spans="1:23">
      <c r="A94" s="3">
        <v>337</v>
      </c>
      <c r="B94" s="3">
        <v>9964</v>
      </c>
      <c r="C94" s="185" t="s">
        <v>1329</v>
      </c>
      <c r="D94" s="3" t="s">
        <v>1330</v>
      </c>
      <c r="E94" s="189" t="s">
        <v>118</v>
      </c>
      <c r="F94" s="3" t="s">
        <v>1452</v>
      </c>
      <c r="G94" s="3" t="s">
        <v>1453</v>
      </c>
      <c r="H94" s="3" t="s">
        <v>121</v>
      </c>
      <c r="I94" s="3" t="s">
        <v>1307</v>
      </c>
      <c r="J94" s="3" t="s">
        <v>30</v>
      </c>
      <c r="K94" s="37" t="s">
        <v>30</v>
      </c>
      <c r="L94" s="3" t="s">
        <v>31</v>
      </c>
      <c r="M94" s="3" t="s">
        <v>1424</v>
      </c>
      <c r="N94" s="3" t="s">
        <v>125</v>
      </c>
      <c r="O94" s="3" t="s">
        <v>34</v>
      </c>
      <c r="P94" s="145">
        <v>101061</v>
      </c>
      <c r="Q94" s="153">
        <v>1</v>
      </c>
      <c r="R94" s="163">
        <v>397.01</v>
      </c>
      <c r="T94" s="143">
        <v>401.22199999999998</v>
      </c>
      <c r="U94" s="155">
        <v>7.3999999999999996E-5</v>
      </c>
      <c r="V94" s="155">
        <v>5.1213267581475999E-2</v>
      </c>
      <c r="W94" s="155">
        <v>9.19942337876852E-3</v>
      </c>
    </row>
    <row r="95" spans="1:23">
      <c r="A95" s="3">
        <v>337</v>
      </c>
      <c r="B95" s="3">
        <v>9964</v>
      </c>
      <c r="C95" s="185" t="s">
        <v>1334</v>
      </c>
      <c r="D95" s="3" t="s">
        <v>1335</v>
      </c>
      <c r="E95" s="189" t="s">
        <v>118</v>
      </c>
      <c r="F95" s="3" t="s">
        <v>1336</v>
      </c>
      <c r="G95" s="3" t="s">
        <v>1337</v>
      </c>
      <c r="H95" s="3" t="s">
        <v>121</v>
      </c>
      <c r="I95" s="3" t="s">
        <v>1327</v>
      </c>
      <c r="J95" s="3" t="s">
        <v>30</v>
      </c>
      <c r="K95" s="37" t="s">
        <v>138</v>
      </c>
      <c r="L95" s="3" t="s">
        <v>31</v>
      </c>
      <c r="M95" s="3" t="s">
        <v>1338</v>
      </c>
      <c r="N95" s="3" t="s">
        <v>125</v>
      </c>
      <c r="O95" s="3" t="s">
        <v>34</v>
      </c>
      <c r="P95" s="145">
        <v>46837</v>
      </c>
      <c r="Q95" s="153">
        <v>1</v>
      </c>
      <c r="R95" s="163">
        <v>958.8</v>
      </c>
      <c r="T95" s="143">
        <v>449.07299999999998</v>
      </c>
      <c r="U95" s="155">
        <v>9.2999999999999997E-5</v>
      </c>
      <c r="V95" s="155">
        <v>5.7321103716967602E-2</v>
      </c>
      <c r="W95" s="155">
        <v>1.0296572090264799E-2</v>
      </c>
    </row>
    <row r="96" spans="1:23">
      <c r="A96" s="3">
        <v>337</v>
      </c>
      <c r="B96" s="3">
        <v>9964</v>
      </c>
      <c r="C96" s="185" t="s">
        <v>1334</v>
      </c>
      <c r="D96" s="3" t="s">
        <v>1335</v>
      </c>
      <c r="E96" s="189" t="s">
        <v>118</v>
      </c>
      <c r="F96" s="3" t="s">
        <v>1454</v>
      </c>
      <c r="G96" s="3" t="s">
        <v>1455</v>
      </c>
      <c r="H96" s="3" t="s">
        <v>121</v>
      </c>
      <c r="I96" s="3" t="s">
        <v>1307</v>
      </c>
      <c r="J96" s="3" t="s">
        <v>30</v>
      </c>
      <c r="K96" s="37" t="s">
        <v>30</v>
      </c>
      <c r="L96" s="3" t="s">
        <v>31</v>
      </c>
      <c r="M96" s="3" t="s">
        <v>1441</v>
      </c>
      <c r="N96" s="3" t="s">
        <v>125</v>
      </c>
      <c r="O96" s="3" t="s">
        <v>34</v>
      </c>
      <c r="P96" s="145">
        <v>62014</v>
      </c>
      <c r="Q96" s="153">
        <v>1</v>
      </c>
      <c r="R96" s="163">
        <v>428.69</v>
      </c>
      <c r="T96" s="143">
        <v>265.84800000000001</v>
      </c>
      <c r="U96" s="155">
        <v>2.2699999999999999E-4</v>
      </c>
      <c r="V96" s="155">
        <v>3.3933647702286601E-2</v>
      </c>
      <c r="W96" s="155">
        <v>6.0954906168147497E-3</v>
      </c>
    </row>
    <row r="97" spans="1:23">
      <c r="A97" s="3">
        <v>337</v>
      </c>
      <c r="B97" s="3">
        <v>9964</v>
      </c>
      <c r="C97" s="185" t="s">
        <v>1334</v>
      </c>
      <c r="D97" s="3" t="s">
        <v>1335</v>
      </c>
      <c r="E97" s="189" t="s">
        <v>118</v>
      </c>
      <c r="F97" s="3" t="s">
        <v>1339</v>
      </c>
      <c r="G97" s="3" t="s">
        <v>1340</v>
      </c>
      <c r="H97" s="3" t="s">
        <v>121</v>
      </c>
      <c r="I97" s="3" t="s">
        <v>1327</v>
      </c>
      <c r="J97" s="3" t="s">
        <v>30</v>
      </c>
      <c r="K97" s="37" t="s">
        <v>1341</v>
      </c>
      <c r="L97" s="3" t="s">
        <v>31</v>
      </c>
      <c r="M97" s="3" t="s">
        <v>1342</v>
      </c>
      <c r="N97" s="3" t="s">
        <v>125</v>
      </c>
      <c r="O97" s="3" t="s">
        <v>34</v>
      </c>
      <c r="P97" s="145">
        <v>7898</v>
      </c>
      <c r="Q97" s="153">
        <v>1</v>
      </c>
      <c r="R97" s="163">
        <v>774.5</v>
      </c>
      <c r="T97" s="143">
        <v>61.17</v>
      </c>
      <c r="U97" s="155">
        <v>3.3000000000000003E-5</v>
      </c>
      <c r="V97" s="155">
        <v>7.8079316047516001E-3</v>
      </c>
      <c r="W97" s="155">
        <v>1.40253633358396E-3</v>
      </c>
    </row>
    <row r="98" spans="1:23">
      <c r="A98" s="3">
        <v>337</v>
      </c>
      <c r="B98" s="3">
        <v>9964</v>
      </c>
      <c r="C98" s="185" t="s">
        <v>1334</v>
      </c>
      <c r="D98" s="3" t="s">
        <v>1335</v>
      </c>
      <c r="E98" s="189" t="s">
        <v>118</v>
      </c>
      <c r="F98" s="3" t="s">
        <v>1346</v>
      </c>
      <c r="G98" s="3" t="s">
        <v>1347</v>
      </c>
      <c r="H98" s="3" t="s">
        <v>121</v>
      </c>
      <c r="I98" s="3" t="s">
        <v>1327</v>
      </c>
      <c r="J98" s="3" t="s">
        <v>30</v>
      </c>
      <c r="K98" s="37" t="s">
        <v>968</v>
      </c>
      <c r="L98" s="3" t="s">
        <v>31</v>
      </c>
      <c r="M98" s="3" t="s">
        <v>1348</v>
      </c>
      <c r="N98" s="3" t="s">
        <v>125</v>
      </c>
      <c r="O98" s="3" t="s">
        <v>34</v>
      </c>
      <c r="P98" s="145">
        <v>462</v>
      </c>
      <c r="Q98" s="153">
        <v>1</v>
      </c>
      <c r="R98" s="163">
        <v>21020</v>
      </c>
      <c r="T98" s="143">
        <v>97.111999999999995</v>
      </c>
      <c r="U98" s="155">
        <v>4.0000000000000003E-5</v>
      </c>
      <c r="V98" s="155">
        <v>1.2395730802942101E-2</v>
      </c>
      <c r="W98" s="155">
        <v>2.2266412812673802E-3</v>
      </c>
    </row>
    <row r="99" spans="1:23">
      <c r="A99" s="3">
        <v>337</v>
      </c>
      <c r="B99" s="3">
        <v>9964</v>
      </c>
      <c r="C99" s="185" t="s">
        <v>1349</v>
      </c>
      <c r="D99" s="3" t="s">
        <v>1350</v>
      </c>
      <c r="E99" s="189" t="s">
        <v>118</v>
      </c>
      <c r="F99" s="3" t="s">
        <v>1356</v>
      </c>
      <c r="G99" s="3" t="s">
        <v>1357</v>
      </c>
      <c r="H99" s="3" t="s">
        <v>121</v>
      </c>
      <c r="I99" s="3" t="s">
        <v>1327</v>
      </c>
      <c r="J99" s="3" t="s">
        <v>30</v>
      </c>
      <c r="K99" s="37" t="s">
        <v>80</v>
      </c>
      <c r="L99" s="3" t="s">
        <v>31</v>
      </c>
      <c r="M99" s="3" t="s">
        <v>1328</v>
      </c>
      <c r="N99" s="3" t="s">
        <v>125</v>
      </c>
      <c r="O99" s="3" t="s">
        <v>34</v>
      </c>
      <c r="P99" s="145">
        <v>3646</v>
      </c>
      <c r="Q99" s="153">
        <v>1</v>
      </c>
      <c r="R99" s="163">
        <v>10690</v>
      </c>
      <c r="T99" s="143">
        <v>389.75700000000001</v>
      </c>
      <c r="U99" s="155">
        <v>2.7E-4</v>
      </c>
      <c r="V99" s="155">
        <v>4.97498548985984E-2</v>
      </c>
      <c r="W99" s="155">
        <v>8.9365510122234003E-3</v>
      </c>
    </row>
    <row r="100" spans="1:23">
      <c r="A100" s="3">
        <v>337</v>
      </c>
      <c r="B100" s="3">
        <v>9964</v>
      </c>
      <c r="C100" s="185" t="s">
        <v>1303</v>
      </c>
      <c r="D100" s="3" t="s">
        <v>1304</v>
      </c>
      <c r="E100" s="189" t="s">
        <v>118</v>
      </c>
      <c r="F100" s="3" t="s">
        <v>1358</v>
      </c>
      <c r="G100" s="3" t="s">
        <v>1359</v>
      </c>
      <c r="H100" s="3" t="s">
        <v>121</v>
      </c>
      <c r="I100" s="3" t="s">
        <v>1327</v>
      </c>
      <c r="J100" s="3" t="s">
        <v>30</v>
      </c>
      <c r="K100" s="37" t="s">
        <v>1341</v>
      </c>
      <c r="L100" s="3" t="s">
        <v>31</v>
      </c>
      <c r="M100" s="3" t="s">
        <v>1360</v>
      </c>
      <c r="N100" s="3" t="s">
        <v>125</v>
      </c>
      <c r="O100" s="3" t="s">
        <v>34</v>
      </c>
      <c r="P100" s="145">
        <v>769</v>
      </c>
      <c r="Q100" s="153">
        <v>1</v>
      </c>
      <c r="R100" s="163">
        <v>8220</v>
      </c>
      <c r="T100" s="143">
        <v>63.212000000000003</v>
      </c>
      <c r="U100" s="155">
        <v>5.5000000000000002E-5</v>
      </c>
      <c r="V100" s="155">
        <v>8.0685520733646595E-3</v>
      </c>
      <c r="W100" s="155">
        <v>1.4493515075646099E-3</v>
      </c>
    </row>
    <row r="101" spans="1:23">
      <c r="A101" s="3">
        <v>337</v>
      </c>
      <c r="B101" s="3">
        <v>9964</v>
      </c>
      <c r="C101" s="185" t="s">
        <v>1303</v>
      </c>
      <c r="D101" s="3" t="s">
        <v>1304</v>
      </c>
      <c r="E101" s="189" t="s">
        <v>118</v>
      </c>
      <c r="F101" s="3" t="s">
        <v>1432</v>
      </c>
      <c r="G101" s="3" t="s">
        <v>1433</v>
      </c>
      <c r="H101" s="3" t="s">
        <v>121</v>
      </c>
      <c r="I101" s="3" t="s">
        <v>1307</v>
      </c>
      <c r="J101" s="3" t="s">
        <v>30</v>
      </c>
      <c r="K101" s="37" t="s">
        <v>30</v>
      </c>
      <c r="L101" s="3" t="s">
        <v>31</v>
      </c>
      <c r="M101" s="3" t="s">
        <v>1424</v>
      </c>
      <c r="N101" s="3" t="s">
        <v>125</v>
      </c>
      <c r="O101" s="3" t="s">
        <v>34</v>
      </c>
      <c r="P101" s="145">
        <v>13000</v>
      </c>
      <c r="Q101" s="153">
        <v>1</v>
      </c>
      <c r="R101" s="163">
        <v>3947.29</v>
      </c>
      <c r="T101" s="143">
        <v>513.14800000000002</v>
      </c>
      <c r="U101" s="155">
        <v>1.8100000000000001E-4</v>
      </c>
      <c r="V101" s="155">
        <v>6.5499779135814895E-2</v>
      </c>
      <c r="W101" s="155">
        <v>1.17657050202385E-2</v>
      </c>
    </row>
    <row r="102" spans="1:23">
      <c r="A102" s="3">
        <v>337</v>
      </c>
      <c r="B102" s="3">
        <v>9964</v>
      </c>
      <c r="C102" s="185" t="s">
        <v>1303</v>
      </c>
      <c r="D102" s="3" t="s">
        <v>1304</v>
      </c>
      <c r="E102" s="189" t="s">
        <v>118</v>
      </c>
      <c r="F102" s="3" t="s">
        <v>1305</v>
      </c>
      <c r="G102" s="3" t="s">
        <v>1306</v>
      </c>
      <c r="H102" s="3" t="s">
        <v>121</v>
      </c>
      <c r="I102" s="3" t="s">
        <v>1307</v>
      </c>
      <c r="J102" s="3" t="s">
        <v>30</v>
      </c>
      <c r="K102" s="37" t="s">
        <v>30</v>
      </c>
      <c r="L102" s="3" t="s">
        <v>31</v>
      </c>
      <c r="M102" s="3" t="s">
        <v>1308</v>
      </c>
      <c r="N102" s="3" t="s">
        <v>125</v>
      </c>
      <c r="O102" s="3" t="s">
        <v>34</v>
      </c>
      <c r="P102" s="145">
        <v>31720</v>
      </c>
      <c r="Q102" s="153">
        <v>1</v>
      </c>
      <c r="R102" s="163">
        <v>4274.3100000000004</v>
      </c>
      <c r="T102" s="143">
        <v>1355.8109999999999</v>
      </c>
      <c r="U102" s="155">
        <v>5.8699999999999996E-4</v>
      </c>
      <c r="V102" s="155">
        <v>0.173059978045072</v>
      </c>
      <c r="W102" s="155">
        <v>3.1086710205010502E-2</v>
      </c>
    </row>
    <row r="103" spans="1:23">
      <c r="A103" s="3">
        <v>337</v>
      </c>
      <c r="B103" s="3">
        <v>9964</v>
      </c>
      <c r="C103" s="185" t="s">
        <v>1363</v>
      </c>
      <c r="D103" s="3" t="s">
        <v>1364</v>
      </c>
      <c r="E103" s="189" t="s">
        <v>727</v>
      </c>
      <c r="F103" s="3" t="s">
        <v>1365</v>
      </c>
      <c r="G103" s="3" t="s">
        <v>1366</v>
      </c>
      <c r="H103" s="3" t="s">
        <v>121</v>
      </c>
      <c r="I103" s="3" t="s">
        <v>1327</v>
      </c>
      <c r="J103" s="3" t="s">
        <v>79</v>
      </c>
      <c r="K103" s="37" t="s">
        <v>1367</v>
      </c>
      <c r="L103" s="3" t="s">
        <v>1173</v>
      </c>
      <c r="M103" s="3" t="s">
        <v>1368</v>
      </c>
      <c r="N103" s="3" t="s">
        <v>125</v>
      </c>
      <c r="O103" s="3" t="s">
        <v>84</v>
      </c>
      <c r="P103" s="145">
        <v>1971</v>
      </c>
      <c r="Q103" s="153">
        <v>3.19</v>
      </c>
      <c r="R103" s="163">
        <v>7006</v>
      </c>
      <c r="T103" s="143">
        <v>440.50200000000001</v>
      </c>
      <c r="U103" s="155">
        <v>0</v>
      </c>
      <c r="V103" s="155">
        <v>5.6226997012135599E-2</v>
      </c>
      <c r="W103" s="155">
        <v>1.0100038042065501E-2</v>
      </c>
    </row>
    <row r="104" spans="1:23">
      <c r="A104" s="3">
        <v>337</v>
      </c>
      <c r="B104" s="3">
        <v>9964</v>
      </c>
      <c r="C104" s="185" t="s">
        <v>1309</v>
      </c>
      <c r="D104" s="3" t="s">
        <v>1310</v>
      </c>
      <c r="E104" s="189" t="s">
        <v>727</v>
      </c>
      <c r="F104" s="3" t="s">
        <v>1369</v>
      </c>
      <c r="G104" s="3" t="s">
        <v>1370</v>
      </c>
      <c r="H104" s="3" t="s">
        <v>121</v>
      </c>
      <c r="I104" s="3" t="s">
        <v>1327</v>
      </c>
      <c r="J104" s="3" t="s">
        <v>79</v>
      </c>
      <c r="K104" s="37" t="s">
        <v>80</v>
      </c>
      <c r="L104" s="3" t="s">
        <v>1180</v>
      </c>
      <c r="M104" s="3" t="s">
        <v>1371</v>
      </c>
      <c r="N104" s="3" t="s">
        <v>125</v>
      </c>
      <c r="O104" s="3" t="s">
        <v>84</v>
      </c>
      <c r="P104" s="145">
        <v>378</v>
      </c>
      <c r="Q104" s="153">
        <v>3.19</v>
      </c>
      <c r="R104" s="163">
        <v>24616</v>
      </c>
      <c r="T104" s="143">
        <v>296.82499999999999</v>
      </c>
      <c r="U104" s="155">
        <v>9.9999999999999995E-7</v>
      </c>
      <c r="V104" s="155">
        <v>3.7887627861657197E-2</v>
      </c>
      <c r="W104" s="155">
        <v>6.8057428470484904E-3</v>
      </c>
    </row>
    <row r="105" spans="1:23">
      <c r="A105" s="3">
        <v>337</v>
      </c>
      <c r="B105" s="3">
        <v>9964</v>
      </c>
      <c r="C105" s="185" t="s">
        <v>1315</v>
      </c>
      <c r="D105" s="3" t="s">
        <v>1316</v>
      </c>
      <c r="E105" s="189" t="s">
        <v>727</v>
      </c>
      <c r="F105" s="3" t="s">
        <v>1372</v>
      </c>
      <c r="G105" s="3" t="s">
        <v>1373</v>
      </c>
      <c r="H105" s="3" t="s">
        <v>121</v>
      </c>
      <c r="I105" s="3" t="s">
        <v>1327</v>
      </c>
      <c r="J105" s="3" t="s">
        <v>79</v>
      </c>
      <c r="K105" s="37" t="s">
        <v>80</v>
      </c>
      <c r="L105" s="3" t="s">
        <v>1180</v>
      </c>
      <c r="M105" s="3" t="s">
        <v>1374</v>
      </c>
      <c r="N105" s="3" t="s">
        <v>125</v>
      </c>
      <c r="O105" s="3" t="s">
        <v>84</v>
      </c>
      <c r="P105" s="145">
        <v>342</v>
      </c>
      <c r="Q105" s="153">
        <v>3.19</v>
      </c>
      <c r="R105" s="163">
        <v>5477</v>
      </c>
      <c r="T105" s="143">
        <v>59.753</v>
      </c>
      <c r="U105" s="155">
        <v>0</v>
      </c>
      <c r="V105" s="155">
        <v>7.6270567694407699E-3</v>
      </c>
      <c r="W105" s="155">
        <v>1.3700458429910199E-3</v>
      </c>
    </row>
    <row r="106" spans="1:23">
      <c r="A106" s="3">
        <v>337</v>
      </c>
      <c r="B106" s="3">
        <v>9964</v>
      </c>
      <c r="C106" s="185" t="s">
        <v>1309</v>
      </c>
      <c r="D106" s="3" t="s">
        <v>1310</v>
      </c>
      <c r="E106" s="189" t="s">
        <v>727</v>
      </c>
      <c r="F106" s="3" t="s">
        <v>1379</v>
      </c>
      <c r="G106" s="3" t="s">
        <v>1380</v>
      </c>
      <c r="H106" s="3" t="s">
        <v>121</v>
      </c>
      <c r="I106" s="3" t="s">
        <v>1327</v>
      </c>
      <c r="J106" s="3" t="s">
        <v>79</v>
      </c>
      <c r="K106" s="37" t="s">
        <v>80</v>
      </c>
      <c r="L106" s="3" t="s">
        <v>1381</v>
      </c>
      <c r="M106" s="3" t="s">
        <v>1382</v>
      </c>
      <c r="N106" s="3" t="s">
        <v>125</v>
      </c>
      <c r="O106" s="3" t="s">
        <v>84</v>
      </c>
      <c r="P106" s="145">
        <v>91</v>
      </c>
      <c r="Q106" s="153">
        <v>3.19</v>
      </c>
      <c r="R106" s="163">
        <v>21469</v>
      </c>
      <c r="T106" s="143">
        <v>62.322000000000003</v>
      </c>
      <c r="U106" s="155">
        <v>0</v>
      </c>
      <c r="V106" s="155">
        <v>7.9550211796188992E-3</v>
      </c>
      <c r="W106" s="155">
        <v>1.42895798831736E-3</v>
      </c>
    </row>
    <row r="107" spans="1:23">
      <c r="A107" s="3">
        <v>337</v>
      </c>
      <c r="B107" s="3">
        <v>9964</v>
      </c>
      <c r="C107" s="185" t="s">
        <v>1309</v>
      </c>
      <c r="D107" s="3" t="s">
        <v>1310</v>
      </c>
      <c r="E107" s="189" t="s">
        <v>727</v>
      </c>
      <c r="F107" s="3" t="s">
        <v>1311</v>
      </c>
      <c r="G107" s="3" t="s">
        <v>1312</v>
      </c>
      <c r="H107" s="3" t="s">
        <v>121</v>
      </c>
      <c r="I107" s="3" t="s">
        <v>1313</v>
      </c>
      <c r="J107" s="3" t="s">
        <v>79</v>
      </c>
      <c r="K107" s="37" t="s">
        <v>80</v>
      </c>
      <c r="L107" s="3" t="s">
        <v>1180</v>
      </c>
      <c r="M107" s="3" t="s">
        <v>1314</v>
      </c>
      <c r="N107" s="3" t="s">
        <v>125</v>
      </c>
      <c r="O107" s="3" t="s">
        <v>84</v>
      </c>
      <c r="P107" s="145">
        <v>396</v>
      </c>
      <c r="Q107" s="153">
        <v>3.19</v>
      </c>
      <c r="R107" s="163">
        <v>8063</v>
      </c>
      <c r="T107" s="143">
        <v>101.855</v>
      </c>
      <c r="U107" s="155">
        <v>9.9999999999999995E-7</v>
      </c>
      <c r="V107" s="155">
        <v>1.30010963753113E-2</v>
      </c>
      <c r="W107" s="155">
        <v>2.33538291135952E-3</v>
      </c>
    </row>
    <row r="108" spans="1:23">
      <c r="A108" s="3">
        <v>337</v>
      </c>
      <c r="B108" s="3">
        <v>9964</v>
      </c>
      <c r="C108" s="185" t="s">
        <v>1309</v>
      </c>
      <c r="D108" s="3" t="s">
        <v>1310</v>
      </c>
      <c r="E108" s="189" t="s">
        <v>727</v>
      </c>
      <c r="F108" s="3" t="s">
        <v>1383</v>
      </c>
      <c r="G108" s="3" t="s">
        <v>1384</v>
      </c>
      <c r="H108" s="3" t="s">
        <v>121</v>
      </c>
      <c r="I108" s="3" t="s">
        <v>1327</v>
      </c>
      <c r="J108" s="3" t="s">
        <v>79</v>
      </c>
      <c r="K108" s="37" t="s">
        <v>1385</v>
      </c>
      <c r="L108" s="3" t="s">
        <v>1180</v>
      </c>
      <c r="M108" s="3" t="s">
        <v>1368</v>
      </c>
      <c r="N108" s="3" t="s">
        <v>125</v>
      </c>
      <c r="O108" s="3" t="s">
        <v>84</v>
      </c>
      <c r="P108" s="145">
        <v>343</v>
      </c>
      <c r="Q108" s="153">
        <v>3.19</v>
      </c>
      <c r="R108" s="163">
        <v>5471</v>
      </c>
      <c r="T108" s="143">
        <v>59.862000000000002</v>
      </c>
      <c r="U108" s="155">
        <v>9.9999999999999995E-7</v>
      </c>
      <c r="V108" s="155">
        <v>7.6409783079397298E-3</v>
      </c>
      <c r="W108" s="155">
        <v>1.3725465646357001E-3</v>
      </c>
    </row>
    <row r="109" spans="1:23">
      <c r="A109" s="3">
        <v>337</v>
      </c>
      <c r="B109" s="3">
        <v>9964</v>
      </c>
      <c r="C109" s="185" t="s">
        <v>1388</v>
      </c>
      <c r="D109" s="3" t="s">
        <v>1389</v>
      </c>
      <c r="E109" s="189" t="s">
        <v>727</v>
      </c>
      <c r="F109" s="3" t="s">
        <v>1390</v>
      </c>
      <c r="G109" s="3" t="s">
        <v>1391</v>
      </c>
      <c r="H109" s="3" t="s">
        <v>121</v>
      </c>
      <c r="I109" s="3" t="s">
        <v>1327</v>
      </c>
      <c r="J109" s="3" t="s">
        <v>79</v>
      </c>
      <c r="K109" s="37" t="s">
        <v>1179</v>
      </c>
      <c r="L109" s="3" t="s">
        <v>1180</v>
      </c>
      <c r="M109" s="3" t="s">
        <v>1392</v>
      </c>
      <c r="N109" s="3" t="s">
        <v>125</v>
      </c>
      <c r="O109" s="3" t="s">
        <v>84</v>
      </c>
      <c r="P109" s="145">
        <v>207</v>
      </c>
      <c r="Q109" s="153">
        <v>3.19</v>
      </c>
      <c r="R109" s="163">
        <v>3405</v>
      </c>
      <c r="T109" s="143">
        <v>22.484000000000002</v>
      </c>
      <c r="U109" s="155">
        <v>9.9999999999999995E-7</v>
      </c>
      <c r="V109" s="155">
        <v>2.8699583468608102E-3</v>
      </c>
      <c r="W109" s="155">
        <v>5.1552972811586201E-4</v>
      </c>
    </row>
    <row r="110" spans="1:23">
      <c r="A110" s="3">
        <v>337</v>
      </c>
      <c r="B110" s="3">
        <v>9964</v>
      </c>
      <c r="C110" s="185" t="s">
        <v>1393</v>
      </c>
      <c r="D110" s="3" t="s">
        <v>1364</v>
      </c>
      <c r="E110" s="189" t="s">
        <v>727</v>
      </c>
      <c r="F110" s="3" t="s">
        <v>1456</v>
      </c>
      <c r="G110" s="3" t="s">
        <v>1457</v>
      </c>
      <c r="H110" s="3" t="s">
        <v>121</v>
      </c>
      <c r="I110" s="3" t="s">
        <v>1327</v>
      </c>
      <c r="J110" s="3" t="s">
        <v>79</v>
      </c>
      <c r="K110" s="37" t="s">
        <v>1341</v>
      </c>
      <c r="L110" s="3" t="s">
        <v>1458</v>
      </c>
      <c r="M110" s="3" t="s">
        <v>1459</v>
      </c>
      <c r="N110" s="3" t="s">
        <v>125</v>
      </c>
      <c r="O110" s="3" t="s">
        <v>755</v>
      </c>
      <c r="P110" s="145">
        <v>107</v>
      </c>
      <c r="Q110" s="153">
        <v>3.7454999999999998</v>
      </c>
      <c r="R110" s="163">
        <v>28506</v>
      </c>
      <c r="T110" s="143">
        <v>114.24299999999999</v>
      </c>
      <c r="U110" s="155">
        <v>5.0000000000000004E-6</v>
      </c>
      <c r="V110" s="155">
        <v>1.45823429818603E-2</v>
      </c>
      <c r="W110" s="155">
        <v>2.6194217490834101E-3</v>
      </c>
    </row>
    <row r="111" spans="1:23">
      <c r="A111" s="3">
        <v>337</v>
      </c>
      <c r="B111" s="3">
        <v>9964</v>
      </c>
      <c r="C111" s="185" t="s">
        <v>1309</v>
      </c>
      <c r="D111" s="3" t="s">
        <v>1310</v>
      </c>
      <c r="E111" s="189" t="s">
        <v>727</v>
      </c>
      <c r="F111" s="3" t="s">
        <v>1397</v>
      </c>
      <c r="G111" s="3" t="s">
        <v>1398</v>
      </c>
      <c r="H111" s="3" t="s">
        <v>121</v>
      </c>
      <c r="I111" s="3" t="s">
        <v>1327</v>
      </c>
      <c r="J111" s="3" t="s">
        <v>79</v>
      </c>
      <c r="K111" s="37" t="s">
        <v>1179</v>
      </c>
      <c r="L111" s="3" t="s">
        <v>1173</v>
      </c>
      <c r="M111" s="3" t="s">
        <v>1392</v>
      </c>
      <c r="N111" s="3" t="s">
        <v>125</v>
      </c>
      <c r="O111" s="3" t="s">
        <v>84</v>
      </c>
      <c r="P111" s="145">
        <v>360</v>
      </c>
      <c r="Q111" s="153">
        <v>3.19</v>
      </c>
      <c r="R111" s="163">
        <v>6007</v>
      </c>
      <c r="T111" s="143">
        <v>68.983999999999995</v>
      </c>
      <c r="U111" s="155">
        <v>1.9999999999999999E-6</v>
      </c>
      <c r="V111" s="155">
        <v>8.8053832801342803E-3</v>
      </c>
      <c r="W111" s="155">
        <v>1.5817082688077599E-3</v>
      </c>
    </row>
    <row r="112" spans="1:23">
      <c r="A112" s="3">
        <v>337</v>
      </c>
      <c r="B112" s="3">
        <v>9964</v>
      </c>
      <c r="C112" s="185" t="s">
        <v>1399</v>
      </c>
      <c r="D112" s="3" t="s">
        <v>1400</v>
      </c>
      <c r="E112" s="189" t="s">
        <v>727</v>
      </c>
      <c r="F112" s="3" t="s">
        <v>1401</v>
      </c>
      <c r="G112" s="3" t="s">
        <v>1402</v>
      </c>
      <c r="H112" s="3" t="s">
        <v>121</v>
      </c>
      <c r="I112" s="3" t="s">
        <v>1327</v>
      </c>
      <c r="J112" s="3" t="s">
        <v>79</v>
      </c>
      <c r="K112" s="37" t="s">
        <v>80</v>
      </c>
      <c r="L112" s="3" t="s">
        <v>1173</v>
      </c>
      <c r="M112" s="3" t="s">
        <v>1403</v>
      </c>
      <c r="N112" s="3" t="s">
        <v>125</v>
      </c>
      <c r="O112" s="3" t="s">
        <v>84</v>
      </c>
      <c r="P112" s="145">
        <v>186</v>
      </c>
      <c r="Q112" s="153">
        <v>3.19</v>
      </c>
      <c r="R112" s="163">
        <v>61431</v>
      </c>
      <c r="T112" s="143">
        <v>364.495</v>
      </c>
      <c r="U112" s="155">
        <v>0</v>
      </c>
      <c r="V112" s="155">
        <v>4.6525244183840499E-2</v>
      </c>
      <c r="W112" s="155">
        <v>8.3573151892098307E-3</v>
      </c>
    </row>
    <row r="113" spans="1:23">
      <c r="A113" s="3">
        <v>337</v>
      </c>
      <c r="B113" s="3">
        <v>9964</v>
      </c>
      <c r="C113" s="185" t="s">
        <v>1399</v>
      </c>
      <c r="D113" s="3" t="s">
        <v>1400</v>
      </c>
      <c r="E113" s="189" t="s">
        <v>727</v>
      </c>
      <c r="F113" s="3" t="s">
        <v>1404</v>
      </c>
      <c r="G113" s="3" t="s">
        <v>1405</v>
      </c>
      <c r="H113" s="3" t="s">
        <v>121</v>
      </c>
      <c r="I113" s="3" t="s">
        <v>1327</v>
      </c>
      <c r="J113" s="3" t="s">
        <v>79</v>
      </c>
      <c r="K113" s="37" t="s">
        <v>80</v>
      </c>
      <c r="L113" s="3" t="s">
        <v>1251</v>
      </c>
      <c r="M113" s="3" t="s">
        <v>1333</v>
      </c>
      <c r="N113" s="3" t="s">
        <v>125</v>
      </c>
      <c r="O113" s="3" t="s">
        <v>84</v>
      </c>
      <c r="P113" s="145">
        <v>10600</v>
      </c>
      <c r="Q113" s="153">
        <v>3.19</v>
      </c>
      <c r="R113" s="163">
        <v>1375</v>
      </c>
      <c r="T113" s="143">
        <v>464.94200000000001</v>
      </c>
      <c r="U113" s="155">
        <v>5.0000000000000004E-6</v>
      </c>
      <c r="V113" s="155">
        <v>5.9346716473353801E-2</v>
      </c>
      <c r="W113" s="155">
        <v>1.0660432281723701E-2</v>
      </c>
    </row>
    <row r="114" spans="1:23">
      <c r="A114" s="3">
        <v>337</v>
      </c>
      <c r="B114" s="3">
        <v>9964</v>
      </c>
      <c r="C114" s="185" t="s">
        <v>1315</v>
      </c>
      <c r="D114" s="3" t="s">
        <v>1316</v>
      </c>
      <c r="E114" s="189" t="s">
        <v>727</v>
      </c>
      <c r="F114" s="3" t="s">
        <v>1317</v>
      </c>
      <c r="G114" s="3" t="s">
        <v>1318</v>
      </c>
      <c r="H114" s="3" t="s">
        <v>121</v>
      </c>
      <c r="I114" s="3" t="s">
        <v>1313</v>
      </c>
      <c r="J114" s="3" t="s">
        <v>79</v>
      </c>
      <c r="K114" s="37" t="s">
        <v>80</v>
      </c>
      <c r="L114" s="3" t="s">
        <v>1180</v>
      </c>
      <c r="M114" s="3" t="s">
        <v>1314</v>
      </c>
      <c r="N114" s="3" t="s">
        <v>125</v>
      </c>
      <c r="O114" s="3" t="s">
        <v>84</v>
      </c>
      <c r="P114" s="145">
        <v>3009</v>
      </c>
      <c r="Q114" s="153">
        <v>3.19</v>
      </c>
      <c r="R114" s="163">
        <v>1163.0999999999999</v>
      </c>
      <c r="T114" s="143">
        <v>111.643</v>
      </c>
      <c r="U114" s="155">
        <v>0</v>
      </c>
      <c r="V114" s="155">
        <v>1.42504105169019E-2</v>
      </c>
      <c r="W114" s="155">
        <v>2.5597968233070502E-3</v>
      </c>
    </row>
    <row r="115" spans="1:23">
      <c r="A115" s="3">
        <v>337</v>
      </c>
      <c r="B115" s="3">
        <v>9964</v>
      </c>
      <c r="C115" s="185" t="s">
        <v>1315</v>
      </c>
      <c r="D115" s="3" t="s">
        <v>1316</v>
      </c>
      <c r="E115" s="189" t="s">
        <v>727</v>
      </c>
      <c r="F115" s="3" t="s">
        <v>1408</v>
      </c>
      <c r="G115" s="3" t="s">
        <v>1409</v>
      </c>
      <c r="H115" s="3" t="s">
        <v>121</v>
      </c>
      <c r="I115" s="3" t="s">
        <v>1327</v>
      </c>
      <c r="J115" s="3" t="s">
        <v>79</v>
      </c>
      <c r="K115" s="37" t="s">
        <v>80</v>
      </c>
      <c r="L115" s="140" t="s">
        <v>1180</v>
      </c>
      <c r="M115" s="190" t="s">
        <v>1382</v>
      </c>
      <c r="N115" s="3" t="s">
        <v>125</v>
      </c>
      <c r="O115" s="3" t="s">
        <v>84</v>
      </c>
      <c r="P115" s="145">
        <v>128</v>
      </c>
      <c r="Q115" s="153">
        <v>3.19</v>
      </c>
      <c r="R115" s="163">
        <v>12193</v>
      </c>
      <c r="T115" s="143">
        <v>49.786000000000001</v>
      </c>
      <c r="U115" s="155">
        <v>1.9999999999999999E-6</v>
      </c>
      <c r="V115" s="155">
        <v>6.3548993335731897E-3</v>
      </c>
      <c r="W115" s="155">
        <v>1.14152859717429E-3</v>
      </c>
    </row>
    <row r="116" spans="1:23">
      <c r="A116" s="3">
        <v>337</v>
      </c>
      <c r="B116" s="3">
        <v>9964</v>
      </c>
      <c r="C116" s="185" t="s">
        <v>1411</v>
      </c>
      <c r="D116" s="3" t="s">
        <v>1412</v>
      </c>
      <c r="E116" s="189" t="s">
        <v>727</v>
      </c>
      <c r="F116" s="3" t="s">
        <v>1413</v>
      </c>
      <c r="G116" s="3" t="s">
        <v>1414</v>
      </c>
      <c r="H116" s="3" t="s">
        <v>121</v>
      </c>
      <c r="I116" s="3" t="s">
        <v>1327</v>
      </c>
      <c r="J116" s="3" t="s">
        <v>79</v>
      </c>
      <c r="K116" s="3" t="s">
        <v>80</v>
      </c>
      <c r="L116" s="3" t="s">
        <v>1173</v>
      </c>
      <c r="M116" s="3" t="s">
        <v>1415</v>
      </c>
      <c r="N116" s="3" t="s">
        <v>125</v>
      </c>
      <c r="O116" s="3" t="s">
        <v>84</v>
      </c>
      <c r="P116" s="145">
        <v>66</v>
      </c>
      <c r="Q116" s="153">
        <v>3.19</v>
      </c>
      <c r="R116" s="163">
        <v>36013</v>
      </c>
      <c r="T116" s="143">
        <v>75.822000000000003</v>
      </c>
      <c r="U116" s="155">
        <v>3.0000000000000001E-6</v>
      </c>
      <c r="V116" s="155">
        <v>9.6781281525504595E-3</v>
      </c>
      <c r="W116" s="155">
        <v>1.73847915967569E-3</v>
      </c>
    </row>
    <row r="117" spans="1:23">
      <c r="A117" s="3">
        <v>337</v>
      </c>
      <c r="B117" s="3">
        <v>9964</v>
      </c>
      <c r="C117" s="185" t="s">
        <v>1416</v>
      </c>
      <c r="D117" s="3" t="s">
        <v>1417</v>
      </c>
      <c r="E117" s="189" t="s">
        <v>727</v>
      </c>
      <c r="F117" s="3" t="s">
        <v>1418</v>
      </c>
      <c r="G117" s="3" t="s">
        <v>1419</v>
      </c>
      <c r="H117" s="3" t="s">
        <v>121</v>
      </c>
      <c r="I117" s="3" t="s">
        <v>1327</v>
      </c>
      <c r="J117" s="3" t="s">
        <v>79</v>
      </c>
      <c r="K117" s="3" t="s">
        <v>80</v>
      </c>
      <c r="L117" s="3" t="s">
        <v>1180</v>
      </c>
      <c r="M117" s="3" t="s">
        <v>1333</v>
      </c>
      <c r="N117" s="3" t="s">
        <v>125</v>
      </c>
      <c r="O117" s="3" t="s">
        <v>84</v>
      </c>
      <c r="P117" s="145">
        <v>110</v>
      </c>
      <c r="Q117" s="153">
        <v>3.19</v>
      </c>
      <c r="R117" s="163">
        <v>62713</v>
      </c>
      <c r="T117" s="143">
        <v>220.06</v>
      </c>
      <c r="U117" s="155">
        <v>0</v>
      </c>
      <c r="V117" s="155">
        <v>2.8089136831648601E-2</v>
      </c>
      <c r="W117" s="155">
        <v>5.0456429410093203E-3</v>
      </c>
    </row>
    <row r="118" spans="1:23">
      <c r="A118" s="3">
        <v>337</v>
      </c>
      <c r="B118" s="3">
        <v>15372</v>
      </c>
      <c r="C118" s="185" t="s">
        <v>1319</v>
      </c>
      <c r="D118" s="3" t="s">
        <v>1320</v>
      </c>
      <c r="E118" s="189" t="s">
        <v>118</v>
      </c>
      <c r="F118" s="3" t="s">
        <v>1420</v>
      </c>
      <c r="G118" s="3" t="s">
        <v>1421</v>
      </c>
      <c r="H118" s="3" t="s">
        <v>121</v>
      </c>
      <c r="I118" s="3" t="s">
        <v>1327</v>
      </c>
      <c r="J118" s="3" t="s">
        <v>30</v>
      </c>
      <c r="K118" s="3" t="s">
        <v>80</v>
      </c>
      <c r="L118" s="3" t="s">
        <v>31</v>
      </c>
      <c r="M118" s="3" t="s">
        <v>1333</v>
      </c>
      <c r="N118" s="3" t="s">
        <v>125</v>
      </c>
      <c r="O118" s="3" t="s">
        <v>34</v>
      </c>
      <c r="P118" s="145">
        <v>9390</v>
      </c>
      <c r="Q118" s="153">
        <v>1</v>
      </c>
      <c r="R118" s="163">
        <v>9445</v>
      </c>
      <c r="T118" s="143">
        <v>886.88499999999999</v>
      </c>
      <c r="U118" s="155">
        <v>1.08E-4</v>
      </c>
      <c r="V118" s="155">
        <v>0.112717887472912</v>
      </c>
      <c r="W118" s="155">
        <v>0.11075328395189001</v>
      </c>
    </row>
    <row r="119" spans="1:23">
      <c r="A119" s="3">
        <v>337</v>
      </c>
      <c r="B119" s="3">
        <v>15372</v>
      </c>
      <c r="C119" s="185" t="s">
        <v>1329</v>
      </c>
      <c r="D119" s="3" t="s">
        <v>1330</v>
      </c>
      <c r="E119" s="189" t="s">
        <v>118</v>
      </c>
      <c r="F119" s="3" t="s">
        <v>1331</v>
      </c>
      <c r="G119" s="3" t="s">
        <v>1332</v>
      </c>
      <c r="H119" s="3" t="s">
        <v>121</v>
      </c>
      <c r="I119" s="3" t="s">
        <v>1327</v>
      </c>
      <c r="J119" s="3" t="s">
        <v>30</v>
      </c>
      <c r="K119" s="3" t="s">
        <v>80</v>
      </c>
      <c r="L119" s="3" t="s">
        <v>31</v>
      </c>
      <c r="M119" s="3" t="s">
        <v>1333</v>
      </c>
      <c r="N119" s="3" t="s">
        <v>125</v>
      </c>
      <c r="O119" s="3" t="s">
        <v>34</v>
      </c>
      <c r="P119" s="145">
        <v>3854</v>
      </c>
      <c r="Q119" s="153">
        <v>1</v>
      </c>
      <c r="R119" s="163">
        <v>21640</v>
      </c>
      <c r="T119" s="143">
        <v>834.00599999999997</v>
      </c>
      <c r="U119" s="155">
        <v>3.8999999999999999E-5</v>
      </c>
      <c r="V119" s="155">
        <v>0.105997165781353</v>
      </c>
      <c r="W119" s="155">
        <v>0.10414970030998</v>
      </c>
    </row>
    <row r="120" spans="1:23">
      <c r="A120" s="3">
        <v>337</v>
      </c>
      <c r="B120" s="3">
        <v>15372</v>
      </c>
      <c r="C120" s="185" t="s">
        <v>1334</v>
      </c>
      <c r="D120" s="3" t="s">
        <v>1335</v>
      </c>
      <c r="E120" s="189" t="s">
        <v>118</v>
      </c>
      <c r="F120" s="3" t="s">
        <v>1460</v>
      </c>
      <c r="G120" s="3" t="s">
        <v>1461</v>
      </c>
      <c r="H120" s="3" t="s">
        <v>121</v>
      </c>
      <c r="I120" s="3" t="s">
        <v>1327</v>
      </c>
      <c r="J120" s="3" t="s">
        <v>30</v>
      </c>
      <c r="K120" s="3" t="s">
        <v>80</v>
      </c>
      <c r="L120" s="3" t="s">
        <v>31</v>
      </c>
      <c r="M120" s="3" t="s">
        <v>1333</v>
      </c>
      <c r="N120" s="3" t="s">
        <v>125</v>
      </c>
      <c r="O120" s="3" t="s">
        <v>34</v>
      </c>
      <c r="P120" s="145">
        <v>36043</v>
      </c>
      <c r="Q120" s="153">
        <v>1</v>
      </c>
      <c r="R120" s="163">
        <v>2567</v>
      </c>
      <c r="T120" s="143">
        <v>925.22400000000005</v>
      </c>
      <c r="U120" s="155">
        <v>9.5000000000000005E-5</v>
      </c>
      <c r="V120" s="155">
        <v>0.117590459312774</v>
      </c>
      <c r="W120" s="155">
        <v>0.115540929858454</v>
      </c>
    </row>
    <row r="121" spans="1:23">
      <c r="A121" s="3">
        <v>337</v>
      </c>
      <c r="B121" s="3">
        <v>15372</v>
      </c>
      <c r="C121" s="185" t="s">
        <v>1349</v>
      </c>
      <c r="D121" s="3" t="s">
        <v>1350</v>
      </c>
      <c r="E121" s="189" t="s">
        <v>118</v>
      </c>
      <c r="F121" s="3" t="s">
        <v>1462</v>
      </c>
      <c r="G121" s="3" t="s">
        <v>1463</v>
      </c>
      <c r="H121" s="3" t="s">
        <v>121</v>
      </c>
      <c r="I121" s="3" t="s">
        <v>1327</v>
      </c>
      <c r="J121" s="3" t="s">
        <v>30</v>
      </c>
      <c r="K121" s="3" t="s">
        <v>80</v>
      </c>
      <c r="L121" s="3" t="s">
        <v>31</v>
      </c>
      <c r="M121" s="3" t="s">
        <v>1333</v>
      </c>
      <c r="N121" s="3" t="s">
        <v>125</v>
      </c>
      <c r="O121" s="3" t="s">
        <v>34</v>
      </c>
      <c r="P121" s="145">
        <v>8019</v>
      </c>
      <c r="Q121" s="153">
        <v>1</v>
      </c>
      <c r="R121" s="163">
        <v>10950</v>
      </c>
      <c r="T121" s="143">
        <v>878.08100000000002</v>
      </c>
      <c r="U121" s="155">
        <v>1.17E-4</v>
      </c>
      <c r="V121" s="155">
        <v>0.111598824189998</v>
      </c>
      <c r="W121" s="155">
        <v>0.109653725254407</v>
      </c>
    </row>
    <row r="122" spans="1:23">
      <c r="A122" s="3">
        <v>337</v>
      </c>
      <c r="B122" s="3">
        <v>15372</v>
      </c>
      <c r="C122" s="185" t="s">
        <v>1303</v>
      </c>
      <c r="D122" s="3" t="s">
        <v>1304</v>
      </c>
      <c r="E122" s="189" t="s">
        <v>118</v>
      </c>
      <c r="F122" s="3" t="s">
        <v>1464</v>
      </c>
      <c r="G122" s="3" t="s">
        <v>1465</v>
      </c>
      <c r="H122" s="3" t="s">
        <v>121</v>
      </c>
      <c r="I122" s="3" t="s">
        <v>1327</v>
      </c>
      <c r="J122" s="3" t="s">
        <v>30</v>
      </c>
      <c r="K122" s="3" t="s">
        <v>80</v>
      </c>
      <c r="L122" s="3" t="s">
        <v>31</v>
      </c>
      <c r="M122" s="3" t="s">
        <v>1333</v>
      </c>
      <c r="N122" s="3" t="s">
        <v>125</v>
      </c>
      <c r="O122" s="3" t="s">
        <v>34</v>
      </c>
      <c r="P122" s="145">
        <v>3687</v>
      </c>
      <c r="Q122" s="153">
        <v>1</v>
      </c>
      <c r="R122" s="163">
        <v>24160</v>
      </c>
      <c r="T122" s="143">
        <v>890.779</v>
      </c>
      <c r="U122" s="155">
        <v>1.26E-4</v>
      </c>
      <c r="V122" s="155">
        <v>0.113212753651752</v>
      </c>
      <c r="W122" s="155">
        <v>0.111239524917295</v>
      </c>
    </row>
    <row r="123" spans="1:23">
      <c r="A123" s="3">
        <v>337</v>
      </c>
      <c r="B123" s="3">
        <v>15372</v>
      </c>
      <c r="C123" s="185" t="s">
        <v>1309</v>
      </c>
      <c r="D123" s="3" t="s">
        <v>1310</v>
      </c>
      <c r="E123" s="189" t="s">
        <v>727</v>
      </c>
      <c r="F123" s="3" t="s">
        <v>1386</v>
      </c>
      <c r="G123" s="3" t="s">
        <v>1387</v>
      </c>
      <c r="H123" s="3" t="s">
        <v>121</v>
      </c>
      <c r="I123" s="3" t="s">
        <v>1327</v>
      </c>
      <c r="J123" s="3" t="s">
        <v>79</v>
      </c>
      <c r="K123" s="3" t="s">
        <v>80</v>
      </c>
      <c r="L123" s="3" t="s">
        <v>1180</v>
      </c>
      <c r="M123" s="3" t="s">
        <v>1333</v>
      </c>
      <c r="N123" s="3" t="s">
        <v>125</v>
      </c>
      <c r="O123" s="3" t="s">
        <v>84</v>
      </c>
      <c r="P123" s="145">
        <v>430</v>
      </c>
      <c r="Q123" s="153">
        <v>3.19</v>
      </c>
      <c r="R123" s="163">
        <v>68494</v>
      </c>
      <c r="T123" s="143">
        <v>939.53200000000004</v>
      </c>
      <c r="U123" s="155">
        <v>9.9999999999999995E-7</v>
      </c>
      <c r="V123" s="155">
        <v>0.11940897057325001</v>
      </c>
      <c r="W123" s="155">
        <v>0.11732774558501299</v>
      </c>
    </row>
    <row r="124" spans="1:23">
      <c r="A124" s="3">
        <v>337</v>
      </c>
      <c r="B124" s="3">
        <v>15372</v>
      </c>
      <c r="C124" s="185" t="s">
        <v>1399</v>
      </c>
      <c r="D124" s="3" t="s">
        <v>1400</v>
      </c>
      <c r="E124" s="189" t="s">
        <v>727</v>
      </c>
      <c r="F124" s="3" t="s">
        <v>1404</v>
      </c>
      <c r="G124" s="3" t="s">
        <v>1405</v>
      </c>
      <c r="H124" s="3" t="s">
        <v>121</v>
      </c>
      <c r="I124" s="3" t="s">
        <v>1327</v>
      </c>
      <c r="J124" s="3" t="s">
        <v>79</v>
      </c>
      <c r="K124" s="3" t="s">
        <v>80</v>
      </c>
      <c r="L124" s="3" t="s">
        <v>1251</v>
      </c>
      <c r="M124" s="3" t="s">
        <v>1333</v>
      </c>
      <c r="N124" s="3" t="s">
        <v>125</v>
      </c>
      <c r="O124" s="3" t="s">
        <v>84</v>
      </c>
      <c r="P124" s="145">
        <v>16700</v>
      </c>
      <c r="Q124" s="153">
        <v>3.19</v>
      </c>
      <c r="R124" s="163">
        <v>1375</v>
      </c>
      <c r="T124" s="143">
        <v>732.50400000000002</v>
      </c>
      <c r="U124" s="155">
        <v>7.9999999999999996E-6</v>
      </c>
      <c r="V124" s="155">
        <v>9.3096882591931093E-2</v>
      </c>
      <c r="W124" s="155">
        <v>9.14742611301846E-2</v>
      </c>
    </row>
    <row r="125" spans="1:23">
      <c r="A125" s="3">
        <v>337</v>
      </c>
      <c r="B125" s="3">
        <v>15372</v>
      </c>
      <c r="C125" s="185" t="s">
        <v>1315</v>
      </c>
      <c r="D125" s="3" t="s">
        <v>1316</v>
      </c>
      <c r="E125" s="189" t="s">
        <v>727</v>
      </c>
      <c r="F125" s="3" t="s">
        <v>1406</v>
      </c>
      <c r="G125" s="3" t="s">
        <v>1407</v>
      </c>
      <c r="H125" s="3" t="s">
        <v>121</v>
      </c>
      <c r="I125" s="3" t="s">
        <v>1327</v>
      </c>
      <c r="J125" s="3" t="s">
        <v>79</v>
      </c>
      <c r="K125" s="3" t="s">
        <v>80</v>
      </c>
      <c r="L125" s="3" t="s">
        <v>1180</v>
      </c>
      <c r="M125" s="3" t="s">
        <v>1333</v>
      </c>
      <c r="N125" s="3" t="s">
        <v>125</v>
      </c>
      <c r="O125" s="3" t="s">
        <v>84</v>
      </c>
      <c r="P125" s="145">
        <v>327</v>
      </c>
      <c r="Q125" s="153">
        <v>3.19</v>
      </c>
      <c r="R125" s="163">
        <v>68192</v>
      </c>
      <c r="S125" s="143">
        <v>0.48699999999999999</v>
      </c>
      <c r="T125" s="143">
        <v>712.88599999999997</v>
      </c>
      <c r="U125" s="155">
        <v>0</v>
      </c>
      <c r="V125" s="155">
        <v>9.0603622256167596E-2</v>
      </c>
      <c r="W125" s="155">
        <v>8.9024456790131101E-2</v>
      </c>
    </row>
    <row r="126" spans="1:23">
      <c r="A126" s="3">
        <v>337</v>
      </c>
      <c r="B126" s="3">
        <v>15372</v>
      </c>
      <c r="C126" s="185" t="s">
        <v>1416</v>
      </c>
      <c r="D126" s="3" t="s">
        <v>1417</v>
      </c>
      <c r="E126" s="189" t="s">
        <v>727</v>
      </c>
      <c r="F126" s="3" t="s">
        <v>1418</v>
      </c>
      <c r="G126" s="3" t="s">
        <v>1419</v>
      </c>
      <c r="H126" s="3" t="s">
        <v>121</v>
      </c>
      <c r="I126" s="3" t="s">
        <v>1327</v>
      </c>
      <c r="J126" s="3" t="s">
        <v>79</v>
      </c>
      <c r="K126" s="3" t="s">
        <v>80</v>
      </c>
      <c r="L126" s="3" t="s">
        <v>1180</v>
      </c>
      <c r="M126" s="3" t="s">
        <v>1333</v>
      </c>
      <c r="N126" s="3" t="s">
        <v>125</v>
      </c>
      <c r="O126" s="3" t="s">
        <v>84</v>
      </c>
      <c r="P126" s="145">
        <v>534</v>
      </c>
      <c r="Q126" s="153">
        <v>3.19</v>
      </c>
      <c r="R126" s="163">
        <v>62713</v>
      </c>
      <c r="T126" s="143">
        <v>1068.2909999999999</v>
      </c>
      <c r="U126" s="155">
        <v>9.9999999999999995E-7</v>
      </c>
      <c r="V126" s="155">
        <v>0.13577343416986301</v>
      </c>
      <c r="W126" s="155">
        <v>0.13340698663601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  <dataValidation type="list" allowBlank="1" showInputMessage="1" showErrorMessage="1" sqref="M31 M59 M85 M115" xr:uid="{BB6CCAC7-76AC-465D-B4EC-C5C7C0EDCF7B}">
      <formula1>INDIRECT(SUBSTITUTE(J31," ",""))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topLeftCell="N1" workbookViewId="0">
      <selection activeCell="W16" sqref="W16"/>
    </sheetView>
  </sheetViews>
  <sheetFormatPr defaultColWidth="0" defaultRowHeight="14.25"/>
  <cols>
    <col min="1" max="5" width="11.625" style="5" customWidth="1"/>
    <col min="6" max="6" width="26.5" style="5" customWidth="1"/>
    <col min="7" max="12" width="11.625" style="5" customWidth="1"/>
    <col min="13" max="13" width="11.625" style="3" customWidth="1"/>
    <col min="14" max="14" width="37.875" style="5" customWidth="1"/>
    <col min="15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18" t="s">
        <v>0</v>
      </c>
      <c r="B1" s="18" t="s">
        <v>1</v>
      </c>
      <c r="C1" s="18" t="s">
        <v>2</v>
      </c>
      <c r="D1" s="18" t="s">
        <v>105</v>
      </c>
      <c r="E1" s="18" t="s">
        <v>106</v>
      </c>
      <c r="F1" s="18" t="s">
        <v>1466</v>
      </c>
      <c r="G1" s="18" t="s">
        <v>4</v>
      </c>
      <c r="H1" s="18" t="s">
        <v>107</v>
      </c>
      <c r="I1" s="18" t="s">
        <v>5</v>
      </c>
      <c r="J1" s="18" t="s">
        <v>6</v>
      </c>
      <c r="K1" s="18" t="s">
        <v>7</v>
      </c>
      <c r="L1" s="18" t="s">
        <v>115</v>
      </c>
      <c r="M1" s="18" t="s">
        <v>8</v>
      </c>
      <c r="N1" s="18" t="s">
        <v>1302</v>
      </c>
      <c r="O1" s="18" t="s">
        <v>109</v>
      </c>
      <c r="P1" s="18" t="s">
        <v>11</v>
      </c>
      <c r="Q1" s="18" t="s">
        <v>17</v>
      </c>
      <c r="R1" s="152" t="s">
        <v>18</v>
      </c>
      <c r="S1" s="158" t="s">
        <v>19</v>
      </c>
      <c r="T1" s="18" t="s">
        <v>20</v>
      </c>
      <c r="U1" s="154" t="s">
        <v>23</v>
      </c>
      <c r="V1" s="154" t="s">
        <v>24</v>
      </c>
      <c r="W1" s="154" t="s">
        <v>25</v>
      </c>
    </row>
    <row r="2" spans="1:23">
      <c r="A2" s="17">
        <v>337</v>
      </c>
      <c r="B2" s="17">
        <v>1477</v>
      </c>
      <c r="C2" s="17" t="s">
        <v>1467</v>
      </c>
      <c r="D2" s="17" t="s">
        <v>1468</v>
      </c>
      <c r="E2" s="17" t="s">
        <v>727</v>
      </c>
      <c r="F2" s="17" t="s">
        <v>1469</v>
      </c>
      <c r="G2" s="17" t="s">
        <v>1470</v>
      </c>
      <c r="H2" s="17" t="s">
        <v>121</v>
      </c>
      <c r="I2" s="17" t="s">
        <v>920</v>
      </c>
      <c r="J2" s="17" t="s">
        <v>79</v>
      </c>
      <c r="K2" s="17" t="s">
        <v>80</v>
      </c>
      <c r="L2" s="5" t="s">
        <v>123</v>
      </c>
      <c r="M2" s="17" t="s">
        <v>730</v>
      </c>
      <c r="N2" s="19" t="s">
        <v>1471</v>
      </c>
      <c r="O2" s="19" t="s">
        <v>125</v>
      </c>
      <c r="P2" s="17" t="s">
        <v>84</v>
      </c>
      <c r="Q2" s="147">
        <v>337.4</v>
      </c>
      <c r="R2" s="164">
        <v>3.19</v>
      </c>
      <c r="S2" s="166">
        <v>18194.240000000002</v>
      </c>
      <c r="T2" s="147">
        <v>195.82599999999999</v>
      </c>
      <c r="U2" s="165">
        <v>3.48E-4</v>
      </c>
      <c r="V2" s="165">
        <v>0.60722476543234405</v>
      </c>
      <c r="W2" s="165">
        <v>7.8793800954579992E-3</v>
      </c>
    </row>
    <row r="3" spans="1:23">
      <c r="A3" s="17">
        <v>337</v>
      </c>
      <c r="B3" s="17">
        <v>1477</v>
      </c>
      <c r="C3" s="17" t="s">
        <v>1472</v>
      </c>
      <c r="D3" s="17" t="s">
        <v>1473</v>
      </c>
      <c r="E3" s="17" t="s">
        <v>727</v>
      </c>
      <c r="F3" s="17" t="s">
        <v>1474</v>
      </c>
      <c r="G3" s="17" t="s">
        <v>1475</v>
      </c>
      <c r="H3" s="17" t="s">
        <v>121</v>
      </c>
      <c r="I3" s="17" t="s">
        <v>920</v>
      </c>
      <c r="J3" s="17" t="s">
        <v>79</v>
      </c>
      <c r="K3" s="17" t="s">
        <v>1476</v>
      </c>
      <c r="L3" s="5" t="s">
        <v>123</v>
      </c>
      <c r="M3" s="17" t="s">
        <v>730</v>
      </c>
      <c r="N3" s="19" t="s">
        <v>1477</v>
      </c>
      <c r="O3" s="19" t="s">
        <v>125</v>
      </c>
      <c r="P3" s="17" t="s">
        <v>84</v>
      </c>
      <c r="Q3" s="147">
        <v>2695.22</v>
      </c>
      <c r="R3" s="164">
        <v>3.19</v>
      </c>
      <c r="S3" s="166">
        <v>1473.26</v>
      </c>
      <c r="T3" s="147">
        <v>126.667</v>
      </c>
      <c r="U3" s="165">
        <v>1.17E-4</v>
      </c>
      <c r="V3" s="165">
        <v>0.39277523456765601</v>
      </c>
      <c r="W3" s="165">
        <v>5.0966718444655596E-3</v>
      </c>
    </row>
    <row r="4" spans="1:23">
      <c r="A4" s="17">
        <v>337</v>
      </c>
      <c r="B4" s="17">
        <v>9962</v>
      </c>
      <c r="C4" s="17" t="s">
        <v>1467</v>
      </c>
      <c r="D4" s="17" t="s">
        <v>1468</v>
      </c>
      <c r="E4" s="17" t="s">
        <v>727</v>
      </c>
      <c r="F4" s="17" t="s">
        <v>1469</v>
      </c>
      <c r="G4" s="17" t="s">
        <v>1470</v>
      </c>
      <c r="H4" s="17" t="s">
        <v>121</v>
      </c>
      <c r="I4" s="17" t="s">
        <v>920</v>
      </c>
      <c r="J4" s="17" t="s">
        <v>79</v>
      </c>
      <c r="K4" s="17" t="s">
        <v>80</v>
      </c>
      <c r="L4" s="5" t="s">
        <v>123</v>
      </c>
      <c r="M4" s="17" t="s">
        <v>730</v>
      </c>
      <c r="N4" s="19" t="s">
        <v>1471</v>
      </c>
      <c r="O4" s="19" t="s">
        <v>125</v>
      </c>
      <c r="P4" s="17" t="s">
        <v>84</v>
      </c>
      <c r="Q4" s="147">
        <v>562.33000000000004</v>
      </c>
      <c r="R4" s="164">
        <v>3.19</v>
      </c>
      <c r="S4" s="166">
        <v>18194.240000000002</v>
      </c>
      <c r="T4" s="147">
        <v>326.37400000000002</v>
      </c>
      <c r="U4" s="165">
        <v>5.7899999999999998E-4</v>
      </c>
      <c r="V4" s="165">
        <v>0.59552813477996203</v>
      </c>
      <c r="W4" s="165">
        <v>6.5050668791082197E-3</v>
      </c>
    </row>
    <row r="5" spans="1:23">
      <c r="A5" s="17">
        <v>337</v>
      </c>
      <c r="B5" s="17">
        <v>9962</v>
      </c>
      <c r="C5" s="17" t="s">
        <v>1472</v>
      </c>
      <c r="D5" s="17" t="s">
        <v>1473</v>
      </c>
      <c r="E5" s="17" t="s">
        <v>727</v>
      </c>
      <c r="F5" s="17" t="s">
        <v>1474</v>
      </c>
      <c r="G5" s="17" t="s">
        <v>1475</v>
      </c>
      <c r="H5" s="17" t="s">
        <v>121</v>
      </c>
      <c r="I5" s="17" t="s">
        <v>920</v>
      </c>
      <c r="J5" s="17" t="s">
        <v>79</v>
      </c>
      <c r="K5" s="17" t="s">
        <v>1476</v>
      </c>
      <c r="L5" s="5" t="s">
        <v>123</v>
      </c>
      <c r="M5" s="17" t="s">
        <v>730</v>
      </c>
      <c r="N5" s="19" t="s">
        <v>1477</v>
      </c>
      <c r="O5" s="19" t="s">
        <v>125</v>
      </c>
      <c r="P5" s="17" t="s">
        <v>84</v>
      </c>
      <c r="Q5" s="147">
        <v>4716.63</v>
      </c>
      <c r="R5" s="164">
        <v>3.19</v>
      </c>
      <c r="S5" s="166">
        <v>1473.26</v>
      </c>
      <c r="T5" s="147">
        <v>221.667</v>
      </c>
      <c r="U5" s="165">
        <v>2.05E-4</v>
      </c>
      <c r="V5" s="165">
        <v>0.40447186522003797</v>
      </c>
      <c r="W5" s="165">
        <v>4.4181229740659503E-3</v>
      </c>
    </row>
    <row r="6" spans="1:23">
      <c r="A6" s="17">
        <v>337</v>
      </c>
      <c r="B6" s="17">
        <v>9963</v>
      </c>
      <c r="C6" s="17" t="s">
        <v>1478</v>
      </c>
      <c r="D6" s="17" t="s">
        <v>1479</v>
      </c>
      <c r="E6" s="17" t="s">
        <v>118</v>
      </c>
      <c r="F6" s="17" t="s">
        <v>1480</v>
      </c>
      <c r="G6" s="17" t="s">
        <v>1481</v>
      </c>
      <c r="H6" s="17" t="s">
        <v>121</v>
      </c>
      <c r="I6" s="17" t="s">
        <v>920</v>
      </c>
      <c r="J6" s="17" t="s">
        <v>30</v>
      </c>
      <c r="K6" s="17" t="s">
        <v>30</v>
      </c>
      <c r="L6" s="5" t="s">
        <v>123</v>
      </c>
      <c r="M6" s="17" t="s">
        <v>31</v>
      </c>
      <c r="N6" s="19" t="s">
        <v>1482</v>
      </c>
      <c r="O6" s="19" t="s">
        <v>125</v>
      </c>
      <c r="P6" s="17" t="s">
        <v>34</v>
      </c>
      <c r="Q6" s="147">
        <v>3697494.06</v>
      </c>
      <c r="R6" s="164">
        <v>1</v>
      </c>
      <c r="S6" s="166">
        <v>111.9</v>
      </c>
      <c r="T6" s="147">
        <v>4137.4960000000001</v>
      </c>
      <c r="U6" s="165">
        <v>1.1941E-2</v>
      </c>
      <c r="V6" s="165">
        <v>0.22660381944574401</v>
      </c>
      <c r="W6" s="165">
        <v>3.5503766902377498E-3</v>
      </c>
    </row>
    <row r="7" spans="1:23">
      <c r="A7" s="17">
        <v>337</v>
      </c>
      <c r="B7" s="17">
        <v>9963</v>
      </c>
      <c r="C7" s="17" t="s">
        <v>1467</v>
      </c>
      <c r="D7" s="17" t="s">
        <v>1468</v>
      </c>
      <c r="E7" s="17" t="s">
        <v>727</v>
      </c>
      <c r="F7" s="17" t="s">
        <v>1469</v>
      </c>
      <c r="G7" s="17" t="s">
        <v>1470</v>
      </c>
      <c r="H7" s="17" t="s">
        <v>121</v>
      </c>
      <c r="I7" s="17" t="s">
        <v>920</v>
      </c>
      <c r="J7" s="17" t="s">
        <v>79</v>
      </c>
      <c r="K7" s="17" t="s">
        <v>80</v>
      </c>
      <c r="L7" s="5" t="s">
        <v>123</v>
      </c>
      <c r="M7" s="17" t="s">
        <v>730</v>
      </c>
      <c r="N7" s="19" t="s">
        <v>1471</v>
      </c>
      <c r="O7" s="19" t="s">
        <v>125</v>
      </c>
      <c r="P7" s="17" t="s">
        <v>84</v>
      </c>
      <c r="Q7" s="147">
        <v>10621.82</v>
      </c>
      <c r="R7" s="164">
        <v>3.19</v>
      </c>
      <c r="S7" s="166">
        <v>18194.240000000002</v>
      </c>
      <c r="T7" s="147">
        <v>6164.8649999999998</v>
      </c>
      <c r="U7" s="165">
        <v>1.0940999999999999E-2</v>
      </c>
      <c r="V7" s="165">
        <v>0.337639457591287</v>
      </c>
      <c r="W7" s="165">
        <v>5.2900576118649198E-3</v>
      </c>
    </row>
    <row r="8" spans="1:23">
      <c r="A8" s="17">
        <v>337</v>
      </c>
      <c r="B8" s="17">
        <v>9963</v>
      </c>
      <c r="C8" s="17" t="s">
        <v>1472</v>
      </c>
      <c r="D8" s="17" t="s">
        <v>1473</v>
      </c>
      <c r="E8" s="17" t="s">
        <v>727</v>
      </c>
      <c r="F8" s="17" t="s">
        <v>1474</v>
      </c>
      <c r="G8" s="17" t="s">
        <v>1475</v>
      </c>
      <c r="H8" s="17" t="s">
        <v>121</v>
      </c>
      <c r="I8" s="17" t="s">
        <v>920</v>
      </c>
      <c r="J8" s="17" t="s">
        <v>79</v>
      </c>
      <c r="K8" s="17" t="s">
        <v>1476</v>
      </c>
      <c r="L8" s="5" t="s">
        <v>123</v>
      </c>
      <c r="M8" s="17" t="s">
        <v>730</v>
      </c>
      <c r="N8" s="19" t="s">
        <v>1477</v>
      </c>
      <c r="O8" s="19" t="s">
        <v>125</v>
      </c>
      <c r="P8" s="17" t="s">
        <v>84</v>
      </c>
      <c r="Q8" s="147">
        <v>99852.88</v>
      </c>
      <c r="R8" s="164">
        <v>3.19</v>
      </c>
      <c r="S8" s="166">
        <v>1473.26</v>
      </c>
      <c r="T8" s="147">
        <v>4692.7849999999999</v>
      </c>
      <c r="U8" s="165">
        <v>4.3499999999999997E-3</v>
      </c>
      <c r="V8" s="165">
        <v>0.25701610065896202</v>
      </c>
      <c r="W8" s="165">
        <v>4.02686933974589E-3</v>
      </c>
    </row>
    <row r="9" spans="1:23">
      <c r="A9" s="17">
        <v>337</v>
      </c>
      <c r="B9" s="17">
        <v>9963</v>
      </c>
      <c r="C9" s="17" t="s">
        <v>1483</v>
      </c>
      <c r="D9" s="17" t="s">
        <v>1484</v>
      </c>
      <c r="E9" s="17" t="s">
        <v>727</v>
      </c>
      <c r="F9" s="17" t="s">
        <v>1485</v>
      </c>
      <c r="G9" s="17" t="s">
        <v>1486</v>
      </c>
      <c r="H9" s="17" t="s">
        <v>121</v>
      </c>
      <c r="I9" s="17" t="s">
        <v>920</v>
      </c>
      <c r="J9" s="17" t="s">
        <v>79</v>
      </c>
      <c r="K9" s="17" t="s">
        <v>1341</v>
      </c>
      <c r="L9" s="5" t="s">
        <v>123</v>
      </c>
      <c r="M9" s="17" t="s">
        <v>730</v>
      </c>
      <c r="N9" s="19" t="s">
        <v>1487</v>
      </c>
      <c r="O9" s="19" t="s">
        <v>125</v>
      </c>
      <c r="P9" s="17" t="s">
        <v>755</v>
      </c>
      <c r="Q9" s="147">
        <v>3338.31</v>
      </c>
      <c r="R9" s="164">
        <v>3.7454999999999998</v>
      </c>
      <c r="S9" s="166">
        <v>26101</v>
      </c>
      <c r="T9" s="147">
        <v>3263.5749999999998</v>
      </c>
      <c r="U9" s="165">
        <v>2.313E-3</v>
      </c>
      <c r="V9" s="165">
        <v>0.178740622304007</v>
      </c>
      <c r="W9" s="165">
        <v>2.80046709088537E-3</v>
      </c>
    </row>
    <row r="10" spans="1:23">
      <c r="A10" s="17">
        <v>337</v>
      </c>
      <c r="B10" s="17">
        <v>9964</v>
      </c>
      <c r="C10" s="17" t="s">
        <v>1467</v>
      </c>
      <c r="D10" s="17" t="s">
        <v>1468</v>
      </c>
      <c r="E10" s="17" t="s">
        <v>727</v>
      </c>
      <c r="F10" s="17" t="s">
        <v>1469</v>
      </c>
      <c r="G10" s="17" t="s">
        <v>1470</v>
      </c>
      <c r="H10" s="17" t="s">
        <v>121</v>
      </c>
      <c r="I10" s="17" t="s">
        <v>920</v>
      </c>
      <c r="J10" s="17" t="s">
        <v>79</v>
      </c>
      <c r="K10" s="17" t="s">
        <v>80</v>
      </c>
      <c r="L10" s="5" t="s">
        <v>123</v>
      </c>
      <c r="M10" s="17" t="s">
        <v>730</v>
      </c>
      <c r="N10" s="19" t="s">
        <v>1471</v>
      </c>
      <c r="O10" s="19" t="s">
        <v>125</v>
      </c>
      <c r="P10" s="17" t="s">
        <v>84</v>
      </c>
      <c r="Q10" s="147">
        <v>224.93</v>
      </c>
      <c r="R10" s="164">
        <v>3.19</v>
      </c>
      <c r="S10" s="166">
        <v>18194.240000000002</v>
      </c>
      <c r="T10" s="147">
        <v>130.54900000000001</v>
      </c>
      <c r="U10" s="165">
        <v>2.32E-4</v>
      </c>
      <c r="V10" s="165">
        <v>0.52700930722789197</v>
      </c>
      <c r="W10" s="165">
        <v>2.9932814532405202E-3</v>
      </c>
    </row>
    <row r="11" spans="1:23">
      <c r="A11" s="17">
        <v>337</v>
      </c>
      <c r="B11" s="17">
        <v>9964</v>
      </c>
      <c r="C11" s="17" t="s">
        <v>1472</v>
      </c>
      <c r="D11" s="17" t="s">
        <v>1473</v>
      </c>
      <c r="E11" s="17" t="s">
        <v>727</v>
      </c>
      <c r="F11" s="17" t="s">
        <v>1474</v>
      </c>
      <c r="G11" s="17" t="s">
        <v>1475</v>
      </c>
      <c r="H11" s="17" t="s">
        <v>121</v>
      </c>
      <c r="I11" s="17" t="s">
        <v>920</v>
      </c>
      <c r="J11" s="17" t="s">
        <v>79</v>
      </c>
      <c r="K11" s="17" t="s">
        <v>1476</v>
      </c>
      <c r="L11" s="5" t="s">
        <v>123</v>
      </c>
      <c r="M11" s="17" t="s">
        <v>730</v>
      </c>
      <c r="N11" s="19" t="s">
        <v>1477</v>
      </c>
      <c r="O11" s="19" t="s">
        <v>125</v>
      </c>
      <c r="P11" s="17" t="s">
        <v>84</v>
      </c>
      <c r="Q11" s="147">
        <v>2493.08</v>
      </c>
      <c r="R11" s="164">
        <v>3.19</v>
      </c>
      <c r="S11" s="166">
        <v>1473.26</v>
      </c>
      <c r="T11" s="147">
        <v>117.167</v>
      </c>
      <c r="U11" s="165">
        <v>1.0900000000000001E-4</v>
      </c>
      <c r="V11" s="165">
        <v>0.47299069277210798</v>
      </c>
      <c r="W11" s="165">
        <v>2.6864691928826E-3</v>
      </c>
    </row>
    <row r="12" spans="1:2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M12" s="17"/>
      <c r="N12" s="19"/>
      <c r="O12" s="19"/>
      <c r="P12" s="17"/>
      <c r="Q12" s="17"/>
      <c r="R12" s="17"/>
      <c r="S12" s="17"/>
      <c r="T12" s="17"/>
      <c r="U12" s="17"/>
      <c r="V12" s="17"/>
      <c r="W12" s="17"/>
    </row>
    <row r="13" spans="1:2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M13" s="17"/>
      <c r="N13" s="19"/>
      <c r="O13" s="19"/>
      <c r="P13" s="17"/>
      <c r="Q13" s="17"/>
      <c r="R13" s="17"/>
      <c r="S13" s="17"/>
      <c r="T13" s="17"/>
      <c r="U13" s="17"/>
      <c r="V13" s="17"/>
      <c r="W13" s="17"/>
    </row>
    <row r="14" spans="1:2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M14" s="17"/>
      <c r="N14" s="19"/>
      <c r="O14" s="19"/>
      <c r="P14" s="17"/>
      <c r="Q14" s="17"/>
      <c r="R14" s="17"/>
      <c r="S14" s="17"/>
      <c r="T14" s="17"/>
      <c r="U14" s="17"/>
      <c r="V14" s="17"/>
      <c r="W14" s="17"/>
    </row>
    <row r="15" spans="1:2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M15" s="17"/>
      <c r="N15" s="19"/>
      <c r="O15" s="19"/>
      <c r="P15" s="17"/>
      <c r="Q15" s="17"/>
      <c r="R15" s="17"/>
      <c r="S15" s="17"/>
      <c r="T15" s="17"/>
      <c r="U15" s="17"/>
      <c r="V15" s="17"/>
      <c r="W15" s="17"/>
    </row>
    <row r="16" spans="1:2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M16" s="17"/>
      <c r="N16" s="19"/>
      <c r="O16" s="19"/>
      <c r="P16" s="17"/>
      <c r="Q16" s="17"/>
      <c r="R16" s="17"/>
      <c r="S16" s="17"/>
      <c r="T16" s="17"/>
      <c r="U16" s="17"/>
      <c r="V16" s="17"/>
      <c r="W16" s="17"/>
    </row>
    <row r="17" spans="1:2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M17" s="17"/>
      <c r="N17" s="19"/>
      <c r="O17" s="19"/>
      <c r="P17" s="17"/>
      <c r="Q17" s="17"/>
      <c r="R17" s="17"/>
      <c r="S17" s="17"/>
      <c r="T17" s="17"/>
      <c r="U17" s="17"/>
      <c r="V17" s="17"/>
      <c r="W17" s="17"/>
    </row>
    <row r="18" spans="1:2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M18" s="17"/>
      <c r="N18" s="19"/>
      <c r="O18" s="19"/>
      <c r="P18" s="17"/>
      <c r="Q18" s="17"/>
      <c r="R18" s="17"/>
      <c r="S18" s="17"/>
      <c r="T18" s="17"/>
      <c r="U18" s="17"/>
      <c r="V18" s="17"/>
      <c r="W18" s="17"/>
    </row>
    <row r="19" spans="1:2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M19" s="17"/>
      <c r="N19" s="19"/>
      <c r="O19" s="19"/>
      <c r="P19" s="17"/>
      <c r="Q19" s="17"/>
      <c r="R19" s="17"/>
      <c r="S19" s="17"/>
      <c r="T19" s="17"/>
      <c r="U19" s="17"/>
      <c r="V19" s="17"/>
      <c r="W19" s="17"/>
    </row>
    <row r="20" spans="1:23">
      <c r="E20" s="17"/>
      <c r="H20" s="17"/>
      <c r="I20" s="17"/>
      <c r="J20" s="17"/>
      <c r="K20" s="17"/>
      <c r="M20" s="17"/>
      <c r="N20" s="19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topLeftCell="M1" workbookViewId="0">
      <selection activeCell="Y22" sqref="Y22"/>
    </sheetView>
  </sheetViews>
  <sheetFormatPr defaultColWidth="0" defaultRowHeight="14.25"/>
  <cols>
    <col min="1" max="2" width="11.625" style="3" customWidth="1"/>
    <col min="3" max="3" width="28" style="3" customWidth="1"/>
    <col min="4" max="4" width="11.625" style="3" customWidth="1"/>
    <col min="5" max="5" width="11.625" style="5" customWidth="1"/>
    <col min="6" max="6" width="18" style="3" customWidth="1"/>
    <col min="7" max="7" width="17.625" style="3" customWidth="1"/>
    <col min="8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18" t="s">
        <v>0</v>
      </c>
      <c r="B1" s="18" t="s">
        <v>1</v>
      </c>
      <c r="C1" s="18" t="s">
        <v>2</v>
      </c>
      <c r="D1" s="18" t="s">
        <v>105</v>
      </c>
      <c r="E1" s="18" t="s">
        <v>106</v>
      </c>
      <c r="F1" s="18" t="s">
        <v>3</v>
      </c>
      <c r="G1" s="18" t="s">
        <v>4</v>
      </c>
      <c r="H1" s="18" t="s">
        <v>107</v>
      </c>
      <c r="I1" s="18" t="s">
        <v>6</v>
      </c>
      <c r="J1" s="18" t="s">
        <v>7</v>
      </c>
      <c r="K1" s="18" t="s">
        <v>115</v>
      </c>
      <c r="L1" s="18" t="s">
        <v>8</v>
      </c>
      <c r="M1" s="18" t="s">
        <v>1488</v>
      </c>
      <c r="N1" s="18" t="s">
        <v>108</v>
      </c>
      <c r="O1" s="167" t="s">
        <v>1489</v>
      </c>
      <c r="P1" s="18" t="s">
        <v>109</v>
      </c>
      <c r="Q1" s="18" t="s">
        <v>11</v>
      </c>
      <c r="R1" s="158" t="s">
        <v>1490</v>
      </c>
      <c r="S1" s="18" t="s">
        <v>1491</v>
      </c>
      <c r="T1" s="18" t="s">
        <v>17</v>
      </c>
      <c r="U1" s="152" t="s">
        <v>18</v>
      </c>
      <c r="V1" s="158" t="s">
        <v>19</v>
      </c>
      <c r="W1" s="18" t="s">
        <v>20</v>
      </c>
      <c r="X1" s="154" t="s">
        <v>24</v>
      </c>
      <c r="Y1" s="154" t="s">
        <v>25</v>
      </c>
    </row>
    <row r="2" spans="1:25">
      <c r="A2" s="26">
        <v>337</v>
      </c>
      <c r="B2" s="19">
        <v>1405</v>
      </c>
      <c r="C2" s="19" t="s">
        <v>303</v>
      </c>
      <c r="D2" s="19" t="s">
        <v>304</v>
      </c>
      <c r="E2" s="17" t="s">
        <v>118</v>
      </c>
      <c r="F2" s="19" t="s">
        <v>1492</v>
      </c>
      <c r="G2" s="19" t="s">
        <v>1493</v>
      </c>
      <c r="H2" s="17" t="s">
        <v>121</v>
      </c>
      <c r="I2" s="17" t="s">
        <v>30</v>
      </c>
      <c r="J2" s="17" t="s">
        <v>30</v>
      </c>
      <c r="K2" s="19" t="s">
        <v>123</v>
      </c>
      <c r="L2" s="17" t="s">
        <v>31</v>
      </c>
      <c r="M2" s="20" t="s">
        <v>974</v>
      </c>
      <c r="N2" s="19" t="s">
        <v>171</v>
      </c>
      <c r="O2" s="168" t="s">
        <v>1494</v>
      </c>
      <c r="P2" s="19" t="s">
        <v>125</v>
      </c>
      <c r="Q2" s="17" t="s">
        <v>34</v>
      </c>
      <c r="R2" s="166">
        <v>58000</v>
      </c>
      <c r="S2" s="147">
        <v>1</v>
      </c>
      <c r="T2" s="146">
        <v>34</v>
      </c>
      <c r="U2" s="160">
        <v>1</v>
      </c>
      <c r="V2" s="162">
        <v>19020</v>
      </c>
      <c r="W2" s="146">
        <v>6.4669999999999996</v>
      </c>
      <c r="X2" s="161">
        <v>1</v>
      </c>
      <c r="Y2" s="161">
        <v>8.6160835562560495E-4</v>
      </c>
    </row>
    <row r="3" spans="1:25">
      <c r="A3" s="19">
        <v>337</v>
      </c>
      <c r="B3" s="19">
        <v>1477</v>
      </c>
      <c r="C3" s="19" t="s">
        <v>760</v>
      </c>
      <c r="D3" s="19" t="s">
        <v>761</v>
      </c>
      <c r="E3" s="17" t="s">
        <v>118</v>
      </c>
      <c r="F3" s="19" t="s">
        <v>1495</v>
      </c>
      <c r="G3" s="19" t="s">
        <v>1496</v>
      </c>
      <c r="H3" s="17" t="s">
        <v>121</v>
      </c>
      <c r="I3" s="17" t="s">
        <v>30</v>
      </c>
      <c r="J3" s="17" t="s">
        <v>30</v>
      </c>
      <c r="K3" s="19" t="s">
        <v>123</v>
      </c>
      <c r="L3" s="17" t="s">
        <v>31</v>
      </c>
      <c r="M3" s="19" t="s">
        <v>1497</v>
      </c>
      <c r="N3" s="19" t="s">
        <v>228</v>
      </c>
      <c r="O3" s="168" t="s">
        <v>1498</v>
      </c>
      <c r="P3" s="19" t="s">
        <v>125</v>
      </c>
      <c r="Q3" s="17" t="s">
        <v>34</v>
      </c>
      <c r="R3" s="166">
        <v>8000</v>
      </c>
      <c r="S3" s="147">
        <v>1</v>
      </c>
      <c r="T3" s="146">
        <v>102</v>
      </c>
      <c r="U3" s="160">
        <v>1</v>
      </c>
      <c r="V3" s="162">
        <v>1354</v>
      </c>
      <c r="W3" s="146">
        <v>1.381</v>
      </c>
      <c r="X3" s="161">
        <v>0.69530982540225905</v>
      </c>
      <c r="Y3" s="161">
        <v>5.5570103625224197E-5</v>
      </c>
    </row>
    <row r="4" spans="1:25">
      <c r="A4" s="19">
        <v>337</v>
      </c>
      <c r="B4" s="19">
        <v>1477</v>
      </c>
      <c r="C4" s="19" t="s">
        <v>570</v>
      </c>
      <c r="D4" s="19" t="s">
        <v>571</v>
      </c>
      <c r="E4" s="17" t="s">
        <v>439</v>
      </c>
      <c r="F4" s="19" t="s">
        <v>1499</v>
      </c>
      <c r="G4" s="19" t="s">
        <v>1500</v>
      </c>
      <c r="H4" s="17" t="s">
        <v>121</v>
      </c>
      <c r="I4" s="17" t="s">
        <v>30</v>
      </c>
      <c r="J4" s="17" t="s">
        <v>30</v>
      </c>
      <c r="K4" s="19" t="s">
        <v>123</v>
      </c>
      <c r="L4" s="17" t="s">
        <v>31</v>
      </c>
      <c r="M4" s="19" t="s">
        <v>1084</v>
      </c>
      <c r="N4" s="19" t="s">
        <v>377</v>
      </c>
      <c r="O4" s="168" t="s">
        <v>616</v>
      </c>
      <c r="P4" s="19" t="s">
        <v>125</v>
      </c>
      <c r="Q4" s="17" t="s">
        <v>34</v>
      </c>
      <c r="R4" s="166">
        <v>12000</v>
      </c>
      <c r="S4" s="147">
        <v>1</v>
      </c>
      <c r="T4" s="146">
        <v>34</v>
      </c>
      <c r="U4" s="160">
        <v>1</v>
      </c>
      <c r="V4" s="162">
        <v>1780</v>
      </c>
      <c r="W4" s="146">
        <v>0.60499999999999998</v>
      </c>
      <c r="X4" s="161">
        <v>0.30469017459774</v>
      </c>
      <c r="Y4" s="161">
        <v>2.4351251711693499E-5</v>
      </c>
    </row>
    <row r="5" spans="1:25">
      <c r="A5" s="19">
        <v>337</v>
      </c>
      <c r="B5" s="19">
        <v>9962</v>
      </c>
      <c r="C5" s="19" t="s">
        <v>760</v>
      </c>
      <c r="D5" s="19" t="s">
        <v>761</v>
      </c>
      <c r="E5" s="17" t="s">
        <v>118</v>
      </c>
      <c r="F5" s="19" t="s">
        <v>1495</v>
      </c>
      <c r="G5" s="19" t="s">
        <v>1496</v>
      </c>
      <c r="H5" s="17" t="s">
        <v>121</v>
      </c>
      <c r="I5" s="17" t="s">
        <v>30</v>
      </c>
      <c r="J5" s="17" t="s">
        <v>30</v>
      </c>
      <c r="K5" s="19" t="s">
        <v>123</v>
      </c>
      <c r="L5" s="17" t="s">
        <v>31</v>
      </c>
      <c r="M5" s="19" t="s">
        <v>1497</v>
      </c>
      <c r="N5" s="19" t="s">
        <v>228</v>
      </c>
      <c r="O5" s="168" t="s">
        <v>1498</v>
      </c>
      <c r="P5" s="19" t="s">
        <v>125</v>
      </c>
      <c r="Q5" s="17" t="s">
        <v>34</v>
      </c>
      <c r="R5" s="166">
        <v>8000</v>
      </c>
      <c r="S5" s="147">
        <v>1</v>
      </c>
      <c r="T5" s="146">
        <v>156</v>
      </c>
      <c r="U5" s="160">
        <v>1</v>
      </c>
      <c r="V5" s="162">
        <v>1354</v>
      </c>
      <c r="W5" s="146">
        <v>2.1120000000000001</v>
      </c>
      <c r="X5" s="161">
        <v>9.0544335963621797E-2</v>
      </c>
      <c r="Y5" s="161">
        <v>4.2099716654500498E-5</v>
      </c>
    </row>
    <row r="6" spans="1:25">
      <c r="A6" s="19">
        <v>337</v>
      </c>
      <c r="B6" s="19">
        <v>9962</v>
      </c>
      <c r="C6" s="19" t="s">
        <v>303</v>
      </c>
      <c r="D6" s="19" t="s">
        <v>304</v>
      </c>
      <c r="E6" s="17" t="s">
        <v>118</v>
      </c>
      <c r="F6" s="19" t="s">
        <v>1492</v>
      </c>
      <c r="G6" s="19" t="s">
        <v>1493</v>
      </c>
      <c r="H6" s="17" t="s">
        <v>121</v>
      </c>
      <c r="I6" s="17" t="s">
        <v>30</v>
      </c>
      <c r="J6" s="17" t="s">
        <v>30</v>
      </c>
      <c r="K6" s="19" t="s">
        <v>123</v>
      </c>
      <c r="L6" s="17" t="s">
        <v>31</v>
      </c>
      <c r="M6" s="19" t="s">
        <v>974</v>
      </c>
      <c r="N6" s="19" t="s">
        <v>171</v>
      </c>
      <c r="O6" s="168" t="s">
        <v>1494</v>
      </c>
      <c r="P6" s="19" t="s">
        <v>125</v>
      </c>
      <c r="Q6" s="17" t="s">
        <v>34</v>
      </c>
      <c r="R6" s="166">
        <v>58000</v>
      </c>
      <c r="S6" s="147">
        <v>1</v>
      </c>
      <c r="T6" s="146">
        <v>102</v>
      </c>
      <c r="U6" s="160">
        <v>1</v>
      </c>
      <c r="V6" s="162">
        <v>19020</v>
      </c>
      <c r="W6" s="146">
        <v>19.399999999999999</v>
      </c>
      <c r="X6" s="161">
        <v>0.83162724663326504</v>
      </c>
      <c r="Y6" s="161">
        <v>3.86675445491029E-4</v>
      </c>
    </row>
    <row r="7" spans="1:25">
      <c r="A7" s="19">
        <v>337</v>
      </c>
      <c r="B7" s="19">
        <v>9962</v>
      </c>
      <c r="C7" s="19" t="s">
        <v>570</v>
      </c>
      <c r="D7" s="19" t="s">
        <v>571</v>
      </c>
      <c r="E7" s="17" t="s">
        <v>439</v>
      </c>
      <c r="F7" s="19" t="s">
        <v>1499</v>
      </c>
      <c r="G7" s="19" t="s">
        <v>1500</v>
      </c>
      <c r="H7" s="17" t="s">
        <v>121</v>
      </c>
      <c r="I7" s="17" t="s">
        <v>30</v>
      </c>
      <c r="J7" s="17" t="s">
        <v>30</v>
      </c>
      <c r="K7" s="19" t="s">
        <v>123</v>
      </c>
      <c r="L7" s="17" t="s">
        <v>31</v>
      </c>
      <c r="M7" s="19" t="s">
        <v>1084</v>
      </c>
      <c r="N7" s="19" t="s">
        <v>377</v>
      </c>
      <c r="O7" s="168" t="s">
        <v>616</v>
      </c>
      <c r="P7" s="19" t="s">
        <v>125</v>
      </c>
      <c r="Q7" s="17" t="s">
        <v>34</v>
      </c>
      <c r="R7" s="166">
        <v>12000</v>
      </c>
      <c r="S7" s="147">
        <v>1</v>
      </c>
      <c r="T7" s="146">
        <v>102</v>
      </c>
      <c r="U7" s="160">
        <v>1</v>
      </c>
      <c r="V7" s="162">
        <v>1780</v>
      </c>
      <c r="W7" s="146">
        <v>1.8160000000000001</v>
      </c>
      <c r="X7" s="161">
        <v>7.7828417403113095E-2</v>
      </c>
      <c r="Y7" s="161">
        <v>3.6187291954470701E-5</v>
      </c>
    </row>
    <row r="8" spans="1:25">
      <c r="A8" s="19">
        <v>337</v>
      </c>
      <c r="B8" s="19">
        <v>9963</v>
      </c>
      <c r="C8" s="19" t="s">
        <v>760</v>
      </c>
      <c r="D8" s="19" t="s">
        <v>761</v>
      </c>
      <c r="E8" s="17" t="s">
        <v>118</v>
      </c>
      <c r="F8" s="19" t="s">
        <v>1495</v>
      </c>
      <c r="G8" s="19" t="s">
        <v>1496</v>
      </c>
      <c r="H8" s="17" t="s">
        <v>121</v>
      </c>
      <c r="I8" s="17" t="s">
        <v>30</v>
      </c>
      <c r="J8" s="17" t="s">
        <v>30</v>
      </c>
      <c r="K8" s="19" t="s">
        <v>123</v>
      </c>
      <c r="L8" s="17" t="s">
        <v>31</v>
      </c>
      <c r="M8" s="19" t="s">
        <v>1497</v>
      </c>
      <c r="N8" s="19" t="s">
        <v>228</v>
      </c>
      <c r="O8" s="168" t="s">
        <v>1498</v>
      </c>
      <c r="P8" s="19" t="s">
        <v>125</v>
      </c>
      <c r="Q8" s="17" t="s">
        <v>34</v>
      </c>
      <c r="R8" s="166">
        <v>8000</v>
      </c>
      <c r="S8" s="147">
        <v>1</v>
      </c>
      <c r="T8" s="146">
        <v>5766</v>
      </c>
      <c r="U8" s="160">
        <v>1</v>
      </c>
      <c r="V8" s="162">
        <v>1354</v>
      </c>
      <c r="W8" s="146">
        <v>78.072000000000003</v>
      </c>
      <c r="X8" s="161">
        <v>7.7964653783492099E-2</v>
      </c>
      <c r="Y8" s="161">
        <v>6.6993113869654998E-5</v>
      </c>
    </row>
    <row r="9" spans="1:25">
      <c r="A9" s="19">
        <v>337</v>
      </c>
      <c r="B9" s="19">
        <v>9963</v>
      </c>
      <c r="C9" s="19" t="s">
        <v>303</v>
      </c>
      <c r="D9" s="19" t="s">
        <v>304</v>
      </c>
      <c r="E9" s="17" t="s">
        <v>118</v>
      </c>
      <c r="F9" s="19" t="s">
        <v>1492</v>
      </c>
      <c r="G9" s="19" t="s">
        <v>1493</v>
      </c>
      <c r="H9" s="17" t="s">
        <v>121</v>
      </c>
      <c r="I9" s="17" t="s">
        <v>30</v>
      </c>
      <c r="J9" s="17" t="s">
        <v>30</v>
      </c>
      <c r="K9" s="19" t="s">
        <v>123</v>
      </c>
      <c r="L9" s="17" t="s">
        <v>31</v>
      </c>
      <c r="M9" s="19" t="s">
        <v>974</v>
      </c>
      <c r="N9" s="19" t="s">
        <v>171</v>
      </c>
      <c r="O9" s="168" t="s">
        <v>1494</v>
      </c>
      <c r="P9" s="19" t="s">
        <v>125</v>
      </c>
      <c r="Q9" s="17" t="s">
        <v>34</v>
      </c>
      <c r="R9" s="166">
        <v>58000</v>
      </c>
      <c r="S9" s="147">
        <v>1</v>
      </c>
      <c r="T9" s="146">
        <v>4743</v>
      </c>
      <c r="U9" s="160">
        <v>1</v>
      </c>
      <c r="V9" s="162">
        <v>19020</v>
      </c>
      <c r="W9" s="146">
        <v>902.11900000000003</v>
      </c>
      <c r="X9" s="161">
        <v>0.90088237317223796</v>
      </c>
      <c r="Y9" s="161">
        <v>7.7410611707059995E-4</v>
      </c>
    </row>
    <row r="10" spans="1:25">
      <c r="A10" s="19">
        <v>337</v>
      </c>
      <c r="B10" s="19">
        <v>9963</v>
      </c>
      <c r="C10" s="19" t="s">
        <v>570</v>
      </c>
      <c r="D10" s="19" t="s">
        <v>571</v>
      </c>
      <c r="E10" s="17" t="s">
        <v>439</v>
      </c>
      <c r="F10" s="19" t="s">
        <v>1499</v>
      </c>
      <c r="G10" s="19" t="s">
        <v>1500</v>
      </c>
      <c r="H10" s="17" t="s">
        <v>121</v>
      </c>
      <c r="I10" s="17" t="s">
        <v>30</v>
      </c>
      <c r="J10" s="17" t="s">
        <v>30</v>
      </c>
      <c r="K10" s="19" t="s">
        <v>123</v>
      </c>
      <c r="L10" s="17" t="s">
        <v>31</v>
      </c>
      <c r="M10" s="19" t="s">
        <v>1084</v>
      </c>
      <c r="N10" s="19" t="s">
        <v>377</v>
      </c>
      <c r="O10" s="168" t="s">
        <v>616</v>
      </c>
      <c r="P10" s="19" t="s">
        <v>125</v>
      </c>
      <c r="Q10" s="17" t="s">
        <v>34</v>
      </c>
      <c r="R10" s="166">
        <v>12000</v>
      </c>
      <c r="S10" s="147">
        <v>1</v>
      </c>
      <c r="T10" s="146">
        <v>1190</v>
      </c>
      <c r="U10" s="160">
        <v>1</v>
      </c>
      <c r="V10" s="162">
        <v>1780</v>
      </c>
      <c r="W10" s="146">
        <v>21.181999999999999</v>
      </c>
      <c r="X10" s="161">
        <v>2.1152973044269701E-2</v>
      </c>
      <c r="Y10" s="161">
        <v>1.81762306771964E-5</v>
      </c>
    </row>
    <row r="11" spans="1:25">
      <c r="A11" s="26">
        <v>337</v>
      </c>
      <c r="B11" s="19">
        <v>9964</v>
      </c>
      <c r="C11" s="19" t="s">
        <v>760</v>
      </c>
      <c r="D11" s="19" t="s">
        <v>761</v>
      </c>
      <c r="E11" s="17" t="s">
        <v>118</v>
      </c>
      <c r="F11" s="19" t="s">
        <v>1495</v>
      </c>
      <c r="G11" s="19" t="s">
        <v>1496</v>
      </c>
      <c r="H11" s="17" t="s">
        <v>121</v>
      </c>
      <c r="I11" s="17" t="s">
        <v>30</v>
      </c>
      <c r="J11" s="17" t="s">
        <v>30</v>
      </c>
      <c r="K11" s="19" t="s">
        <v>123</v>
      </c>
      <c r="L11" s="17" t="s">
        <v>31</v>
      </c>
      <c r="M11" s="19" t="s">
        <v>1497</v>
      </c>
      <c r="N11" s="19" t="s">
        <v>228</v>
      </c>
      <c r="O11" s="168" t="s">
        <v>1498</v>
      </c>
      <c r="P11" s="19" t="s">
        <v>125</v>
      </c>
      <c r="Q11" s="17" t="s">
        <v>34</v>
      </c>
      <c r="R11" s="166">
        <v>8000</v>
      </c>
      <c r="S11" s="147">
        <v>1</v>
      </c>
      <c r="T11" s="146">
        <v>204</v>
      </c>
      <c r="U11" s="160">
        <v>1</v>
      </c>
      <c r="V11" s="162">
        <v>1354</v>
      </c>
      <c r="W11" s="146">
        <v>2.762</v>
      </c>
      <c r="X11" s="161">
        <v>0.12131891762738201</v>
      </c>
      <c r="Y11" s="161">
        <v>6.3332174691033404E-5</v>
      </c>
    </row>
    <row r="12" spans="1:25">
      <c r="A12" s="19">
        <v>337</v>
      </c>
      <c r="B12" s="19">
        <v>9964</v>
      </c>
      <c r="C12" s="19" t="s">
        <v>303</v>
      </c>
      <c r="D12" s="19" t="s">
        <v>304</v>
      </c>
      <c r="E12" s="17" t="s">
        <v>118</v>
      </c>
      <c r="F12" s="19" t="s">
        <v>1492</v>
      </c>
      <c r="G12" s="19" t="s">
        <v>1493</v>
      </c>
      <c r="H12" s="17" t="s">
        <v>121</v>
      </c>
      <c r="I12" s="17" t="s">
        <v>30</v>
      </c>
      <c r="J12" s="17" t="s">
        <v>30</v>
      </c>
      <c r="K12" s="19" t="s">
        <v>123</v>
      </c>
      <c r="L12" s="17" t="s">
        <v>31</v>
      </c>
      <c r="M12" s="19" t="s">
        <v>974</v>
      </c>
      <c r="N12" s="19" t="s">
        <v>171</v>
      </c>
      <c r="O12" s="168" t="s">
        <v>1494</v>
      </c>
      <c r="P12" s="19" t="s">
        <v>125</v>
      </c>
      <c r="Q12" s="17" t="s">
        <v>34</v>
      </c>
      <c r="R12" s="166">
        <v>58000</v>
      </c>
      <c r="S12" s="147">
        <v>1</v>
      </c>
      <c r="T12" s="146">
        <v>102</v>
      </c>
      <c r="U12" s="160">
        <v>1</v>
      </c>
      <c r="V12" s="162">
        <v>19020</v>
      </c>
      <c r="W12" s="146">
        <v>19.399999999999999</v>
      </c>
      <c r="X12" s="161">
        <v>0.85209963562511204</v>
      </c>
      <c r="Y12" s="161">
        <v>4.4482199506035999E-4</v>
      </c>
    </row>
    <row r="13" spans="1:25">
      <c r="A13" s="19">
        <v>337</v>
      </c>
      <c r="B13" s="19">
        <v>9964</v>
      </c>
      <c r="C13" s="19" t="s">
        <v>570</v>
      </c>
      <c r="D13" s="19" t="s">
        <v>571</v>
      </c>
      <c r="E13" s="17" t="s">
        <v>439</v>
      </c>
      <c r="F13" s="19" t="s">
        <v>1499</v>
      </c>
      <c r="G13" s="19" t="s">
        <v>1500</v>
      </c>
      <c r="H13" s="17" t="s">
        <v>121</v>
      </c>
      <c r="I13" s="17" t="s">
        <v>30</v>
      </c>
      <c r="J13" s="17" t="s">
        <v>30</v>
      </c>
      <c r="K13" s="19" t="s">
        <v>123</v>
      </c>
      <c r="L13" s="17" t="s">
        <v>31</v>
      </c>
      <c r="M13" s="19" t="s">
        <v>1084</v>
      </c>
      <c r="N13" s="19" t="s">
        <v>377</v>
      </c>
      <c r="O13" s="168" t="s">
        <v>616</v>
      </c>
      <c r="P13" s="19" t="s">
        <v>125</v>
      </c>
      <c r="Q13" s="17" t="s">
        <v>34</v>
      </c>
      <c r="R13" s="166">
        <v>12000</v>
      </c>
      <c r="S13" s="147">
        <v>1</v>
      </c>
      <c r="T13" s="146">
        <v>34</v>
      </c>
      <c r="U13" s="160">
        <v>1</v>
      </c>
      <c r="V13" s="162">
        <v>1780</v>
      </c>
      <c r="W13" s="146">
        <v>0.60499999999999998</v>
      </c>
      <c r="X13" s="161">
        <v>2.65814467475061E-2</v>
      </c>
      <c r="Y13" s="161">
        <v>1.38763258185672E-5</v>
      </c>
    </row>
    <row r="14" spans="1:25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>
      <c r="E20" s="17"/>
      <c r="H20" s="17"/>
      <c r="I20" s="17"/>
      <c r="J20" s="17"/>
      <c r="K20" s="19"/>
      <c r="L20" s="17"/>
      <c r="N20" s="19"/>
      <c r="P20" s="19"/>
    </row>
    <row r="21" spans="1:25">
      <c r="H21" s="38"/>
      <c r="L21" s="38"/>
    </row>
    <row r="22" spans="1:25">
      <c r="L22" s="5"/>
    </row>
    <row r="23" spans="1:25">
      <c r="H23" s="35"/>
    </row>
    <row r="24" spans="1:25">
      <c r="H24" s="35"/>
    </row>
    <row r="25" spans="1:25">
      <c r="H25" s="35"/>
    </row>
    <row r="26" spans="1:25">
      <c r="H26" s="35"/>
    </row>
    <row r="27" spans="1:25">
      <c r="H27" s="35"/>
    </row>
    <row r="28" spans="1:25">
      <c r="H28" s="35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18" t="s">
        <v>0</v>
      </c>
      <c r="B1" s="18" t="s">
        <v>1</v>
      </c>
      <c r="C1" s="18" t="s">
        <v>2</v>
      </c>
      <c r="D1" s="18" t="s">
        <v>105</v>
      </c>
      <c r="E1" s="18" t="s">
        <v>106</v>
      </c>
      <c r="F1" s="18" t="s">
        <v>3</v>
      </c>
      <c r="G1" s="18" t="s">
        <v>4</v>
      </c>
      <c r="H1" s="18" t="s">
        <v>107</v>
      </c>
      <c r="I1" s="18" t="s">
        <v>5</v>
      </c>
      <c r="J1" s="18" t="s">
        <v>6</v>
      </c>
      <c r="K1" s="18" t="s">
        <v>7</v>
      </c>
      <c r="L1" s="18" t="s">
        <v>8</v>
      </c>
      <c r="M1" s="18" t="s">
        <v>108</v>
      </c>
      <c r="N1" s="18" t="s">
        <v>1501</v>
      </c>
      <c r="O1" s="18" t="s">
        <v>1489</v>
      </c>
      <c r="P1" s="18" t="s">
        <v>109</v>
      </c>
      <c r="Q1" s="18" t="s">
        <v>11</v>
      </c>
      <c r="R1" s="18" t="s">
        <v>1490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24</v>
      </c>
      <c r="X1" s="18" t="s">
        <v>25</v>
      </c>
    </row>
    <row r="2" spans="1:24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9"/>
      <c r="P2" s="19"/>
      <c r="Q2" s="17"/>
      <c r="R2" s="17"/>
      <c r="S2" s="19"/>
      <c r="T2" s="19"/>
      <c r="U2" s="19"/>
      <c r="V2" s="19"/>
      <c r="W2" s="19"/>
      <c r="X2" s="19"/>
    </row>
    <row r="3" spans="1:24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>
      <c r="E20" s="17"/>
      <c r="H20" s="17"/>
      <c r="I20" s="19"/>
      <c r="J20" s="17"/>
      <c r="K20" s="17"/>
      <c r="L20" s="17"/>
      <c r="M20" s="19"/>
      <c r="P20" s="19"/>
    </row>
    <row r="21" spans="1:24" s="35" customFormat="1">
      <c r="E21" s="34"/>
      <c r="H21" s="38"/>
      <c r="L21" s="38"/>
    </row>
    <row r="22" spans="1:24">
      <c r="L22" s="5"/>
    </row>
    <row r="23" spans="1:24">
      <c r="H23" s="35"/>
    </row>
    <row r="24" spans="1:24">
      <c r="H24" s="35"/>
    </row>
    <row r="25" spans="1:24">
      <c r="H25" s="35"/>
    </row>
    <row r="26" spans="1:24">
      <c r="H26" s="35"/>
    </row>
    <row r="27" spans="1:24">
      <c r="H27" s="35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D13" sqref="D13"/>
    </sheetView>
  </sheetViews>
  <sheetFormatPr defaultColWidth="0" defaultRowHeight="14.25"/>
  <cols>
    <col min="1" max="2" width="11.625" style="3" customWidth="1"/>
    <col min="3" max="3" width="21.125" style="3" customWidth="1"/>
    <col min="4" max="4" width="11.625" style="3" customWidth="1"/>
    <col min="5" max="5" width="11.625" style="5" customWidth="1"/>
    <col min="6" max="6" width="31.5" style="3" customWidth="1"/>
    <col min="7" max="11" width="11.625" style="3" customWidth="1"/>
    <col min="12" max="12" width="16.75" style="3" customWidth="1"/>
    <col min="13" max="20" width="11.625" style="3" customWidth="1"/>
    <col min="21" max="21" width="9" style="3" hidden="1" customWidth="1"/>
    <col min="22" max="16384" width="9" style="3" hidden="1"/>
  </cols>
  <sheetData>
    <row r="1" spans="1:20" ht="51">
      <c r="A1" s="18" t="s">
        <v>0</v>
      </c>
      <c r="B1" s="18" t="s">
        <v>1</v>
      </c>
      <c r="C1" s="18" t="s">
        <v>2</v>
      </c>
      <c r="D1" s="18" t="s">
        <v>105</v>
      </c>
      <c r="E1" s="18" t="s">
        <v>106</v>
      </c>
      <c r="F1" s="18" t="s">
        <v>3</v>
      </c>
      <c r="G1" s="18" t="s">
        <v>4</v>
      </c>
      <c r="H1" s="18" t="s">
        <v>107</v>
      </c>
      <c r="I1" s="18" t="s">
        <v>6</v>
      </c>
      <c r="J1" s="18" t="s">
        <v>7</v>
      </c>
      <c r="K1" s="18" t="s">
        <v>8</v>
      </c>
      <c r="L1" s="18" t="s">
        <v>1501</v>
      </c>
      <c r="M1" s="18" t="s">
        <v>109</v>
      </c>
      <c r="N1" s="18" t="s">
        <v>11</v>
      </c>
      <c r="O1" s="18" t="s">
        <v>17</v>
      </c>
      <c r="P1" s="152" t="s">
        <v>18</v>
      </c>
      <c r="Q1" s="158" t="s">
        <v>19</v>
      </c>
      <c r="R1" s="18" t="s">
        <v>20</v>
      </c>
      <c r="S1" s="154" t="s">
        <v>24</v>
      </c>
      <c r="T1" s="154" t="s">
        <v>25</v>
      </c>
    </row>
    <row r="2" spans="1:20">
      <c r="A2" s="19">
        <v>337</v>
      </c>
      <c r="B2" s="19">
        <v>1477</v>
      </c>
      <c r="C2" s="3" t="s">
        <v>1502</v>
      </c>
      <c r="D2" s="3" t="s">
        <v>1503</v>
      </c>
      <c r="E2" s="17" t="s">
        <v>33</v>
      </c>
      <c r="F2" s="19" t="s">
        <v>1504</v>
      </c>
      <c r="G2" s="19" t="s">
        <v>1505</v>
      </c>
      <c r="H2" s="17" t="s">
        <v>1506</v>
      </c>
      <c r="I2" s="17" t="s">
        <v>79</v>
      </c>
      <c r="J2" s="27" t="s">
        <v>80</v>
      </c>
      <c r="K2" s="17" t="s">
        <v>2171</v>
      </c>
      <c r="L2" s="20" t="s">
        <v>1513</v>
      </c>
      <c r="M2" s="19" t="s">
        <v>125</v>
      </c>
      <c r="N2" s="17" t="s">
        <v>84</v>
      </c>
      <c r="O2" s="146">
        <v>19</v>
      </c>
      <c r="P2" s="160">
        <v>3.19</v>
      </c>
      <c r="Q2" s="162">
        <v>6892.5</v>
      </c>
      <c r="R2" s="146">
        <v>1.1060000000000001</v>
      </c>
      <c r="S2" s="161">
        <v>1</v>
      </c>
      <c r="T2" s="161">
        <v>4.4507123155949603E-5</v>
      </c>
    </row>
    <row r="3" spans="1:20">
      <c r="A3" s="19">
        <v>337</v>
      </c>
      <c r="B3" s="19">
        <v>9962</v>
      </c>
      <c r="C3" s="3" t="s">
        <v>1502</v>
      </c>
      <c r="D3" s="3" t="s">
        <v>1503</v>
      </c>
      <c r="E3" s="17" t="s">
        <v>33</v>
      </c>
      <c r="F3" s="19" t="s">
        <v>1507</v>
      </c>
      <c r="G3" s="19" t="s">
        <v>1508</v>
      </c>
      <c r="H3" s="17" t="s">
        <v>1506</v>
      </c>
      <c r="I3" s="17" t="s">
        <v>79</v>
      </c>
      <c r="J3" s="27" t="s">
        <v>80</v>
      </c>
      <c r="K3" s="27" t="s">
        <v>2171</v>
      </c>
      <c r="L3" s="20" t="s">
        <v>1513</v>
      </c>
      <c r="M3" s="19" t="s">
        <v>125</v>
      </c>
      <c r="N3" s="17" t="s">
        <v>84</v>
      </c>
      <c r="O3" s="146">
        <v>2</v>
      </c>
      <c r="P3" s="160">
        <v>3.19</v>
      </c>
      <c r="Q3" s="162">
        <v>25456.75</v>
      </c>
      <c r="R3" s="146">
        <v>-7.0999999999999994E-2</v>
      </c>
      <c r="S3" s="161">
        <v>8.2443871917512193E-2</v>
      </c>
      <c r="T3" s="161">
        <v>-1.4242119045476699E-6</v>
      </c>
    </row>
    <row r="4" spans="1:20">
      <c r="A4" s="19">
        <v>337</v>
      </c>
      <c r="B4" s="19">
        <v>9962</v>
      </c>
      <c r="C4" s="3" t="s">
        <v>1502</v>
      </c>
      <c r="D4" s="3" t="s">
        <v>1503</v>
      </c>
      <c r="E4" s="17" t="s">
        <v>33</v>
      </c>
      <c r="F4" s="19" t="s">
        <v>1504</v>
      </c>
      <c r="G4" s="19" t="s">
        <v>1505</v>
      </c>
      <c r="H4" s="17" t="s">
        <v>1506</v>
      </c>
      <c r="I4" s="17" t="s">
        <v>79</v>
      </c>
      <c r="J4" s="27" t="s">
        <v>80</v>
      </c>
      <c r="K4" s="27" t="s">
        <v>2171</v>
      </c>
      <c r="L4" s="20" t="s">
        <v>1513</v>
      </c>
      <c r="M4" s="19" t="s">
        <v>125</v>
      </c>
      <c r="N4" s="17" t="s">
        <v>84</v>
      </c>
      <c r="O4" s="146">
        <v>36</v>
      </c>
      <c r="P4" s="160">
        <v>3.19</v>
      </c>
      <c r="Q4" s="162">
        <v>6892.5</v>
      </c>
      <c r="R4" s="146">
        <v>2.0960000000000001</v>
      </c>
      <c r="S4" s="161">
        <v>-2.41810820758247</v>
      </c>
      <c r="T4" s="161">
        <v>4.1772643807524198E-5</v>
      </c>
    </row>
    <row r="5" spans="1:20">
      <c r="A5" s="19">
        <v>337</v>
      </c>
      <c r="B5" s="19">
        <v>9962</v>
      </c>
      <c r="C5" s="3" t="s">
        <v>1502</v>
      </c>
      <c r="D5" s="3" t="s">
        <v>1503</v>
      </c>
      <c r="E5" s="17" t="s">
        <v>33</v>
      </c>
      <c r="F5" s="19" t="s">
        <v>1509</v>
      </c>
      <c r="G5" s="19" t="s">
        <v>1510</v>
      </c>
      <c r="H5" s="17" t="s">
        <v>1506</v>
      </c>
      <c r="I5" s="17" t="s">
        <v>79</v>
      </c>
      <c r="J5" s="27" t="s">
        <v>80</v>
      </c>
      <c r="K5" s="191" t="s">
        <v>1381</v>
      </c>
      <c r="L5" s="20" t="s">
        <v>2471</v>
      </c>
      <c r="M5" s="19" t="s">
        <v>125</v>
      </c>
      <c r="N5" s="17" t="s">
        <v>84</v>
      </c>
      <c r="O5" s="146">
        <v>1</v>
      </c>
      <c r="P5" s="160">
        <v>3.19</v>
      </c>
      <c r="Q5" s="162">
        <v>115.01600000000001</v>
      </c>
      <c r="R5" s="146">
        <v>-2.891</v>
      </c>
      <c r="S5" s="161">
        <v>3.3356643356649598</v>
      </c>
      <c r="T5" s="161">
        <v>-5.7623359334485798E-5</v>
      </c>
    </row>
    <row r="6" spans="1:20">
      <c r="A6" s="19">
        <v>337</v>
      </c>
      <c r="B6" s="19">
        <v>9963</v>
      </c>
      <c r="C6" s="3" t="s">
        <v>1502</v>
      </c>
      <c r="D6" s="3" t="s">
        <v>1503</v>
      </c>
      <c r="E6" s="17" t="s">
        <v>33</v>
      </c>
      <c r="F6" s="19" t="s">
        <v>1511</v>
      </c>
      <c r="G6" s="19" t="s">
        <v>1512</v>
      </c>
      <c r="H6" s="17" t="s">
        <v>1506</v>
      </c>
      <c r="I6" s="17" t="s">
        <v>30</v>
      </c>
      <c r="J6" s="27" t="s">
        <v>80</v>
      </c>
      <c r="K6" s="27" t="s">
        <v>2171</v>
      </c>
      <c r="L6" s="20" t="s">
        <v>1513</v>
      </c>
      <c r="M6" s="19" t="s">
        <v>125</v>
      </c>
      <c r="N6" s="17" t="s">
        <v>84</v>
      </c>
      <c r="O6" s="146">
        <v>102</v>
      </c>
      <c r="P6" s="160">
        <v>3.19</v>
      </c>
      <c r="Q6" s="162">
        <v>6892.5</v>
      </c>
      <c r="R6" s="146">
        <v>60.195</v>
      </c>
      <c r="S6" s="161">
        <v>-2.54563114654544</v>
      </c>
      <c r="T6" s="161">
        <v>5.1653463246293303E-5</v>
      </c>
    </row>
    <row r="7" spans="1:20">
      <c r="A7" s="19">
        <v>337</v>
      </c>
      <c r="B7" s="19">
        <v>9963</v>
      </c>
      <c r="C7" s="3" t="s">
        <v>1502</v>
      </c>
      <c r="D7" s="3" t="s">
        <v>1503</v>
      </c>
      <c r="E7" s="17" t="s">
        <v>33</v>
      </c>
      <c r="F7" s="19" t="s">
        <v>1509</v>
      </c>
      <c r="G7" s="19" t="s">
        <v>1510</v>
      </c>
      <c r="H7" s="17" t="s">
        <v>1506</v>
      </c>
      <c r="I7" s="17" t="s">
        <v>79</v>
      </c>
      <c r="J7" s="27" t="s">
        <v>80</v>
      </c>
      <c r="K7" s="191" t="s">
        <v>1381</v>
      </c>
      <c r="L7" s="20" t="s">
        <v>2471</v>
      </c>
      <c r="M7" s="19" t="s">
        <v>125</v>
      </c>
      <c r="N7" s="17" t="s">
        <v>84</v>
      </c>
      <c r="O7" s="146">
        <v>29</v>
      </c>
      <c r="P7" s="160">
        <v>3.19</v>
      </c>
      <c r="Q7" s="162">
        <v>115.01600000000001</v>
      </c>
      <c r="R7" s="146">
        <v>-83.841999999999999</v>
      </c>
      <c r="S7" s="161">
        <v>3.54563114654544</v>
      </c>
      <c r="T7" s="161">
        <v>-7.19444874649394E-5</v>
      </c>
    </row>
    <row r="8" spans="1:20">
      <c r="A8" s="19">
        <v>337</v>
      </c>
      <c r="B8" s="19">
        <v>9964</v>
      </c>
      <c r="C8" s="3" t="s">
        <v>1502</v>
      </c>
      <c r="D8" s="3" t="s">
        <v>1503</v>
      </c>
      <c r="E8" s="17" t="s">
        <v>33</v>
      </c>
      <c r="F8" s="19" t="s">
        <v>1504</v>
      </c>
      <c r="G8" s="19" t="s">
        <v>1505</v>
      </c>
      <c r="H8" s="17" t="s">
        <v>1506</v>
      </c>
      <c r="I8" s="17" t="s">
        <v>79</v>
      </c>
      <c r="J8" s="27" t="s">
        <v>80</v>
      </c>
      <c r="K8" s="27" t="s">
        <v>2171</v>
      </c>
      <c r="L8" s="20" t="s">
        <v>1513</v>
      </c>
      <c r="M8" s="19" t="s">
        <v>125</v>
      </c>
      <c r="N8" s="17" t="s">
        <v>84</v>
      </c>
      <c r="O8" s="146">
        <v>6</v>
      </c>
      <c r="P8" s="160">
        <v>3.19</v>
      </c>
      <c r="Q8" s="162">
        <v>6892.5</v>
      </c>
      <c r="R8" s="146">
        <v>0.34899999999999998</v>
      </c>
      <c r="S8" s="161">
        <v>-0.13742469879515401</v>
      </c>
      <c r="T8" s="161">
        <v>8.0090383180001493E-6</v>
      </c>
    </row>
    <row r="9" spans="1:20">
      <c r="A9" s="19">
        <v>337</v>
      </c>
      <c r="B9" s="19">
        <v>9964</v>
      </c>
      <c r="C9" s="3" t="s">
        <v>1502</v>
      </c>
      <c r="D9" s="3" t="s">
        <v>1503</v>
      </c>
      <c r="E9" s="17" t="s">
        <v>33</v>
      </c>
      <c r="F9" s="19" t="s">
        <v>1509</v>
      </c>
      <c r="G9" s="19" t="s">
        <v>1510</v>
      </c>
      <c r="H9" s="17" t="s">
        <v>1506</v>
      </c>
      <c r="I9" s="17" t="s">
        <v>79</v>
      </c>
      <c r="J9" s="17" t="s">
        <v>80</v>
      </c>
      <c r="K9" s="191" t="s">
        <v>1381</v>
      </c>
      <c r="L9" s="20" t="s">
        <v>2471</v>
      </c>
      <c r="M9" s="19" t="s">
        <v>125</v>
      </c>
      <c r="N9" s="17" t="s">
        <v>84</v>
      </c>
      <c r="O9" s="146">
        <v>1</v>
      </c>
      <c r="P9" s="160">
        <v>3.19</v>
      </c>
      <c r="Q9" s="162">
        <v>115.01600000000001</v>
      </c>
      <c r="R9" s="146">
        <v>-2.891</v>
      </c>
      <c r="S9" s="161">
        <v>1.13742469879515</v>
      </c>
      <c r="T9" s="161">
        <v>-6.6288506188171402E-5</v>
      </c>
    </row>
    <row r="10" spans="1:20">
      <c r="A10" s="19"/>
      <c r="B10" s="19"/>
      <c r="E10" s="17"/>
      <c r="F10" s="19"/>
      <c r="G10" s="19"/>
      <c r="H10" s="17"/>
      <c r="I10" s="17"/>
      <c r="J10" s="17"/>
      <c r="K10" s="17"/>
      <c r="L10" s="20"/>
      <c r="M10" s="19"/>
      <c r="N10" s="17"/>
      <c r="O10" s="19"/>
      <c r="P10" s="19"/>
      <c r="Q10" s="19"/>
      <c r="R10" s="19"/>
      <c r="S10" s="19"/>
      <c r="T10" s="19"/>
    </row>
    <row r="11" spans="1:20">
      <c r="A11" s="19"/>
      <c r="B11" s="19"/>
      <c r="E11" s="17"/>
      <c r="F11" s="19"/>
      <c r="G11" s="19"/>
      <c r="H11" s="17"/>
      <c r="I11" s="17"/>
      <c r="J11" s="17"/>
      <c r="K11" s="17"/>
      <c r="L11" s="20"/>
      <c r="M11" s="19"/>
      <c r="N11" s="17"/>
      <c r="O11" s="19"/>
      <c r="P11" s="19"/>
      <c r="Q11" s="19"/>
      <c r="R11" s="19"/>
      <c r="S11" s="19"/>
      <c r="T11" s="19"/>
    </row>
    <row r="12" spans="1:20">
      <c r="A12" s="19"/>
      <c r="B12" s="19"/>
      <c r="E12" s="17"/>
      <c r="F12" s="19"/>
      <c r="G12" s="19"/>
      <c r="H12" s="17"/>
      <c r="I12" s="17"/>
      <c r="J12" s="17"/>
      <c r="K12" s="17"/>
      <c r="L12" s="20"/>
      <c r="M12" s="19"/>
      <c r="N12" s="17"/>
      <c r="O12" s="19"/>
      <c r="P12" s="19"/>
      <c r="Q12" s="19"/>
      <c r="R12" s="19"/>
      <c r="S12" s="19"/>
      <c r="T12" s="19"/>
    </row>
    <row r="13" spans="1:20">
      <c r="A13" s="19"/>
      <c r="B13" s="19"/>
      <c r="E13" s="17"/>
      <c r="F13" s="19"/>
      <c r="G13" s="19"/>
      <c r="H13" s="17"/>
      <c r="I13" s="17"/>
      <c r="J13" s="17"/>
      <c r="K13" s="17"/>
      <c r="L13" s="20"/>
      <c r="M13" s="19"/>
      <c r="N13" s="17"/>
      <c r="O13" s="19"/>
      <c r="P13" s="19"/>
      <c r="Q13" s="19"/>
      <c r="R13" s="19"/>
      <c r="S13" s="19"/>
      <c r="T13" s="19"/>
    </row>
    <row r="14" spans="1:20">
      <c r="A14" s="19"/>
      <c r="B14" s="19"/>
      <c r="E14" s="17"/>
      <c r="F14" s="19"/>
      <c r="G14" s="19"/>
      <c r="H14" s="17"/>
      <c r="I14" s="17"/>
      <c r="J14" s="17"/>
      <c r="K14" s="17"/>
      <c r="L14" s="20"/>
      <c r="M14" s="19"/>
      <c r="N14" s="17"/>
      <c r="O14" s="19"/>
      <c r="P14" s="19"/>
      <c r="Q14" s="19"/>
      <c r="R14" s="19"/>
      <c r="S14" s="19"/>
      <c r="T14" s="19"/>
    </row>
    <row r="15" spans="1:20">
      <c r="A15" s="19"/>
      <c r="B15" s="19"/>
      <c r="E15" s="17"/>
      <c r="F15" s="19"/>
      <c r="G15" s="19"/>
      <c r="H15" s="17"/>
      <c r="I15" s="17"/>
      <c r="J15" s="17"/>
      <c r="K15" s="17"/>
      <c r="L15" s="20"/>
      <c r="M15" s="19"/>
      <c r="N15" s="17"/>
      <c r="O15" s="19"/>
      <c r="P15" s="19"/>
      <c r="Q15" s="19"/>
      <c r="R15" s="19"/>
      <c r="S15" s="19"/>
      <c r="T15" s="19"/>
    </row>
    <row r="16" spans="1:20">
      <c r="A16" s="19"/>
      <c r="B16" s="19"/>
      <c r="E16" s="17"/>
      <c r="F16" s="19"/>
      <c r="G16" s="19"/>
      <c r="H16" s="17"/>
      <c r="I16" s="17"/>
      <c r="J16" s="17"/>
      <c r="K16" s="17"/>
      <c r="L16" s="20"/>
      <c r="M16" s="19"/>
      <c r="N16" s="17"/>
      <c r="O16" s="19"/>
      <c r="P16" s="19"/>
      <c r="Q16" s="19"/>
      <c r="R16" s="19"/>
      <c r="S16" s="19"/>
      <c r="T16" s="19"/>
    </row>
    <row r="17" spans="1:20">
      <c r="A17" s="19"/>
      <c r="B17" s="19"/>
      <c r="E17" s="17"/>
      <c r="F17" s="19"/>
      <c r="G17" s="19"/>
      <c r="H17" s="17"/>
      <c r="I17" s="17"/>
      <c r="J17" s="17"/>
      <c r="K17" s="17"/>
      <c r="L17" s="20"/>
      <c r="M17" s="19"/>
      <c r="N17" s="17"/>
      <c r="O17" s="19"/>
      <c r="P17" s="19"/>
      <c r="Q17" s="19"/>
      <c r="R17" s="19"/>
      <c r="S17" s="19"/>
      <c r="T17" s="19"/>
    </row>
    <row r="18" spans="1:20">
      <c r="A18" s="19"/>
      <c r="B18" s="19"/>
      <c r="E18" s="17"/>
      <c r="F18" s="19"/>
      <c r="G18" s="19"/>
      <c r="H18" s="17"/>
      <c r="I18" s="17"/>
      <c r="J18" s="17"/>
      <c r="K18" s="17"/>
      <c r="L18" s="20"/>
      <c r="M18" s="19"/>
      <c r="N18" s="17"/>
      <c r="O18" s="19"/>
      <c r="P18" s="19"/>
      <c r="Q18" s="19"/>
      <c r="R18" s="19"/>
      <c r="S18" s="19"/>
      <c r="T18" s="19"/>
    </row>
    <row r="19" spans="1:20">
      <c r="A19" s="19"/>
      <c r="B19" s="19"/>
      <c r="E19" s="17"/>
      <c r="F19" s="19"/>
      <c r="G19" s="19"/>
      <c r="H19" s="17"/>
      <c r="I19" s="17"/>
      <c r="J19" s="17"/>
      <c r="K19" s="17"/>
      <c r="L19" s="20"/>
      <c r="M19" s="19"/>
      <c r="N19" s="17"/>
      <c r="O19" s="19"/>
      <c r="P19" s="19"/>
      <c r="Q19" s="19"/>
      <c r="R19" s="19"/>
      <c r="S19" s="19"/>
      <c r="T19" s="19"/>
    </row>
    <row r="20" spans="1:20">
      <c r="E20" s="17"/>
      <c r="H20" s="17"/>
      <c r="J20" s="17"/>
      <c r="K20" s="17"/>
      <c r="L20" s="20"/>
      <c r="M20" s="19"/>
    </row>
    <row r="21" spans="1:20" s="35" customFormat="1">
      <c r="E21" s="34"/>
      <c r="H21" s="38"/>
      <c r="K21" s="38"/>
    </row>
    <row r="22" spans="1:20">
      <c r="K22" s="5"/>
    </row>
    <row r="23" spans="1:20">
      <c r="H23" s="35"/>
    </row>
    <row r="24" spans="1:20">
      <c r="H24" s="35"/>
    </row>
    <row r="25" spans="1:20">
      <c r="H25" s="35"/>
    </row>
    <row r="26" spans="1:20">
      <c r="H26" s="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18" t="s">
        <v>0</v>
      </c>
      <c r="B1" s="18" t="s">
        <v>1</v>
      </c>
      <c r="C1" s="18" t="s">
        <v>2</v>
      </c>
      <c r="D1" s="18" t="s">
        <v>105</v>
      </c>
      <c r="E1" s="18" t="s">
        <v>106</v>
      </c>
      <c r="F1" s="18" t="s">
        <v>3</v>
      </c>
      <c r="G1" s="18" t="s">
        <v>4</v>
      </c>
      <c r="H1" s="18" t="s">
        <v>107</v>
      </c>
      <c r="I1" s="18" t="s">
        <v>5</v>
      </c>
      <c r="J1" s="18" t="s">
        <v>6</v>
      </c>
      <c r="K1" s="18" t="s">
        <v>7</v>
      </c>
      <c r="L1" s="18" t="s">
        <v>115</v>
      </c>
      <c r="M1" s="18" t="s">
        <v>8</v>
      </c>
      <c r="N1" s="18" t="s">
        <v>1501</v>
      </c>
      <c r="O1" s="18" t="s">
        <v>109</v>
      </c>
      <c r="P1" s="18" t="s">
        <v>12</v>
      </c>
      <c r="Q1" s="18" t="s">
        <v>14</v>
      </c>
      <c r="R1" s="18" t="s">
        <v>15</v>
      </c>
      <c r="S1" s="18" t="s">
        <v>9</v>
      </c>
      <c r="T1" s="18" t="s">
        <v>10</v>
      </c>
      <c r="U1" s="18" t="s">
        <v>110</v>
      </c>
      <c r="V1" s="18" t="s">
        <v>11</v>
      </c>
      <c r="W1" s="18" t="s">
        <v>17</v>
      </c>
      <c r="X1" s="18" t="s">
        <v>18</v>
      </c>
      <c r="Y1" s="18" t="s">
        <v>19</v>
      </c>
      <c r="Z1" s="18" t="s">
        <v>20</v>
      </c>
      <c r="AA1" s="18" t="s">
        <v>24</v>
      </c>
      <c r="AB1" s="18" t="s">
        <v>25</v>
      </c>
    </row>
    <row r="2" spans="1:28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7"/>
      <c r="N2" s="20"/>
      <c r="O2" s="19"/>
      <c r="P2" s="19"/>
      <c r="Q2" s="19"/>
      <c r="R2" s="19"/>
      <c r="S2" s="19"/>
      <c r="T2" s="19"/>
      <c r="U2" s="19"/>
      <c r="V2" s="17"/>
      <c r="W2" s="19"/>
      <c r="X2" s="19"/>
      <c r="Y2" s="19"/>
      <c r="Z2" s="19"/>
      <c r="AA2" s="19"/>
      <c r="AB2" s="19"/>
    </row>
    <row r="3" spans="1:28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20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20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20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20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20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20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20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20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20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20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20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20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20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20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20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20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20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>
      <c r="E20" s="17"/>
      <c r="H20" s="17"/>
      <c r="I20" s="19"/>
      <c r="J20" s="17"/>
      <c r="K20" s="17"/>
      <c r="L20" s="19"/>
      <c r="M20" s="17"/>
      <c r="N20" s="20"/>
      <c r="O20" s="19"/>
      <c r="T20" s="19"/>
      <c r="U20" s="19"/>
    </row>
    <row r="21" spans="1:28" s="35" customFormat="1">
      <c r="E21" s="34"/>
      <c r="H21" s="38"/>
      <c r="M21" s="38"/>
      <c r="N21" s="20"/>
    </row>
    <row r="22" spans="1:28">
      <c r="M22" s="5"/>
    </row>
    <row r="23" spans="1:28">
      <c r="H23" s="35"/>
    </row>
    <row r="24" spans="1:28">
      <c r="H24" s="35"/>
    </row>
    <row r="25" spans="1:28">
      <c r="H25" s="35"/>
    </row>
    <row r="26" spans="1:28">
      <c r="H26" s="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G28" sqref="G28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107</v>
      </c>
      <c r="G1" s="18" t="s">
        <v>5</v>
      </c>
      <c r="H1" s="18" t="s">
        <v>6</v>
      </c>
      <c r="I1" s="18" t="s">
        <v>7</v>
      </c>
      <c r="J1" s="18" t="s">
        <v>1514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24</v>
      </c>
      <c r="Y1" s="18" t="s">
        <v>25</v>
      </c>
    </row>
    <row r="2" spans="1:25">
      <c r="A2" s="19"/>
      <c r="B2" s="19"/>
      <c r="C2" s="19"/>
      <c r="D2" s="19"/>
      <c r="E2" s="19"/>
      <c r="F2" s="19"/>
      <c r="G2" s="19"/>
      <c r="H2" s="27"/>
      <c r="I2" s="17"/>
      <c r="J2" s="19"/>
      <c r="K2" s="33"/>
      <c r="L2" s="20"/>
      <c r="M2" s="27"/>
      <c r="N2" s="19"/>
      <c r="O2" s="19"/>
      <c r="P2" s="19"/>
      <c r="Q2" s="19"/>
      <c r="R2" s="19"/>
      <c r="S2" s="20"/>
      <c r="T2" s="19"/>
      <c r="U2" s="19"/>
      <c r="V2" s="19"/>
      <c r="W2" s="17"/>
      <c r="X2" s="19"/>
      <c r="Y2" s="19"/>
    </row>
    <row r="3" spans="1:25">
      <c r="A3" s="19"/>
      <c r="B3" s="19"/>
      <c r="C3" s="19"/>
      <c r="D3" s="19"/>
      <c r="E3" s="19"/>
      <c r="F3" s="19"/>
      <c r="G3" s="19"/>
      <c r="H3" s="27"/>
      <c r="I3" s="17"/>
      <c r="J3" s="19"/>
      <c r="K3" s="19"/>
      <c r="L3" s="20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>
      <c r="A4" s="19"/>
      <c r="B4" s="19"/>
      <c r="C4" s="19"/>
      <c r="D4" s="19"/>
      <c r="E4" s="19"/>
      <c r="F4" s="19"/>
      <c r="G4" s="19"/>
      <c r="H4" s="27"/>
      <c r="I4" s="17"/>
      <c r="J4" s="19"/>
      <c r="K4" s="19"/>
      <c r="L4" s="20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>
      <c r="A5" s="19"/>
      <c r="B5" s="19"/>
      <c r="C5" s="19"/>
      <c r="D5" s="19"/>
      <c r="E5" s="19"/>
      <c r="F5" s="19"/>
      <c r="G5" s="19"/>
      <c r="H5" s="27"/>
      <c r="I5" s="17"/>
      <c r="J5" s="19"/>
      <c r="K5" s="17"/>
      <c r="L5" s="20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>
      <c r="A6" s="19"/>
      <c r="B6" s="19"/>
      <c r="C6" s="19"/>
      <c r="D6" s="19"/>
      <c r="E6" s="19"/>
      <c r="F6" s="19"/>
      <c r="G6" s="19"/>
      <c r="H6" s="27"/>
      <c r="I6" s="17"/>
      <c r="J6" s="19"/>
      <c r="K6" s="19"/>
      <c r="L6" s="20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>
      <c r="A7" s="19"/>
      <c r="B7" s="19"/>
      <c r="C7" s="19"/>
      <c r="D7" s="19"/>
      <c r="E7" s="19"/>
      <c r="F7" s="19"/>
      <c r="G7" s="19"/>
      <c r="H7" s="27"/>
      <c r="I7" s="17"/>
      <c r="J7" s="19"/>
      <c r="K7" s="19"/>
      <c r="L7" s="20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>
      <c r="A8" s="19"/>
      <c r="B8" s="19"/>
      <c r="C8" s="19"/>
      <c r="D8" s="19"/>
      <c r="E8" s="19"/>
      <c r="F8" s="19"/>
      <c r="G8" s="19"/>
      <c r="H8" s="27"/>
      <c r="I8" s="17"/>
      <c r="J8" s="19"/>
      <c r="K8" s="19"/>
      <c r="L8" s="20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>
      <c r="A9" s="19"/>
      <c r="B9" s="19"/>
      <c r="C9" s="19"/>
      <c r="D9" s="19"/>
      <c r="E9" s="19"/>
      <c r="F9" s="19"/>
      <c r="G9" s="19"/>
      <c r="H9" s="27"/>
      <c r="I9" s="17"/>
      <c r="J9" s="19"/>
      <c r="K9" s="19"/>
      <c r="L9" s="20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>
      <c r="A10" s="19"/>
      <c r="B10" s="19"/>
      <c r="C10" s="19"/>
      <c r="D10" s="19"/>
      <c r="E10" s="19"/>
      <c r="F10" s="19"/>
      <c r="G10" s="19"/>
      <c r="H10" s="27"/>
      <c r="I10" s="17"/>
      <c r="J10" s="19"/>
      <c r="K10" s="19"/>
      <c r="L10" s="20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>
      <c r="A11" s="19"/>
      <c r="B11" s="19"/>
      <c r="C11" s="19"/>
      <c r="D11" s="19"/>
      <c r="E11" s="19"/>
      <c r="F11" s="19"/>
      <c r="G11" s="19"/>
      <c r="H11" s="27"/>
      <c r="I11" s="17"/>
      <c r="J11" s="19"/>
      <c r="K11" s="19"/>
      <c r="L11" s="20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>
      <c r="A12" s="19"/>
      <c r="B12" s="19"/>
      <c r="C12" s="19"/>
      <c r="D12" s="19"/>
      <c r="E12" s="19"/>
      <c r="F12" s="19"/>
      <c r="G12" s="19"/>
      <c r="H12" s="27"/>
      <c r="I12" s="17"/>
      <c r="J12" s="19"/>
      <c r="K12" s="19"/>
      <c r="L12" s="20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>
      <c r="A13" s="19"/>
      <c r="B13" s="19"/>
      <c r="C13" s="19"/>
      <c r="D13" s="19"/>
      <c r="E13" s="19"/>
      <c r="F13" s="19"/>
      <c r="G13" s="19"/>
      <c r="H13" s="27"/>
      <c r="I13" s="17"/>
      <c r="J13" s="19"/>
      <c r="K13" s="19"/>
      <c r="L13" s="20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>
      <c r="A14" s="19"/>
      <c r="B14" s="19"/>
      <c r="C14" s="19"/>
      <c r="D14" s="19"/>
      <c r="E14" s="19"/>
      <c r="F14" s="19"/>
      <c r="G14" s="19"/>
      <c r="H14" s="27"/>
      <c r="I14" s="17"/>
      <c r="J14" s="19"/>
      <c r="K14" s="19"/>
      <c r="L14" s="20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>
      <c r="A15" s="19"/>
      <c r="B15" s="19"/>
      <c r="C15" s="19"/>
      <c r="D15" s="19"/>
      <c r="E15" s="19"/>
      <c r="F15" s="19"/>
      <c r="G15" s="19"/>
      <c r="H15" s="27"/>
      <c r="I15" s="17"/>
      <c r="J15" s="19"/>
      <c r="K15" s="19"/>
      <c r="L15" s="20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>
      <c r="A16" s="19"/>
      <c r="B16" s="19"/>
      <c r="C16" s="19"/>
      <c r="D16" s="19"/>
      <c r="E16" s="19"/>
      <c r="F16" s="19"/>
      <c r="G16" s="19"/>
      <c r="H16" s="27"/>
      <c r="I16" s="17"/>
      <c r="J16" s="19"/>
      <c r="K16" s="19"/>
      <c r="L16" s="20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>
      <c r="A17" s="19"/>
      <c r="B17" s="19"/>
      <c r="C17" s="19"/>
      <c r="D17" s="19"/>
      <c r="E17" s="19"/>
      <c r="F17" s="19"/>
      <c r="G17" s="19"/>
      <c r="H17" s="27"/>
      <c r="I17" s="17"/>
      <c r="J17" s="19"/>
      <c r="K17" s="19"/>
      <c r="L17" s="20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>
      <c r="A18" s="19"/>
      <c r="B18" s="19"/>
      <c r="C18" s="19"/>
      <c r="D18" s="19"/>
      <c r="E18" s="19"/>
      <c r="F18" s="19"/>
      <c r="G18" s="19"/>
      <c r="H18" s="27"/>
      <c r="I18" s="17"/>
      <c r="J18" s="19"/>
      <c r="K18" s="19"/>
      <c r="L18" s="20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>
      <c r="A19" s="19"/>
      <c r="B19" s="19"/>
      <c r="C19" s="19"/>
      <c r="D19" s="19"/>
      <c r="E19" s="19"/>
      <c r="F19" s="19"/>
      <c r="G19" s="19"/>
      <c r="H19" s="27"/>
      <c r="I19" s="17"/>
      <c r="J19" s="19"/>
      <c r="K19" s="19"/>
      <c r="L19" s="20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>
      <c r="F20" s="19"/>
      <c r="G20" s="19"/>
      <c r="H20" s="27"/>
      <c r="I20" s="17"/>
      <c r="L20" s="20"/>
      <c r="W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18" t="s">
        <v>0</v>
      </c>
      <c r="B1" s="18" t="s">
        <v>1</v>
      </c>
      <c r="C1" s="18" t="s">
        <v>5</v>
      </c>
      <c r="D1" s="18" t="s">
        <v>3</v>
      </c>
      <c r="E1" s="18" t="s">
        <v>4</v>
      </c>
      <c r="F1" s="18" t="s">
        <v>1514</v>
      </c>
      <c r="G1" s="18" t="s">
        <v>12</v>
      </c>
      <c r="H1" s="18" t="s">
        <v>1515</v>
      </c>
      <c r="I1" s="18" t="s">
        <v>13</v>
      </c>
      <c r="J1" s="18" t="s">
        <v>14</v>
      </c>
      <c r="K1" s="18" t="s">
        <v>15</v>
      </c>
      <c r="L1" s="18" t="s">
        <v>17</v>
      </c>
      <c r="M1" s="18" t="s">
        <v>19</v>
      </c>
      <c r="N1" s="18" t="s">
        <v>20</v>
      </c>
      <c r="O1" s="18" t="s">
        <v>21</v>
      </c>
      <c r="P1" s="18" t="s">
        <v>22</v>
      </c>
      <c r="Q1" s="18" t="s">
        <v>24</v>
      </c>
      <c r="R1" s="18" t="s">
        <v>25</v>
      </c>
    </row>
    <row r="2" spans="1:18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7"/>
      <c r="Q2" s="19"/>
      <c r="R2" s="19"/>
    </row>
    <row r="3" spans="1:18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7"/>
      <c r="Q3" s="19"/>
      <c r="R3" s="19"/>
    </row>
    <row r="4" spans="1:18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9"/>
      <c r="R4" s="19"/>
    </row>
    <row r="5" spans="1:18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9"/>
      <c r="R6" s="19"/>
    </row>
    <row r="7" spans="1:18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9"/>
      <c r="R7" s="19"/>
    </row>
    <row r="8" spans="1:1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9"/>
      <c r="R8" s="19"/>
    </row>
    <row r="9" spans="1:18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9"/>
      <c r="R9" s="19"/>
    </row>
    <row r="10" spans="1:18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7"/>
      <c r="Q10" s="19"/>
      <c r="R10" s="19"/>
    </row>
    <row r="11" spans="1:18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9"/>
      <c r="R11" s="19"/>
    </row>
    <row r="12" spans="1:18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7"/>
      <c r="Q12" s="19"/>
      <c r="R12" s="19"/>
    </row>
    <row r="13" spans="1:18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9"/>
      <c r="R13" s="19"/>
    </row>
    <row r="14" spans="1:18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9"/>
      <c r="R14" s="19"/>
    </row>
    <row r="15" spans="1:18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>
      <c r="C20" s="19"/>
      <c r="H20" s="19"/>
      <c r="P20" s="17"/>
    </row>
    <row r="21" spans="1:18" s="35" customFormat="1">
      <c r="C21" s="34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18" t="s">
        <v>1516</v>
      </c>
      <c r="B1" s="18" t="s">
        <v>1</v>
      </c>
      <c r="C1" s="18" t="s">
        <v>5</v>
      </c>
      <c r="D1" s="18" t="s">
        <v>1517</v>
      </c>
      <c r="E1" s="18" t="s">
        <v>1518</v>
      </c>
      <c r="F1" s="18" t="s">
        <v>1519</v>
      </c>
      <c r="G1" s="18" t="s">
        <v>25</v>
      </c>
    </row>
    <row r="2" spans="1:7">
      <c r="A2" s="19"/>
      <c r="B2" s="19"/>
      <c r="C2" s="20"/>
      <c r="D2" s="130"/>
      <c r="E2" s="34"/>
      <c r="F2" s="34"/>
      <c r="G2" s="26"/>
    </row>
    <row r="3" spans="1:7">
      <c r="A3" s="19"/>
      <c r="B3" s="19"/>
      <c r="C3" s="20"/>
      <c r="G3" s="19"/>
    </row>
    <row r="4" spans="1:7">
      <c r="A4" s="19"/>
      <c r="B4" s="19"/>
      <c r="C4" s="20"/>
      <c r="G4" s="19"/>
    </row>
    <row r="5" spans="1:7">
      <c r="A5" s="19"/>
      <c r="B5" s="19"/>
      <c r="C5" s="20"/>
      <c r="G5" s="19"/>
    </row>
    <row r="6" spans="1:7">
      <c r="A6" s="19"/>
      <c r="B6" s="19"/>
      <c r="C6" s="20"/>
      <c r="G6" s="19"/>
    </row>
    <row r="7" spans="1:7">
      <c r="A7" s="19"/>
      <c r="B7" s="19"/>
      <c r="C7" s="20"/>
      <c r="G7" s="19"/>
    </row>
    <row r="8" spans="1:7">
      <c r="A8" s="19"/>
      <c r="B8" s="19"/>
      <c r="C8" s="20"/>
      <c r="G8" s="19"/>
    </row>
    <row r="9" spans="1:7">
      <c r="A9" s="19"/>
      <c r="B9" s="19"/>
      <c r="C9" s="20"/>
      <c r="G9" s="19"/>
    </row>
    <row r="10" spans="1:7">
      <c r="A10" s="19"/>
      <c r="B10" s="19"/>
      <c r="C10" s="20"/>
      <c r="G10" s="19"/>
    </row>
    <row r="11" spans="1:7">
      <c r="A11" s="19"/>
      <c r="B11" s="19"/>
      <c r="C11" s="20"/>
      <c r="G11" s="19"/>
    </row>
    <row r="12" spans="1:7">
      <c r="A12" s="19"/>
      <c r="B12" s="19"/>
      <c r="C12" s="20"/>
      <c r="G12" s="19"/>
    </row>
    <row r="13" spans="1:7">
      <c r="A13" s="19"/>
      <c r="B13" s="19"/>
      <c r="C13" s="20"/>
      <c r="G13" s="19"/>
    </row>
    <row r="14" spans="1:7">
      <c r="A14" s="19"/>
      <c r="B14" s="19"/>
      <c r="C14" s="20"/>
      <c r="G14" s="19"/>
    </row>
    <row r="15" spans="1:7">
      <c r="A15" s="19"/>
      <c r="B15" s="19"/>
      <c r="C15" s="20"/>
      <c r="G15" s="19"/>
    </row>
    <row r="16" spans="1:7">
      <c r="A16" s="19"/>
      <c r="B16" s="19"/>
      <c r="C16" s="20"/>
      <c r="G16" s="19"/>
    </row>
    <row r="17" spans="1:7">
      <c r="A17" s="19"/>
      <c r="B17" s="19"/>
      <c r="C17" s="20"/>
      <c r="G17" s="19"/>
    </row>
    <row r="18" spans="1:7">
      <c r="A18" s="19"/>
      <c r="B18" s="19"/>
      <c r="C18" s="20"/>
      <c r="G18" s="19"/>
    </row>
    <row r="19" spans="1:7">
      <c r="A19" s="19"/>
      <c r="B19" s="19"/>
      <c r="C19" s="20"/>
      <c r="G19" s="19"/>
    </row>
    <row r="20" spans="1:7">
      <c r="C20" s="20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18" t="s">
        <v>0</v>
      </c>
      <c r="B1" s="18" t="s">
        <v>1</v>
      </c>
      <c r="C1" s="18" t="s">
        <v>2</v>
      </c>
      <c r="D1" s="18" t="s">
        <v>105</v>
      </c>
      <c r="E1" s="18" t="s">
        <v>106</v>
      </c>
      <c r="F1" s="18" t="s">
        <v>3</v>
      </c>
      <c r="G1" s="18" t="s">
        <v>4</v>
      </c>
      <c r="H1" s="18" t="s">
        <v>107</v>
      </c>
      <c r="I1" s="18" t="s">
        <v>5</v>
      </c>
      <c r="J1" s="18" t="s">
        <v>6</v>
      </c>
      <c r="K1" s="18" t="s">
        <v>7</v>
      </c>
      <c r="L1" s="18" t="s">
        <v>108</v>
      </c>
      <c r="M1" s="18" t="s">
        <v>109</v>
      </c>
      <c r="N1" s="18" t="s">
        <v>1514</v>
      </c>
      <c r="O1" s="18" t="s">
        <v>9</v>
      </c>
      <c r="P1" s="18" t="s">
        <v>10</v>
      </c>
      <c r="Q1" s="18" t="s">
        <v>110</v>
      </c>
      <c r="R1" s="18" t="s">
        <v>11</v>
      </c>
      <c r="S1" s="18" t="s">
        <v>12</v>
      </c>
      <c r="T1" s="18" t="s">
        <v>1515</v>
      </c>
      <c r="U1" s="18" t="s">
        <v>111</v>
      </c>
      <c r="V1" s="18" t="s">
        <v>13</v>
      </c>
      <c r="W1" s="18" t="s">
        <v>14</v>
      </c>
      <c r="X1" s="18" t="s">
        <v>15</v>
      </c>
      <c r="Y1" s="18" t="s">
        <v>112</v>
      </c>
      <c r="Z1" s="18" t="s">
        <v>113</v>
      </c>
      <c r="AA1" s="18" t="s">
        <v>1520</v>
      </c>
      <c r="AB1" s="18" t="s">
        <v>1521</v>
      </c>
      <c r="AC1" s="18" t="s">
        <v>1522</v>
      </c>
      <c r="AD1" s="18" t="s">
        <v>1523</v>
      </c>
      <c r="AE1" s="18" t="s">
        <v>1524</v>
      </c>
      <c r="AF1" s="18" t="s">
        <v>17</v>
      </c>
      <c r="AG1" s="18" t="s">
        <v>18</v>
      </c>
      <c r="AH1" s="18" t="s">
        <v>19</v>
      </c>
      <c r="AI1" s="18" t="s">
        <v>20</v>
      </c>
      <c r="AJ1" s="18" t="s">
        <v>21</v>
      </c>
      <c r="AK1" s="18" t="s">
        <v>114</v>
      </c>
      <c r="AL1" s="18" t="s">
        <v>22</v>
      </c>
      <c r="AM1" s="18" t="s">
        <v>24</v>
      </c>
      <c r="AN1" s="18" t="s">
        <v>25</v>
      </c>
    </row>
    <row r="2" spans="1:40">
      <c r="A2" s="26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X2" s="19"/>
      <c r="Y2" s="17"/>
      <c r="Z2" s="20"/>
      <c r="AA2" s="19"/>
      <c r="AB2" s="19"/>
      <c r="AC2" s="20"/>
      <c r="AD2" s="20"/>
      <c r="AE2" s="19"/>
      <c r="AF2" s="19"/>
      <c r="AG2" s="19"/>
      <c r="AH2" s="19"/>
      <c r="AI2" s="19"/>
      <c r="AK2" s="33"/>
      <c r="AL2" s="19"/>
    </row>
    <row r="3" spans="1:40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C3" s="34"/>
      <c r="AF3" s="19"/>
      <c r="AG3" s="20"/>
      <c r="AH3" s="19"/>
      <c r="AI3" s="19"/>
      <c r="AK3" s="19"/>
      <c r="AL3" s="19"/>
    </row>
    <row r="4" spans="1:40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20"/>
      <c r="AE4" s="19"/>
      <c r="AF4" s="19"/>
      <c r="AG4" s="19"/>
      <c r="AH4" s="19"/>
      <c r="AI4" s="19"/>
      <c r="AK4" s="19"/>
      <c r="AL4" s="19"/>
    </row>
    <row r="5" spans="1:40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20"/>
      <c r="AE5" s="19"/>
      <c r="AF5" s="19"/>
      <c r="AG5" s="19"/>
      <c r="AH5" s="19"/>
      <c r="AI5" s="19"/>
      <c r="AK5" s="19"/>
      <c r="AL5" s="19"/>
    </row>
    <row r="6" spans="1:40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20"/>
      <c r="AE6" s="19"/>
      <c r="AF6" s="19"/>
      <c r="AG6" s="19"/>
      <c r="AH6" s="19"/>
      <c r="AI6" s="19"/>
      <c r="AK6" s="19"/>
      <c r="AL6" s="19"/>
    </row>
    <row r="7" spans="1:40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20"/>
      <c r="AE7" s="19"/>
      <c r="AF7" s="19"/>
      <c r="AG7" s="19"/>
      <c r="AH7" s="19"/>
      <c r="AI7" s="19"/>
      <c r="AK7" s="19"/>
      <c r="AL7" s="19"/>
    </row>
    <row r="8" spans="1:40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20"/>
      <c r="AE8" s="19"/>
      <c r="AF8" s="19"/>
      <c r="AG8" s="19"/>
      <c r="AH8" s="19"/>
      <c r="AI8" s="19"/>
      <c r="AK8" s="19"/>
      <c r="AL8" s="19"/>
    </row>
    <row r="9" spans="1:40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20"/>
      <c r="AE9" s="19"/>
      <c r="AF9" s="19"/>
      <c r="AG9" s="19"/>
      <c r="AH9" s="19"/>
      <c r="AL9" s="19"/>
    </row>
    <row r="10" spans="1:40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20"/>
      <c r="AE10" s="19"/>
      <c r="AF10" s="19"/>
      <c r="AG10" s="19"/>
      <c r="AH10" s="19"/>
      <c r="AL10" s="19"/>
    </row>
    <row r="11" spans="1:40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20"/>
      <c r="AE11" s="19"/>
      <c r="AF11" s="19"/>
      <c r="AG11" s="19"/>
      <c r="AH11" s="19"/>
      <c r="AI11" s="19"/>
      <c r="AK11" s="19"/>
      <c r="AL11" s="19"/>
    </row>
    <row r="12" spans="1:40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20"/>
      <c r="AE12" s="19"/>
      <c r="AF12" s="19"/>
      <c r="AG12" s="19"/>
      <c r="AH12" s="19"/>
      <c r="AI12" s="19"/>
      <c r="AK12" s="19"/>
      <c r="AL12" s="19"/>
    </row>
    <row r="13" spans="1:40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20"/>
      <c r="AE13" s="19"/>
      <c r="AF13" s="19"/>
      <c r="AG13" s="19"/>
      <c r="AH13" s="19"/>
      <c r="AI13" s="19"/>
      <c r="AK13" s="19"/>
      <c r="AL13" s="19"/>
    </row>
    <row r="14" spans="1:40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20"/>
      <c r="AE14" s="19"/>
      <c r="AF14" s="19"/>
      <c r="AG14" s="19"/>
      <c r="AH14" s="19"/>
      <c r="AI14" s="19"/>
      <c r="AK14" s="19"/>
      <c r="AL14" s="19"/>
    </row>
    <row r="15" spans="1:40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20"/>
      <c r="AE15" s="19"/>
      <c r="AF15" s="19"/>
      <c r="AG15" s="19"/>
      <c r="AH15" s="19"/>
      <c r="AI15" s="19"/>
      <c r="AK15" s="19"/>
      <c r="AL15" s="19"/>
    </row>
    <row r="16" spans="1:40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20"/>
      <c r="AE16" s="19"/>
      <c r="AF16" s="19"/>
      <c r="AG16" s="19"/>
      <c r="AH16" s="19"/>
      <c r="AI16" s="19"/>
      <c r="AK16" s="19"/>
      <c r="AL16" s="19"/>
    </row>
    <row r="17" spans="1:38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20"/>
      <c r="AE17" s="19"/>
      <c r="AF17" s="19"/>
      <c r="AG17" s="19"/>
      <c r="AH17" s="19"/>
      <c r="AI17" s="19"/>
      <c r="AK17" s="19"/>
      <c r="AL17" s="19"/>
    </row>
    <row r="18" spans="1:38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20"/>
      <c r="AE18" s="19"/>
      <c r="AF18" s="19"/>
      <c r="AG18" s="19"/>
      <c r="AH18" s="19"/>
      <c r="AI18" s="19"/>
      <c r="AK18" s="19"/>
      <c r="AL18" s="19"/>
    </row>
    <row r="19" spans="1:38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20"/>
      <c r="AE19" s="19"/>
      <c r="AF19" s="19"/>
      <c r="AG19" s="19"/>
      <c r="AH19" s="19"/>
      <c r="AI19" s="19"/>
      <c r="AK19" s="19"/>
      <c r="AL19" s="19"/>
    </row>
    <row r="20" spans="1:38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>
      <c r="Y21" s="38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9"/>
  <sheetViews>
    <sheetView rightToLeft="1" topLeftCell="E1" workbookViewId="0">
      <selection activeCell="E1" sqref="A1:XFD1"/>
    </sheetView>
  </sheetViews>
  <sheetFormatPr defaultColWidth="0" defaultRowHeight="14.25"/>
  <cols>
    <col min="1" max="2" width="11.625" style="3" customWidth="1"/>
    <col min="3" max="3" width="24.25" style="3" customWidth="1"/>
    <col min="4" max="4" width="11.625" style="3" customWidth="1"/>
    <col min="5" max="5" width="19.375" style="5" customWidth="1"/>
    <col min="6" max="6" width="26.25" style="3" customWidth="1"/>
    <col min="7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18" t="s">
        <v>0</v>
      </c>
      <c r="B1" s="18" t="s">
        <v>1</v>
      </c>
      <c r="C1" s="18" t="s">
        <v>2</v>
      </c>
      <c r="D1" s="18" t="s">
        <v>105</v>
      </c>
      <c r="E1" s="18" t="s">
        <v>106</v>
      </c>
      <c r="F1" s="18" t="s">
        <v>3</v>
      </c>
      <c r="G1" s="18" t="s">
        <v>4</v>
      </c>
      <c r="H1" s="18" t="s">
        <v>107</v>
      </c>
      <c r="I1" s="18" t="s">
        <v>5</v>
      </c>
      <c r="J1" s="18" t="s">
        <v>6</v>
      </c>
      <c r="K1" s="18" t="s">
        <v>7</v>
      </c>
      <c r="L1" s="18" t="s">
        <v>115</v>
      </c>
      <c r="M1" s="18" t="s">
        <v>108</v>
      </c>
      <c r="N1" s="18" t="s">
        <v>109</v>
      </c>
      <c r="O1" s="167" t="s">
        <v>1514</v>
      </c>
      <c r="P1" s="18" t="s">
        <v>9</v>
      </c>
      <c r="Q1" s="18" t="s">
        <v>10</v>
      </c>
      <c r="R1" s="18" t="s">
        <v>110</v>
      </c>
      <c r="S1" s="18" t="s">
        <v>11</v>
      </c>
      <c r="T1" s="18" t="s">
        <v>12</v>
      </c>
      <c r="U1" s="18" t="s">
        <v>13</v>
      </c>
      <c r="V1" s="154" t="s">
        <v>15</v>
      </c>
      <c r="W1" s="154" t="s">
        <v>14</v>
      </c>
      <c r="X1" s="18" t="s">
        <v>112</v>
      </c>
      <c r="Y1" s="18" t="s">
        <v>113</v>
      </c>
      <c r="Z1" s="18" t="s">
        <v>1520</v>
      </c>
      <c r="AA1" s="18" t="s">
        <v>1521</v>
      </c>
      <c r="AB1" s="167" t="s">
        <v>1523</v>
      </c>
      <c r="AC1" s="167" t="s">
        <v>1524</v>
      </c>
      <c r="AD1" s="18" t="s">
        <v>17</v>
      </c>
      <c r="AE1" s="152" t="s">
        <v>18</v>
      </c>
      <c r="AF1" s="158" t="s">
        <v>19</v>
      </c>
      <c r="AG1" s="18" t="s">
        <v>20</v>
      </c>
      <c r="AH1" s="18" t="s">
        <v>21</v>
      </c>
      <c r="AI1" s="18" t="s">
        <v>114</v>
      </c>
      <c r="AJ1" s="18" t="s">
        <v>22</v>
      </c>
      <c r="AK1" s="154" t="s">
        <v>24</v>
      </c>
      <c r="AL1" s="154" t="s">
        <v>25</v>
      </c>
    </row>
    <row r="2" spans="1:38">
      <c r="A2" s="3">
        <v>337</v>
      </c>
      <c r="B2" s="19">
        <v>1405</v>
      </c>
      <c r="C2" s="19" t="s">
        <v>1525</v>
      </c>
      <c r="D2" s="19" t="s">
        <v>1526</v>
      </c>
      <c r="E2" s="17" t="s">
        <v>439</v>
      </c>
      <c r="F2" s="19" t="s">
        <v>1527</v>
      </c>
      <c r="G2" s="19" t="s">
        <v>1528</v>
      </c>
      <c r="H2" s="19" t="s">
        <v>121</v>
      </c>
      <c r="I2" s="19" t="s">
        <v>122</v>
      </c>
      <c r="J2" s="17" t="s">
        <v>30</v>
      </c>
      <c r="K2" s="17" t="s">
        <v>30</v>
      </c>
      <c r="L2" s="19" t="s">
        <v>1529</v>
      </c>
      <c r="M2" s="19" t="s">
        <v>209</v>
      </c>
      <c r="N2" s="19" t="s">
        <v>125</v>
      </c>
      <c r="O2" s="168" t="s">
        <v>1530</v>
      </c>
      <c r="P2" s="19" t="s">
        <v>153</v>
      </c>
      <c r="Q2" s="19" t="s">
        <v>146</v>
      </c>
      <c r="R2" s="19" t="s">
        <v>128</v>
      </c>
      <c r="S2" s="17" t="s">
        <v>34</v>
      </c>
      <c r="T2" s="146">
        <v>1.95</v>
      </c>
      <c r="U2" s="19" t="s">
        <v>581</v>
      </c>
      <c r="V2" s="161">
        <v>4.7199999999999999E-2</v>
      </c>
      <c r="W2" s="155">
        <v>2.86E-2</v>
      </c>
      <c r="X2" s="17" t="s">
        <v>129</v>
      </c>
      <c r="Y2" s="27" t="s">
        <v>125</v>
      </c>
      <c r="Z2" s="19" t="s">
        <v>1531</v>
      </c>
      <c r="AA2" s="19" t="s">
        <v>1532</v>
      </c>
      <c r="AB2" s="169" t="s">
        <v>1533</v>
      </c>
      <c r="AC2" s="201" t="s">
        <v>1533</v>
      </c>
      <c r="AD2" s="146">
        <v>5571.44</v>
      </c>
      <c r="AE2" s="160">
        <v>1</v>
      </c>
      <c r="AF2" s="162">
        <v>96.56</v>
      </c>
      <c r="AG2" s="146">
        <v>5.38</v>
      </c>
      <c r="AH2" s="19"/>
      <c r="AI2" s="33"/>
      <c r="AJ2" s="20" t="s">
        <v>36</v>
      </c>
      <c r="AK2" s="155">
        <v>3.34890338821075E-2</v>
      </c>
      <c r="AL2" s="155">
        <v>7.1677885854371599E-4</v>
      </c>
    </row>
    <row r="3" spans="1:38">
      <c r="A3" s="19">
        <v>337</v>
      </c>
      <c r="B3" s="19">
        <v>1405</v>
      </c>
      <c r="C3" s="19" t="s">
        <v>1534</v>
      </c>
      <c r="D3" s="19" t="s">
        <v>1535</v>
      </c>
      <c r="E3" s="17" t="s">
        <v>118</v>
      </c>
      <c r="F3" s="19" t="s">
        <v>1536</v>
      </c>
      <c r="G3" s="19" t="s">
        <v>1537</v>
      </c>
      <c r="H3" s="19" t="s">
        <v>121</v>
      </c>
      <c r="I3" s="19" t="s">
        <v>122</v>
      </c>
      <c r="J3" s="17" t="s">
        <v>30</v>
      </c>
      <c r="K3" s="17" t="s">
        <v>30</v>
      </c>
      <c r="L3" s="19" t="s">
        <v>1529</v>
      </c>
      <c r="M3" s="19" t="s">
        <v>209</v>
      </c>
      <c r="N3" s="19" t="s">
        <v>125</v>
      </c>
      <c r="O3" s="168" t="s">
        <v>1538</v>
      </c>
      <c r="P3" s="19" t="s">
        <v>198</v>
      </c>
      <c r="Q3" s="19" t="s">
        <v>732</v>
      </c>
      <c r="R3" s="19" t="s">
        <v>128</v>
      </c>
      <c r="S3" s="17" t="s">
        <v>34</v>
      </c>
      <c r="T3" s="146">
        <v>1.34</v>
      </c>
      <c r="U3" s="19" t="s">
        <v>244</v>
      </c>
      <c r="V3" s="161">
        <v>4.8899999999999999E-2</v>
      </c>
      <c r="W3" s="155">
        <v>4.4699999999999997E-2</v>
      </c>
      <c r="X3" s="17" t="s">
        <v>129</v>
      </c>
      <c r="Y3" s="17" t="s">
        <v>125</v>
      </c>
      <c r="Z3" s="19" t="s">
        <v>1531</v>
      </c>
      <c r="AA3" s="19" t="s">
        <v>1532</v>
      </c>
      <c r="AB3" s="169" t="s">
        <v>1533</v>
      </c>
      <c r="AC3" s="201" t="s">
        <v>1533</v>
      </c>
      <c r="AD3" s="146">
        <v>28040.99</v>
      </c>
      <c r="AE3" s="160">
        <v>1</v>
      </c>
      <c r="AF3" s="162">
        <v>99.54</v>
      </c>
      <c r="AG3" s="146">
        <v>27.911999999999999</v>
      </c>
      <c r="AH3" s="19"/>
      <c r="AI3" s="19"/>
      <c r="AJ3" s="20" t="s">
        <v>36</v>
      </c>
      <c r="AK3" s="155">
        <v>0.17375162813693401</v>
      </c>
      <c r="AL3" s="155">
        <v>3.7188738894209802E-3</v>
      </c>
    </row>
    <row r="4" spans="1:38">
      <c r="A4" s="19">
        <v>337</v>
      </c>
      <c r="B4" s="19">
        <v>1405</v>
      </c>
      <c r="C4" s="19" t="s">
        <v>1539</v>
      </c>
      <c r="D4" s="19" t="s">
        <v>1540</v>
      </c>
      <c r="E4" s="17" t="s">
        <v>118</v>
      </c>
      <c r="F4" s="19" t="s">
        <v>1541</v>
      </c>
      <c r="G4" s="19" t="s">
        <v>1542</v>
      </c>
      <c r="H4" s="19" t="s">
        <v>121</v>
      </c>
      <c r="I4" s="19" t="s">
        <v>122</v>
      </c>
      <c r="J4" s="17" t="s">
        <v>30</v>
      </c>
      <c r="K4" s="17" t="s">
        <v>30</v>
      </c>
      <c r="L4" s="19" t="s">
        <v>1529</v>
      </c>
      <c r="M4" s="19" t="s">
        <v>209</v>
      </c>
      <c r="N4" s="19" t="s">
        <v>125</v>
      </c>
      <c r="O4" s="169" t="s">
        <v>1543</v>
      </c>
      <c r="P4" s="19" t="s">
        <v>422</v>
      </c>
      <c r="Q4" s="19" t="s">
        <v>127</v>
      </c>
      <c r="R4" s="19" t="s">
        <v>128</v>
      </c>
      <c r="S4" s="19" t="s">
        <v>34</v>
      </c>
      <c r="T4" s="146">
        <v>1.08</v>
      </c>
      <c r="U4" s="19" t="s">
        <v>1544</v>
      </c>
      <c r="V4" s="161">
        <v>4.4200000000000003E-2</v>
      </c>
      <c r="W4" s="155">
        <v>2.1000000000000001E-2</v>
      </c>
      <c r="X4" s="17" t="s">
        <v>129</v>
      </c>
      <c r="Y4" s="17" t="s">
        <v>125</v>
      </c>
      <c r="Z4" s="19" t="s">
        <v>1531</v>
      </c>
      <c r="AA4" s="19" t="s">
        <v>1532</v>
      </c>
      <c r="AB4" s="169" t="s">
        <v>1533</v>
      </c>
      <c r="AC4" s="201" t="s">
        <v>1533</v>
      </c>
      <c r="AD4" s="143">
        <v>22714.32</v>
      </c>
      <c r="AE4" s="160">
        <v>1</v>
      </c>
      <c r="AF4" s="162">
        <v>99.37</v>
      </c>
      <c r="AG4" s="146">
        <v>22.571000000000002</v>
      </c>
      <c r="AH4" s="19"/>
      <c r="AI4" s="19"/>
      <c r="AJ4" s="20" t="s">
        <v>36</v>
      </c>
      <c r="AK4" s="155">
        <v>0.14050537343564801</v>
      </c>
      <c r="AL4" s="155">
        <v>3.0072913284091602E-3</v>
      </c>
    </row>
    <row r="5" spans="1:38">
      <c r="A5" s="19">
        <v>337</v>
      </c>
      <c r="B5" s="19">
        <v>1405</v>
      </c>
      <c r="C5" s="19" t="s">
        <v>1545</v>
      </c>
      <c r="D5" s="19" t="s">
        <v>1546</v>
      </c>
      <c r="E5" s="17" t="s">
        <v>118</v>
      </c>
      <c r="F5" s="19" t="s">
        <v>1547</v>
      </c>
      <c r="G5" s="19" t="s">
        <v>1548</v>
      </c>
      <c r="H5" s="19" t="s">
        <v>121</v>
      </c>
      <c r="I5" s="19" t="s">
        <v>122</v>
      </c>
      <c r="J5" s="17" t="s">
        <v>30</v>
      </c>
      <c r="K5" s="17" t="s">
        <v>30</v>
      </c>
      <c r="L5" s="19" t="s">
        <v>1529</v>
      </c>
      <c r="M5" s="19" t="s">
        <v>171</v>
      </c>
      <c r="N5" s="19" t="s">
        <v>125</v>
      </c>
      <c r="O5" s="168" t="s">
        <v>1549</v>
      </c>
      <c r="P5" s="19" t="s">
        <v>1550</v>
      </c>
      <c r="Q5" s="19" t="s">
        <v>127</v>
      </c>
      <c r="R5" s="19" t="s">
        <v>128</v>
      </c>
      <c r="S5" s="17" t="s">
        <v>34</v>
      </c>
      <c r="T5" s="146">
        <v>0.98</v>
      </c>
      <c r="U5" s="19" t="s">
        <v>244</v>
      </c>
      <c r="V5" s="161">
        <v>4.3099999999999999E-2</v>
      </c>
      <c r="W5" s="155">
        <v>3.1E-2</v>
      </c>
      <c r="X5" s="17" t="s">
        <v>129</v>
      </c>
      <c r="Y5" s="17" t="s">
        <v>125</v>
      </c>
      <c r="Z5" s="19" t="s">
        <v>1531</v>
      </c>
      <c r="AA5" s="19" t="s">
        <v>1532</v>
      </c>
      <c r="AB5" s="169" t="s">
        <v>1533</v>
      </c>
      <c r="AC5" s="201" t="s">
        <v>1533</v>
      </c>
      <c r="AD5" s="146">
        <v>7260.92</v>
      </c>
      <c r="AE5" s="160">
        <v>1</v>
      </c>
      <c r="AF5" s="162">
        <v>98.91</v>
      </c>
      <c r="AG5" s="143">
        <v>7.1820000000000004</v>
      </c>
      <c r="AJ5" s="20" t="s">
        <v>36</v>
      </c>
      <c r="AK5" s="155">
        <v>4.4706405968911199E-2</v>
      </c>
      <c r="AL5" s="155">
        <v>9.5686864998243304E-4</v>
      </c>
    </row>
    <row r="6" spans="1:38">
      <c r="A6" s="19">
        <v>337</v>
      </c>
      <c r="B6" s="19">
        <v>1405</v>
      </c>
      <c r="C6" s="19" t="s">
        <v>1551</v>
      </c>
      <c r="D6" s="19" t="s">
        <v>1552</v>
      </c>
      <c r="E6" s="17" t="s">
        <v>118</v>
      </c>
      <c r="F6" s="19" t="s">
        <v>1553</v>
      </c>
      <c r="G6" s="19" t="s">
        <v>1554</v>
      </c>
      <c r="H6" s="19" t="s">
        <v>121</v>
      </c>
      <c r="I6" s="19" t="s">
        <v>122</v>
      </c>
      <c r="J6" s="17" t="s">
        <v>30</v>
      </c>
      <c r="K6" s="17" t="s">
        <v>30</v>
      </c>
      <c r="L6" s="19" t="s">
        <v>1529</v>
      </c>
      <c r="M6" s="19" t="s">
        <v>1007</v>
      </c>
      <c r="N6" s="19" t="s">
        <v>125</v>
      </c>
      <c r="O6" s="168" t="s">
        <v>1555</v>
      </c>
      <c r="P6" s="19" t="s">
        <v>1550</v>
      </c>
      <c r="Q6" s="19" t="s">
        <v>127</v>
      </c>
      <c r="R6" s="19" t="s">
        <v>128</v>
      </c>
      <c r="S6" s="17" t="s">
        <v>34</v>
      </c>
      <c r="T6" s="146">
        <v>0.2</v>
      </c>
      <c r="U6" s="19" t="s">
        <v>1556</v>
      </c>
      <c r="V6" s="161">
        <v>4.9200000000000001E-2</v>
      </c>
      <c r="W6" s="155">
        <v>6.25E-2</v>
      </c>
      <c r="X6" s="17" t="s">
        <v>129</v>
      </c>
      <c r="Y6" s="17" t="s">
        <v>125</v>
      </c>
      <c r="Z6" s="19" t="s">
        <v>1531</v>
      </c>
      <c r="AA6" s="19" t="s">
        <v>1532</v>
      </c>
      <c r="AB6" s="169" t="s">
        <v>1533</v>
      </c>
      <c r="AC6" s="201" t="s">
        <v>1533</v>
      </c>
      <c r="AD6" s="146">
        <v>1279.46</v>
      </c>
      <c r="AE6" s="160">
        <v>1</v>
      </c>
      <c r="AF6" s="162">
        <v>100.54</v>
      </c>
      <c r="AG6" s="143">
        <v>1.286</v>
      </c>
      <c r="AJ6" s="20" t="s">
        <v>36</v>
      </c>
      <c r="AK6" s="155">
        <v>8.0076207778373796E-3</v>
      </c>
      <c r="AL6" s="155">
        <v>1.71390231829167E-4</v>
      </c>
    </row>
    <row r="7" spans="1:38">
      <c r="A7" s="19">
        <v>337</v>
      </c>
      <c r="B7" s="19">
        <v>1405</v>
      </c>
      <c r="C7" s="19" t="s">
        <v>1557</v>
      </c>
      <c r="D7" s="19" t="s">
        <v>1558</v>
      </c>
      <c r="E7" s="17" t="s">
        <v>118</v>
      </c>
      <c r="F7" s="19" t="s">
        <v>1559</v>
      </c>
      <c r="G7" s="19" t="s">
        <v>1560</v>
      </c>
      <c r="H7" s="19" t="s">
        <v>121</v>
      </c>
      <c r="I7" s="19" t="s">
        <v>132</v>
      </c>
      <c r="J7" s="17" t="s">
        <v>30</v>
      </c>
      <c r="K7" s="17" t="s">
        <v>30</v>
      </c>
      <c r="L7" s="19" t="s">
        <v>1529</v>
      </c>
      <c r="M7" s="19" t="s">
        <v>945</v>
      </c>
      <c r="N7" s="19" t="s">
        <v>125</v>
      </c>
      <c r="O7" s="168" t="s">
        <v>1561</v>
      </c>
      <c r="P7" s="19" t="s">
        <v>357</v>
      </c>
      <c r="Q7" s="19" t="s">
        <v>146</v>
      </c>
      <c r="R7" s="19" t="s">
        <v>128</v>
      </c>
      <c r="S7" s="17" t="s">
        <v>34</v>
      </c>
      <c r="T7" s="146">
        <v>4.42</v>
      </c>
      <c r="U7" s="19" t="s">
        <v>1562</v>
      </c>
      <c r="V7" s="161">
        <v>2.18E-2</v>
      </c>
      <c r="W7" s="155">
        <v>2.3217999999999999E-2</v>
      </c>
      <c r="X7" s="17" t="s">
        <v>129</v>
      </c>
      <c r="Y7" s="17" t="s">
        <v>125</v>
      </c>
      <c r="Z7" s="19" t="s">
        <v>1531</v>
      </c>
      <c r="AA7" s="19" t="s">
        <v>1532</v>
      </c>
      <c r="AB7" s="169" t="s">
        <v>1533</v>
      </c>
      <c r="AC7" s="201" t="s">
        <v>1533</v>
      </c>
      <c r="AD7" s="146">
        <v>24443.1</v>
      </c>
      <c r="AE7" s="160">
        <v>1</v>
      </c>
      <c r="AF7" s="162">
        <v>120.21</v>
      </c>
      <c r="AG7" s="146">
        <v>29.382999999999999</v>
      </c>
      <c r="AH7" s="19"/>
      <c r="AI7" s="19"/>
      <c r="AJ7" s="20" t="s">
        <v>36</v>
      </c>
      <c r="AK7" s="155">
        <v>0.18290887794697699</v>
      </c>
      <c r="AL7" s="155">
        <v>3.9148700799754403E-3</v>
      </c>
    </row>
    <row r="8" spans="1:38">
      <c r="A8" s="19">
        <v>337</v>
      </c>
      <c r="B8" s="19">
        <v>1405</v>
      </c>
      <c r="C8" s="19" t="s">
        <v>1557</v>
      </c>
      <c r="D8" s="19" t="s">
        <v>1558</v>
      </c>
      <c r="E8" s="17" t="s">
        <v>118</v>
      </c>
      <c r="F8" s="19" t="s">
        <v>1563</v>
      </c>
      <c r="G8" s="19" t="s">
        <v>1564</v>
      </c>
      <c r="H8" s="19" t="s">
        <v>121</v>
      </c>
      <c r="I8" s="19" t="s">
        <v>122</v>
      </c>
      <c r="J8" s="17" t="s">
        <v>30</v>
      </c>
      <c r="K8" s="17" t="s">
        <v>30</v>
      </c>
      <c r="L8" s="19" t="s">
        <v>1529</v>
      </c>
      <c r="M8" s="19" t="s">
        <v>945</v>
      </c>
      <c r="N8" s="19" t="s">
        <v>125</v>
      </c>
      <c r="O8" s="168" t="s">
        <v>1561</v>
      </c>
      <c r="P8" s="19" t="s">
        <v>357</v>
      </c>
      <c r="Q8" s="19" t="s">
        <v>146</v>
      </c>
      <c r="R8" s="19" t="s">
        <v>128</v>
      </c>
      <c r="S8" s="17" t="s">
        <v>34</v>
      </c>
      <c r="T8" s="146">
        <v>0.2</v>
      </c>
      <c r="U8" s="19" t="s">
        <v>1556</v>
      </c>
      <c r="V8" s="161">
        <v>4.4499999999999998E-2</v>
      </c>
      <c r="W8" s="155">
        <v>2.5000000000000001E-2</v>
      </c>
      <c r="X8" s="17" t="s">
        <v>129</v>
      </c>
      <c r="Y8" s="17" t="s">
        <v>125</v>
      </c>
      <c r="Z8" s="19" t="s">
        <v>1531</v>
      </c>
      <c r="AA8" s="19" t="s">
        <v>1532</v>
      </c>
      <c r="AB8" s="169" t="s">
        <v>1533</v>
      </c>
      <c r="AC8" s="201" t="s">
        <v>1533</v>
      </c>
      <c r="AD8" s="146">
        <v>15973.12</v>
      </c>
      <c r="AE8" s="160">
        <v>1</v>
      </c>
      <c r="AF8" s="162">
        <v>100.36</v>
      </c>
      <c r="AG8" s="146">
        <v>16.030999999999999</v>
      </c>
      <c r="AH8" s="19"/>
      <c r="AI8" s="19"/>
      <c r="AJ8" s="20" t="s">
        <v>36</v>
      </c>
      <c r="AK8" s="155">
        <v>9.9790296012933294E-2</v>
      </c>
      <c r="AL8" s="155">
        <v>2.1358506405914999E-3</v>
      </c>
    </row>
    <row r="9" spans="1:38">
      <c r="A9" s="19">
        <v>337</v>
      </c>
      <c r="B9" s="19">
        <v>1405</v>
      </c>
      <c r="C9" s="19" t="s">
        <v>1557</v>
      </c>
      <c r="D9" s="19" t="s">
        <v>1558</v>
      </c>
      <c r="E9" s="17" t="s">
        <v>118</v>
      </c>
      <c r="F9" s="19" t="s">
        <v>1565</v>
      </c>
      <c r="G9" s="19" t="s">
        <v>1566</v>
      </c>
      <c r="H9" s="19" t="s">
        <v>121</v>
      </c>
      <c r="I9" s="19" t="s">
        <v>122</v>
      </c>
      <c r="J9" s="17" t="s">
        <v>30</v>
      </c>
      <c r="K9" s="17" t="s">
        <v>30</v>
      </c>
      <c r="L9" s="19" t="s">
        <v>1529</v>
      </c>
      <c r="M9" s="19" t="s">
        <v>945</v>
      </c>
      <c r="N9" s="19" t="s">
        <v>125</v>
      </c>
      <c r="O9" s="168" t="s">
        <v>1561</v>
      </c>
      <c r="P9" s="19" t="s">
        <v>357</v>
      </c>
      <c r="Q9" s="19" t="s">
        <v>146</v>
      </c>
      <c r="R9" s="19" t="s">
        <v>128</v>
      </c>
      <c r="S9" s="17" t="s">
        <v>34</v>
      </c>
      <c r="T9" s="146">
        <v>4.18</v>
      </c>
      <c r="U9" s="19" t="s">
        <v>1562</v>
      </c>
      <c r="V9" s="161">
        <v>4.3099999999999999E-2</v>
      </c>
      <c r="W9" s="155">
        <v>3.7400000000000003E-2</v>
      </c>
      <c r="X9" s="17" t="s">
        <v>129</v>
      </c>
      <c r="Y9" s="17" t="s">
        <v>125</v>
      </c>
      <c r="Z9" s="19" t="s">
        <v>1531</v>
      </c>
      <c r="AA9" s="19" t="s">
        <v>1532</v>
      </c>
      <c r="AB9" s="169" t="s">
        <v>1533</v>
      </c>
      <c r="AC9" s="201" t="s">
        <v>1533</v>
      </c>
      <c r="AD9" s="146">
        <v>51459.19</v>
      </c>
      <c r="AE9" s="160">
        <v>1</v>
      </c>
      <c r="AF9" s="162">
        <v>98.91</v>
      </c>
      <c r="AG9" s="146">
        <v>50.898000000000003</v>
      </c>
      <c r="AH9" s="19"/>
      <c r="AI9" s="19"/>
      <c r="AJ9" s="20" t="s">
        <v>36</v>
      </c>
      <c r="AK9" s="155">
        <v>0.31684076383865101</v>
      </c>
      <c r="AL9" s="155">
        <v>6.78146648971336E-3</v>
      </c>
    </row>
    <row r="10" spans="1:38">
      <c r="A10" s="19">
        <v>337</v>
      </c>
      <c r="B10" s="19">
        <v>1477</v>
      </c>
      <c r="C10" s="19" t="s">
        <v>1525</v>
      </c>
      <c r="D10" s="19" t="s">
        <v>1526</v>
      </c>
      <c r="E10" s="17" t="s">
        <v>439</v>
      </c>
      <c r="F10" s="19" t="s">
        <v>1527</v>
      </c>
      <c r="G10" s="19" t="s">
        <v>1528</v>
      </c>
      <c r="H10" s="19" t="s">
        <v>121</v>
      </c>
      <c r="I10" s="19" t="s">
        <v>122</v>
      </c>
      <c r="J10" s="17" t="s">
        <v>30</v>
      </c>
      <c r="K10" s="17" t="s">
        <v>30</v>
      </c>
      <c r="L10" s="19" t="s">
        <v>1529</v>
      </c>
      <c r="M10" s="19" t="s">
        <v>209</v>
      </c>
      <c r="N10" s="19" t="s">
        <v>125</v>
      </c>
      <c r="O10" s="168" t="s">
        <v>1530</v>
      </c>
      <c r="P10" s="19" t="s">
        <v>153</v>
      </c>
      <c r="Q10" s="19" t="s">
        <v>146</v>
      </c>
      <c r="R10" s="19" t="s">
        <v>128</v>
      </c>
      <c r="S10" s="17" t="s">
        <v>34</v>
      </c>
      <c r="T10" s="146">
        <v>1.95</v>
      </c>
      <c r="U10" s="19" t="s">
        <v>581</v>
      </c>
      <c r="V10" s="161">
        <v>4.7199999999999999E-2</v>
      </c>
      <c r="W10" s="155">
        <v>2.86E-2</v>
      </c>
      <c r="X10" s="17" t="s">
        <v>129</v>
      </c>
      <c r="Y10" s="17" t="s">
        <v>125</v>
      </c>
      <c r="Z10" s="19" t="s">
        <v>1531</v>
      </c>
      <c r="AA10" s="19" t="s">
        <v>1532</v>
      </c>
      <c r="AB10" s="169" t="s">
        <v>1533</v>
      </c>
      <c r="AC10" s="201" t="s">
        <v>1533</v>
      </c>
      <c r="AD10" s="146">
        <v>3428.57</v>
      </c>
      <c r="AE10" s="160">
        <v>1</v>
      </c>
      <c r="AF10" s="162">
        <v>96.56</v>
      </c>
      <c r="AG10" s="146">
        <v>3.3109999999999999</v>
      </c>
      <c r="AH10" s="19"/>
      <c r="AI10" s="19"/>
      <c r="AJ10" s="20" t="s">
        <v>36</v>
      </c>
      <c r="AK10" s="155">
        <v>0.45237758528879002</v>
      </c>
      <c r="AL10" s="155">
        <v>1.3320871790477399E-4</v>
      </c>
    </row>
    <row r="11" spans="1:38">
      <c r="A11" s="19">
        <v>337</v>
      </c>
      <c r="B11" s="19">
        <v>1477</v>
      </c>
      <c r="C11" s="19" t="s">
        <v>1557</v>
      </c>
      <c r="D11" s="19" t="s">
        <v>1558</v>
      </c>
      <c r="E11" s="17" t="s">
        <v>118</v>
      </c>
      <c r="F11" s="19" t="s">
        <v>1563</v>
      </c>
      <c r="G11" s="19" t="s">
        <v>1564</v>
      </c>
      <c r="H11" s="19" t="s">
        <v>121</v>
      </c>
      <c r="I11" s="19" t="s">
        <v>122</v>
      </c>
      <c r="J11" s="17" t="s">
        <v>30</v>
      </c>
      <c r="K11" s="17" t="s">
        <v>30</v>
      </c>
      <c r="L11" s="19" t="s">
        <v>1529</v>
      </c>
      <c r="M11" s="19" t="s">
        <v>945</v>
      </c>
      <c r="N11" s="19" t="s">
        <v>125</v>
      </c>
      <c r="O11" s="168" t="s">
        <v>1561</v>
      </c>
      <c r="P11" s="19" t="s">
        <v>357</v>
      </c>
      <c r="Q11" s="19" t="s">
        <v>146</v>
      </c>
      <c r="R11" s="19" t="s">
        <v>128</v>
      </c>
      <c r="S11" s="17" t="s">
        <v>34</v>
      </c>
      <c r="T11" s="146">
        <v>0.2</v>
      </c>
      <c r="U11" s="19" t="s">
        <v>1556</v>
      </c>
      <c r="V11" s="161">
        <v>4.4499999999999998E-2</v>
      </c>
      <c r="W11" s="155">
        <v>2.5000000000000001E-2</v>
      </c>
      <c r="X11" s="17" t="s">
        <v>129</v>
      </c>
      <c r="Y11" s="17" t="s">
        <v>125</v>
      </c>
      <c r="Z11" s="19" t="s">
        <v>1531</v>
      </c>
      <c r="AA11" s="19" t="s">
        <v>1532</v>
      </c>
      <c r="AB11" s="169" t="s">
        <v>1533</v>
      </c>
      <c r="AC11" s="201" t="s">
        <v>1533</v>
      </c>
      <c r="AD11" s="146">
        <v>3993.28</v>
      </c>
      <c r="AE11" s="160">
        <v>1</v>
      </c>
      <c r="AF11" s="162">
        <v>100.36</v>
      </c>
      <c r="AG11" s="146">
        <v>4.008</v>
      </c>
      <c r="AH11" s="19"/>
      <c r="AI11" s="19"/>
      <c r="AJ11" s="20" t="s">
        <v>36</v>
      </c>
      <c r="AK11" s="155">
        <v>0.54762241471120998</v>
      </c>
      <c r="AL11" s="155">
        <v>1.61254850222139E-4</v>
      </c>
    </row>
    <row r="12" spans="1:38">
      <c r="A12" s="19">
        <v>337</v>
      </c>
      <c r="B12" s="19">
        <v>9962</v>
      </c>
      <c r="C12" s="19" t="s">
        <v>1525</v>
      </c>
      <c r="D12" s="19" t="s">
        <v>1526</v>
      </c>
      <c r="E12" s="17" t="s">
        <v>439</v>
      </c>
      <c r="F12" s="19" t="s">
        <v>1527</v>
      </c>
      <c r="G12" s="19" t="s">
        <v>1528</v>
      </c>
      <c r="H12" s="19" t="s">
        <v>121</v>
      </c>
      <c r="I12" s="19" t="s">
        <v>122</v>
      </c>
      <c r="J12" s="17" t="s">
        <v>30</v>
      </c>
      <c r="K12" s="17" t="s">
        <v>30</v>
      </c>
      <c r="L12" s="19" t="s">
        <v>1529</v>
      </c>
      <c r="M12" s="19" t="s">
        <v>209</v>
      </c>
      <c r="N12" s="19" t="s">
        <v>125</v>
      </c>
      <c r="O12" s="168" t="s">
        <v>1530</v>
      </c>
      <c r="P12" s="19" t="s">
        <v>153</v>
      </c>
      <c r="Q12" s="19" t="s">
        <v>146</v>
      </c>
      <c r="R12" s="19" t="s">
        <v>128</v>
      </c>
      <c r="S12" s="17" t="s">
        <v>34</v>
      </c>
      <c r="T12" s="146">
        <v>1.95</v>
      </c>
      <c r="U12" s="19" t="s">
        <v>581</v>
      </c>
      <c r="V12" s="161">
        <v>4.7199999999999999E-2</v>
      </c>
      <c r="W12" s="155">
        <v>2.86E-2</v>
      </c>
      <c r="X12" s="17" t="s">
        <v>129</v>
      </c>
      <c r="Y12" s="17" t="s">
        <v>125</v>
      </c>
      <c r="Z12" s="19" t="s">
        <v>1531</v>
      </c>
      <c r="AA12" s="19" t="s">
        <v>1532</v>
      </c>
      <c r="AB12" s="169" t="s">
        <v>1533</v>
      </c>
      <c r="AC12" s="201" t="s">
        <v>1533</v>
      </c>
      <c r="AD12" s="146">
        <v>8142.86</v>
      </c>
      <c r="AE12" s="160">
        <v>1</v>
      </c>
      <c r="AF12" s="162">
        <v>96.56</v>
      </c>
      <c r="AG12" s="146">
        <v>7.8630000000000004</v>
      </c>
      <c r="AH12" s="19"/>
      <c r="AI12" s="19"/>
      <c r="AJ12" s="20" t="s">
        <v>36</v>
      </c>
      <c r="AK12" s="155">
        <v>3.9688560819346602E-2</v>
      </c>
      <c r="AL12" s="155">
        <v>1.56714844222255E-4</v>
      </c>
    </row>
    <row r="13" spans="1:38">
      <c r="A13" s="19">
        <v>337</v>
      </c>
      <c r="B13" s="19">
        <v>9962</v>
      </c>
      <c r="C13" s="19" t="s">
        <v>1534</v>
      </c>
      <c r="D13" s="19" t="s">
        <v>1535</v>
      </c>
      <c r="E13" s="17" t="s">
        <v>118</v>
      </c>
      <c r="F13" s="19" t="s">
        <v>1536</v>
      </c>
      <c r="G13" s="19" t="s">
        <v>1537</v>
      </c>
      <c r="H13" s="19" t="s">
        <v>121</v>
      </c>
      <c r="I13" s="19" t="s">
        <v>122</v>
      </c>
      <c r="J13" s="17" t="s">
        <v>30</v>
      </c>
      <c r="K13" s="17" t="s">
        <v>30</v>
      </c>
      <c r="L13" s="19" t="s">
        <v>1529</v>
      </c>
      <c r="M13" s="19" t="s">
        <v>209</v>
      </c>
      <c r="N13" s="19" t="s">
        <v>125</v>
      </c>
      <c r="O13" s="168" t="s">
        <v>1538</v>
      </c>
      <c r="P13" s="19" t="s">
        <v>198</v>
      </c>
      <c r="Q13" s="19" t="s">
        <v>732</v>
      </c>
      <c r="R13" s="19" t="s">
        <v>128</v>
      </c>
      <c r="S13" s="17" t="s">
        <v>34</v>
      </c>
      <c r="T13" s="146">
        <v>1.34</v>
      </c>
      <c r="U13" s="19" t="s">
        <v>244</v>
      </c>
      <c r="V13" s="161">
        <v>4.8899999999999999E-2</v>
      </c>
      <c r="W13" s="155">
        <v>4.4699999999999997E-2</v>
      </c>
      <c r="X13" s="17" t="s">
        <v>129</v>
      </c>
      <c r="Y13" s="17" t="s">
        <v>125</v>
      </c>
      <c r="Z13" s="19" t="s">
        <v>1531</v>
      </c>
      <c r="AA13" s="19" t="s">
        <v>1532</v>
      </c>
      <c r="AB13" s="169" t="s">
        <v>1533</v>
      </c>
      <c r="AC13" s="201" t="s">
        <v>1533</v>
      </c>
      <c r="AD13" s="146">
        <v>63123.59</v>
      </c>
      <c r="AE13" s="160">
        <v>1</v>
      </c>
      <c r="AF13" s="162">
        <v>99.54</v>
      </c>
      <c r="AG13" s="146">
        <v>62.832999999999998</v>
      </c>
      <c r="AH13" s="19"/>
      <c r="AI13" s="19"/>
      <c r="AJ13" s="20" t="s">
        <v>36</v>
      </c>
      <c r="AK13" s="155">
        <v>0.31716149220801498</v>
      </c>
      <c r="AL13" s="155">
        <v>1.2523486067161299E-3</v>
      </c>
    </row>
    <row r="14" spans="1:38">
      <c r="A14" s="19">
        <v>337</v>
      </c>
      <c r="B14" s="19">
        <v>9962</v>
      </c>
      <c r="C14" s="19" t="s">
        <v>1539</v>
      </c>
      <c r="D14" s="19" t="s">
        <v>1540</v>
      </c>
      <c r="E14" s="17" t="s">
        <v>118</v>
      </c>
      <c r="F14" s="19" t="s">
        <v>1541</v>
      </c>
      <c r="G14" s="19" t="s">
        <v>1542</v>
      </c>
      <c r="H14" s="19" t="s">
        <v>121</v>
      </c>
      <c r="I14" s="19" t="s">
        <v>122</v>
      </c>
      <c r="J14" s="17" t="s">
        <v>30</v>
      </c>
      <c r="K14" s="17" t="s">
        <v>30</v>
      </c>
      <c r="L14" s="19" t="s">
        <v>1529</v>
      </c>
      <c r="M14" s="19" t="s">
        <v>209</v>
      </c>
      <c r="N14" s="19" t="s">
        <v>125</v>
      </c>
      <c r="O14" s="168" t="s">
        <v>1543</v>
      </c>
      <c r="P14" s="19" t="s">
        <v>422</v>
      </c>
      <c r="Q14" s="19" t="s">
        <v>127</v>
      </c>
      <c r="R14" s="19" t="s">
        <v>128</v>
      </c>
      <c r="S14" s="17" t="s">
        <v>34</v>
      </c>
      <c r="T14" s="146">
        <v>1.08</v>
      </c>
      <c r="U14" s="19" t="s">
        <v>1544</v>
      </c>
      <c r="V14" s="161">
        <v>4.4200000000000003E-2</v>
      </c>
      <c r="W14" s="155">
        <v>2.1000000000000001E-2</v>
      </c>
      <c r="X14" s="17" t="s">
        <v>129</v>
      </c>
      <c r="Y14" s="17" t="s">
        <v>125</v>
      </c>
      <c r="Z14" s="19" t="s">
        <v>1531</v>
      </c>
      <c r="AA14" s="19" t="s">
        <v>1532</v>
      </c>
      <c r="AB14" s="169" t="s">
        <v>1533</v>
      </c>
      <c r="AC14" s="201" t="s">
        <v>1533</v>
      </c>
      <c r="AD14" s="146">
        <v>8571.44</v>
      </c>
      <c r="AE14" s="160">
        <v>1</v>
      </c>
      <c r="AF14" s="162">
        <v>99.37</v>
      </c>
      <c r="AG14" s="146">
        <v>8.5169999999999995</v>
      </c>
      <c r="AH14" s="19"/>
      <c r="AI14" s="19"/>
      <c r="AJ14" s="20" t="s">
        <v>36</v>
      </c>
      <c r="AK14" s="155">
        <v>4.2993242960788103E-2</v>
      </c>
      <c r="AL14" s="155">
        <v>1.69763761499891E-4</v>
      </c>
    </row>
    <row r="15" spans="1:38">
      <c r="A15" s="19">
        <v>337</v>
      </c>
      <c r="B15" s="19">
        <v>9962</v>
      </c>
      <c r="C15" s="19" t="s">
        <v>1545</v>
      </c>
      <c r="D15" s="19" t="s">
        <v>1546</v>
      </c>
      <c r="E15" s="17" t="s">
        <v>118</v>
      </c>
      <c r="F15" s="19" t="s">
        <v>1547</v>
      </c>
      <c r="G15" s="19" t="s">
        <v>1548</v>
      </c>
      <c r="H15" s="19" t="s">
        <v>121</v>
      </c>
      <c r="I15" s="19" t="s">
        <v>122</v>
      </c>
      <c r="J15" s="17" t="s">
        <v>30</v>
      </c>
      <c r="K15" s="17" t="s">
        <v>30</v>
      </c>
      <c r="L15" s="19" t="s">
        <v>1529</v>
      </c>
      <c r="M15" s="19" t="s">
        <v>171</v>
      </c>
      <c r="N15" s="19" t="s">
        <v>125</v>
      </c>
      <c r="O15" s="168" t="s">
        <v>1549</v>
      </c>
      <c r="P15" s="19" t="s">
        <v>1550</v>
      </c>
      <c r="Q15" s="19" t="s">
        <v>127</v>
      </c>
      <c r="R15" s="19" t="s">
        <v>128</v>
      </c>
      <c r="S15" s="17" t="s">
        <v>34</v>
      </c>
      <c r="T15" s="146">
        <v>0.98</v>
      </c>
      <c r="U15" s="19" t="s">
        <v>244</v>
      </c>
      <c r="V15" s="161">
        <v>4.3099999999999999E-2</v>
      </c>
      <c r="W15" s="155">
        <v>3.1E-2</v>
      </c>
      <c r="X15" s="17" t="s">
        <v>129</v>
      </c>
      <c r="Y15" s="17" t="s">
        <v>125</v>
      </c>
      <c r="Z15" s="19" t="s">
        <v>1531</v>
      </c>
      <c r="AA15" s="19" t="s">
        <v>1532</v>
      </c>
      <c r="AB15" s="169" t="s">
        <v>1533</v>
      </c>
      <c r="AC15" s="201" t="s">
        <v>1533</v>
      </c>
      <c r="AD15" s="146">
        <v>20133.54</v>
      </c>
      <c r="AE15" s="160">
        <v>1</v>
      </c>
      <c r="AF15" s="162">
        <v>98.91</v>
      </c>
      <c r="AG15" s="146">
        <v>19.914000000000001</v>
      </c>
      <c r="AH15" s="19"/>
      <c r="AI15" s="19"/>
      <c r="AJ15" s="20" t="s">
        <v>36</v>
      </c>
      <c r="AK15" s="155">
        <v>0.100519766125757</v>
      </c>
      <c r="AL15" s="155">
        <v>3.9691385034996198E-4</v>
      </c>
    </row>
    <row r="16" spans="1:38">
      <c r="A16" s="19">
        <v>337</v>
      </c>
      <c r="B16" s="19">
        <v>9962</v>
      </c>
      <c r="C16" s="19" t="s">
        <v>1551</v>
      </c>
      <c r="D16" s="19" t="s">
        <v>1552</v>
      </c>
      <c r="E16" s="17" t="s">
        <v>118</v>
      </c>
      <c r="F16" s="19" t="s">
        <v>1553</v>
      </c>
      <c r="G16" s="19" t="s">
        <v>1554</v>
      </c>
      <c r="H16" s="19" t="s">
        <v>121</v>
      </c>
      <c r="I16" s="19" t="s">
        <v>122</v>
      </c>
      <c r="J16" s="17" t="s">
        <v>30</v>
      </c>
      <c r="K16" s="17" t="s">
        <v>30</v>
      </c>
      <c r="L16" s="19" t="s">
        <v>1529</v>
      </c>
      <c r="M16" s="19" t="s">
        <v>1007</v>
      </c>
      <c r="N16" s="19" t="s">
        <v>125</v>
      </c>
      <c r="O16" s="168" t="s">
        <v>1555</v>
      </c>
      <c r="P16" s="19" t="s">
        <v>1550</v>
      </c>
      <c r="Q16" s="19" t="s">
        <v>127</v>
      </c>
      <c r="R16" s="19" t="s">
        <v>128</v>
      </c>
      <c r="S16" s="17" t="s">
        <v>34</v>
      </c>
      <c r="T16" s="146">
        <v>0.2</v>
      </c>
      <c r="U16" s="19" t="s">
        <v>1556</v>
      </c>
      <c r="V16" s="161">
        <v>4.9200000000000001E-2</v>
      </c>
      <c r="W16" s="155">
        <v>6.25E-2</v>
      </c>
      <c r="X16" s="17" t="s">
        <v>129</v>
      </c>
      <c r="Y16" s="17" t="s">
        <v>125</v>
      </c>
      <c r="Z16" s="19" t="s">
        <v>1531</v>
      </c>
      <c r="AA16" s="19" t="s">
        <v>1532</v>
      </c>
      <c r="AB16" s="169" t="s">
        <v>1533</v>
      </c>
      <c r="AC16" s="201" t="s">
        <v>1533</v>
      </c>
      <c r="AD16" s="146">
        <v>2657.33</v>
      </c>
      <c r="AE16" s="160">
        <v>1</v>
      </c>
      <c r="AF16" s="162">
        <v>100.54</v>
      </c>
      <c r="AG16" s="146">
        <v>2.6720000000000002</v>
      </c>
      <c r="AH16" s="19"/>
      <c r="AI16" s="19"/>
      <c r="AJ16" s="20" t="s">
        <v>36</v>
      </c>
      <c r="AK16" s="155">
        <v>1.34857621953636E-2</v>
      </c>
      <c r="AL16" s="155">
        <v>5.3250082090015497E-5</v>
      </c>
    </row>
    <row r="17" spans="1:38">
      <c r="A17" s="19">
        <v>337</v>
      </c>
      <c r="B17" s="19">
        <v>9962</v>
      </c>
      <c r="C17" s="19" t="s">
        <v>1557</v>
      </c>
      <c r="D17" s="19" t="s">
        <v>1558</v>
      </c>
      <c r="E17" s="17" t="s">
        <v>118</v>
      </c>
      <c r="F17" s="19" t="s">
        <v>1559</v>
      </c>
      <c r="G17" s="19" t="s">
        <v>1560</v>
      </c>
      <c r="H17" s="19" t="s">
        <v>121</v>
      </c>
      <c r="I17" s="19" t="s">
        <v>132</v>
      </c>
      <c r="J17" s="17" t="s">
        <v>30</v>
      </c>
      <c r="K17" s="17" t="s">
        <v>30</v>
      </c>
      <c r="L17" s="19" t="s">
        <v>1529</v>
      </c>
      <c r="M17" s="19" t="s">
        <v>945</v>
      </c>
      <c r="N17" s="19" t="s">
        <v>125</v>
      </c>
      <c r="O17" s="168" t="s">
        <v>1561</v>
      </c>
      <c r="P17" s="19" t="s">
        <v>357</v>
      </c>
      <c r="Q17" s="19" t="s">
        <v>146</v>
      </c>
      <c r="R17" s="19" t="s">
        <v>128</v>
      </c>
      <c r="S17" s="17" t="s">
        <v>34</v>
      </c>
      <c r="T17" s="146">
        <v>4.42</v>
      </c>
      <c r="U17" s="19" t="s">
        <v>1562</v>
      </c>
      <c r="V17" s="161">
        <v>2.18E-2</v>
      </c>
      <c r="W17" s="155">
        <v>2.3217999999999999E-2</v>
      </c>
      <c r="X17" s="17" t="s">
        <v>129</v>
      </c>
      <c r="Y17" s="17" t="s">
        <v>125</v>
      </c>
      <c r="Z17" s="19" t="s">
        <v>1531</v>
      </c>
      <c r="AA17" s="19" t="s">
        <v>1532</v>
      </c>
      <c r="AB17" s="169" t="s">
        <v>1533</v>
      </c>
      <c r="AC17" s="201" t="s">
        <v>1533</v>
      </c>
      <c r="AD17" s="146">
        <v>24443.1</v>
      </c>
      <c r="AE17" s="160">
        <v>1</v>
      </c>
      <c r="AF17" s="162">
        <v>120.21</v>
      </c>
      <c r="AG17" s="146">
        <v>29.382999999999999</v>
      </c>
      <c r="AH17" s="19"/>
      <c r="AI17" s="19"/>
      <c r="AJ17" s="20" t="s">
        <v>36</v>
      </c>
      <c r="AK17" s="155">
        <v>0.14831600107359599</v>
      </c>
      <c r="AL17" s="155">
        <v>5.8564277776951301E-4</v>
      </c>
    </row>
    <row r="18" spans="1:38">
      <c r="A18" s="19">
        <v>337</v>
      </c>
      <c r="B18" s="19">
        <v>9962</v>
      </c>
      <c r="C18" s="19" t="s">
        <v>1557</v>
      </c>
      <c r="D18" s="19" t="s">
        <v>1558</v>
      </c>
      <c r="E18" s="17" t="s">
        <v>118</v>
      </c>
      <c r="F18" s="19" t="s">
        <v>1563</v>
      </c>
      <c r="G18" s="19" t="s">
        <v>1564</v>
      </c>
      <c r="H18" s="19" t="s">
        <v>121</v>
      </c>
      <c r="I18" s="19" t="s">
        <v>122</v>
      </c>
      <c r="J18" s="17" t="s">
        <v>30</v>
      </c>
      <c r="K18" s="17" t="s">
        <v>30</v>
      </c>
      <c r="L18" s="19" t="s">
        <v>1529</v>
      </c>
      <c r="M18" s="19" t="s">
        <v>945</v>
      </c>
      <c r="N18" s="19" t="s">
        <v>125</v>
      </c>
      <c r="O18" s="168" t="s">
        <v>1561</v>
      </c>
      <c r="P18" s="19" t="s">
        <v>357</v>
      </c>
      <c r="Q18" s="19" t="s">
        <v>146</v>
      </c>
      <c r="R18" s="19" t="s">
        <v>128</v>
      </c>
      <c r="S18" s="17" t="s">
        <v>34</v>
      </c>
      <c r="T18" s="146">
        <v>0.2</v>
      </c>
      <c r="U18" s="19" t="s">
        <v>1556</v>
      </c>
      <c r="V18" s="161">
        <v>4.4499999999999998E-2</v>
      </c>
      <c r="W18" s="155">
        <v>2.5000000000000001E-2</v>
      </c>
      <c r="X18" s="17" t="s">
        <v>129</v>
      </c>
      <c r="Y18" s="17" t="s">
        <v>125</v>
      </c>
      <c r="Z18" s="19" t="s">
        <v>1531</v>
      </c>
      <c r="AA18" s="19" t="s">
        <v>1532</v>
      </c>
      <c r="AB18" s="169" t="s">
        <v>1533</v>
      </c>
      <c r="AC18" s="201" t="s">
        <v>1533</v>
      </c>
      <c r="AD18" s="146">
        <v>15973.12</v>
      </c>
      <c r="AE18" s="160">
        <v>1</v>
      </c>
      <c r="AF18" s="162">
        <v>100.36</v>
      </c>
      <c r="AG18" s="146">
        <v>16.030999999999999</v>
      </c>
      <c r="AH18" s="19"/>
      <c r="AI18" s="19"/>
      <c r="AJ18" s="20" t="s">
        <v>36</v>
      </c>
      <c r="AK18" s="155">
        <v>8.0917327888694005E-2</v>
      </c>
      <c r="AL18" s="155">
        <v>3.1951136985487098E-4</v>
      </c>
    </row>
    <row r="19" spans="1:38">
      <c r="A19" s="19">
        <v>337</v>
      </c>
      <c r="B19" s="19">
        <v>9962</v>
      </c>
      <c r="C19" s="19" t="s">
        <v>1557</v>
      </c>
      <c r="D19" s="19" t="s">
        <v>1558</v>
      </c>
      <c r="E19" s="17" t="s">
        <v>118</v>
      </c>
      <c r="F19" s="19" t="s">
        <v>1565</v>
      </c>
      <c r="G19" s="19" t="s">
        <v>1566</v>
      </c>
      <c r="H19" s="19" t="s">
        <v>121</v>
      </c>
      <c r="I19" s="19" t="s">
        <v>122</v>
      </c>
      <c r="J19" s="17" t="s">
        <v>30</v>
      </c>
      <c r="K19" s="17" t="s">
        <v>30</v>
      </c>
      <c r="L19" s="19" t="s">
        <v>1529</v>
      </c>
      <c r="M19" s="19" t="s">
        <v>945</v>
      </c>
      <c r="N19" s="19" t="s">
        <v>125</v>
      </c>
      <c r="O19" s="168" t="s">
        <v>1561</v>
      </c>
      <c r="P19" s="19" t="s">
        <v>357</v>
      </c>
      <c r="Q19" s="19" t="s">
        <v>146</v>
      </c>
      <c r="R19" s="19" t="s">
        <v>128</v>
      </c>
      <c r="S19" s="17" t="s">
        <v>34</v>
      </c>
      <c r="T19" s="146">
        <v>4.18</v>
      </c>
      <c r="U19" s="19" t="s">
        <v>1562</v>
      </c>
      <c r="V19" s="161">
        <v>4.3099999999999999E-2</v>
      </c>
      <c r="W19" s="155">
        <v>3.7400000000000003E-2</v>
      </c>
      <c r="X19" s="17" t="s">
        <v>129</v>
      </c>
      <c r="Y19" s="17" t="s">
        <v>125</v>
      </c>
      <c r="Z19" s="19" t="s">
        <v>1531</v>
      </c>
      <c r="AA19" s="19" t="s">
        <v>1532</v>
      </c>
      <c r="AB19" s="169" t="s">
        <v>1533</v>
      </c>
      <c r="AC19" s="201" t="s">
        <v>1533</v>
      </c>
      <c r="AD19" s="146">
        <v>51459.19</v>
      </c>
      <c r="AE19" s="160">
        <v>1</v>
      </c>
      <c r="AF19" s="162">
        <v>98.91</v>
      </c>
      <c r="AG19" s="146">
        <v>50.898000000000003</v>
      </c>
      <c r="AH19" s="19"/>
      <c r="AI19" s="19"/>
      <c r="AJ19" s="20" t="s">
        <v>36</v>
      </c>
      <c r="AK19" s="155">
        <v>0.25691784672843898</v>
      </c>
      <c r="AL19" s="155">
        <v>1.0144696480991601E-3</v>
      </c>
    </row>
    <row r="20" spans="1:38">
      <c r="A20" s="3">
        <v>337</v>
      </c>
      <c r="B20" s="3">
        <v>9963</v>
      </c>
      <c r="C20" s="3" t="s">
        <v>1567</v>
      </c>
      <c r="D20" s="3" t="s">
        <v>1568</v>
      </c>
      <c r="E20" s="17" t="s">
        <v>118</v>
      </c>
      <c r="F20" s="3" t="s">
        <v>1569</v>
      </c>
      <c r="G20" s="3" t="s">
        <v>1570</v>
      </c>
      <c r="H20" s="19" t="s">
        <v>121</v>
      </c>
      <c r="I20" s="19" t="s">
        <v>132</v>
      </c>
      <c r="J20" s="17" t="s">
        <v>30</v>
      </c>
      <c r="K20" s="17" t="s">
        <v>30</v>
      </c>
      <c r="L20" s="19" t="s">
        <v>1529</v>
      </c>
      <c r="M20" s="19" t="s">
        <v>209</v>
      </c>
      <c r="N20" s="19" t="s">
        <v>125</v>
      </c>
      <c r="O20" s="169" t="s">
        <v>1571</v>
      </c>
      <c r="P20" s="37" t="s">
        <v>178</v>
      </c>
      <c r="Q20" s="37" t="s">
        <v>178</v>
      </c>
      <c r="R20" s="37" t="s">
        <v>178</v>
      </c>
      <c r="S20" s="3" t="s">
        <v>34</v>
      </c>
      <c r="T20" s="143">
        <v>0</v>
      </c>
      <c r="U20" s="3" t="s">
        <v>1572</v>
      </c>
      <c r="V20" s="155">
        <v>0</v>
      </c>
      <c r="W20" s="155">
        <v>0</v>
      </c>
      <c r="X20" s="38" t="s">
        <v>1589</v>
      </c>
      <c r="Y20" s="17" t="s">
        <v>1590</v>
      </c>
      <c r="Z20" s="3" t="s">
        <v>1573</v>
      </c>
      <c r="AA20" s="20" t="s">
        <v>2597</v>
      </c>
      <c r="AB20" s="169" t="s">
        <v>1533</v>
      </c>
      <c r="AC20" s="201" t="s">
        <v>1533</v>
      </c>
      <c r="AD20" s="143">
        <v>127573.24</v>
      </c>
      <c r="AE20" s="153">
        <v>1</v>
      </c>
      <c r="AF20" s="163">
        <v>0</v>
      </c>
      <c r="AG20" s="143">
        <v>0</v>
      </c>
      <c r="AJ20" s="20" t="s">
        <v>36</v>
      </c>
      <c r="AK20" s="155">
        <v>1.13269563282653E-10</v>
      </c>
      <c r="AL20" s="155">
        <v>1.0947033511837099E-12</v>
      </c>
    </row>
    <row r="21" spans="1:38">
      <c r="A21" s="3">
        <v>337</v>
      </c>
      <c r="B21" s="3">
        <v>9963</v>
      </c>
      <c r="C21" s="3" t="s">
        <v>1574</v>
      </c>
      <c r="D21" s="3" t="s">
        <v>1575</v>
      </c>
      <c r="E21" s="5" t="s">
        <v>118</v>
      </c>
      <c r="F21" s="3" t="s">
        <v>1576</v>
      </c>
      <c r="G21" s="3" t="s">
        <v>1577</v>
      </c>
      <c r="H21" s="3" t="s">
        <v>33</v>
      </c>
      <c r="I21" s="3" t="s">
        <v>730</v>
      </c>
      <c r="J21" s="3" t="s">
        <v>30</v>
      </c>
      <c r="K21" s="3" t="s">
        <v>30</v>
      </c>
      <c r="L21" s="35" t="s">
        <v>1529</v>
      </c>
      <c r="M21" s="3" t="s">
        <v>1578</v>
      </c>
      <c r="N21" s="3" t="s">
        <v>125</v>
      </c>
      <c r="O21" s="169" t="s">
        <v>1579</v>
      </c>
      <c r="P21" s="3" t="s">
        <v>178</v>
      </c>
      <c r="Q21" s="3" t="s">
        <v>178</v>
      </c>
      <c r="R21" s="3" t="s">
        <v>178</v>
      </c>
      <c r="S21" s="3" t="s">
        <v>34</v>
      </c>
      <c r="T21" s="143">
        <v>0</v>
      </c>
      <c r="U21" s="3" t="s">
        <v>1580</v>
      </c>
      <c r="V21" s="155">
        <v>0</v>
      </c>
      <c r="W21" s="155">
        <v>0</v>
      </c>
      <c r="X21" s="38" t="s">
        <v>1589</v>
      </c>
      <c r="Y21" s="5" t="s">
        <v>1590</v>
      </c>
      <c r="Z21" s="37" t="s">
        <v>1573</v>
      </c>
      <c r="AA21" s="20" t="s">
        <v>2597</v>
      </c>
      <c r="AB21" s="169" t="s">
        <v>1533</v>
      </c>
      <c r="AC21" s="201" t="s">
        <v>1533</v>
      </c>
      <c r="AD21" s="143">
        <v>187658.1</v>
      </c>
      <c r="AE21" s="153">
        <v>1</v>
      </c>
      <c r="AF21" s="163">
        <v>0</v>
      </c>
      <c r="AG21" s="143">
        <v>0</v>
      </c>
      <c r="AJ21" s="3" t="s">
        <v>36</v>
      </c>
      <c r="AK21" s="155">
        <v>1.6661763104435099E-10</v>
      </c>
      <c r="AL21" s="155">
        <v>1.6102903002758899E-12</v>
      </c>
    </row>
    <row r="22" spans="1:38">
      <c r="A22" s="3">
        <v>337</v>
      </c>
      <c r="B22" s="3">
        <v>9963</v>
      </c>
      <c r="C22" s="3" t="s">
        <v>1525</v>
      </c>
      <c r="D22" s="3" t="s">
        <v>1526</v>
      </c>
      <c r="E22" s="5" t="s">
        <v>439</v>
      </c>
      <c r="F22" s="3" t="s">
        <v>1527</v>
      </c>
      <c r="G22" s="3" t="s">
        <v>1528</v>
      </c>
      <c r="H22" s="3" t="s">
        <v>121</v>
      </c>
      <c r="I22" s="3" t="s">
        <v>122</v>
      </c>
      <c r="J22" s="3" t="s">
        <v>30</v>
      </c>
      <c r="K22" s="3" t="s">
        <v>30</v>
      </c>
      <c r="L22" s="3" t="s">
        <v>1529</v>
      </c>
      <c r="M22" s="3" t="s">
        <v>209</v>
      </c>
      <c r="N22" s="3" t="s">
        <v>125</v>
      </c>
      <c r="O22" s="169" t="s">
        <v>1530</v>
      </c>
      <c r="P22" s="3" t="s">
        <v>153</v>
      </c>
      <c r="Q22" s="3" t="s">
        <v>146</v>
      </c>
      <c r="R22" s="3" t="s">
        <v>128</v>
      </c>
      <c r="S22" s="3" t="s">
        <v>34</v>
      </c>
      <c r="T22" s="143">
        <v>1.95</v>
      </c>
      <c r="U22" s="3" t="s">
        <v>581</v>
      </c>
      <c r="V22" s="155">
        <v>4.7199999999999999E-2</v>
      </c>
      <c r="W22" s="155">
        <v>2.86E-2</v>
      </c>
      <c r="X22" s="5" t="s">
        <v>129</v>
      </c>
      <c r="Y22" s="5" t="s">
        <v>125</v>
      </c>
      <c r="Z22" s="3" t="s">
        <v>1531</v>
      </c>
      <c r="AA22" s="3" t="s">
        <v>1532</v>
      </c>
      <c r="AB22" s="169" t="s">
        <v>1533</v>
      </c>
      <c r="AC22" s="201" t="s">
        <v>1533</v>
      </c>
      <c r="AD22" s="143">
        <v>453428.76</v>
      </c>
      <c r="AE22" s="153">
        <v>1</v>
      </c>
      <c r="AF22" s="163">
        <v>96.56</v>
      </c>
      <c r="AG22" s="143">
        <v>437.83100000000002</v>
      </c>
      <c r="AJ22" s="3" t="s">
        <v>36</v>
      </c>
      <c r="AK22" s="155">
        <v>3.88740653719346E-2</v>
      </c>
      <c r="AL22" s="155">
        <v>3.7570171900988298E-4</v>
      </c>
    </row>
    <row r="23" spans="1:38">
      <c r="A23" s="3">
        <v>337</v>
      </c>
      <c r="B23" s="3">
        <v>9963</v>
      </c>
      <c r="C23" s="3" t="s">
        <v>1534</v>
      </c>
      <c r="D23" s="3" t="s">
        <v>1535</v>
      </c>
      <c r="E23" s="5" t="s">
        <v>118</v>
      </c>
      <c r="F23" s="3" t="s">
        <v>1536</v>
      </c>
      <c r="G23" s="3" t="s">
        <v>1537</v>
      </c>
      <c r="H23" s="3" t="s">
        <v>121</v>
      </c>
      <c r="I23" s="3" t="s">
        <v>122</v>
      </c>
      <c r="J23" s="3" t="s">
        <v>30</v>
      </c>
      <c r="K23" s="3" t="s">
        <v>30</v>
      </c>
      <c r="L23" s="3" t="s">
        <v>1529</v>
      </c>
      <c r="M23" s="3" t="s">
        <v>209</v>
      </c>
      <c r="N23" s="3" t="s">
        <v>125</v>
      </c>
      <c r="O23" s="169" t="s">
        <v>1538</v>
      </c>
      <c r="P23" s="3" t="s">
        <v>198</v>
      </c>
      <c r="Q23" s="3" t="s">
        <v>732</v>
      </c>
      <c r="R23" s="3" t="s">
        <v>128</v>
      </c>
      <c r="S23" s="3" t="s">
        <v>34</v>
      </c>
      <c r="T23" s="143">
        <v>1.34</v>
      </c>
      <c r="U23" s="3" t="s">
        <v>244</v>
      </c>
      <c r="V23" s="155">
        <v>4.8899999999999999E-2</v>
      </c>
      <c r="W23" s="155">
        <v>4.4699999999999997E-2</v>
      </c>
      <c r="X23" s="5" t="s">
        <v>129</v>
      </c>
      <c r="Y23" s="5" t="s">
        <v>125</v>
      </c>
      <c r="Z23" s="3" t="s">
        <v>1531</v>
      </c>
      <c r="AA23" s="3" t="s">
        <v>1532</v>
      </c>
      <c r="AB23" s="169" t="s">
        <v>1533</v>
      </c>
      <c r="AC23" s="201" t="s">
        <v>1533</v>
      </c>
      <c r="AD23" s="143">
        <v>2505425.7200000002</v>
      </c>
      <c r="AE23" s="153">
        <v>1</v>
      </c>
      <c r="AF23" s="163">
        <v>99.54</v>
      </c>
      <c r="AG23" s="143">
        <v>2493.9009999999998</v>
      </c>
      <c r="AJ23" s="3" t="s">
        <v>36</v>
      </c>
      <c r="AK23" s="155">
        <v>0.221428138179038</v>
      </c>
      <c r="AL23" s="155">
        <v>2.1400111193691299E-3</v>
      </c>
    </row>
    <row r="24" spans="1:38">
      <c r="A24" s="3">
        <v>337</v>
      </c>
      <c r="B24" s="3">
        <v>9963</v>
      </c>
      <c r="C24" s="3" t="s">
        <v>459</v>
      </c>
      <c r="D24" s="3" t="s">
        <v>460</v>
      </c>
      <c r="E24" s="5" t="s">
        <v>118</v>
      </c>
      <c r="F24" s="3" t="s">
        <v>1581</v>
      </c>
      <c r="G24" s="3" t="s">
        <v>1582</v>
      </c>
      <c r="H24" s="3" t="s">
        <v>33</v>
      </c>
      <c r="I24" s="3" t="s">
        <v>132</v>
      </c>
      <c r="J24" s="3" t="s">
        <v>30</v>
      </c>
      <c r="K24" s="3" t="s">
        <v>30</v>
      </c>
      <c r="L24" s="3" t="s">
        <v>1529</v>
      </c>
      <c r="M24" s="3" t="s">
        <v>316</v>
      </c>
      <c r="N24" s="3" t="s">
        <v>125</v>
      </c>
      <c r="O24" s="169" t="s">
        <v>1579</v>
      </c>
      <c r="P24" s="3" t="s">
        <v>630</v>
      </c>
      <c r="Q24" s="3" t="s">
        <v>146</v>
      </c>
      <c r="R24" s="3" t="s">
        <v>128</v>
      </c>
      <c r="S24" s="3" t="s">
        <v>34</v>
      </c>
      <c r="T24" s="143">
        <v>0.55000000000000004</v>
      </c>
      <c r="U24" s="3" t="s">
        <v>1583</v>
      </c>
      <c r="V24" s="155">
        <v>2.3029999999999998E-2</v>
      </c>
      <c r="W24" s="155">
        <v>6.6000000000000003E-2</v>
      </c>
      <c r="X24" s="5" t="s">
        <v>129</v>
      </c>
      <c r="Y24" s="5" t="s">
        <v>125</v>
      </c>
      <c r="Z24" s="3" t="s">
        <v>1531</v>
      </c>
      <c r="AA24" s="3" t="s">
        <v>1532</v>
      </c>
      <c r="AB24" s="169" t="s">
        <v>1533</v>
      </c>
      <c r="AC24" s="201" t="s">
        <v>1533</v>
      </c>
      <c r="AD24" s="143">
        <v>350000</v>
      </c>
      <c r="AE24" s="153">
        <v>1</v>
      </c>
      <c r="AF24" s="163">
        <v>156.65</v>
      </c>
      <c r="AG24" s="143">
        <v>548.27499999999998</v>
      </c>
      <c r="AJ24" s="3" t="s">
        <v>36</v>
      </c>
      <c r="AK24" s="155">
        <v>4.8680169766634897E-2</v>
      </c>
      <c r="AL24" s="155">
        <v>4.7047365095552099E-4</v>
      </c>
    </row>
    <row r="25" spans="1:38">
      <c r="A25" s="3">
        <v>337</v>
      </c>
      <c r="B25" s="3">
        <v>9963</v>
      </c>
      <c r="C25" s="3" t="s">
        <v>1539</v>
      </c>
      <c r="D25" s="3" t="s">
        <v>1540</v>
      </c>
      <c r="E25" s="5" t="s">
        <v>118</v>
      </c>
      <c r="F25" s="3" t="s">
        <v>1541</v>
      </c>
      <c r="G25" s="3" t="s">
        <v>1542</v>
      </c>
      <c r="H25" s="3" t="s">
        <v>121</v>
      </c>
      <c r="I25" s="3" t="s">
        <v>122</v>
      </c>
      <c r="J25" s="3" t="s">
        <v>30</v>
      </c>
      <c r="K25" s="3" t="s">
        <v>30</v>
      </c>
      <c r="L25" s="3" t="s">
        <v>1529</v>
      </c>
      <c r="M25" s="3" t="s">
        <v>209</v>
      </c>
      <c r="N25" s="3" t="s">
        <v>125</v>
      </c>
      <c r="O25" s="169" t="s">
        <v>1543</v>
      </c>
      <c r="P25" s="3" t="s">
        <v>422</v>
      </c>
      <c r="Q25" s="3" t="s">
        <v>127</v>
      </c>
      <c r="R25" s="3" t="s">
        <v>128</v>
      </c>
      <c r="S25" s="3" t="s">
        <v>34</v>
      </c>
      <c r="T25" s="143">
        <v>1.08</v>
      </c>
      <c r="U25" s="3" t="s">
        <v>1544</v>
      </c>
      <c r="V25" s="155">
        <v>4.4200000000000003E-2</v>
      </c>
      <c r="W25" s="155">
        <v>2.1000000000000001E-2</v>
      </c>
      <c r="X25" s="5" t="s">
        <v>129</v>
      </c>
      <c r="Y25" s="5" t="s">
        <v>125</v>
      </c>
      <c r="Z25" s="3" t="s">
        <v>1531</v>
      </c>
      <c r="AA25" s="3" t="s">
        <v>1532</v>
      </c>
      <c r="AB25" s="169" t="s">
        <v>1533</v>
      </c>
      <c r="AC25" s="201" t="s">
        <v>1533</v>
      </c>
      <c r="AD25" s="143">
        <v>934715.53</v>
      </c>
      <c r="AE25" s="153">
        <v>1</v>
      </c>
      <c r="AF25" s="163">
        <v>99.37</v>
      </c>
      <c r="AG25" s="143">
        <v>928.827</v>
      </c>
      <c r="AJ25" s="3" t="s">
        <v>36</v>
      </c>
      <c r="AK25" s="155">
        <v>8.2468555718574602E-2</v>
      </c>
      <c r="AL25" s="155">
        <v>7.9702438762938401E-4</v>
      </c>
    </row>
    <row r="26" spans="1:38">
      <c r="A26" s="3">
        <v>337</v>
      </c>
      <c r="B26" s="3">
        <v>9963</v>
      </c>
      <c r="C26" s="3" t="s">
        <v>1584</v>
      </c>
      <c r="D26" s="3" t="s">
        <v>1585</v>
      </c>
      <c r="E26" s="5" t="s">
        <v>118</v>
      </c>
      <c r="F26" s="3" t="s">
        <v>1586</v>
      </c>
      <c r="G26" s="3" t="s">
        <v>1587</v>
      </c>
      <c r="H26" s="3" t="s">
        <v>121</v>
      </c>
      <c r="I26" s="3" t="s">
        <v>132</v>
      </c>
      <c r="J26" s="3" t="s">
        <v>30</v>
      </c>
      <c r="K26" s="3" t="s">
        <v>30</v>
      </c>
      <c r="L26" s="5" t="s">
        <v>1529</v>
      </c>
      <c r="M26" s="3" t="s">
        <v>184</v>
      </c>
      <c r="N26" s="3" t="s">
        <v>125</v>
      </c>
      <c r="O26" s="169" t="s">
        <v>1579</v>
      </c>
      <c r="P26" s="3" t="s">
        <v>178</v>
      </c>
      <c r="Q26" s="3" t="s">
        <v>178</v>
      </c>
      <c r="R26" s="3" t="s">
        <v>178</v>
      </c>
      <c r="S26" s="3" t="s">
        <v>34</v>
      </c>
      <c r="T26" s="143">
        <v>0</v>
      </c>
      <c r="U26" s="3" t="s">
        <v>1588</v>
      </c>
      <c r="V26" s="155">
        <v>0</v>
      </c>
      <c r="W26" s="155">
        <v>0</v>
      </c>
      <c r="X26" s="5" t="s">
        <v>1589</v>
      </c>
      <c r="Y26" s="5" t="s">
        <v>1590</v>
      </c>
      <c r="Z26" s="37" t="s">
        <v>1573</v>
      </c>
      <c r="AA26" s="20" t="s">
        <v>2597</v>
      </c>
      <c r="AB26" s="223">
        <v>46022</v>
      </c>
      <c r="AC26" s="201" t="s">
        <v>1533</v>
      </c>
      <c r="AD26" s="143">
        <v>94232.8</v>
      </c>
      <c r="AE26" s="153">
        <v>1</v>
      </c>
      <c r="AF26" s="163">
        <v>0</v>
      </c>
      <c r="AG26" s="143">
        <v>0</v>
      </c>
      <c r="AJ26" s="3" t="s">
        <v>36</v>
      </c>
      <c r="AK26" s="155">
        <v>8.3667296549821804E-9</v>
      </c>
      <c r="AL26" s="155">
        <v>8.0860972059206497E-11</v>
      </c>
    </row>
    <row r="27" spans="1:38">
      <c r="A27" s="3">
        <v>337</v>
      </c>
      <c r="B27" s="3">
        <v>9963</v>
      </c>
      <c r="C27" s="3" t="s">
        <v>1545</v>
      </c>
      <c r="D27" s="3" t="s">
        <v>1546</v>
      </c>
      <c r="E27" s="5" t="s">
        <v>118</v>
      </c>
      <c r="F27" s="3" t="s">
        <v>1547</v>
      </c>
      <c r="G27" s="3" t="s">
        <v>1548</v>
      </c>
      <c r="H27" s="3" t="s">
        <v>121</v>
      </c>
      <c r="I27" s="3" t="s">
        <v>122</v>
      </c>
      <c r="J27" s="3" t="s">
        <v>30</v>
      </c>
      <c r="K27" s="3" t="s">
        <v>30</v>
      </c>
      <c r="L27" s="5" t="s">
        <v>1529</v>
      </c>
      <c r="M27" s="3" t="s">
        <v>171</v>
      </c>
      <c r="N27" s="3" t="s">
        <v>125</v>
      </c>
      <c r="O27" s="169" t="s">
        <v>1549</v>
      </c>
      <c r="P27" s="3" t="s">
        <v>1550</v>
      </c>
      <c r="Q27" s="3" t="s">
        <v>127</v>
      </c>
      <c r="R27" s="3" t="s">
        <v>128</v>
      </c>
      <c r="S27" s="3" t="s">
        <v>34</v>
      </c>
      <c r="T27" s="143">
        <v>0.98</v>
      </c>
      <c r="U27" s="3" t="s">
        <v>244</v>
      </c>
      <c r="V27" s="155">
        <v>4.3099999999999999E-2</v>
      </c>
      <c r="W27" s="155">
        <v>3.1E-2</v>
      </c>
      <c r="X27" s="5" t="s">
        <v>129</v>
      </c>
      <c r="Y27" s="5" t="s">
        <v>125</v>
      </c>
      <c r="Z27" s="3" t="s">
        <v>1531</v>
      </c>
      <c r="AA27" s="3" t="s">
        <v>1532</v>
      </c>
      <c r="AB27" s="169" t="s">
        <v>1533</v>
      </c>
      <c r="AC27" s="201" t="s">
        <v>1533</v>
      </c>
      <c r="AD27" s="143">
        <v>693112.61</v>
      </c>
      <c r="AE27" s="153">
        <v>1</v>
      </c>
      <c r="AF27" s="163">
        <v>98.91</v>
      </c>
      <c r="AG27" s="143">
        <v>685.55799999999999</v>
      </c>
      <c r="AJ27" s="3" t="s">
        <v>36</v>
      </c>
      <c r="AK27" s="155">
        <v>6.0869206823954199E-2</v>
      </c>
      <c r="AL27" s="155">
        <v>5.8827563877684595E-4</v>
      </c>
    </row>
    <row r="28" spans="1:38">
      <c r="A28" s="3">
        <v>337</v>
      </c>
      <c r="B28" s="3">
        <v>9963</v>
      </c>
      <c r="C28" s="3" t="s">
        <v>1551</v>
      </c>
      <c r="D28" s="3" t="s">
        <v>1552</v>
      </c>
      <c r="E28" s="5" t="s">
        <v>118</v>
      </c>
      <c r="F28" s="3" t="s">
        <v>1553</v>
      </c>
      <c r="G28" s="3" t="s">
        <v>1554</v>
      </c>
      <c r="H28" s="3" t="s">
        <v>121</v>
      </c>
      <c r="I28" s="3" t="s">
        <v>122</v>
      </c>
      <c r="J28" s="3" t="s">
        <v>30</v>
      </c>
      <c r="K28" s="3" t="s">
        <v>30</v>
      </c>
      <c r="L28" s="5" t="s">
        <v>1529</v>
      </c>
      <c r="M28" s="3" t="s">
        <v>1007</v>
      </c>
      <c r="N28" s="3" t="s">
        <v>125</v>
      </c>
      <c r="O28" s="169" t="s">
        <v>1555</v>
      </c>
      <c r="P28" s="3" t="s">
        <v>1550</v>
      </c>
      <c r="Q28" s="3" t="s">
        <v>127</v>
      </c>
      <c r="R28" s="3" t="s">
        <v>128</v>
      </c>
      <c r="S28" s="3" t="s">
        <v>34</v>
      </c>
      <c r="T28" s="143">
        <v>0.2</v>
      </c>
      <c r="U28" s="3" t="s">
        <v>1556</v>
      </c>
      <c r="V28" s="155">
        <v>4.9200000000000001E-2</v>
      </c>
      <c r="W28" s="155">
        <v>6.25E-2</v>
      </c>
      <c r="X28" s="5" t="s">
        <v>129</v>
      </c>
      <c r="Y28" s="5" t="s">
        <v>125</v>
      </c>
      <c r="Z28" s="3" t="s">
        <v>1531</v>
      </c>
      <c r="AA28" s="3" t="s">
        <v>1532</v>
      </c>
      <c r="AB28" s="169" t="s">
        <v>1533</v>
      </c>
      <c r="AC28" s="201" t="s">
        <v>1533</v>
      </c>
      <c r="AD28" s="143">
        <v>109442.82</v>
      </c>
      <c r="AE28" s="153">
        <v>1</v>
      </c>
      <c r="AF28" s="163">
        <v>100.54</v>
      </c>
      <c r="AG28" s="143">
        <v>110.03400000000001</v>
      </c>
      <c r="AJ28" s="3" t="s">
        <v>36</v>
      </c>
      <c r="AK28" s="155">
        <v>9.7696677956297506E-3</v>
      </c>
      <c r="AL28" s="155">
        <v>9.4419787327504996E-5</v>
      </c>
    </row>
    <row r="29" spans="1:38">
      <c r="A29" s="3">
        <v>337</v>
      </c>
      <c r="B29" s="3">
        <v>9963</v>
      </c>
      <c r="C29" s="3" t="s">
        <v>1557</v>
      </c>
      <c r="D29" s="3" t="s">
        <v>1558</v>
      </c>
      <c r="E29" s="5" t="s">
        <v>118</v>
      </c>
      <c r="F29" s="3" t="s">
        <v>1559</v>
      </c>
      <c r="G29" s="3" t="s">
        <v>1560</v>
      </c>
      <c r="H29" s="3" t="s">
        <v>121</v>
      </c>
      <c r="I29" s="3" t="s">
        <v>132</v>
      </c>
      <c r="J29" s="3" t="s">
        <v>30</v>
      </c>
      <c r="K29" s="3" t="s">
        <v>30</v>
      </c>
      <c r="L29" s="5" t="s">
        <v>1529</v>
      </c>
      <c r="M29" s="3" t="s">
        <v>945</v>
      </c>
      <c r="N29" s="3" t="s">
        <v>125</v>
      </c>
      <c r="O29" s="169" t="s">
        <v>1561</v>
      </c>
      <c r="P29" s="3" t="s">
        <v>357</v>
      </c>
      <c r="Q29" s="3" t="s">
        <v>146</v>
      </c>
      <c r="R29" s="3" t="s">
        <v>128</v>
      </c>
      <c r="S29" s="3" t="s">
        <v>34</v>
      </c>
      <c r="T29" s="143">
        <v>4.42</v>
      </c>
      <c r="U29" s="3" t="s">
        <v>1562</v>
      </c>
      <c r="V29" s="155">
        <v>2.18E-2</v>
      </c>
      <c r="W29" s="155">
        <v>2.3217999999999999E-2</v>
      </c>
      <c r="X29" s="5" t="s">
        <v>129</v>
      </c>
      <c r="Y29" s="5" t="s">
        <v>125</v>
      </c>
      <c r="Z29" s="3" t="s">
        <v>1531</v>
      </c>
      <c r="AA29" s="3" t="s">
        <v>1532</v>
      </c>
      <c r="AB29" s="169" t="s">
        <v>1533</v>
      </c>
      <c r="AC29" s="201" t="s">
        <v>1533</v>
      </c>
      <c r="AD29" s="143">
        <v>1532197.14</v>
      </c>
      <c r="AE29" s="153">
        <v>1</v>
      </c>
      <c r="AF29" s="163">
        <v>120.21</v>
      </c>
      <c r="AG29" s="143">
        <v>1841.854</v>
      </c>
      <c r="AJ29" s="3" t="s">
        <v>36</v>
      </c>
      <c r="AK29" s="155">
        <v>0.163534310820034</v>
      </c>
      <c r="AL29" s="155">
        <v>1.5804912890983801E-3</v>
      </c>
    </row>
    <row r="30" spans="1:38">
      <c r="A30" s="3">
        <v>337</v>
      </c>
      <c r="B30" s="3">
        <v>9963</v>
      </c>
      <c r="C30" s="3" t="s">
        <v>1557</v>
      </c>
      <c r="D30" s="3" t="s">
        <v>1558</v>
      </c>
      <c r="E30" s="5" t="s">
        <v>118</v>
      </c>
      <c r="F30" s="3" t="s">
        <v>1563</v>
      </c>
      <c r="G30" s="3" t="s">
        <v>1564</v>
      </c>
      <c r="H30" s="3" t="s">
        <v>121</v>
      </c>
      <c r="I30" s="3" t="s">
        <v>122</v>
      </c>
      <c r="J30" s="3" t="s">
        <v>30</v>
      </c>
      <c r="K30" s="3" t="s">
        <v>30</v>
      </c>
      <c r="L30" s="5" t="s">
        <v>1529</v>
      </c>
      <c r="M30" s="3" t="s">
        <v>945</v>
      </c>
      <c r="N30" s="3" t="s">
        <v>125</v>
      </c>
      <c r="O30" s="169" t="s">
        <v>1561</v>
      </c>
      <c r="P30" s="3" t="s">
        <v>357</v>
      </c>
      <c r="Q30" s="3" t="s">
        <v>146</v>
      </c>
      <c r="R30" s="3" t="s">
        <v>128</v>
      </c>
      <c r="S30" s="3" t="s">
        <v>34</v>
      </c>
      <c r="T30" s="143">
        <v>0.2</v>
      </c>
      <c r="U30" s="3" t="s">
        <v>1556</v>
      </c>
      <c r="V30" s="155">
        <v>4.4499999999999998E-2</v>
      </c>
      <c r="W30" s="155">
        <v>2.5000000000000001E-2</v>
      </c>
      <c r="X30" s="5" t="s">
        <v>129</v>
      </c>
      <c r="Y30" s="5" t="s">
        <v>125</v>
      </c>
      <c r="Z30" s="3" t="s">
        <v>1531</v>
      </c>
      <c r="AA30" s="3" t="s">
        <v>1532</v>
      </c>
      <c r="AB30" s="169" t="s">
        <v>1533</v>
      </c>
      <c r="AC30" s="201" t="s">
        <v>1533</v>
      </c>
      <c r="AD30" s="143">
        <v>1006306.36</v>
      </c>
      <c r="AE30" s="153">
        <v>1</v>
      </c>
      <c r="AF30" s="163">
        <v>100.36</v>
      </c>
      <c r="AG30" s="143">
        <v>1009.929</v>
      </c>
      <c r="AJ30" s="3" t="s">
        <v>36</v>
      </c>
      <c r="AK30" s="155">
        <v>8.9669450976309004E-2</v>
      </c>
      <c r="AL30" s="155">
        <v>8.66618053762745E-4</v>
      </c>
    </row>
    <row r="31" spans="1:38">
      <c r="A31" s="3">
        <v>337</v>
      </c>
      <c r="B31" s="3">
        <v>9963</v>
      </c>
      <c r="C31" s="3" t="s">
        <v>1557</v>
      </c>
      <c r="D31" s="3" t="s">
        <v>1558</v>
      </c>
      <c r="E31" s="5" t="s">
        <v>118</v>
      </c>
      <c r="F31" s="3" t="s">
        <v>1565</v>
      </c>
      <c r="G31" s="3" t="s">
        <v>1566</v>
      </c>
      <c r="H31" s="3" t="s">
        <v>121</v>
      </c>
      <c r="I31" s="3" t="s">
        <v>122</v>
      </c>
      <c r="J31" s="3" t="s">
        <v>30</v>
      </c>
      <c r="K31" s="3" t="s">
        <v>30</v>
      </c>
      <c r="L31" s="5" t="s">
        <v>1529</v>
      </c>
      <c r="M31" s="3" t="s">
        <v>945</v>
      </c>
      <c r="N31" s="3" t="s">
        <v>125</v>
      </c>
      <c r="O31" s="169" t="s">
        <v>1561</v>
      </c>
      <c r="P31" s="3" t="s">
        <v>357</v>
      </c>
      <c r="Q31" s="3" t="s">
        <v>146</v>
      </c>
      <c r="R31" s="3" t="s">
        <v>128</v>
      </c>
      <c r="S31" s="3" t="s">
        <v>34</v>
      </c>
      <c r="T31" s="143">
        <v>4.18</v>
      </c>
      <c r="U31" s="3" t="s">
        <v>1562</v>
      </c>
      <c r="V31" s="155">
        <v>4.3099999999999999E-2</v>
      </c>
      <c r="W31" s="155">
        <v>3.7400000000000003E-2</v>
      </c>
      <c r="X31" s="5" t="s">
        <v>129</v>
      </c>
      <c r="Y31" s="5" t="s">
        <v>125</v>
      </c>
      <c r="Z31" s="3" t="s">
        <v>1531</v>
      </c>
      <c r="AA31" s="3" t="s">
        <v>1532</v>
      </c>
      <c r="AB31" s="169" t="s">
        <v>1533</v>
      </c>
      <c r="AC31" s="201" t="s">
        <v>1533</v>
      </c>
      <c r="AD31" s="143">
        <v>3241928.46</v>
      </c>
      <c r="AE31" s="153">
        <v>1</v>
      </c>
      <c r="AF31" s="163">
        <v>98.91</v>
      </c>
      <c r="AG31" s="143">
        <v>3206.5909999999999</v>
      </c>
      <c r="AJ31" s="3" t="s">
        <v>36</v>
      </c>
      <c r="AK31" s="155">
        <v>0.28470642590127399</v>
      </c>
      <c r="AL31" s="155">
        <v>2.7515695258744999E-3</v>
      </c>
    </row>
    <row r="32" spans="1:38">
      <c r="A32" s="3">
        <v>337</v>
      </c>
      <c r="B32" s="3">
        <v>9964</v>
      </c>
      <c r="C32" s="3" t="s">
        <v>1525</v>
      </c>
      <c r="D32" s="3" t="s">
        <v>1526</v>
      </c>
      <c r="E32" s="5" t="s">
        <v>439</v>
      </c>
      <c r="F32" s="3" t="s">
        <v>1527</v>
      </c>
      <c r="G32" s="3" t="s">
        <v>1528</v>
      </c>
      <c r="H32" s="3" t="s">
        <v>121</v>
      </c>
      <c r="I32" s="3" t="s">
        <v>122</v>
      </c>
      <c r="J32" s="3" t="s">
        <v>30</v>
      </c>
      <c r="K32" s="3" t="s">
        <v>30</v>
      </c>
      <c r="L32" s="5" t="s">
        <v>1529</v>
      </c>
      <c r="M32" s="3" t="s">
        <v>209</v>
      </c>
      <c r="N32" s="3" t="s">
        <v>125</v>
      </c>
      <c r="O32" s="169" t="s">
        <v>1530</v>
      </c>
      <c r="P32" s="3" t="s">
        <v>153</v>
      </c>
      <c r="Q32" s="3" t="s">
        <v>146</v>
      </c>
      <c r="R32" s="3" t="s">
        <v>128</v>
      </c>
      <c r="S32" s="3" t="s">
        <v>34</v>
      </c>
      <c r="T32" s="143">
        <v>1.95</v>
      </c>
      <c r="U32" s="3" t="s">
        <v>581</v>
      </c>
      <c r="V32" s="155">
        <v>4.7199999999999999E-2</v>
      </c>
      <c r="W32" s="155">
        <v>2.86E-2</v>
      </c>
      <c r="X32" s="5" t="s">
        <v>129</v>
      </c>
      <c r="Y32" s="5" t="s">
        <v>125</v>
      </c>
      <c r="Z32" s="3" t="s">
        <v>1531</v>
      </c>
      <c r="AA32" s="3" t="s">
        <v>1532</v>
      </c>
      <c r="AB32" s="169" t="s">
        <v>1533</v>
      </c>
      <c r="AC32" s="201" t="s">
        <v>1533</v>
      </c>
      <c r="AD32" s="143">
        <v>13714.28</v>
      </c>
      <c r="AE32" s="153">
        <v>1</v>
      </c>
      <c r="AF32" s="163">
        <v>96.56</v>
      </c>
      <c r="AG32" s="143">
        <v>13.243</v>
      </c>
      <c r="AJ32" s="3" t="s">
        <v>36</v>
      </c>
      <c r="AK32" s="155">
        <v>3.9527096160460101E-2</v>
      </c>
      <c r="AL32" s="155">
        <v>3.0363081017845399E-4</v>
      </c>
    </row>
    <row r="33" spans="1:38">
      <c r="A33" s="3">
        <v>337</v>
      </c>
      <c r="B33" s="3">
        <v>9964</v>
      </c>
      <c r="C33" s="3" t="s">
        <v>1534</v>
      </c>
      <c r="D33" s="3" t="s">
        <v>1535</v>
      </c>
      <c r="E33" s="5" t="s">
        <v>118</v>
      </c>
      <c r="F33" s="3" t="s">
        <v>1536</v>
      </c>
      <c r="G33" s="3" t="s">
        <v>1537</v>
      </c>
      <c r="H33" s="3" t="s">
        <v>121</v>
      </c>
      <c r="I33" s="3" t="s">
        <v>122</v>
      </c>
      <c r="J33" s="3" t="s">
        <v>30</v>
      </c>
      <c r="K33" s="3" t="s">
        <v>30</v>
      </c>
      <c r="L33" s="5" t="s">
        <v>1529</v>
      </c>
      <c r="M33" s="3" t="s">
        <v>209</v>
      </c>
      <c r="N33" s="3" t="s">
        <v>125</v>
      </c>
      <c r="O33" s="169" t="s">
        <v>1538</v>
      </c>
      <c r="P33" s="3" t="s">
        <v>198</v>
      </c>
      <c r="Q33" s="3" t="s">
        <v>732</v>
      </c>
      <c r="R33" s="3" t="s">
        <v>128</v>
      </c>
      <c r="S33" s="3" t="s">
        <v>34</v>
      </c>
      <c r="T33" s="143">
        <v>1.34</v>
      </c>
      <c r="U33" s="3" t="s">
        <v>244</v>
      </c>
      <c r="V33" s="155">
        <v>4.8899999999999999E-2</v>
      </c>
      <c r="W33" s="155">
        <v>4.4699999999999997E-2</v>
      </c>
      <c r="X33" s="5" t="s">
        <v>129</v>
      </c>
      <c r="Y33" s="5" t="s">
        <v>125</v>
      </c>
      <c r="Z33" s="3" t="s">
        <v>1531</v>
      </c>
      <c r="AA33" s="3" t="s">
        <v>1532</v>
      </c>
      <c r="AB33" s="169" t="s">
        <v>1533</v>
      </c>
      <c r="AC33" s="201" t="s">
        <v>1533</v>
      </c>
      <c r="AD33" s="143">
        <v>81378.58</v>
      </c>
      <c r="AE33" s="153">
        <v>1</v>
      </c>
      <c r="AF33" s="163">
        <v>99.54</v>
      </c>
      <c r="AG33" s="143">
        <v>81.004000000000005</v>
      </c>
      <c r="AJ33" s="3" t="s">
        <v>36</v>
      </c>
      <c r="AK33" s="155">
        <v>0.241786687247388</v>
      </c>
      <c r="AL33" s="155">
        <v>1.8573053644331801E-3</v>
      </c>
    </row>
    <row r="34" spans="1:38">
      <c r="A34" s="3">
        <v>337</v>
      </c>
      <c r="B34" s="3">
        <v>9964</v>
      </c>
      <c r="C34" s="3" t="s">
        <v>1539</v>
      </c>
      <c r="D34" s="3" t="s">
        <v>1540</v>
      </c>
      <c r="E34" s="5" t="s">
        <v>118</v>
      </c>
      <c r="F34" s="3" t="s">
        <v>1541</v>
      </c>
      <c r="G34" s="3" t="s">
        <v>1542</v>
      </c>
      <c r="H34" s="3" t="s">
        <v>121</v>
      </c>
      <c r="I34" s="3" t="s">
        <v>122</v>
      </c>
      <c r="J34" s="3" t="s">
        <v>30</v>
      </c>
      <c r="K34" s="3" t="s">
        <v>30</v>
      </c>
      <c r="L34" s="5" t="s">
        <v>1529</v>
      </c>
      <c r="M34" s="3" t="s">
        <v>209</v>
      </c>
      <c r="N34" s="3" t="s">
        <v>125</v>
      </c>
      <c r="O34" s="169" t="s">
        <v>1543</v>
      </c>
      <c r="P34" s="3" t="s">
        <v>422</v>
      </c>
      <c r="Q34" s="3" t="s">
        <v>127</v>
      </c>
      <c r="R34" s="3" t="s">
        <v>128</v>
      </c>
      <c r="S34" s="3" t="s">
        <v>34</v>
      </c>
      <c r="T34" s="143">
        <v>1.08</v>
      </c>
      <c r="U34" s="3" t="s">
        <v>1544</v>
      </c>
      <c r="V34" s="155">
        <v>4.4200000000000003E-2</v>
      </c>
      <c r="W34" s="155">
        <v>2.1000000000000001E-2</v>
      </c>
      <c r="X34" s="5" t="s">
        <v>129</v>
      </c>
      <c r="Y34" s="5" t="s">
        <v>125</v>
      </c>
      <c r="Z34" s="3" t="s">
        <v>1531</v>
      </c>
      <c r="AA34" s="3" t="s">
        <v>1532</v>
      </c>
      <c r="AB34" s="169" t="s">
        <v>1533</v>
      </c>
      <c r="AC34" s="201" t="s">
        <v>1533</v>
      </c>
      <c r="AD34" s="143">
        <v>34285.760000000002</v>
      </c>
      <c r="AE34" s="153">
        <v>1</v>
      </c>
      <c r="AF34" s="163">
        <v>99.37</v>
      </c>
      <c r="AG34" s="143">
        <v>34.07</v>
      </c>
      <c r="AJ34" s="3" t="s">
        <v>36</v>
      </c>
      <c r="AK34" s="155">
        <v>0.101693621042124</v>
      </c>
      <c r="AL34" s="155">
        <v>7.8116835149372903E-4</v>
      </c>
    </row>
    <row r="35" spans="1:38">
      <c r="A35" s="3">
        <v>337</v>
      </c>
      <c r="B35" s="3">
        <v>9964</v>
      </c>
      <c r="C35" s="3" t="s">
        <v>1545</v>
      </c>
      <c r="D35" s="3" t="s">
        <v>1546</v>
      </c>
      <c r="E35" s="5" t="s">
        <v>118</v>
      </c>
      <c r="F35" s="3" t="s">
        <v>1547</v>
      </c>
      <c r="G35" s="3" t="s">
        <v>1548</v>
      </c>
      <c r="H35" s="3" t="s">
        <v>121</v>
      </c>
      <c r="I35" s="3" t="s">
        <v>122</v>
      </c>
      <c r="J35" s="3" t="s">
        <v>30</v>
      </c>
      <c r="K35" s="3" t="s">
        <v>30</v>
      </c>
      <c r="L35" s="5" t="s">
        <v>1529</v>
      </c>
      <c r="M35" s="3" t="s">
        <v>171</v>
      </c>
      <c r="N35" s="3" t="s">
        <v>125</v>
      </c>
      <c r="O35" s="169" t="s">
        <v>1549</v>
      </c>
      <c r="P35" s="3" t="s">
        <v>1550</v>
      </c>
      <c r="Q35" s="3" t="s">
        <v>127</v>
      </c>
      <c r="R35" s="3" t="s">
        <v>128</v>
      </c>
      <c r="S35" s="3" t="s">
        <v>34</v>
      </c>
      <c r="T35" s="143">
        <v>0.98</v>
      </c>
      <c r="U35" s="3" t="s">
        <v>244</v>
      </c>
      <c r="V35" s="155">
        <v>4.3099999999999999E-2</v>
      </c>
      <c r="W35" s="155">
        <v>3.1E-2</v>
      </c>
      <c r="X35" s="5" t="s">
        <v>129</v>
      </c>
      <c r="Y35" s="5" t="s">
        <v>125</v>
      </c>
      <c r="Z35" s="3" t="s">
        <v>1531</v>
      </c>
      <c r="AA35" s="3" t="s">
        <v>1532</v>
      </c>
      <c r="AB35" s="169" t="s">
        <v>1533</v>
      </c>
      <c r="AC35" s="201" t="s">
        <v>1533</v>
      </c>
      <c r="AD35" s="143">
        <v>23104</v>
      </c>
      <c r="AE35" s="153">
        <v>1</v>
      </c>
      <c r="AF35" s="163">
        <v>98.91</v>
      </c>
      <c r="AG35" s="143">
        <v>22.852</v>
      </c>
      <c r="AJ35" s="3" t="s">
        <v>36</v>
      </c>
      <c r="AK35" s="155">
        <v>6.8210623424345099E-2</v>
      </c>
      <c r="AL35" s="155">
        <v>5.2396580738022598E-4</v>
      </c>
    </row>
    <row r="36" spans="1:38">
      <c r="A36" s="3">
        <v>337</v>
      </c>
      <c r="B36" s="3">
        <v>9964</v>
      </c>
      <c r="C36" s="3" t="s">
        <v>1551</v>
      </c>
      <c r="D36" s="3" t="s">
        <v>1552</v>
      </c>
      <c r="E36" s="5" t="s">
        <v>118</v>
      </c>
      <c r="F36" s="3" t="s">
        <v>1553</v>
      </c>
      <c r="G36" s="3" t="s">
        <v>1554</v>
      </c>
      <c r="H36" s="3" t="s">
        <v>121</v>
      </c>
      <c r="I36" s="3" t="s">
        <v>122</v>
      </c>
      <c r="J36" s="3" t="s">
        <v>30</v>
      </c>
      <c r="K36" s="3" t="s">
        <v>30</v>
      </c>
      <c r="L36" s="5" t="s">
        <v>1529</v>
      </c>
      <c r="M36" s="3" t="s">
        <v>1007</v>
      </c>
      <c r="N36" s="3" t="s">
        <v>125</v>
      </c>
      <c r="O36" s="169" t="s">
        <v>1555</v>
      </c>
      <c r="P36" s="3" t="s">
        <v>1550</v>
      </c>
      <c r="Q36" s="3" t="s">
        <v>127</v>
      </c>
      <c r="R36" s="3" t="s">
        <v>128</v>
      </c>
      <c r="S36" s="3" t="s">
        <v>34</v>
      </c>
      <c r="T36" s="143">
        <v>0.2</v>
      </c>
      <c r="U36" s="3" t="s">
        <v>1556</v>
      </c>
      <c r="V36" s="155">
        <v>4.9200000000000001E-2</v>
      </c>
      <c r="W36" s="155">
        <v>6.25E-2</v>
      </c>
      <c r="X36" s="5" t="s">
        <v>129</v>
      </c>
      <c r="Y36" s="5" t="s">
        <v>125</v>
      </c>
      <c r="Z36" s="3" t="s">
        <v>1531</v>
      </c>
      <c r="AA36" s="3" t="s">
        <v>1532</v>
      </c>
      <c r="AB36" s="169" t="s">
        <v>1533</v>
      </c>
      <c r="AC36" s="201" t="s">
        <v>1533</v>
      </c>
      <c r="AD36" s="143">
        <v>3444.69</v>
      </c>
      <c r="AE36" s="153">
        <v>1</v>
      </c>
      <c r="AF36" s="163">
        <v>100.54</v>
      </c>
      <c r="AG36" s="143">
        <v>3.4630000000000001</v>
      </c>
      <c r="AJ36" s="3" t="s">
        <v>36</v>
      </c>
      <c r="AK36" s="155">
        <v>1.0337455815418299E-2</v>
      </c>
      <c r="AL36" s="155">
        <v>7.9408061540306403E-5</v>
      </c>
    </row>
    <row r="37" spans="1:38">
      <c r="A37" s="3">
        <v>337</v>
      </c>
      <c r="B37" s="3">
        <v>9964</v>
      </c>
      <c r="C37" s="3" t="s">
        <v>1557</v>
      </c>
      <c r="D37" s="3" t="s">
        <v>1558</v>
      </c>
      <c r="E37" s="5" t="s">
        <v>118</v>
      </c>
      <c r="F37" s="3" t="s">
        <v>1559</v>
      </c>
      <c r="G37" s="3" t="s">
        <v>1560</v>
      </c>
      <c r="H37" s="3" t="s">
        <v>121</v>
      </c>
      <c r="I37" s="3" t="s">
        <v>132</v>
      </c>
      <c r="J37" s="3" t="s">
        <v>30</v>
      </c>
      <c r="K37" s="3" t="s">
        <v>30</v>
      </c>
      <c r="L37" s="5" t="s">
        <v>1529</v>
      </c>
      <c r="M37" s="3" t="s">
        <v>945</v>
      </c>
      <c r="N37" s="3" t="s">
        <v>125</v>
      </c>
      <c r="O37" s="169" t="s">
        <v>1561</v>
      </c>
      <c r="P37" s="3" t="s">
        <v>357</v>
      </c>
      <c r="Q37" s="3" t="s">
        <v>146</v>
      </c>
      <c r="R37" s="3" t="s">
        <v>128</v>
      </c>
      <c r="S37" s="3" t="s">
        <v>34</v>
      </c>
      <c r="T37" s="143">
        <v>4.42</v>
      </c>
      <c r="U37" s="3" t="s">
        <v>1562</v>
      </c>
      <c r="V37" s="155">
        <v>2.18E-2</v>
      </c>
      <c r="W37" s="155">
        <v>2.3217999999999999E-2</v>
      </c>
      <c r="X37" s="5" t="s">
        <v>129</v>
      </c>
      <c r="Y37" s="5" t="s">
        <v>125</v>
      </c>
      <c r="Z37" s="3" t="s">
        <v>1531</v>
      </c>
      <c r="AA37" s="3" t="s">
        <v>1532</v>
      </c>
      <c r="AB37" s="169" t="s">
        <v>1533</v>
      </c>
      <c r="AC37" s="201" t="s">
        <v>1533</v>
      </c>
      <c r="AD37" s="143">
        <v>45670.02</v>
      </c>
      <c r="AE37" s="153">
        <v>1</v>
      </c>
      <c r="AF37" s="163">
        <v>120.21</v>
      </c>
      <c r="AG37" s="143">
        <v>54.9</v>
      </c>
      <c r="AJ37" s="3" t="s">
        <v>36</v>
      </c>
      <c r="AK37" s="155">
        <v>0.16386886288069299</v>
      </c>
      <c r="AL37" s="155">
        <v>1.25877285286791E-3</v>
      </c>
    </row>
    <row r="38" spans="1:38">
      <c r="A38" s="3">
        <v>337</v>
      </c>
      <c r="B38" s="3">
        <v>9964</v>
      </c>
      <c r="C38" s="3" t="s">
        <v>1557</v>
      </c>
      <c r="D38" s="3" t="s">
        <v>1558</v>
      </c>
      <c r="E38" s="5" t="s">
        <v>118</v>
      </c>
      <c r="F38" s="3" t="s">
        <v>1563</v>
      </c>
      <c r="G38" s="3" t="s">
        <v>1564</v>
      </c>
      <c r="H38" s="3" t="s">
        <v>121</v>
      </c>
      <c r="I38" s="3" t="s">
        <v>122</v>
      </c>
      <c r="J38" s="3" t="s">
        <v>30</v>
      </c>
      <c r="K38" s="3" t="s">
        <v>30</v>
      </c>
      <c r="L38" s="5" t="s">
        <v>1529</v>
      </c>
      <c r="M38" s="3" t="s">
        <v>945</v>
      </c>
      <c r="N38" s="3" t="s">
        <v>125</v>
      </c>
      <c r="O38" s="169" t="s">
        <v>1561</v>
      </c>
      <c r="P38" s="3" t="s">
        <v>357</v>
      </c>
      <c r="Q38" s="3" t="s">
        <v>146</v>
      </c>
      <c r="R38" s="3" t="s">
        <v>128</v>
      </c>
      <c r="S38" s="3" t="s">
        <v>34</v>
      </c>
      <c r="T38" s="143">
        <v>0.2</v>
      </c>
      <c r="U38" s="3" t="s">
        <v>1556</v>
      </c>
      <c r="V38" s="155">
        <v>4.4499999999999998E-2</v>
      </c>
      <c r="W38" s="155">
        <v>2.5000000000000001E-2</v>
      </c>
      <c r="X38" s="5" t="s">
        <v>129</v>
      </c>
      <c r="Y38" s="5" t="s">
        <v>125</v>
      </c>
      <c r="Z38" s="3" t="s">
        <v>1531</v>
      </c>
      <c r="AA38" s="3" t="s">
        <v>1532</v>
      </c>
      <c r="AB38" s="169" t="s">
        <v>1533</v>
      </c>
      <c r="AC38" s="201" t="s">
        <v>1533</v>
      </c>
      <c r="AD38" s="143">
        <v>29949.599999999999</v>
      </c>
      <c r="AE38" s="153">
        <v>1</v>
      </c>
      <c r="AF38" s="163">
        <v>100.36</v>
      </c>
      <c r="AG38" s="143">
        <v>30.056999999999999</v>
      </c>
      <c r="AJ38" s="3" t="s">
        <v>36</v>
      </c>
      <c r="AK38" s="155">
        <v>8.9717325815730095E-2</v>
      </c>
      <c r="AL38" s="155">
        <v>6.8917140317846601E-4</v>
      </c>
    </row>
    <row r="39" spans="1:38">
      <c r="A39" s="3">
        <v>337</v>
      </c>
      <c r="B39" s="3">
        <v>9964</v>
      </c>
      <c r="C39" s="3" t="s">
        <v>1557</v>
      </c>
      <c r="D39" s="3" t="s">
        <v>1558</v>
      </c>
      <c r="E39" s="5" t="s">
        <v>118</v>
      </c>
      <c r="F39" s="3" t="s">
        <v>1565</v>
      </c>
      <c r="G39" s="3" t="s">
        <v>1566</v>
      </c>
      <c r="H39" s="3" t="s">
        <v>121</v>
      </c>
      <c r="I39" s="3" t="s">
        <v>122</v>
      </c>
      <c r="J39" s="3" t="s">
        <v>30</v>
      </c>
      <c r="K39" s="3" t="s">
        <v>30</v>
      </c>
      <c r="L39" s="5" t="s">
        <v>1529</v>
      </c>
      <c r="M39" s="3" t="s">
        <v>945</v>
      </c>
      <c r="N39" s="3" t="s">
        <v>125</v>
      </c>
      <c r="O39" s="169" t="s">
        <v>1561</v>
      </c>
      <c r="P39" s="3" t="s">
        <v>357</v>
      </c>
      <c r="Q39" s="3" t="s">
        <v>146</v>
      </c>
      <c r="R39" s="3" t="s">
        <v>128</v>
      </c>
      <c r="S39" s="3" t="s">
        <v>34</v>
      </c>
      <c r="T39" s="143">
        <v>4.18</v>
      </c>
      <c r="U39" s="3" t="s">
        <v>1562</v>
      </c>
      <c r="V39" s="155">
        <v>4.3099999999999999E-2</v>
      </c>
      <c r="W39" s="155">
        <v>3.7400000000000003E-2</v>
      </c>
      <c r="X39" s="5" t="s">
        <v>129</v>
      </c>
      <c r="Y39" s="5" t="s">
        <v>125</v>
      </c>
      <c r="Z39" s="3" t="s">
        <v>1531</v>
      </c>
      <c r="AA39" s="3" t="s">
        <v>1532</v>
      </c>
      <c r="AB39" s="169" t="s">
        <v>1533</v>
      </c>
      <c r="AC39" s="201" t="s">
        <v>1533</v>
      </c>
      <c r="AD39" s="143">
        <v>96485.95</v>
      </c>
      <c r="AE39" s="153">
        <v>1</v>
      </c>
      <c r="AF39" s="163">
        <v>98.91</v>
      </c>
      <c r="AG39" s="143">
        <v>95.433999999999997</v>
      </c>
      <c r="AJ39" s="3" t="s">
        <v>36</v>
      </c>
      <c r="AK39" s="155">
        <v>0.284858327613841</v>
      </c>
      <c r="AL39" s="155">
        <v>2.1881638977059399E-3</v>
      </c>
    </row>
  </sheetData>
  <sheetProtection formatColumns="0"/>
  <autoFilter ref="A1:AM39" xr:uid="{00000000-0001-0000-11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19" xr:uid="{00000000-0002-0000-1100-000004000000}">
      <formula1>Rating_Agency</formula1>
    </dataValidation>
    <dataValidation type="list" allowBlank="1" showInputMessage="1" showErrorMessage="1" sqref="P4 R2:R19" xr:uid="{00000000-0002-0000-1100-000005000000}">
      <formula1>What_is_rated</formula1>
    </dataValidation>
    <dataValidation type="list" allowBlank="1" showInputMessage="1" showErrorMessage="1" sqref="V4 X2:X19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1 AA26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I1" workbookViewId="0">
      <selection activeCell="K10" sqref="K9:K10"/>
    </sheetView>
  </sheetViews>
  <sheetFormatPr defaultColWidth="0" defaultRowHeight="14.25"/>
  <cols>
    <col min="1" max="2" width="11.625" style="3" customWidth="1"/>
    <col min="3" max="3" width="23" style="3" customWidth="1"/>
    <col min="4" max="4" width="11.625" style="3" customWidth="1"/>
    <col min="5" max="5" width="11.625" style="5" customWidth="1"/>
    <col min="6" max="6" width="24.625" style="3" customWidth="1"/>
    <col min="7" max="7" width="21.5" style="3" customWidth="1"/>
    <col min="8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18" t="s">
        <v>0</v>
      </c>
      <c r="B1" s="18" t="s">
        <v>1</v>
      </c>
      <c r="C1" s="18" t="s">
        <v>2</v>
      </c>
      <c r="D1" s="18" t="s">
        <v>105</v>
      </c>
      <c r="E1" s="18" t="s">
        <v>106</v>
      </c>
      <c r="F1" s="18" t="s">
        <v>3</v>
      </c>
      <c r="G1" s="18" t="s">
        <v>4</v>
      </c>
      <c r="H1" s="18" t="s">
        <v>107</v>
      </c>
      <c r="I1" s="18" t="s">
        <v>5</v>
      </c>
      <c r="J1" s="18" t="s">
        <v>6</v>
      </c>
      <c r="K1" s="18" t="s">
        <v>7</v>
      </c>
      <c r="L1" s="18" t="s">
        <v>115</v>
      </c>
      <c r="M1" s="18" t="s">
        <v>108</v>
      </c>
      <c r="N1" s="18" t="s">
        <v>109</v>
      </c>
      <c r="O1" s="167" t="s">
        <v>1514</v>
      </c>
      <c r="P1" s="18" t="s">
        <v>11</v>
      </c>
      <c r="Q1" s="18" t="s">
        <v>1520</v>
      </c>
      <c r="R1" s="18" t="s">
        <v>1521</v>
      </c>
      <c r="S1" s="167" t="s">
        <v>1523</v>
      </c>
      <c r="T1" s="167" t="s">
        <v>1524</v>
      </c>
      <c r="U1" s="18" t="s">
        <v>17</v>
      </c>
      <c r="V1" s="152" t="s">
        <v>18</v>
      </c>
      <c r="W1" s="158" t="s">
        <v>19</v>
      </c>
      <c r="X1" s="18" t="s">
        <v>20</v>
      </c>
      <c r="Y1" s="154" t="s">
        <v>24</v>
      </c>
      <c r="Z1" s="154" t="s">
        <v>25</v>
      </c>
    </row>
    <row r="2" spans="1:26">
      <c r="A2" s="19">
        <v>337</v>
      </c>
      <c r="B2" s="19">
        <v>1405</v>
      </c>
      <c r="C2" s="19" t="s">
        <v>1591</v>
      </c>
      <c r="D2" s="19" t="s">
        <v>1592</v>
      </c>
      <c r="E2" s="17" t="s">
        <v>727</v>
      </c>
      <c r="F2" s="19" t="s">
        <v>1593</v>
      </c>
      <c r="G2" s="19" t="s">
        <v>1594</v>
      </c>
      <c r="H2" s="17" t="s">
        <v>121</v>
      </c>
      <c r="I2" s="19" t="s">
        <v>1595</v>
      </c>
      <c r="J2" s="17" t="s">
        <v>79</v>
      </c>
      <c r="K2" s="17" t="s">
        <v>80</v>
      </c>
      <c r="L2" s="19" t="s">
        <v>1529</v>
      </c>
      <c r="M2" s="19" t="s">
        <v>1007</v>
      </c>
      <c r="N2" s="19" t="s">
        <v>125</v>
      </c>
      <c r="O2" s="168" t="s">
        <v>1596</v>
      </c>
      <c r="P2" s="17" t="s">
        <v>84</v>
      </c>
      <c r="Q2" s="19" t="s">
        <v>1609</v>
      </c>
      <c r="R2" s="19" t="s">
        <v>1532</v>
      </c>
      <c r="S2" s="168" t="s">
        <v>1533</v>
      </c>
      <c r="T2" s="168">
        <v>46022</v>
      </c>
      <c r="U2" s="146">
        <v>570</v>
      </c>
      <c r="V2" s="160">
        <v>3.19</v>
      </c>
      <c r="W2" s="162">
        <v>2500</v>
      </c>
      <c r="X2" s="146">
        <v>45.457999999999998</v>
      </c>
      <c r="Y2" s="161">
        <v>1</v>
      </c>
      <c r="Z2" s="161">
        <v>6.0565599409060002E-3</v>
      </c>
    </row>
    <row r="3" spans="1:26">
      <c r="A3" s="19">
        <v>337</v>
      </c>
      <c r="B3" s="19">
        <v>1477</v>
      </c>
      <c r="C3" s="19" t="s">
        <v>1597</v>
      </c>
      <c r="D3" s="19" t="s">
        <v>1598</v>
      </c>
      <c r="E3" s="17" t="s">
        <v>33</v>
      </c>
      <c r="F3" s="19" t="s">
        <v>1599</v>
      </c>
      <c r="G3" s="19" t="s">
        <v>1600</v>
      </c>
      <c r="H3" s="17" t="s">
        <v>121</v>
      </c>
      <c r="I3" s="19" t="s">
        <v>1595</v>
      </c>
      <c r="J3" s="17" t="s">
        <v>30</v>
      </c>
      <c r="K3" s="17" t="s">
        <v>30</v>
      </c>
      <c r="L3" s="19" t="s">
        <v>1529</v>
      </c>
      <c r="M3" s="19" t="s">
        <v>1601</v>
      </c>
      <c r="N3" s="19" t="s">
        <v>125</v>
      </c>
      <c r="O3" s="168" t="s">
        <v>1602</v>
      </c>
      <c r="P3" s="17" t="s">
        <v>34</v>
      </c>
      <c r="Q3" s="19" t="s">
        <v>1573</v>
      </c>
      <c r="R3" s="19" t="s">
        <v>2597</v>
      </c>
      <c r="S3" s="168" t="s">
        <v>1533</v>
      </c>
      <c r="T3" s="168">
        <v>46022</v>
      </c>
      <c r="U3" s="146">
        <v>9693</v>
      </c>
      <c r="V3" s="160">
        <v>1</v>
      </c>
      <c r="W3" s="162">
        <v>0</v>
      </c>
      <c r="X3" s="146">
        <v>0</v>
      </c>
      <c r="Y3" s="161">
        <v>1.0128526543181001E-8</v>
      </c>
      <c r="Z3" s="161">
        <v>3.9001434706121101E-12</v>
      </c>
    </row>
    <row r="4" spans="1:26">
      <c r="A4" s="19">
        <v>337</v>
      </c>
      <c r="B4" s="19">
        <v>1477</v>
      </c>
      <c r="C4" s="19" t="s">
        <v>1591</v>
      </c>
      <c r="D4" s="19" t="s">
        <v>1592</v>
      </c>
      <c r="E4" s="17" t="s">
        <v>727</v>
      </c>
      <c r="F4" s="19" t="s">
        <v>1593</v>
      </c>
      <c r="G4" s="19" t="s">
        <v>1594</v>
      </c>
      <c r="H4" s="17" t="s">
        <v>121</v>
      </c>
      <c r="I4" s="19" t="s">
        <v>1595</v>
      </c>
      <c r="J4" s="17" t="s">
        <v>79</v>
      </c>
      <c r="K4" s="17" t="s">
        <v>80</v>
      </c>
      <c r="L4" s="19" t="s">
        <v>1529</v>
      </c>
      <c r="M4" s="19" t="s">
        <v>1007</v>
      </c>
      <c r="N4" s="19" t="s">
        <v>125</v>
      </c>
      <c r="O4" s="169" t="s">
        <v>1596</v>
      </c>
      <c r="P4" s="17" t="s">
        <v>84</v>
      </c>
      <c r="Q4" s="20" t="s">
        <v>1609</v>
      </c>
      <c r="R4" s="19" t="s">
        <v>1532</v>
      </c>
      <c r="S4" s="168" t="s">
        <v>1533</v>
      </c>
      <c r="T4" s="168">
        <v>46022</v>
      </c>
      <c r="U4" s="146">
        <v>120</v>
      </c>
      <c r="V4" s="160">
        <v>3.19</v>
      </c>
      <c r="W4" s="162">
        <v>2500</v>
      </c>
      <c r="X4" s="146">
        <v>9.57</v>
      </c>
      <c r="Y4" s="161">
        <v>0.99999998987147398</v>
      </c>
      <c r="Z4" s="161">
        <v>3.8506523278404998E-4</v>
      </c>
    </row>
    <row r="5" spans="1:26">
      <c r="A5" s="19">
        <v>337</v>
      </c>
      <c r="B5" s="19">
        <v>9962</v>
      </c>
      <c r="C5" s="19" t="s">
        <v>1597</v>
      </c>
      <c r="D5" s="19" t="s">
        <v>1598</v>
      </c>
      <c r="E5" s="17" t="s">
        <v>33</v>
      </c>
      <c r="F5" s="19" t="s">
        <v>1599</v>
      </c>
      <c r="G5" s="19" t="s">
        <v>1600</v>
      </c>
      <c r="H5" s="17" t="s">
        <v>121</v>
      </c>
      <c r="I5" s="19" t="s">
        <v>1595</v>
      </c>
      <c r="J5" s="17" t="s">
        <v>30</v>
      </c>
      <c r="K5" s="17" t="s">
        <v>30</v>
      </c>
      <c r="L5" s="19" t="s">
        <v>1529</v>
      </c>
      <c r="M5" s="19" t="s">
        <v>1601</v>
      </c>
      <c r="N5" s="19" t="s">
        <v>125</v>
      </c>
      <c r="O5" s="168" t="s">
        <v>1602</v>
      </c>
      <c r="P5" s="17" t="s">
        <v>34</v>
      </c>
      <c r="Q5" s="20" t="s">
        <v>1573</v>
      </c>
      <c r="R5" s="20" t="s">
        <v>2597</v>
      </c>
      <c r="S5" s="168" t="s">
        <v>1533</v>
      </c>
      <c r="T5" s="168">
        <v>46022</v>
      </c>
      <c r="U5" s="146">
        <v>30695</v>
      </c>
      <c r="V5" s="160">
        <v>1</v>
      </c>
      <c r="W5" s="162">
        <v>0</v>
      </c>
      <c r="X5" s="146">
        <v>0</v>
      </c>
      <c r="Y5" s="161">
        <v>8.5531173075477715E-9</v>
      </c>
      <c r="Z5" s="161">
        <v>6.1179165374668298E-12</v>
      </c>
    </row>
    <row r="6" spans="1:26">
      <c r="A6" s="19">
        <v>337</v>
      </c>
      <c r="B6" s="19">
        <v>9962</v>
      </c>
      <c r="C6" s="19" t="s">
        <v>1591</v>
      </c>
      <c r="D6" s="19" t="s">
        <v>1592</v>
      </c>
      <c r="E6" s="17" t="s">
        <v>727</v>
      </c>
      <c r="F6" s="19" t="s">
        <v>1593</v>
      </c>
      <c r="G6" s="19" t="s">
        <v>1594</v>
      </c>
      <c r="H6" s="17" t="s">
        <v>121</v>
      </c>
      <c r="I6" s="19" t="s">
        <v>1595</v>
      </c>
      <c r="J6" s="17" t="s">
        <v>79</v>
      </c>
      <c r="K6" s="17" t="s">
        <v>80</v>
      </c>
      <c r="L6" s="19" t="s">
        <v>1529</v>
      </c>
      <c r="M6" s="19" t="s">
        <v>1007</v>
      </c>
      <c r="N6" s="19" t="s">
        <v>125</v>
      </c>
      <c r="O6" s="168" t="s">
        <v>1596</v>
      </c>
      <c r="P6" s="17" t="s">
        <v>84</v>
      </c>
      <c r="Q6" s="20" t="s">
        <v>1609</v>
      </c>
      <c r="R6" s="19" t="s">
        <v>1532</v>
      </c>
      <c r="S6" s="168" t="s">
        <v>1533</v>
      </c>
      <c r="T6" s="168">
        <v>46022</v>
      </c>
      <c r="U6" s="146">
        <v>450</v>
      </c>
      <c r="V6" s="160">
        <v>3.19</v>
      </c>
      <c r="W6" s="162">
        <v>2500</v>
      </c>
      <c r="X6" s="146">
        <v>35.887999999999998</v>
      </c>
      <c r="Y6" s="161">
        <v>0.99999999144688301</v>
      </c>
      <c r="Z6" s="161">
        <v>7.1528499670415601E-4</v>
      </c>
    </row>
    <row r="7" spans="1:26">
      <c r="A7" s="19">
        <v>337</v>
      </c>
      <c r="B7" s="19">
        <v>9963</v>
      </c>
      <c r="C7" s="19" t="s">
        <v>1603</v>
      </c>
      <c r="D7" s="19" t="s">
        <v>1604</v>
      </c>
      <c r="E7" s="17" t="s">
        <v>118</v>
      </c>
      <c r="F7" s="19" t="s">
        <v>1605</v>
      </c>
      <c r="G7" s="19" t="s">
        <v>1606</v>
      </c>
      <c r="H7" s="17" t="s">
        <v>33</v>
      </c>
      <c r="I7" s="19" t="s">
        <v>1595</v>
      </c>
      <c r="J7" s="17" t="s">
        <v>30</v>
      </c>
      <c r="K7" s="17" t="s">
        <v>30</v>
      </c>
      <c r="L7" s="19" t="s">
        <v>1529</v>
      </c>
      <c r="M7" s="19" t="s">
        <v>1607</v>
      </c>
      <c r="N7" s="19" t="s">
        <v>125</v>
      </c>
      <c r="O7" s="168" t="s">
        <v>1608</v>
      </c>
      <c r="P7" s="17" t="s">
        <v>84</v>
      </c>
      <c r="Q7" s="20" t="s">
        <v>1573</v>
      </c>
      <c r="R7" s="20" t="s">
        <v>2597</v>
      </c>
      <c r="S7" s="168" t="s">
        <v>1533</v>
      </c>
      <c r="T7" s="168">
        <v>46022</v>
      </c>
      <c r="U7" s="146">
        <v>237368</v>
      </c>
      <c r="V7" s="160">
        <v>3.19</v>
      </c>
      <c r="W7" s="162">
        <v>0</v>
      </c>
      <c r="X7" s="146">
        <v>0</v>
      </c>
      <c r="Y7" s="161">
        <v>5.8733354265707001E-10</v>
      </c>
      <c r="Z7" s="161">
        <v>6.4975512791980695E-12</v>
      </c>
    </row>
    <row r="8" spans="1:26">
      <c r="A8" s="19">
        <v>337</v>
      </c>
      <c r="B8" s="19">
        <v>9963</v>
      </c>
      <c r="C8" s="19" t="s">
        <v>1610</v>
      </c>
      <c r="D8" s="19" t="s">
        <v>1611</v>
      </c>
      <c r="E8" s="17" t="s">
        <v>118</v>
      </c>
      <c r="F8" s="19" t="s">
        <v>1610</v>
      </c>
      <c r="G8" s="19" t="s">
        <v>1612</v>
      </c>
      <c r="H8" s="17" t="s">
        <v>33</v>
      </c>
      <c r="I8" s="19" t="s">
        <v>1595</v>
      </c>
      <c r="J8" s="17" t="s">
        <v>30</v>
      </c>
      <c r="K8" s="17" t="s">
        <v>30</v>
      </c>
      <c r="L8" s="19" t="s">
        <v>1529</v>
      </c>
      <c r="M8" s="19" t="s">
        <v>1601</v>
      </c>
      <c r="N8" s="19" t="s">
        <v>125</v>
      </c>
      <c r="O8" s="168" t="s">
        <v>1613</v>
      </c>
      <c r="P8" s="17" t="s">
        <v>84</v>
      </c>
      <c r="Q8" s="19" t="s">
        <v>1628</v>
      </c>
      <c r="R8" s="19" t="s">
        <v>1532</v>
      </c>
      <c r="S8" s="168" t="s">
        <v>1614</v>
      </c>
      <c r="T8" s="168">
        <v>46022</v>
      </c>
      <c r="U8" s="146">
        <v>167852</v>
      </c>
      <c r="V8" s="160">
        <v>3.19</v>
      </c>
      <c r="W8" s="162">
        <v>830.05</v>
      </c>
      <c r="X8" s="146">
        <v>4444.4849999999997</v>
      </c>
      <c r="Y8" s="161">
        <v>0.34474137369490399</v>
      </c>
      <c r="Z8" s="161">
        <v>3.8138035561706201E-3</v>
      </c>
    </row>
    <row r="9" spans="1:26">
      <c r="A9" s="19">
        <v>337</v>
      </c>
      <c r="B9" s="19">
        <v>9963</v>
      </c>
      <c r="C9" s="19" t="s">
        <v>1615</v>
      </c>
      <c r="D9" s="19" t="s">
        <v>1616</v>
      </c>
      <c r="E9" s="17" t="s">
        <v>118</v>
      </c>
      <c r="F9" s="19" t="s">
        <v>1617</v>
      </c>
      <c r="G9" s="19" t="s">
        <v>1618</v>
      </c>
      <c r="H9" s="17" t="s">
        <v>121</v>
      </c>
      <c r="I9" s="19" t="s">
        <v>1595</v>
      </c>
      <c r="J9" s="17" t="s">
        <v>30</v>
      </c>
      <c r="K9" s="17" t="s">
        <v>30</v>
      </c>
      <c r="L9" s="19" t="s">
        <v>1529</v>
      </c>
      <c r="M9" s="19" t="s">
        <v>1619</v>
      </c>
      <c r="N9" s="19" t="s">
        <v>125</v>
      </c>
      <c r="O9" s="168" t="s">
        <v>1579</v>
      </c>
      <c r="P9" s="17" t="s">
        <v>34</v>
      </c>
      <c r="Q9" s="20" t="s">
        <v>1573</v>
      </c>
      <c r="R9" s="20" t="s">
        <v>2597</v>
      </c>
      <c r="S9" s="168" t="s">
        <v>1533</v>
      </c>
      <c r="T9" s="168">
        <v>46022</v>
      </c>
      <c r="U9" s="146">
        <v>20165</v>
      </c>
      <c r="V9" s="160">
        <v>1</v>
      </c>
      <c r="W9" s="162">
        <v>0</v>
      </c>
      <c r="X9" s="146">
        <v>0</v>
      </c>
      <c r="Y9" s="161">
        <v>1.5641203875013999E-11</v>
      </c>
      <c r="Z9" s="161">
        <v>1.73035450668334E-13</v>
      </c>
    </row>
    <row r="10" spans="1:26">
      <c r="A10" s="19">
        <v>337</v>
      </c>
      <c r="B10" s="19">
        <v>9963</v>
      </c>
      <c r="C10" s="19" t="s">
        <v>1285</v>
      </c>
      <c r="D10" s="19" t="s">
        <v>1286</v>
      </c>
      <c r="E10" s="17" t="s">
        <v>118</v>
      </c>
      <c r="F10" s="19" t="s">
        <v>1620</v>
      </c>
      <c r="G10" s="19" t="s">
        <v>1621</v>
      </c>
      <c r="H10" s="17" t="s">
        <v>33</v>
      </c>
      <c r="I10" s="19" t="s">
        <v>1595</v>
      </c>
      <c r="J10" s="17" t="s">
        <v>30</v>
      </c>
      <c r="K10" s="17" t="s">
        <v>30</v>
      </c>
      <c r="L10" s="19" t="s">
        <v>1529</v>
      </c>
      <c r="M10" s="19" t="s">
        <v>171</v>
      </c>
      <c r="N10" s="19" t="s">
        <v>125</v>
      </c>
      <c r="O10" s="168" t="s">
        <v>1622</v>
      </c>
      <c r="P10" s="17" t="s">
        <v>34</v>
      </c>
      <c r="Q10" s="20" t="s">
        <v>1628</v>
      </c>
      <c r="R10" s="19" t="s">
        <v>1532</v>
      </c>
      <c r="S10" s="168" t="s">
        <v>1533</v>
      </c>
      <c r="T10" s="168">
        <v>46022</v>
      </c>
      <c r="U10" s="146">
        <v>38</v>
      </c>
      <c r="V10" s="160">
        <v>1</v>
      </c>
      <c r="W10" s="162">
        <v>426446.53</v>
      </c>
      <c r="X10" s="146">
        <v>162.05000000000001</v>
      </c>
      <c r="Y10" s="161">
        <v>1.25695616397643E-2</v>
      </c>
      <c r="Z10" s="161">
        <v>1.3905449864472599E-4</v>
      </c>
    </row>
    <row r="11" spans="1:26">
      <c r="A11" s="19">
        <v>337</v>
      </c>
      <c r="B11" s="19">
        <v>9963</v>
      </c>
      <c r="C11" s="19" t="s">
        <v>1597</v>
      </c>
      <c r="D11" s="19" t="s">
        <v>1598</v>
      </c>
      <c r="E11" s="17" t="s">
        <v>33</v>
      </c>
      <c r="F11" s="19" t="s">
        <v>1599</v>
      </c>
      <c r="G11" s="19" t="s">
        <v>1600</v>
      </c>
      <c r="H11" s="17" t="s">
        <v>121</v>
      </c>
      <c r="I11" s="19" t="s">
        <v>1595</v>
      </c>
      <c r="J11" s="17" t="s">
        <v>30</v>
      </c>
      <c r="K11" s="17" t="s">
        <v>30</v>
      </c>
      <c r="L11" s="19" t="s">
        <v>1529</v>
      </c>
      <c r="M11" s="19" t="s">
        <v>1601</v>
      </c>
      <c r="N11" s="19" t="s">
        <v>125</v>
      </c>
      <c r="O11" s="168" t="s">
        <v>1602</v>
      </c>
      <c r="P11" s="17" t="s">
        <v>34</v>
      </c>
      <c r="Q11" s="20" t="s">
        <v>1573</v>
      </c>
      <c r="R11" s="20" t="s">
        <v>2597</v>
      </c>
      <c r="S11" s="168" t="s">
        <v>1533</v>
      </c>
      <c r="T11" s="168">
        <v>46022</v>
      </c>
      <c r="U11" s="146">
        <v>2116317</v>
      </c>
      <c r="V11" s="160">
        <v>1</v>
      </c>
      <c r="W11" s="162">
        <v>0</v>
      </c>
      <c r="X11" s="146">
        <v>0</v>
      </c>
      <c r="Y11" s="161">
        <v>1.6415445405979702E-9</v>
      </c>
      <c r="Z11" s="161">
        <v>1.8160072692886497E-11</v>
      </c>
    </row>
    <row r="12" spans="1:26">
      <c r="A12" s="19">
        <v>337</v>
      </c>
      <c r="B12" s="19">
        <v>9963</v>
      </c>
      <c r="C12" s="19" t="s">
        <v>1623</v>
      </c>
      <c r="D12" s="19" t="s">
        <v>1624</v>
      </c>
      <c r="E12" s="17" t="s">
        <v>33</v>
      </c>
      <c r="F12" s="19" t="s">
        <v>1625</v>
      </c>
      <c r="G12" s="19" t="s">
        <v>1626</v>
      </c>
      <c r="H12" s="17" t="s">
        <v>33</v>
      </c>
      <c r="I12" s="19" t="s">
        <v>1595</v>
      </c>
      <c r="J12" s="17" t="s">
        <v>79</v>
      </c>
      <c r="K12" s="17" t="s">
        <v>138</v>
      </c>
      <c r="L12" s="19" t="s">
        <v>1529</v>
      </c>
      <c r="M12" s="19" t="s">
        <v>209</v>
      </c>
      <c r="N12" s="19" t="s">
        <v>125</v>
      </c>
      <c r="O12" s="168" t="s">
        <v>1627</v>
      </c>
      <c r="P12" s="17" t="s">
        <v>84</v>
      </c>
      <c r="Q12" s="19" t="s">
        <v>1628</v>
      </c>
      <c r="R12" s="19" t="s">
        <v>1532</v>
      </c>
      <c r="S12" s="168" t="s">
        <v>1629</v>
      </c>
      <c r="T12" s="168">
        <v>45838</v>
      </c>
      <c r="U12" s="146">
        <v>8945</v>
      </c>
      <c r="V12" s="160">
        <v>3.19</v>
      </c>
      <c r="W12" s="162">
        <v>5228.8999999999996</v>
      </c>
      <c r="X12" s="146">
        <v>1492.0429999999999</v>
      </c>
      <c r="Y12" s="161">
        <v>0.115731961725801</v>
      </c>
      <c r="Z12" s="161">
        <v>1.2803191054842301E-3</v>
      </c>
    </row>
    <row r="13" spans="1:26">
      <c r="A13" s="19">
        <v>337</v>
      </c>
      <c r="B13" s="19">
        <v>9963</v>
      </c>
      <c r="C13" s="19" t="s">
        <v>1630</v>
      </c>
      <c r="D13" s="19" t="s">
        <v>1631</v>
      </c>
      <c r="E13" s="17" t="s">
        <v>33</v>
      </c>
      <c r="F13" s="19" t="s">
        <v>1632</v>
      </c>
      <c r="G13" s="19" t="s">
        <v>1633</v>
      </c>
      <c r="H13" s="17" t="s">
        <v>33</v>
      </c>
      <c r="I13" s="19" t="s">
        <v>1595</v>
      </c>
      <c r="J13" s="17" t="s">
        <v>79</v>
      </c>
      <c r="K13" s="17" t="s">
        <v>968</v>
      </c>
      <c r="L13" s="19" t="s">
        <v>1529</v>
      </c>
      <c r="M13" s="19" t="s">
        <v>1634</v>
      </c>
      <c r="N13" s="19" t="s">
        <v>125</v>
      </c>
      <c r="O13" s="168" t="s">
        <v>1635</v>
      </c>
      <c r="P13" s="17" t="s">
        <v>84</v>
      </c>
      <c r="Q13" s="19" t="s">
        <v>1628</v>
      </c>
      <c r="R13" s="19" t="s">
        <v>1532</v>
      </c>
      <c r="S13" s="168" t="s">
        <v>1533</v>
      </c>
      <c r="T13" s="168">
        <v>46022</v>
      </c>
      <c r="U13" s="146">
        <v>301500</v>
      </c>
      <c r="V13" s="160">
        <v>3.19</v>
      </c>
      <c r="W13" s="162">
        <v>103.178</v>
      </c>
      <c r="X13" s="146">
        <v>992.35299999999995</v>
      </c>
      <c r="Y13" s="161">
        <v>7.69729831063862E-2</v>
      </c>
      <c r="Z13" s="161">
        <v>8.5153642440375505E-4</v>
      </c>
    </row>
    <row r="14" spans="1:26">
      <c r="A14" s="19">
        <v>337</v>
      </c>
      <c r="B14" s="19">
        <v>9963</v>
      </c>
      <c r="C14" s="19" t="s">
        <v>1636</v>
      </c>
      <c r="D14" s="19" t="s">
        <v>1637</v>
      </c>
      <c r="E14" s="17" t="s">
        <v>33</v>
      </c>
      <c r="F14" s="19" t="s">
        <v>1638</v>
      </c>
      <c r="G14" s="19" t="s">
        <v>1639</v>
      </c>
      <c r="H14" s="17" t="s">
        <v>33</v>
      </c>
      <c r="I14" s="19" t="s">
        <v>1595</v>
      </c>
      <c r="J14" s="17" t="s">
        <v>79</v>
      </c>
      <c r="K14" s="17" t="s">
        <v>968</v>
      </c>
      <c r="L14" s="19" t="s">
        <v>1529</v>
      </c>
      <c r="M14" s="19" t="s">
        <v>1634</v>
      </c>
      <c r="N14" s="19" t="s">
        <v>125</v>
      </c>
      <c r="O14" s="168" t="s">
        <v>1635</v>
      </c>
      <c r="P14" s="17" t="s">
        <v>755</v>
      </c>
      <c r="Q14" s="20" t="s">
        <v>1628</v>
      </c>
      <c r="R14" s="19" t="s">
        <v>1532</v>
      </c>
      <c r="S14" s="168" t="s">
        <v>1533</v>
      </c>
      <c r="T14" s="168">
        <v>46022</v>
      </c>
      <c r="U14" s="146">
        <v>502500</v>
      </c>
      <c r="V14" s="160">
        <v>3.7454999999999998</v>
      </c>
      <c r="W14" s="162">
        <v>99.168000000000006</v>
      </c>
      <c r="X14" s="146">
        <v>1866.46</v>
      </c>
      <c r="Y14" s="161">
        <v>0.144774037531825</v>
      </c>
      <c r="Z14" s="161">
        <v>1.6016056711217301E-3</v>
      </c>
    </row>
    <row r="15" spans="1:26">
      <c r="A15" s="19">
        <v>337</v>
      </c>
      <c r="B15" s="19">
        <v>9963</v>
      </c>
      <c r="C15" s="19" t="s">
        <v>1640</v>
      </c>
      <c r="D15" s="19" t="s">
        <v>1641</v>
      </c>
      <c r="E15" s="17" t="s">
        <v>33</v>
      </c>
      <c r="F15" s="19" t="s">
        <v>1640</v>
      </c>
      <c r="G15" s="19" t="s">
        <v>1642</v>
      </c>
      <c r="H15" s="17" t="s">
        <v>33</v>
      </c>
      <c r="I15" s="19" t="s">
        <v>1595</v>
      </c>
      <c r="J15" s="17" t="s">
        <v>79</v>
      </c>
      <c r="K15" s="17" t="s">
        <v>138</v>
      </c>
      <c r="L15" s="19" t="s">
        <v>1529</v>
      </c>
      <c r="M15" s="19" t="s">
        <v>1634</v>
      </c>
      <c r="N15" s="19" t="s">
        <v>125</v>
      </c>
      <c r="O15" s="168" t="s">
        <v>1643</v>
      </c>
      <c r="P15" s="17" t="s">
        <v>84</v>
      </c>
      <c r="Q15" s="20" t="s">
        <v>1628</v>
      </c>
      <c r="R15" s="19" t="s">
        <v>1532</v>
      </c>
      <c r="S15" s="168" t="s">
        <v>1644</v>
      </c>
      <c r="T15" s="168">
        <v>45837</v>
      </c>
      <c r="U15" s="146">
        <v>65700</v>
      </c>
      <c r="V15" s="160">
        <v>3.19</v>
      </c>
      <c r="W15" s="162">
        <v>381.3</v>
      </c>
      <c r="X15" s="146">
        <v>799.14</v>
      </c>
      <c r="Y15" s="161">
        <v>6.1986170772196501E-2</v>
      </c>
      <c r="Z15" s="161">
        <v>6.8574037398139295E-4</v>
      </c>
    </row>
    <row r="16" spans="1:26">
      <c r="A16" s="19">
        <v>337</v>
      </c>
      <c r="B16" s="19">
        <v>9963</v>
      </c>
      <c r="C16" s="19" t="s">
        <v>1645</v>
      </c>
      <c r="D16" s="19" t="s">
        <v>1646</v>
      </c>
      <c r="E16" s="17" t="s">
        <v>118</v>
      </c>
      <c r="F16" s="19" t="s">
        <v>1645</v>
      </c>
      <c r="G16" s="19" t="s">
        <v>1647</v>
      </c>
      <c r="H16" s="17" t="s">
        <v>33</v>
      </c>
      <c r="I16" s="19" t="s">
        <v>1595</v>
      </c>
      <c r="J16" s="17" t="s">
        <v>30</v>
      </c>
      <c r="K16" s="17" t="s">
        <v>30</v>
      </c>
      <c r="L16" s="19" t="s">
        <v>1529</v>
      </c>
      <c r="M16" s="19" t="s">
        <v>171</v>
      </c>
      <c r="N16" s="19" t="s">
        <v>125</v>
      </c>
      <c r="O16" s="168" t="s">
        <v>1648</v>
      </c>
      <c r="P16" s="17" t="s">
        <v>34</v>
      </c>
      <c r="Q16" s="20" t="s">
        <v>1628</v>
      </c>
      <c r="R16" s="19" t="s">
        <v>1532</v>
      </c>
      <c r="S16" s="168" t="s">
        <v>1649</v>
      </c>
      <c r="T16" s="168">
        <v>45959</v>
      </c>
      <c r="U16" s="146">
        <v>396.62</v>
      </c>
      <c r="V16" s="160">
        <v>1</v>
      </c>
      <c r="W16" s="162">
        <v>153200.44699999999</v>
      </c>
      <c r="X16" s="146">
        <v>607.62400000000002</v>
      </c>
      <c r="Y16" s="161">
        <v>4.7130993408947303E-2</v>
      </c>
      <c r="Z16" s="161">
        <v>5.2140057441429899E-4</v>
      </c>
    </row>
    <row r="17" spans="1:26">
      <c r="A17" s="19">
        <v>337</v>
      </c>
      <c r="B17" s="19">
        <v>9963</v>
      </c>
      <c r="C17" s="19" t="s">
        <v>1591</v>
      </c>
      <c r="D17" s="19" t="s">
        <v>1592</v>
      </c>
      <c r="E17" s="17" t="s">
        <v>727</v>
      </c>
      <c r="F17" s="19" t="s">
        <v>1593</v>
      </c>
      <c r="G17" s="19" t="s">
        <v>1594</v>
      </c>
      <c r="H17" s="17" t="s">
        <v>121</v>
      </c>
      <c r="I17" s="19" t="s">
        <v>1595</v>
      </c>
      <c r="J17" s="17" t="s">
        <v>79</v>
      </c>
      <c r="K17" s="17" t="s">
        <v>80</v>
      </c>
      <c r="L17" s="19" t="s">
        <v>1529</v>
      </c>
      <c r="M17" s="19" t="s">
        <v>1007</v>
      </c>
      <c r="N17" s="19" t="s">
        <v>125</v>
      </c>
      <c r="O17" s="168" t="s">
        <v>1596</v>
      </c>
      <c r="P17" s="17" t="s">
        <v>84</v>
      </c>
      <c r="Q17" s="20" t="s">
        <v>1609</v>
      </c>
      <c r="R17" s="19" t="s">
        <v>1532</v>
      </c>
      <c r="S17" s="168" t="s">
        <v>1533</v>
      </c>
      <c r="T17" s="168">
        <v>46022</v>
      </c>
      <c r="U17" s="146">
        <v>31700</v>
      </c>
      <c r="V17" s="160">
        <v>3.19</v>
      </c>
      <c r="W17" s="162">
        <v>2500</v>
      </c>
      <c r="X17" s="146">
        <v>2528.0749999999998</v>
      </c>
      <c r="Y17" s="161">
        <v>0.196092915875656</v>
      </c>
      <c r="Z17" s="161">
        <v>2.16933596304661E-3</v>
      </c>
    </row>
    <row r="18" spans="1:26">
      <c r="A18" s="19">
        <v>337</v>
      </c>
      <c r="B18" s="19">
        <v>9964</v>
      </c>
      <c r="C18" s="19" t="s">
        <v>1597</v>
      </c>
      <c r="D18" s="19" t="s">
        <v>1598</v>
      </c>
      <c r="E18" s="17" t="s">
        <v>33</v>
      </c>
      <c r="F18" s="19" t="s">
        <v>1599</v>
      </c>
      <c r="G18" s="19" t="s">
        <v>1600</v>
      </c>
      <c r="H18" s="17" t="s">
        <v>121</v>
      </c>
      <c r="I18" s="19" t="s">
        <v>1595</v>
      </c>
      <c r="J18" s="17" t="s">
        <v>30</v>
      </c>
      <c r="K18" s="17" t="s">
        <v>30</v>
      </c>
      <c r="L18" s="19" t="s">
        <v>1529</v>
      </c>
      <c r="M18" s="19" t="s">
        <v>1601</v>
      </c>
      <c r="N18" s="19" t="s">
        <v>125</v>
      </c>
      <c r="O18" s="168" t="s">
        <v>1602</v>
      </c>
      <c r="P18" s="17" t="s">
        <v>34</v>
      </c>
      <c r="Q18" s="20" t="s">
        <v>1573</v>
      </c>
      <c r="R18" s="20" t="s">
        <v>2597</v>
      </c>
      <c r="S18" s="168" t="s">
        <v>1533</v>
      </c>
      <c r="T18" s="168">
        <v>46022</v>
      </c>
      <c r="U18" s="146">
        <v>24232</v>
      </c>
      <c r="V18" s="160">
        <v>1</v>
      </c>
      <c r="W18" s="162">
        <v>0</v>
      </c>
      <c r="X18" s="146">
        <v>0</v>
      </c>
      <c r="Y18" s="161">
        <v>3.5747003375811001E-9</v>
      </c>
      <c r="Z18" s="161">
        <v>5.5560331664824695E-12</v>
      </c>
    </row>
    <row r="19" spans="1:26">
      <c r="A19" s="5">
        <v>337</v>
      </c>
      <c r="B19" s="19">
        <v>9964</v>
      </c>
      <c r="C19" s="19" t="s">
        <v>1591</v>
      </c>
      <c r="D19" s="19" t="s">
        <v>1592</v>
      </c>
      <c r="E19" s="17" t="s">
        <v>727</v>
      </c>
      <c r="F19" s="19" t="s">
        <v>1593</v>
      </c>
      <c r="G19" s="19" t="s">
        <v>1594</v>
      </c>
      <c r="H19" s="17" t="s">
        <v>121</v>
      </c>
      <c r="I19" s="19" t="s">
        <v>1595</v>
      </c>
      <c r="J19" s="17" t="s">
        <v>79</v>
      </c>
      <c r="K19" s="17" t="s">
        <v>80</v>
      </c>
      <c r="L19" s="19" t="s">
        <v>1529</v>
      </c>
      <c r="M19" s="19" t="s">
        <v>1007</v>
      </c>
      <c r="N19" s="19" t="s">
        <v>125</v>
      </c>
      <c r="O19" s="168" t="s">
        <v>1596</v>
      </c>
      <c r="P19" s="17" t="s">
        <v>84</v>
      </c>
      <c r="Q19" s="20" t="s">
        <v>1609</v>
      </c>
      <c r="R19" s="19" t="s">
        <v>1532</v>
      </c>
      <c r="S19" s="168" t="s">
        <v>1533</v>
      </c>
      <c r="T19" s="168">
        <v>46022</v>
      </c>
      <c r="U19" s="146">
        <v>850</v>
      </c>
      <c r="V19" s="160">
        <v>3.19</v>
      </c>
      <c r="W19" s="162">
        <v>2500</v>
      </c>
      <c r="X19" s="146">
        <v>67.787000000000006</v>
      </c>
      <c r="Y19" s="161">
        <v>0.99999999642530002</v>
      </c>
      <c r="Z19" s="161">
        <v>1.5542654270094499E-3</v>
      </c>
    </row>
    <row r="20" spans="1:26">
      <c r="E20" s="17"/>
      <c r="H20" s="5"/>
      <c r="I20" s="19"/>
      <c r="J20" s="17"/>
      <c r="K20" s="17"/>
      <c r="L20" s="19"/>
      <c r="M20" s="19"/>
      <c r="N20" s="19"/>
      <c r="R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63"/>
  <sheetViews>
    <sheetView rightToLeft="1" topLeftCell="B25" workbookViewId="0">
      <selection activeCell="C51" sqref="C51"/>
    </sheetView>
  </sheetViews>
  <sheetFormatPr defaultColWidth="0" defaultRowHeight="14.25"/>
  <cols>
    <col min="1" max="2" width="11.625" style="3" customWidth="1"/>
    <col min="3" max="3" width="25.625" style="3" customWidth="1"/>
    <col min="4" max="4" width="11.625" style="3" customWidth="1"/>
    <col min="5" max="5" width="20.625" style="3" customWidth="1"/>
    <col min="6" max="6" width="21.25" style="3" customWidth="1"/>
    <col min="7" max="15" width="11.625" style="3" customWidth="1"/>
    <col min="16" max="16" width="11.625" customWidth="1"/>
    <col min="17" max="17" width="11.625" style="3" customWidth="1"/>
    <col min="18" max="18" width="17" style="3" customWidth="1"/>
    <col min="19" max="26" width="11.625" style="3" customWidth="1"/>
    <col min="27" max="27" width="9" style="3" hidden="1" customWidth="1"/>
    <col min="28" max="16384" width="9" style="3" hidden="1"/>
  </cols>
  <sheetData>
    <row r="1" spans="1:26" ht="51">
      <c r="A1" s="18" t="s">
        <v>0</v>
      </c>
      <c r="B1" s="18" t="s">
        <v>1</v>
      </c>
      <c r="C1" s="18" t="s">
        <v>1650</v>
      </c>
      <c r="D1" s="18" t="s">
        <v>1651</v>
      </c>
      <c r="E1" s="18" t="s">
        <v>1652</v>
      </c>
      <c r="F1" s="18" t="s">
        <v>1653</v>
      </c>
      <c r="G1" s="18" t="s">
        <v>1654</v>
      </c>
      <c r="H1" s="18" t="s">
        <v>1655</v>
      </c>
      <c r="I1" s="18" t="s">
        <v>5</v>
      </c>
      <c r="J1" s="18" t="s">
        <v>1656</v>
      </c>
      <c r="K1" s="18" t="s">
        <v>6</v>
      </c>
      <c r="L1" s="18" t="s">
        <v>1657</v>
      </c>
      <c r="M1" s="18" t="s">
        <v>1658</v>
      </c>
      <c r="N1" s="18" t="s">
        <v>7</v>
      </c>
      <c r="O1" s="18" t="s">
        <v>109</v>
      </c>
      <c r="P1" s="170" t="s">
        <v>1514</v>
      </c>
      <c r="Q1" s="18" t="s">
        <v>11</v>
      </c>
      <c r="R1" s="18" t="s">
        <v>1520</v>
      </c>
      <c r="S1" s="18" t="s">
        <v>1521</v>
      </c>
      <c r="T1" s="167" t="s">
        <v>1523</v>
      </c>
      <c r="U1" s="152" t="s">
        <v>18</v>
      </c>
      <c r="V1" s="110" t="s">
        <v>1659</v>
      </c>
      <c r="W1" s="18" t="s">
        <v>20</v>
      </c>
      <c r="X1" s="154" t="s">
        <v>1660</v>
      </c>
      <c r="Y1" s="154" t="s">
        <v>24</v>
      </c>
      <c r="Z1" s="154" t="s">
        <v>25</v>
      </c>
    </row>
    <row r="2" spans="1:26">
      <c r="A2" s="19">
        <v>337</v>
      </c>
      <c r="B2" s="19">
        <v>9962</v>
      </c>
      <c r="C2" s="20" t="s">
        <v>1661</v>
      </c>
      <c r="D2" s="20" t="s">
        <v>1662</v>
      </c>
      <c r="E2" s="20" t="s">
        <v>269</v>
      </c>
      <c r="F2" s="20" t="s">
        <v>1661</v>
      </c>
      <c r="G2" s="20">
        <v>62019286</v>
      </c>
      <c r="H2" s="20" t="s">
        <v>33</v>
      </c>
      <c r="I2" s="3" t="s">
        <v>1663</v>
      </c>
      <c r="J2" s="20" t="s">
        <v>1212</v>
      </c>
      <c r="K2" s="17" t="s">
        <v>79</v>
      </c>
      <c r="L2" s="20" t="s">
        <v>1664</v>
      </c>
      <c r="M2" s="20" t="s">
        <v>1341</v>
      </c>
      <c r="N2" s="17" t="s">
        <v>1341</v>
      </c>
      <c r="O2" s="19" t="s">
        <v>125</v>
      </c>
      <c r="P2" s="171" t="s">
        <v>1665</v>
      </c>
      <c r="Q2" s="17" t="s">
        <v>84</v>
      </c>
      <c r="R2" s="19" t="s">
        <v>1628</v>
      </c>
      <c r="S2" s="19" t="s">
        <v>1532</v>
      </c>
      <c r="T2" s="168" t="s">
        <v>1666</v>
      </c>
      <c r="U2" s="160">
        <v>3.19</v>
      </c>
      <c r="V2" s="146">
        <v>13.44</v>
      </c>
      <c r="W2" s="146">
        <v>42.872999999999998</v>
      </c>
      <c r="X2" s="161">
        <v>0</v>
      </c>
      <c r="Y2" s="161">
        <v>1</v>
      </c>
      <c r="Z2" s="161">
        <v>8.5451145133342405E-4</v>
      </c>
    </row>
    <row r="3" spans="1:26">
      <c r="A3" s="19">
        <v>337</v>
      </c>
      <c r="B3" s="19">
        <v>9963</v>
      </c>
      <c r="C3" s="19" t="s">
        <v>1667</v>
      </c>
      <c r="D3" s="3" t="s">
        <v>1668</v>
      </c>
      <c r="E3" s="20" t="s">
        <v>118</v>
      </c>
      <c r="F3" s="19" t="s">
        <v>1669</v>
      </c>
      <c r="G3" s="19">
        <v>62018528</v>
      </c>
      <c r="H3" s="20" t="s">
        <v>33</v>
      </c>
      <c r="I3" s="3" t="s">
        <v>1670</v>
      </c>
      <c r="J3" s="19" t="s">
        <v>1212</v>
      </c>
      <c r="K3" s="17" t="s">
        <v>30</v>
      </c>
      <c r="L3" s="20" t="s">
        <v>30</v>
      </c>
      <c r="M3" s="20" t="s">
        <v>30</v>
      </c>
      <c r="N3" s="17" t="s">
        <v>1341</v>
      </c>
      <c r="O3" s="19" t="s">
        <v>125</v>
      </c>
      <c r="P3" s="171" t="s">
        <v>1671</v>
      </c>
      <c r="Q3" s="17" t="s">
        <v>755</v>
      </c>
      <c r="R3" s="19" t="s">
        <v>1628</v>
      </c>
      <c r="S3" s="19" t="s">
        <v>1532</v>
      </c>
      <c r="T3" s="172" t="s">
        <v>1672</v>
      </c>
      <c r="U3" s="160">
        <v>3.7454999999999998</v>
      </c>
      <c r="V3" s="146">
        <v>350.738</v>
      </c>
      <c r="W3" s="146">
        <v>1313.69</v>
      </c>
      <c r="X3" s="173">
        <v>0</v>
      </c>
      <c r="Y3" s="161">
        <v>9.0711935747785407E-3</v>
      </c>
      <c r="Z3" s="161">
        <v>1.1272747840432799E-3</v>
      </c>
    </row>
    <row r="4" spans="1:26">
      <c r="A4" s="19">
        <v>337</v>
      </c>
      <c r="B4" s="19">
        <v>9963</v>
      </c>
      <c r="C4" s="19" t="s">
        <v>1673</v>
      </c>
      <c r="D4" s="3" t="s">
        <v>1674</v>
      </c>
      <c r="E4" s="20" t="s">
        <v>118</v>
      </c>
      <c r="F4" s="19" t="s">
        <v>1675</v>
      </c>
      <c r="G4" s="19">
        <v>62018080</v>
      </c>
      <c r="H4" s="20" t="s">
        <v>33</v>
      </c>
      <c r="I4" s="3" t="s">
        <v>1670</v>
      </c>
      <c r="J4" s="19" t="s">
        <v>1212</v>
      </c>
      <c r="K4" s="17" t="s">
        <v>30</v>
      </c>
      <c r="L4" s="20" t="s">
        <v>30</v>
      </c>
      <c r="M4" s="20" t="s">
        <v>30</v>
      </c>
      <c r="N4" s="17" t="s">
        <v>30</v>
      </c>
      <c r="O4" s="19" t="s">
        <v>125</v>
      </c>
      <c r="P4" s="171" t="s">
        <v>1676</v>
      </c>
      <c r="Q4" s="17" t="s">
        <v>84</v>
      </c>
      <c r="R4" s="19" t="s">
        <v>1628</v>
      </c>
      <c r="S4" s="19" t="s">
        <v>1532</v>
      </c>
      <c r="T4" s="168" t="s">
        <v>1677</v>
      </c>
      <c r="U4" s="160">
        <v>3.19</v>
      </c>
      <c r="V4" s="146">
        <v>822.39700000000005</v>
      </c>
      <c r="W4" s="146">
        <v>2623.4450000000002</v>
      </c>
      <c r="X4" s="173">
        <v>0</v>
      </c>
      <c r="Y4" s="161">
        <v>1.8115215167469698E-2</v>
      </c>
      <c r="Z4" s="161">
        <v>2.2511729131858499E-3</v>
      </c>
    </row>
    <row r="5" spans="1:26">
      <c r="A5" s="19">
        <v>337</v>
      </c>
      <c r="B5" s="19">
        <v>9963</v>
      </c>
      <c r="C5" s="19" t="s">
        <v>1678</v>
      </c>
      <c r="D5" s="3" t="s">
        <v>1679</v>
      </c>
      <c r="E5" s="20" t="s">
        <v>269</v>
      </c>
      <c r="F5" s="19" t="s">
        <v>1680</v>
      </c>
      <c r="G5" s="19">
        <v>50000967</v>
      </c>
      <c r="H5" s="20" t="s">
        <v>33</v>
      </c>
      <c r="I5" s="3" t="s">
        <v>1663</v>
      </c>
      <c r="J5" s="19" t="s">
        <v>1212</v>
      </c>
      <c r="K5" s="17" t="s">
        <v>30</v>
      </c>
      <c r="L5" s="20" t="s">
        <v>1681</v>
      </c>
      <c r="M5" s="20" t="s">
        <v>1681</v>
      </c>
      <c r="N5" s="17" t="s">
        <v>30</v>
      </c>
      <c r="O5" s="19" t="s">
        <v>125</v>
      </c>
      <c r="P5" s="171" t="s">
        <v>1682</v>
      </c>
      <c r="Q5" s="17" t="s">
        <v>34</v>
      </c>
      <c r="R5" s="19" t="s">
        <v>1628</v>
      </c>
      <c r="S5" s="19" t="s">
        <v>1532</v>
      </c>
      <c r="T5" s="168" t="s">
        <v>1683</v>
      </c>
      <c r="U5" s="160">
        <v>1</v>
      </c>
      <c r="V5" s="146">
        <v>681.29200000000003</v>
      </c>
      <c r="W5" s="146">
        <v>681.29200000000003</v>
      </c>
      <c r="X5" s="173">
        <v>0</v>
      </c>
      <c r="Y5" s="161">
        <v>4.70440653556322E-3</v>
      </c>
      <c r="Z5" s="161">
        <v>5.8461533399239605E-4</v>
      </c>
    </row>
    <row r="6" spans="1:26">
      <c r="A6" s="19">
        <v>337</v>
      </c>
      <c r="B6" s="19">
        <v>9963</v>
      </c>
      <c r="C6" s="19" t="s">
        <v>1678</v>
      </c>
      <c r="D6" s="3" t="s">
        <v>1679</v>
      </c>
      <c r="E6" s="20" t="s">
        <v>269</v>
      </c>
      <c r="F6" s="19" t="s">
        <v>1684</v>
      </c>
      <c r="G6" s="19">
        <v>50007947</v>
      </c>
      <c r="H6" s="20" t="s">
        <v>33</v>
      </c>
      <c r="I6" s="3" t="s">
        <v>1663</v>
      </c>
      <c r="J6" s="19" t="s">
        <v>1212</v>
      </c>
      <c r="K6" s="17" t="s">
        <v>30</v>
      </c>
      <c r="L6" s="20" t="s">
        <v>1681</v>
      </c>
      <c r="M6" s="20" t="s">
        <v>1681</v>
      </c>
      <c r="N6" s="17" t="s">
        <v>30</v>
      </c>
      <c r="O6" s="19" t="s">
        <v>125</v>
      </c>
      <c r="P6" s="171" t="s">
        <v>1685</v>
      </c>
      <c r="Q6" s="17" t="s">
        <v>34</v>
      </c>
      <c r="R6" s="19" t="s">
        <v>1628</v>
      </c>
      <c r="S6" s="19" t="s">
        <v>1532</v>
      </c>
      <c r="T6" s="168" t="s">
        <v>1686</v>
      </c>
      <c r="U6" s="160">
        <v>1</v>
      </c>
      <c r="V6" s="146">
        <v>2378.9360000000001</v>
      </c>
      <c r="W6" s="146">
        <v>2378.9360000000001</v>
      </c>
      <c r="X6" s="161">
        <v>0</v>
      </c>
      <c r="Y6" s="161">
        <v>1.6426845809074501E-2</v>
      </c>
      <c r="Z6" s="161">
        <v>2.0413597074394798E-3</v>
      </c>
    </row>
    <row r="7" spans="1:26">
      <c r="A7" s="19">
        <v>337</v>
      </c>
      <c r="B7" s="19">
        <v>9963</v>
      </c>
      <c r="C7" s="19" t="s">
        <v>1687</v>
      </c>
      <c r="D7" s="3" t="s">
        <v>1688</v>
      </c>
      <c r="E7" s="20" t="s">
        <v>118</v>
      </c>
      <c r="F7" s="19" t="s">
        <v>1687</v>
      </c>
      <c r="G7" s="19">
        <v>62018569</v>
      </c>
      <c r="H7" s="20" t="s">
        <v>33</v>
      </c>
      <c r="I7" s="3" t="s">
        <v>1670</v>
      </c>
      <c r="J7" s="19" t="s">
        <v>1212</v>
      </c>
      <c r="K7" s="17" t="s">
        <v>30</v>
      </c>
      <c r="L7" s="20" t="s">
        <v>30</v>
      </c>
      <c r="M7" s="20" t="s">
        <v>30</v>
      </c>
      <c r="N7" s="17" t="s">
        <v>138</v>
      </c>
      <c r="O7" s="19" t="s">
        <v>125</v>
      </c>
      <c r="P7" s="171" t="s">
        <v>1689</v>
      </c>
      <c r="Q7" s="17" t="s">
        <v>84</v>
      </c>
      <c r="R7" s="19" t="s">
        <v>1628</v>
      </c>
      <c r="S7" s="19" t="s">
        <v>1532</v>
      </c>
      <c r="T7" s="168" t="s">
        <v>1690</v>
      </c>
      <c r="U7" s="160">
        <v>3.19</v>
      </c>
      <c r="V7" s="146">
        <v>341.45499999999998</v>
      </c>
      <c r="W7" s="146">
        <v>1089.242</v>
      </c>
      <c r="X7" s="161">
        <v>0</v>
      </c>
      <c r="Y7" s="161">
        <v>7.5213502659227903E-3</v>
      </c>
      <c r="Z7" s="161">
        <v>9.3467617318914896E-4</v>
      </c>
    </row>
    <row r="8" spans="1:26">
      <c r="A8" s="19">
        <v>337</v>
      </c>
      <c r="B8" s="19">
        <v>9963</v>
      </c>
      <c r="C8" s="19" t="s">
        <v>1691</v>
      </c>
      <c r="D8" s="3" t="s">
        <v>1692</v>
      </c>
      <c r="E8" s="20" t="s">
        <v>439</v>
      </c>
      <c r="F8" s="19" t="s">
        <v>1693</v>
      </c>
      <c r="G8" s="19">
        <v>62018254</v>
      </c>
      <c r="H8" s="20" t="s">
        <v>33</v>
      </c>
      <c r="I8" s="3" t="s">
        <v>1670</v>
      </c>
      <c r="J8" s="19" t="s">
        <v>1694</v>
      </c>
      <c r="K8" s="17" t="s">
        <v>79</v>
      </c>
      <c r="L8" s="20" t="s">
        <v>1681</v>
      </c>
      <c r="M8" s="20" t="s">
        <v>1681</v>
      </c>
      <c r="N8" s="17" t="s">
        <v>30</v>
      </c>
      <c r="O8" s="19" t="s">
        <v>125</v>
      </c>
      <c r="P8" s="171" t="s">
        <v>1695</v>
      </c>
      <c r="Q8" s="17" t="s">
        <v>84</v>
      </c>
      <c r="R8" s="19" t="s">
        <v>1628</v>
      </c>
      <c r="S8" s="19" t="s">
        <v>1532</v>
      </c>
      <c r="T8" s="168" t="s">
        <v>1696</v>
      </c>
      <c r="U8" s="160">
        <v>3.19</v>
      </c>
      <c r="V8" s="146">
        <v>337.07499999999999</v>
      </c>
      <c r="W8" s="146">
        <v>1075.271</v>
      </c>
      <c r="X8" s="161">
        <v>0</v>
      </c>
      <c r="Y8" s="161">
        <v>7.4248777453101997E-3</v>
      </c>
      <c r="Z8" s="161">
        <v>9.2268755901801704E-4</v>
      </c>
    </row>
    <row r="9" spans="1:26">
      <c r="A9" s="19">
        <v>337</v>
      </c>
      <c r="B9" s="19">
        <v>9963</v>
      </c>
      <c r="C9" s="19" t="s">
        <v>1697</v>
      </c>
      <c r="D9" s="3" t="s">
        <v>1698</v>
      </c>
      <c r="E9" s="20" t="s">
        <v>118</v>
      </c>
      <c r="F9" s="19" t="s">
        <v>1699</v>
      </c>
      <c r="G9" s="19">
        <v>50008341</v>
      </c>
      <c r="H9" s="20" t="s">
        <v>33</v>
      </c>
      <c r="I9" s="3" t="s">
        <v>1700</v>
      </c>
      <c r="J9" s="19" t="s">
        <v>1212</v>
      </c>
      <c r="K9" s="17" t="s">
        <v>30</v>
      </c>
      <c r="L9" s="20" t="s">
        <v>30</v>
      </c>
      <c r="M9" s="20" t="s">
        <v>30</v>
      </c>
      <c r="N9" s="17" t="s">
        <v>30</v>
      </c>
      <c r="O9" s="19" t="s">
        <v>125</v>
      </c>
      <c r="P9" s="171" t="s">
        <v>1701</v>
      </c>
      <c r="Q9" s="17" t="s">
        <v>34</v>
      </c>
      <c r="R9" s="19" t="s">
        <v>1628</v>
      </c>
      <c r="S9" s="19" t="s">
        <v>1532</v>
      </c>
      <c r="T9" s="168" t="s">
        <v>1702</v>
      </c>
      <c r="U9" s="160">
        <v>1</v>
      </c>
      <c r="V9" s="146">
        <v>3362.6030000000001</v>
      </c>
      <c r="W9" s="146">
        <v>3362.6030000000001</v>
      </c>
      <c r="X9" s="161">
        <v>0</v>
      </c>
      <c r="Y9" s="161">
        <v>2.3219188714312201E-2</v>
      </c>
      <c r="Z9" s="161">
        <v>2.88544233212723E-3</v>
      </c>
    </row>
    <row r="10" spans="1:26">
      <c r="A10" s="19">
        <v>337</v>
      </c>
      <c r="B10" s="19">
        <v>9963</v>
      </c>
      <c r="C10" s="19" t="s">
        <v>1703</v>
      </c>
      <c r="D10" s="3" t="s">
        <v>1704</v>
      </c>
      <c r="E10" s="20" t="s">
        <v>439</v>
      </c>
      <c r="F10" s="19" t="s">
        <v>1705</v>
      </c>
      <c r="G10" s="19">
        <v>50006691</v>
      </c>
      <c r="H10" s="20" t="s">
        <v>33</v>
      </c>
      <c r="I10" s="3" t="s">
        <v>1663</v>
      </c>
      <c r="J10" s="19" t="s">
        <v>1212</v>
      </c>
      <c r="K10" s="17" t="s">
        <v>30</v>
      </c>
      <c r="L10" s="20" t="s">
        <v>30</v>
      </c>
      <c r="M10" s="20" t="s">
        <v>30</v>
      </c>
      <c r="N10" s="17" t="s">
        <v>30</v>
      </c>
      <c r="O10" s="19" t="s">
        <v>125</v>
      </c>
      <c r="P10" s="171" t="s">
        <v>1676</v>
      </c>
      <c r="Q10" s="17" t="s">
        <v>34</v>
      </c>
      <c r="R10" s="19" t="s">
        <v>1628</v>
      </c>
      <c r="S10" s="19" t="s">
        <v>1532</v>
      </c>
      <c r="T10" s="168" t="s">
        <v>1706</v>
      </c>
      <c r="U10" s="160">
        <v>1</v>
      </c>
      <c r="V10" s="146">
        <v>3022.2910000000002</v>
      </c>
      <c r="W10" s="146">
        <v>3022.2910000000002</v>
      </c>
      <c r="X10" s="161">
        <v>1.688E-3</v>
      </c>
      <c r="Y10" s="161">
        <v>2.0869295419935999E-2</v>
      </c>
      <c r="Z10" s="161">
        <v>2.5934217249043998E-3</v>
      </c>
    </row>
    <row r="11" spans="1:26">
      <c r="A11" s="19">
        <v>337</v>
      </c>
      <c r="B11" s="19">
        <v>9963</v>
      </c>
      <c r="C11" s="19" t="s">
        <v>1707</v>
      </c>
      <c r="D11" s="3" t="s">
        <v>1708</v>
      </c>
      <c r="E11" s="20" t="s">
        <v>439</v>
      </c>
      <c r="F11" s="19" t="s">
        <v>1709</v>
      </c>
      <c r="G11" s="19">
        <v>62020158</v>
      </c>
      <c r="H11" s="20" t="s">
        <v>33</v>
      </c>
      <c r="I11" s="3" t="s">
        <v>1670</v>
      </c>
      <c r="J11" s="19" t="s">
        <v>1212</v>
      </c>
      <c r="K11" s="17" t="s">
        <v>30</v>
      </c>
      <c r="L11" s="20" t="s">
        <v>30</v>
      </c>
      <c r="M11" s="20" t="s">
        <v>30</v>
      </c>
      <c r="N11" s="17" t="s">
        <v>30</v>
      </c>
      <c r="O11" s="19" t="s">
        <v>125</v>
      </c>
      <c r="P11" s="171" t="s">
        <v>1710</v>
      </c>
      <c r="Q11" s="17" t="s">
        <v>34</v>
      </c>
      <c r="R11" s="19" t="s">
        <v>1628</v>
      </c>
      <c r="S11" s="19" t="s">
        <v>1532</v>
      </c>
      <c r="T11" s="168" t="s">
        <v>1706</v>
      </c>
      <c r="U11" s="160">
        <v>1</v>
      </c>
      <c r="V11" s="146">
        <v>2584.143</v>
      </c>
      <c r="W11" s="146">
        <v>2584.143</v>
      </c>
      <c r="X11" s="161">
        <v>0</v>
      </c>
      <c r="Y11" s="161">
        <v>1.7843829281976899E-2</v>
      </c>
      <c r="Z11" s="161">
        <v>2.2174478622386498E-3</v>
      </c>
    </row>
    <row r="12" spans="1:26">
      <c r="A12" s="19">
        <v>337</v>
      </c>
      <c r="B12" s="19">
        <v>9963</v>
      </c>
      <c r="C12" s="19" t="s">
        <v>1711</v>
      </c>
      <c r="D12" s="3" t="s">
        <v>1712</v>
      </c>
      <c r="E12" s="20" t="s">
        <v>118</v>
      </c>
      <c r="F12" s="19" t="s">
        <v>1713</v>
      </c>
      <c r="G12" s="19">
        <v>50005</v>
      </c>
      <c r="H12" s="20" t="s">
        <v>33</v>
      </c>
      <c r="I12" s="3" t="s">
        <v>1700</v>
      </c>
      <c r="J12" s="19" t="s">
        <v>1212</v>
      </c>
      <c r="K12" s="17" t="s">
        <v>30</v>
      </c>
      <c r="L12" s="20" t="s">
        <v>30</v>
      </c>
      <c r="M12" s="20" t="s">
        <v>30</v>
      </c>
      <c r="N12" s="17" t="s">
        <v>30</v>
      </c>
      <c r="O12" s="19" t="s">
        <v>125</v>
      </c>
      <c r="P12" s="171" t="s">
        <v>1714</v>
      </c>
      <c r="Q12" s="17" t="s">
        <v>34</v>
      </c>
      <c r="R12" s="19" t="s">
        <v>1628</v>
      </c>
      <c r="S12" s="19" t="s">
        <v>1532</v>
      </c>
      <c r="T12" s="168" t="s">
        <v>1715</v>
      </c>
      <c r="U12" s="160">
        <v>1</v>
      </c>
      <c r="V12" s="146">
        <v>11042.612999999999</v>
      </c>
      <c r="W12" s="146">
        <v>11042.612999999999</v>
      </c>
      <c r="X12" s="161">
        <v>0</v>
      </c>
      <c r="Y12" s="161">
        <v>7.6250613141627802E-2</v>
      </c>
      <c r="Z12" s="161">
        <v>9.4756431724030196E-3</v>
      </c>
    </row>
    <row r="13" spans="1:26">
      <c r="A13" s="19">
        <v>337</v>
      </c>
      <c r="B13" s="19">
        <v>9963</v>
      </c>
      <c r="C13" s="19" t="s">
        <v>1716</v>
      </c>
      <c r="D13" s="3" t="s">
        <v>1717</v>
      </c>
      <c r="E13" s="20" t="s">
        <v>118</v>
      </c>
      <c r="F13" s="19" t="s">
        <v>1718</v>
      </c>
      <c r="G13" s="19">
        <v>62017520</v>
      </c>
      <c r="H13" s="20" t="s">
        <v>33</v>
      </c>
      <c r="I13" s="3" t="s">
        <v>1670</v>
      </c>
      <c r="J13" s="19" t="s">
        <v>1212</v>
      </c>
      <c r="K13" s="17" t="s">
        <v>30</v>
      </c>
      <c r="L13" s="20" t="s">
        <v>30</v>
      </c>
      <c r="M13" s="20" t="s">
        <v>30</v>
      </c>
      <c r="N13" s="17" t="s">
        <v>30</v>
      </c>
      <c r="O13" s="19" t="s">
        <v>125</v>
      </c>
      <c r="P13" s="171" t="s">
        <v>1719</v>
      </c>
      <c r="Q13" s="17" t="s">
        <v>84</v>
      </c>
      <c r="R13" s="19" t="s">
        <v>1628</v>
      </c>
      <c r="S13" s="19" t="s">
        <v>1532</v>
      </c>
      <c r="T13" s="168" t="s">
        <v>1720</v>
      </c>
      <c r="U13" s="160">
        <v>3.19</v>
      </c>
      <c r="V13" s="146">
        <v>1070.4739999999999</v>
      </c>
      <c r="W13" s="146">
        <v>3414.8110000000001</v>
      </c>
      <c r="X13" s="161">
        <v>0</v>
      </c>
      <c r="Y13" s="161">
        <v>2.3579695276441399E-2</v>
      </c>
      <c r="Z13" s="161">
        <v>2.9302423855733701E-3</v>
      </c>
    </row>
    <row r="14" spans="1:26">
      <c r="A14" s="19">
        <v>337</v>
      </c>
      <c r="B14" s="19">
        <v>9963</v>
      </c>
      <c r="C14" s="19" t="s">
        <v>1721</v>
      </c>
      <c r="D14" s="3" t="s">
        <v>1722</v>
      </c>
      <c r="E14" s="20" t="s">
        <v>269</v>
      </c>
      <c r="F14" s="19" t="s">
        <v>1723</v>
      </c>
      <c r="G14" s="19">
        <v>62000073</v>
      </c>
      <c r="H14" s="20" t="s">
        <v>33</v>
      </c>
      <c r="I14" s="3" t="s">
        <v>1724</v>
      </c>
      <c r="J14" s="19" t="s">
        <v>1212</v>
      </c>
      <c r="K14" s="17" t="s">
        <v>79</v>
      </c>
      <c r="L14" s="20" t="s">
        <v>1681</v>
      </c>
      <c r="M14" s="20" t="s">
        <v>30</v>
      </c>
      <c r="N14" s="17" t="s">
        <v>80</v>
      </c>
      <c r="O14" s="19" t="s">
        <v>125</v>
      </c>
      <c r="P14" s="171" t="s">
        <v>1725</v>
      </c>
      <c r="Q14" s="17" t="s">
        <v>84</v>
      </c>
      <c r="R14" s="19" t="s">
        <v>1628</v>
      </c>
      <c r="S14" s="19" t="s">
        <v>1532</v>
      </c>
      <c r="T14" s="168" t="s">
        <v>1702</v>
      </c>
      <c r="U14" s="160">
        <v>3.19</v>
      </c>
      <c r="V14" s="146">
        <v>929.71600000000001</v>
      </c>
      <c r="W14" s="146">
        <v>2965.7950000000001</v>
      </c>
      <c r="X14" s="161">
        <v>0</v>
      </c>
      <c r="Y14" s="161">
        <v>2.04791810677174E-2</v>
      </c>
      <c r="Z14" s="161">
        <v>2.5449423193527202E-3</v>
      </c>
    </row>
    <row r="15" spans="1:26">
      <c r="A15" s="19">
        <v>337</v>
      </c>
      <c r="B15" s="19">
        <v>9963</v>
      </c>
      <c r="C15" s="19" t="s">
        <v>1721</v>
      </c>
      <c r="D15" s="3" t="s">
        <v>1722</v>
      </c>
      <c r="E15" s="20" t="s">
        <v>269</v>
      </c>
      <c r="F15" s="19" t="s">
        <v>1721</v>
      </c>
      <c r="G15" s="19">
        <v>60388022</v>
      </c>
      <c r="H15" s="20" t="s">
        <v>33</v>
      </c>
      <c r="I15" s="3" t="s">
        <v>1724</v>
      </c>
      <c r="J15" s="19" t="s">
        <v>1212</v>
      </c>
      <c r="K15" s="17" t="s">
        <v>79</v>
      </c>
      <c r="L15" s="20" t="s">
        <v>1681</v>
      </c>
      <c r="M15" s="20" t="s">
        <v>30</v>
      </c>
      <c r="N15" s="17" t="s">
        <v>80</v>
      </c>
      <c r="O15" s="19" t="s">
        <v>125</v>
      </c>
      <c r="P15" s="171" t="s">
        <v>1726</v>
      </c>
      <c r="Q15" s="17" t="s">
        <v>84</v>
      </c>
      <c r="R15" s="19" t="s">
        <v>1628</v>
      </c>
      <c r="S15" s="19" t="s">
        <v>1532</v>
      </c>
      <c r="T15" s="168" t="s">
        <v>1727</v>
      </c>
      <c r="U15" s="160">
        <v>3.19</v>
      </c>
      <c r="V15" s="146">
        <v>281.32100000000003</v>
      </c>
      <c r="W15" s="146">
        <v>897.41499999999996</v>
      </c>
      <c r="X15" s="161">
        <v>6.8800000000000003E-4</v>
      </c>
      <c r="Y15" s="161">
        <v>6.1967607071347101E-3</v>
      </c>
      <c r="Z15" s="161">
        <v>7.7006978522930699E-4</v>
      </c>
    </row>
    <row r="16" spans="1:26">
      <c r="A16" s="19">
        <v>337</v>
      </c>
      <c r="B16" s="19">
        <v>9963</v>
      </c>
      <c r="C16" s="19" t="s">
        <v>1728</v>
      </c>
      <c r="D16" s="3" t="s">
        <v>1729</v>
      </c>
      <c r="E16" s="20" t="s">
        <v>118</v>
      </c>
      <c r="F16" s="19" t="s">
        <v>1730</v>
      </c>
      <c r="G16" s="19">
        <v>60397874</v>
      </c>
      <c r="H16" s="20" t="s">
        <v>33</v>
      </c>
      <c r="I16" s="3" t="s">
        <v>1670</v>
      </c>
      <c r="J16" s="19" t="s">
        <v>1212</v>
      </c>
      <c r="K16" s="17" t="s">
        <v>79</v>
      </c>
      <c r="L16" s="20" t="s">
        <v>1731</v>
      </c>
      <c r="M16" s="20" t="s">
        <v>1341</v>
      </c>
      <c r="N16" s="17" t="s">
        <v>80</v>
      </c>
      <c r="O16" s="19" t="s">
        <v>125</v>
      </c>
      <c r="P16" s="171" t="s">
        <v>1732</v>
      </c>
      <c r="Q16" s="17" t="s">
        <v>84</v>
      </c>
      <c r="R16" s="19" t="s">
        <v>1628</v>
      </c>
      <c r="S16" s="19" t="s">
        <v>1532</v>
      </c>
      <c r="T16" s="168" t="s">
        <v>1733</v>
      </c>
      <c r="U16" s="160">
        <v>3.19</v>
      </c>
      <c r="V16" s="146">
        <v>664.35299999999995</v>
      </c>
      <c r="W16" s="146">
        <v>2119.2849999999999</v>
      </c>
      <c r="X16" s="161">
        <v>1.3389999999999999E-3</v>
      </c>
      <c r="Y16" s="161">
        <v>1.4633927149671501E-2</v>
      </c>
      <c r="Z16" s="161">
        <v>1.8185541881961E-3</v>
      </c>
    </row>
    <row r="17" spans="1:26">
      <c r="A17" s="19">
        <v>337</v>
      </c>
      <c r="B17" s="19">
        <v>9963</v>
      </c>
      <c r="C17" s="19" t="s">
        <v>1734</v>
      </c>
      <c r="D17" s="3" t="s">
        <v>1735</v>
      </c>
      <c r="E17" s="20" t="s">
        <v>269</v>
      </c>
      <c r="F17" s="19" t="s">
        <v>1736</v>
      </c>
      <c r="G17" s="19">
        <v>62020409</v>
      </c>
      <c r="H17" s="20" t="s">
        <v>33</v>
      </c>
      <c r="I17" s="3" t="s">
        <v>1670</v>
      </c>
      <c r="J17" s="19" t="s">
        <v>1212</v>
      </c>
      <c r="K17" s="17" t="s">
        <v>79</v>
      </c>
      <c r="L17" s="20" t="s">
        <v>80</v>
      </c>
      <c r="M17" s="20" t="s">
        <v>80</v>
      </c>
      <c r="N17" s="17" t="s">
        <v>80</v>
      </c>
      <c r="O17" s="19" t="s">
        <v>125</v>
      </c>
      <c r="P17" s="171" t="s">
        <v>1737</v>
      </c>
      <c r="Q17" s="17" t="s">
        <v>84</v>
      </c>
      <c r="R17" s="19" t="s">
        <v>1628</v>
      </c>
      <c r="S17" s="19" t="s">
        <v>1532</v>
      </c>
      <c r="T17" s="168" t="s">
        <v>1738</v>
      </c>
      <c r="U17" s="160">
        <v>3.19</v>
      </c>
      <c r="V17" s="146">
        <v>1442.1020000000001</v>
      </c>
      <c r="W17" s="146">
        <v>4600.3040000000001</v>
      </c>
      <c r="X17" s="161">
        <v>0</v>
      </c>
      <c r="Y17" s="161">
        <v>3.1765674119008699E-2</v>
      </c>
      <c r="Z17" s="161">
        <v>3.9475117730986102E-3</v>
      </c>
    </row>
    <row r="18" spans="1:26">
      <c r="A18" s="19">
        <v>337</v>
      </c>
      <c r="B18" s="19">
        <v>9963</v>
      </c>
      <c r="C18" s="19" t="s">
        <v>1739</v>
      </c>
      <c r="D18" s="3" t="s">
        <v>1740</v>
      </c>
      <c r="E18" s="20" t="s">
        <v>269</v>
      </c>
      <c r="F18" s="19" t="s">
        <v>1741</v>
      </c>
      <c r="G18" s="19">
        <v>62022132</v>
      </c>
      <c r="H18" s="20" t="s">
        <v>33</v>
      </c>
      <c r="I18" s="3" t="s">
        <v>1670</v>
      </c>
      <c r="J18" s="19" t="s">
        <v>1212</v>
      </c>
      <c r="K18" s="17" t="s">
        <v>79</v>
      </c>
      <c r="L18" s="20" t="s">
        <v>1681</v>
      </c>
      <c r="M18" s="20" t="s">
        <v>80</v>
      </c>
      <c r="N18" s="17" t="s">
        <v>80</v>
      </c>
      <c r="O18" s="19" t="s">
        <v>125</v>
      </c>
      <c r="P18" s="171" t="s">
        <v>1742</v>
      </c>
      <c r="Q18" s="17" t="s">
        <v>84</v>
      </c>
      <c r="R18" s="19" t="s">
        <v>1628</v>
      </c>
      <c r="S18" s="19" t="s">
        <v>1532</v>
      </c>
      <c r="T18" s="168" t="s">
        <v>1743</v>
      </c>
      <c r="U18" s="160">
        <v>3.19</v>
      </c>
      <c r="V18" s="146">
        <v>543.69899999999996</v>
      </c>
      <c r="W18" s="146">
        <v>1734.4</v>
      </c>
      <c r="X18" s="161">
        <v>3.1799999999999998E-4</v>
      </c>
      <c r="Y18" s="161">
        <v>1.1976248782420601E-2</v>
      </c>
      <c r="Z18" s="161">
        <v>1.4882852128068899E-3</v>
      </c>
    </row>
    <row r="19" spans="1:26">
      <c r="A19" s="19">
        <v>337</v>
      </c>
      <c r="B19" s="19">
        <v>9963</v>
      </c>
      <c r="C19" s="19" t="s">
        <v>1744</v>
      </c>
      <c r="D19" s="3" t="s">
        <v>1745</v>
      </c>
      <c r="E19" s="20" t="s">
        <v>269</v>
      </c>
      <c r="F19" s="19" t="s">
        <v>1746</v>
      </c>
      <c r="G19" s="19">
        <v>62022363</v>
      </c>
      <c r="H19" s="20" t="s">
        <v>33</v>
      </c>
      <c r="I19" s="3" t="s">
        <v>1724</v>
      </c>
      <c r="J19" s="19" t="s">
        <v>1747</v>
      </c>
      <c r="K19" s="17" t="s">
        <v>79</v>
      </c>
      <c r="L19" s="20" t="s">
        <v>80</v>
      </c>
      <c r="M19" s="20" t="s">
        <v>1748</v>
      </c>
      <c r="N19" s="17" t="s">
        <v>1748</v>
      </c>
      <c r="O19" s="19" t="s">
        <v>125</v>
      </c>
      <c r="P19" s="171" t="s">
        <v>1749</v>
      </c>
      <c r="Q19" s="17" t="s">
        <v>755</v>
      </c>
      <c r="R19" s="19" t="s">
        <v>1628</v>
      </c>
      <c r="S19" s="19" t="s">
        <v>1532</v>
      </c>
      <c r="T19" s="168" t="s">
        <v>1533</v>
      </c>
      <c r="U19" s="160">
        <v>3.7454999999999998</v>
      </c>
      <c r="V19" s="146">
        <v>264.98099999999999</v>
      </c>
      <c r="W19" s="146">
        <v>992.48599999999999</v>
      </c>
      <c r="X19" s="161">
        <v>2.1029999999999998E-3</v>
      </c>
      <c r="Y19" s="161">
        <v>6.8532386697899997E-3</v>
      </c>
      <c r="Z19" s="161">
        <v>8.5165012495868795E-4</v>
      </c>
    </row>
    <row r="20" spans="1:26">
      <c r="A20" s="3">
        <v>337</v>
      </c>
      <c r="B20" s="3">
        <v>9963</v>
      </c>
      <c r="C20" s="3" t="s">
        <v>1750</v>
      </c>
      <c r="D20" s="3" t="s">
        <v>1751</v>
      </c>
      <c r="E20" s="20" t="s">
        <v>439</v>
      </c>
      <c r="F20" s="3" t="s">
        <v>1752</v>
      </c>
      <c r="G20" s="3">
        <v>62020128</v>
      </c>
      <c r="H20" s="20" t="s">
        <v>33</v>
      </c>
      <c r="I20" s="3" t="s">
        <v>1670</v>
      </c>
      <c r="J20" s="19" t="s">
        <v>1212</v>
      </c>
      <c r="K20" s="17" t="s">
        <v>79</v>
      </c>
      <c r="L20" s="20" t="s">
        <v>30</v>
      </c>
      <c r="M20" s="20" t="s">
        <v>30</v>
      </c>
      <c r="N20" s="17" t="s">
        <v>80</v>
      </c>
      <c r="O20" s="19" t="s">
        <v>125</v>
      </c>
      <c r="P20" s="171" t="s">
        <v>1753</v>
      </c>
      <c r="Q20" s="3" t="s">
        <v>84</v>
      </c>
      <c r="R20" s="19" t="s">
        <v>1628</v>
      </c>
      <c r="S20" s="19" t="s">
        <v>1532</v>
      </c>
      <c r="T20" s="169" t="s">
        <v>1754</v>
      </c>
      <c r="U20" s="153">
        <v>3.19</v>
      </c>
      <c r="V20" s="143">
        <v>95.117000000000004</v>
      </c>
      <c r="W20" s="143">
        <v>303.42399999999998</v>
      </c>
      <c r="X20" s="155">
        <v>0</v>
      </c>
      <c r="Y20" s="155">
        <v>2.0951802542361498E-3</v>
      </c>
      <c r="Z20" s="155">
        <v>2.6036748628015699E-4</v>
      </c>
    </row>
    <row r="21" spans="1:26">
      <c r="A21" s="3">
        <v>337</v>
      </c>
      <c r="B21" s="3">
        <v>9963</v>
      </c>
      <c r="C21" s="3" t="s">
        <v>1755</v>
      </c>
      <c r="D21" s="3" t="s">
        <v>1756</v>
      </c>
      <c r="E21" s="3" t="s">
        <v>269</v>
      </c>
      <c r="F21" s="3" t="s">
        <v>1757</v>
      </c>
      <c r="G21" s="3">
        <v>62019567</v>
      </c>
      <c r="H21" s="3" t="s">
        <v>33</v>
      </c>
      <c r="I21" s="3" t="s">
        <v>1670</v>
      </c>
      <c r="J21" s="3" t="s">
        <v>1212</v>
      </c>
      <c r="K21" s="3" t="s">
        <v>79</v>
      </c>
      <c r="L21" s="3" t="s">
        <v>1681</v>
      </c>
      <c r="M21" s="3" t="s">
        <v>1681</v>
      </c>
      <c r="N21" s="3" t="s">
        <v>80</v>
      </c>
      <c r="O21" s="3" t="s">
        <v>125</v>
      </c>
      <c r="P21" s="171" t="s">
        <v>1758</v>
      </c>
      <c r="Q21" s="3" t="s">
        <v>84</v>
      </c>
      <c r="R21" s="3" t="s">
        <v>1628</v>
      </c>
      <c r="S21" s="3" t="s">
        <v>1532</v>
      </c>
      <c r="T21" s="169" t="s">
        <v>1759</v>
      </c>
      <c r="U21" s="153">
        <v>3.19</v>
      </c>
      <c r="V21" s="143">
        <v>362.28399999999999</v>
      </c>
      <c r="W21" s="143">
        <v>1155.6859999999999</v>
      </c>
      <c r="X21" s="155">
        <v>0</v>
      </c>
      <c r="Y21" s="155">
        <v>7.9801545388258396E-3</v>
      </c>
      <c r="Z21" s="155">
        <v>9.9169165669651602E-4</v>
      </c>
    </row>
    <row r="22" spans="1:26">
      <c r="A22" s="3">
        <v>337</v>
      </c>
      <c r="B22" s="3">
        <v>9963</v>
      </c>
      <c r="C22" s="3" t="s">
        <v>1755</v>
      </c>
      <c r="D22" s="3" t="s">
        <v>1756</v>
      </c>
      <c r="E22" s="3" t="s">
        <v>269</v>
      </c>
      <c r="F22" s="3" t="s">
        <v>1760</v>
      </c>
      <c r="G22" s="3">
        <v>62019575</v>
      </c>
      <c r="H22" s="3" t="s">
        <v>33</v>
      </c>
      <c r="I22" s="3" t="s">
        <v>1670</v>
      </c>
      <c r="J22" s="3" t="s">
        <v>1212</v>
      </c>
      <c r="K22" s="3" t="s">
        <v>79</v>
      </c>
      <c r="L22" s="3" t="s">
        <v>1681</v>
      </c>
      <c r="M22" s="3" t="s">
        <v>1681</v>
      </c>
      <c r="N22" s="3" t="s">
        <v>80</v>
      </c>
      <c r="O22" s="3" t="s">
        <v>125</v>
      </c>
      <c r="P22" s="171" t="s">
        <v>1758</v>
      </c>
      <c r="Q22" s="3" t="s">
        <v>84</v>
      </c>
      <c r="R22" s="3" t="s">
        <v>1628</v>
      </c>
      <c r="S22" s="3" t="s">
        <v>1532</v>
      </c>
      <c r="T22" s="169" t="s">
        <v>1759</v>
      </c>
      <c r="U22" s="153">
        <v>3.19</v>
      </c>
      <c r="V22" s="143">
        <v>361.64</v>
      </c>
      <c r="W22" s="143">
        <v>1153.633</v>
      </c>
      <c r="X22" s="155">
        <v>0</v>
      </c>
      <c r="Y22" s="155">
        <v>7.9659776563733593E-3</v>
      </c>
      <c r="Z22" s="155">
        <v>9.8992989932982596E-4</v>
      </c>
    </row>
    <row r="23" spans="1:26">
      <c r="A23" s="3">
        <v>337</v>
      </c>
      <c r="B23" s="3">
        <v>9963</v>
      </c>
      <c r="C23" s="3" t="s">
        <v>1761</v>
      </c>
      <c r="D23" s="3" t="s">
        <v>1762</v>
      </c>
      <c r="E23" s="3" t="s">
        <v>269</v>
      </c>
      <c r="F23" s="3" t="s">
        <v>1763</v>
      </c>
      <c r="G23" s="3">
        <v>62017934</v>
      </c>
      <c r="H23" s="3" t="s">
        <v>33</v>
      </c>
      <c r="I23" s="3" t="s">
        <v>1670</v>
      </c>
      <c r="J23" s="3" t="s">
        <v>1212</v>
      </c>
      <c r="K23" s="3" t="s">
        <v>79</v>
      </c>
      <c r="L23" s="3" t="s">
        <v>1681</v>
      </c>
      <c r="M23" s="3" t="s">
        <v>80</v>
      </c>
      <c r="N23" s="3" t="s">
        <v>80</v>
      </c>
      <c r="O23" s="3" t="s">
        <v>125</v>
      </c>
      <c r="P23" s="171" t="s">
        <v>1764</v>
      </c>
      <c r="Q23" s="3" t="s">
        <v>84</v>
      </c>
      <c r="R23" s="3" t="s">
        <v>1628</v>
      </c>
      <c r="S23" s="3" t="s">
        <v>1532</v>
      </c>
      <c r="T23" s="169" t="s">
        <v>1759</v>
      </c>
      <c r="U23" s="153">
        <v>3.19</v>
      </c>
      <c r="V23" s="143">
        <v>1199.6020000000001</v>
      </c>
      <c r="W23" s="143">
        <v>3826.73</v>
      </c>
      <c r="X23" s="155">
        <v>0</v>
      </c>
      <c r="Y23" s="155">
        <v>2.6424047669681001E-2</v>
      </c>
      <c r="Z23" s="155">
        <v>3.28370929192923E-3</v>
      </c>
    </row>
    <row r="24" spans="1:26">
      <c r="A24" s="3">
        <v>337</v>
      </c>
      <c r="B24" s="3">
        <v>9963</v>
      </c>
      <c r="C24" s="3" t="s">
        <v>1661</v>
      </c>
      <c r="D24" s="3" t="s">
        <v>1662</v>
      </c>
      <c r="E24" s="3" t="s">
        <v>269</v>
      </c>
      <c r="F24" s="3" t="s">
        <v>1661</v>
      </c>
      <c r="G24" s="3">
        <v>62019286</v>
      </c>
      <c r="H24" s="3" t="s">
        <v>33</v>
      </c>
      <c r="I24" s="3" t="s">
        <v>1663</v>
      </c>
      <c r="J24" s="3" t="s">
        <v>1212</v>
      </c>
      <c r="K24" s="3" t="s">
        <v>79</v>
      </c>
      <c r="L24" s="3" t="s">
        <v>1664</v>
      </c>
      <c r="M24" s="3" t="s">
        <v>1341</v>
      </c>
      <c r="N24" s="3" t="s">
        <v>1341</v>
      </c>
      <c r="O24" s="3" t="s">
        <v>125</v>
      </c>
      <c r="P24" s="171" t="s">
        <v>1665</v>
      </c>
      <c r="Q24" s="3" t="s">
        <v>84</v>
      </c>
      <c r="R24" s="3" t="s">
        <v>1628</v>
      </c>
      <c r="S24" s="3" t="s">
        <v>1532</v>
      </c>
      <c r="T24" s="169" t="s">
        <v>1666</v>
      </c>
      <c r="U24" s="153">
        <v>3.19</v>
      </c>
      <c r="V24" s="143">
        <v>638.41999999999996</v>
      </c>
      <c r="W24" s="143">
        <v>2036.559</v>
      </c>
      <c r="X24" s="155">
        <v>0</v>
      </c>
      <c r="Y24" s="155">
        <v>1.4062692110525601E-2</v>
      </c>
      <c r="Z24" s="155">
        <v>1.7475669636282699E-3</v>
      </c>
    </row>
    <row r="25" spans="1:26">
      <c r="A25" s="3">
        <v>337</v>
      </c>
      <c r="B25" s="3">
        <v>9963</v>
      </c>
      <c r="C25" s="3" t="s">
        <v>1765</v>
      </c>
      <c r="D25" s="3" t="s">
        <v>1766</v>
      </c>
      <c r="E25" s="3" t="s">
        <v>269</v>
      </c>
      <c r="F25" s="3" t="s">
        <v>1765</v>
      </c>
      <c r="G25" s="3">
        <v>62019765</v>
      </c>
      <c r="H25" s="3" t="s">
        <v>33</v>
      </c>
      <c r="I25" s="3" t="s">
        <v>1670</v>
      </c>
      <c r="J25" s="3" t="s">
        <v>1212</v>
      </c>
      <c r="K25" s="3" t="s">
        <v>79</v>
      </c>
      <c r="L25" s="3" t="s">
        <v>1767</v>
      </c>
      <c r="M25" s="3" t="s">
        <v>1767</v>
      </c>
      <c r="N25" s="3" t="s">
        <v>1341</v>
      </c>
      <c r="O25" s="3" t="s">
        <v>125</v>
      </c>
      <c r="P25" s="171" t="s">
        <v>1768</v>
      </c>
      <c r="Q25" s="3" t="s">
        <v>755</v>
      </c>
      <c r="R25" s="3" t="s">
        <v>1628</v>
      </c>
      <c r="S25" s="3" t="s">
        <v>1532</v>
      </c>
      <c r="T25" s="169" t="s">
        <v>1672</v>
      </c>
      <c r="U25" s="153">
        <v>3.7454999999999998</v>
      </c>
      <c r="V25" s="143">
        <v>660.36400000000003</v>
      </c>
      <c r="W25" s="143">
        <v>2473.3919999999998</v>
      </c>
      <c r="X25" s="155">
        <v>0</v>
      </c>
      <c r="Y25" s="155">
        <v>1.7079082369535301E-2</v>
      </c>
      <c r="Z25" s="155">
        <v>2.12241296925971E-3</v>
      </c>
    </row>
    <row r="26" spans="1:26">
      <c r="A26" s="3">
        <v>337</v>
      </c>
      <c r="B26" s="3">
        <v>9963</v>
      </c>
      <c r="C26" s="3" t="s">
        <v>1769</v>
      </c>
      <c r="D26" s="3" t="s">
        <v>1770</v>
      </c>
      <c r="E26" s="3" t="s">
        <v>269</v>
      </c>
      <c r="F26" s="3" t="s">
        <v>1771</v>
      </c>
      <c r="G26" s="3">
        <v>62021078</v>
      </c>
      <c r="H26" s="3" t="s">
        <v>33</v>
      </c>
      <c r="I26" s="3" t="s">
        <v>1670</v>
      </c>
      <c r="J26" s="3" t="s">
        <v>1212</v>
      </c>
      <c r="K26" s="3" t="s">
        <v>79</v>
      </c>
      <c r="L26" s="3" t="s">
        <v>1681</v>
      </c>
      <c r="M26" s="3" t="s">
        <v>80</v>
      </c>
      <c r="N26" s="3" t="s">
        <v>80</v>
      </c>
      <c r="O26" s="3" t="s">
        <v>125</v>
      </c>
      <c r="P26" s="171" t="s">
        <v>1772</v>
      </c>
      <c r="Q26" s="3" t="s">
        <v>84</v>
      </c>
      <c r="R26" s="3" t="s">
        <v>1628</v>
      </c>
      <c r="S26" s="3" t="s">
        <v>1532</v>
      </c>
      <c r="T26" s="169" t="s">
        <v>1738</v>
      </c>
      <c r="U26" s="153">
        <v>3.19</v>
      </c>
      <c r="V26" s="143">
        <v>536.43100000000004</v>
      </c>
      <c r="W26" s="143">
        <v>1711.2149999999999</v>
      </c>
      <c r="X26" s="155">
        <v>0</v>
      </c>
      <c r="Y26" s="155">
        <v>1.18161517264436E-2</v>
      </c>
      <c r="Z26" s="155">
        <v>1.46838999475045E-3</v>
      </c>
    </row>
    <row r="27" spans="1:26">
      <c r="A27" s="3">
        <v>337</v>
      </c>
      <c r="B27" s="3">
        <v>9963</v>
      </c>
      <c r="C27" s="3" t="s">
        <v>1773</v>
      </c>
      <c r="D27" s="3" t="s">
        <v>1774</v>
      </c>
      <c r="E27" s="3" t="s">
        <v>269</v>
      </c>
      <c r="F27" s="3" t="s">
        <v>1775</v>
      </c>
      <c r="G27" s="3">
        <v>62009865</v>
      </c>
      <c r="H27" s="3" t="s">
        <v>33</v>
      </c>
      <c r="I27" s="3" t="s">
        <v>1724</v>
      </c>
      <c r="J27" s="3" t="s">
        <v>1212</v>
      </c>
      <c r="K27" s="3" t="s">
        <v>79</v>
      </c>
      <c r="L27" s="3" t="s">
        <v>80</v>
      </c>
      <c r="M27" s="3" t="s">
        <v>80</v>
      </c>
      <c r="N27" s="3" t="s">
        <v>80</v>
      </c>
      <c r="O27" s="3" t="s">
        <v>125</v>
      </c>
      <c r="P27" s="171" t="s">
        <v>1776</v>
      </c>
      <c r="Q27" s="3" t="s">
        <v>84</v>
      </c>
      <c r="R27" s="3" t="s">
        <v>1628</v>
      </c>
      <c r="S27" s="3" t="s">
        <v>1532</v>
      </c>
      <c r="T27" s="169" t="s">
        <v>1715</v>
      </c>
      <c r="U27" s="153">
        <v>3.19</v>
      </c>
      <c r="V27" s="143">
        <v>450.721</v>
      </c>
      <c r="W27" s="143">
        <v>1437.799</v>
      </c>
      <c r="X27" s="155">
        <v>0</v>
      </c>
      <c r="Y27" s="155">
        <v>9.9281797483135002E-3</v>
      </c>
      <c r="Z27" s="155">
        <v>1.2337722251722801E-3</v>
      </c>
    </row>
    <row r="28" spans="1:26">
      <c r="A28" s="3">
        <v>337</v>
      </c>
      <c r="B28" s="3">
        <v>9963</v>
      </c>
      <c r="C28" s="3" t="s">
        <v>1777</v>
      </c>
      <c r="D28" s="3" t="s">
        <v>1778</v>
      </c>
      <c r="E28" s="3" t="s">
        <v>269</v>
      </c>
      <c r="F28" s="3" t="s">
        <v>1779</v>
      </c>
      <c r="G28" s="3">
        <v>62020359</v>
      </c>
      <c r="H28" s="3" t="s">
        <v>33</v>
      </c>
      <c r="I28" s="3" t="s">
        <v>1724</v>
      </c>
      <c r="J28" s="3" t="s">
        <v>1212</v>
      </c>
      <c r="K28" s="3" t="s">
        <v>79</v>
      </c>
      <c r="L28" s="3" t="s">
        <v>1681</v>
      </c>
      <c r="M28" s="3" t="s">
        <v>80</v>
      </c>
      <c r="N28" s="3" t="s">
        <v>80</v>
      </c>
      <c r="O28" s="3" t="s">
        <v>125</v>
      </c>
      <c r="P28" s="171" t="s">
        <v>1780</v>
      </c>
      <c r="Q28" s="3" t="s">
        <v>84</v>
      </c>
      <c r="R28" s="3" t="s">
        <v>1628</v>
      </c>
      <c r="S28" s="3" t="s">
        <v>1532</v>
      </c>
      <c r="T28" s="169" t="s">
        <v>1702</v>
      </c>
      <c r="U28" s="153">
        <v>3.19</v>
      </c>
      <c r="V28" s="143">
        <v>1745.492</v>
      </c>
      <c r="W28" s="143">
        <v>5568.1210000000001</v>
      </c>
      <c r="X28" s="155">
        <v>0</v>
      </c>
      <c r="Y28" s="155">
        <v>3.8448567092531999E-2</v>
      </c>
      <c r="Z28" s="155">
        <v>4.7779930842304598E-3</v>
      </c>
    </row>
    <row r="29" spans="1:26">
      <c r="A29" s="3">
        <v>337</v>
      </c>
      <c r="B29" s="3">
        <v>9963</v>
      </c>
      <c r="C29" s="3" t="s">
        <v>1781</v>
      </c>
      <c r="D29" s="3" t="s">
        <v>1774</v>
      </c>
      <c r="E29" s="3" t="s">
        <v>269</v>
      </c>
      <c r="F29" s="3" t="s">
        <v>1782</v>
      </c>
      <c r="G29" s="3">
        <v>62016969</v>
      </c>
      <c r="H29" s="3" t="s">
        <v>33</v>
      </c>
      <c r="I29" s="3" t="s">
        <v>1663</v>
      </c>
      <c r="J29" s="3" t="s">
        <v>1212</v>
      </c>
      <c r="K29" s="3" t="s">
        <v>79</v>
      </c>
      <c r="L29" s="3" t="s">
        <v>80</v>
      </c>
      <c r="M29" s="3" t="s">
        <v>80</v>
      </c>
      <c r="N29" s="3" t="s">
        <v>80</v>
      </c>
      <c r="O29" s="3" t="s">
        <v>125</v>
      </c>
      <c r="P29" s="171" t="s">
        <v>1783</v>
      </c>
      <c r="Q29" s="3" t="s">
        <v>84</v>
      </c>
      <c r="R29" s="3" t="s">
        <v>1628</v>
      </c>
      <c r="S29" s="3" t="s">
        <v>1532</v>
      </c>
      <c r="T29" s="169" t="s">
        <v>1706</v>
      </c>
      <c r="U29" s="153">
        <v>3.19</v>
      </c>
      <c r="V29" s="143">
        <v>694.51099999999997</v>
      </c>
      <c r="W29" s="143">
        <v>2215.4920000000002</v>
      </c>
      <c r="X29" s="155">
        <v>0</v>
      </c>
      <c r="Y29" s="155">
        <v>1.52982444945597E-2</v>
      </c>
      <c r="Z29" s="155">
        <v>1.9011087258456101E-3</v>
      </c>
    </row>
    <row r="30" spans="1:26">
      <c r="A30" s="3">
        <v>337</v>
      </c>
      <c r="B30" s="3">
        <v>9963</v>
      </c>
      <c r="C30" s="3" t="s">
        <v>1784</v>
      </c>
      <c r="D30" s="3" t="s">
        <v>1785</v>
      </c>
      <c r="E30" s="3" t="s">
        <v>118</v>
      </c>
      <c r="F30" s="3" t="s">
        <v>1786</v>
      </c>
      <c r="G30" s="3">
        <v>62018891</v>
      </c>
      <c r="H30" s="3" t="s">
        <v>33</v>
      </c>
      <c r="I30" s="3" t="s">
        <v>1670</v>
      </c>
      <c r="J30" s="3" t="s">
        <v>1212</v>
      </c>
      <c r="K30" s="3" t="s">
        <v>79</v>
      </c>
      <c r="L30" s="3" t="s">
        <v>1767</v>
      </c>
      <c r="M30" s="3" t="s">
        <v>1767</v>
      </c>
      <c r="N30" s="3" t="s">
        <v>138</v>
      </c>
      <c r="O30" s="3" t="s">
        <v>125</v>
      </c>
      <c r="P30" s="171" t="s">
        <v>1787</v>
      </c>
      <c r="Q30" s="3" t="s">
        <v>755</v>
      </c>
      <c r="R30" s="3" t="s">
        <v>1628</v>
      </c>
      <c r="S30" s="3" t="s">
        <v>1532</v>
      </c>
      <c r="T30" s="169" t="s">
        <v>1788</v>
      </c>
      <c r="U30" s="153">
        <v>3.7454999999999998</v>
      </c>
      <c r="V30" s="143">
        <v>1274.5930000000001</v>
      </c>
      <c r="W30" s="143">
        <v>4773.9889999999996</v>
      </c>
      <c r="X30" s="155">
        <v>0</v>
      </c>
      <c r="Y30" s="155">
        <v>3.2964988930906998E-2</v>
      </c>
      <c r="Z30" s="155">
        <v>4.0965503019799203E-3</v>
      </c>
    </row>
    <row r="31" spans="1:26">
      <c r="A31" s="3">
        <v>337</v>
      </c>
      <c r="B31" s="3">
        <v>9963</v>
      </c>
      <c r="C31" s="3" t="s">
        <v>1789</v>
      </c>
      <c r="D31" s="3" t="s">
        <v>1790</v>
      </c>
      <c r="E31" s="3" t="s">
        <v>118</v>
      </c>
      <c r="F31" s="3" t="s">
        <v>1791</v>
      </c>
      <c r="G31" s="3">
        <v>62017942</v>
      </c>
      <c r="H31" s="3" t="s">
        <v>33</v>
      </c>
      <c r="I31" s="3" t="s">
        <v>1724</v>
      </c>
      <c r="J31" s="3" t="s">
        <v>1212</v>
      </c>
      <c r="K31" s="3" t="s">
        <v>79</v>
      </c>
      <c r="L31" s="3" t="s">
        <v>1681</v>
      </c>
      <c r="M31" s="3" t="s">
        <v>30</v>
      </c>
      <c r="N31" s="3" t="s">
        <v>1341</v>
      </c>
      <c r="O31" s="3" t="s">
        <v>125</v>
      </c>
      <c r="P31" s="171" t="s">
        <v>1764</v>
      </c>
      <c r="Q31" s="3" t="s">
        <v>755</v>
      </c>
      <c r="R31" s="3" t="s">
        <v>1628</v>
      </c>
      <c r="S31" s="3" t="s">
        <v>1532</v>
      </c>
      <c r="T31" s="169" t="s">
        <v>1792</v>
      </c>
      <c r="U31" s="153">
        <v>3.7454999999999998</v>
      </c>
      <c r="V31" s="143">
        <v>709.51900000000001</v>
      </c>
      <c r="W31" s="143">
        <v>2657.5050000000001</v>
      </c>
      <c r="X31" s="155">
        <v>0</v>
      </c>
      <c r="Y31" s="155">
        <v>1.83504040659247E-2</v>
      </c>
      <c r="Z31" s="155">
        <v>2.2803997742962098E-3</v>
      </c>
    </row>
    <row r="32" spans="1:26">
      <c r="A32" s="3">
        <v>337</v>
      </c>
      <c r="B32" s="3">
        <v>9963</v>
      </c>
      <c r="C32" s="3" t="s">
        <v>1793</v>
      </c>
      <c r="D32" s="3" t="s">
        <v>1794</v>
      </c>
      <c r="E32" s="3" t="s">
        <v>269</v>
      </c>
      <c r="F32" s="3" t="s">
        <v>1795</v>
      </c>
      <c r="G32" s="3">
        <v>62017959</v>
      </c>
      <c r="H32" s="3" t="s">
        <v>33</v>
      </c>
      <c r="I32" s="3" t="s">
        <v>1670</v>
      </c>
      <c r="J32" s="3" t="s">
        <v>1212</v>
      </c>
      <c r="K32" s="3" t="s">
        <v>79</v>
      </c>
      <c r="L32" s="3" t="s">
        <v>80</v>
      </c>
      <c r="M32" s="3" t="s">
        <v>80</v>
      </c>
      <c r="N32" s="3" t="s">
        <v>80</v>
      </c>
      <c r="O32" s="3" t="s">
        <v>125</v>
      </c>
      <c r="P32" s="171" t="s">
        <v>1796</v>
      </c>
      <c r="Q32" s="3" t="s">
        <v>84</v>
      </c>
      <c r="R32" s="3" t="s">
        <v>1628</v>
      </c>
      <c r="S32" s="3" t="s">
        <v>1532</v>
      </c>
      <c r="T32" s="169" t="s">
        <v>1797</v>
      </c>
      <c r="U32" s="153">
        <v>3.19</v>
      </c>
      <c r="V32" s="143">
        <v>221.41499999999999</v>
      </c>
      <c r="W32" s="143">
        <v>706.31200000000001</v>
      </c>
      <c r="X32" s="155">
        <v>0</v>
      </c>
      <c r="Y32" s="155">
        <v>4.8771752770027897E-3</v>
      </c>
      <c r="Z32" s="155">
        <v>6.0608525899071399E-4</v>
      </c>
    </row>
    <row r="33" spans="1:26">
      <c r="A33" s="3">
        <v>337</v>
      </c>
      <c r="B33" s="3">
        <v>9963</v>
      </c>
      <c r="C33" s="3" t="s">
        <v>1793</v>
      </c>
      <c r="D33" s="3" t="s">
        <v>1794</v>
      </c>
      <c r="E33" s="3" t="s">
        <v>269</v>
      </c>
      <c r="F33" s="3" t="s">
        <v>1798</v>
      </c>
      <c r="G33" s="3">
        <v>62018130</v>
      </c>
      <c r="H33" s="3" t="s">
        <v>33</v>
      </c>
      <c r="I33" s="3" t="s">
        <v>1670</v>
      </c>
      <c r="J33" s="3" t="s">
        <v>1212</v>
      </c>
      <c r="K33" s="3" t="s">
        <v>79</v>
      </c>
      <c r="L33" s="3" t="s">
        <v>1681</v>
      </c>
      <c r="M33" s="3" t="s">
        <v>1681</v>
      </c>
      <c r="N33" s="3" t="s">
        <v>80</v>
      </c>
      <c r="O33" s="3" t="s">
        <v>125</v>
      </c>
      <c r="P33" s="171" t="s">
        <v>1799</v>
      </c>
      <c r="Q33" s="3" t="s">
        <v>84</v>
      </c>
      <c r="R33" s="3" t="s">
        <v>1628</v>
      </c>
      <c r="S33" s="3" t="s">
        <v>1532</v>
      </c>
      <c r="T33" s="169" t="s">
        <v>1800</v>
      </c>
      <c r="U33" s="153">
        <v>3.19</v>
      </c>
      <c r="V33" s="143">
        <v>279.45800000000003</v>
      </c>
      <c r="W33" s="143">
        <v>891.471</v>
      </c>
      <c r="X33" s="155">
        <v>0</v>
      </c>
      <c r="Y33" s="155">
        <v>6.1557193547678597E-3</v>
      </c>
      <c r="Z33" s="155">
        <v>7.6496958741688E-4</v>
      </c>
    </row>
    <row r="34" spans="1:26">
      <c r="A34" s="3">
        <v>337</v>
      </c>
      <c r="B34" s="3">
        <v>9963</v>
      </c>
      <c r="C34" s="3" t="s">
        <v>1793</v>
      </c>
      <c r="D34" s="3" t="s">
        <v>1794</v>
      </c>
      <c r="E34" s="3" t="s">
        <v>269</v>
      </c>
      <c r="F34" s="3" t="s">
        <v>1801</v>
      </c>
      <c r="G34" s="3">
        <v>62020540</v>
      </c>
      <c r="H34" s="3" t="s">
        <v>33</v>
      </c>
      <c r="I34" s="3" t="s">
        <v>1670</v>
      </c>
      <c r="J34" s="3" t="s">
        <v>1212</v>
      </c>
      <c r="K34" s="3" t="s">
        <v>79</v>
      </c>
      <c r="L34" s="3" t="s">
        <v>80</v>
      </c>
      <c r="M34" s="3" t="s">
        <v>80</v>
      </c>
      <c r="N34" s="3" t="s">
        <v>80</v>
      </c>
      <c r="O34" s="3" t="s">
        <v>125</v>
      </c>
      <c r="P34" s="171" t="s">
        <v>1802</v>
      </c>
      <c r="Q34" s="3" t="s">
        <v>84</v>
      </c>
      <c r="R34" s="3" t="s">
        <v>1628</v>
      </c>
      <c r="S34" s="3" t="s">
        <v>1532</v>
      </c>
      <c r="T34" s="169" t="s">
        <v>1800</v>
      </c>
      <c r="U34" s="153">
        <v>3.19</v>
      </c>
      <c r="V34" s="143">
        <v>494.03500000000003</v>
      </c>
      <c r="W34" s="143">
        <v>1575.971</v>
      </c>
      <c r="X34" s="155">
        <v>0</v>
      </c>
      <c r="Y34" s="155">
        <v>1.08822780229834E-2</v>
      </c>
      <c r="Z34" s="155">
        <v>1.3523377609717801E-3</v>
      </c>
    </row>
    <row r="35" spans="1:26">
      <c r="A35" s="3">
        <v>337</v>
      </c>
      <c r="B35" s="3">
        <v>9963</v>
      </c>
      <c r="C35" s="3" t="s">
        <v>1803</v>
      </c>
      <c r="D35" s="3" t="s">
        <v>1804</v>
      </c>
      <c r="E35" s="3" t="s">
        <v>269</v>
      </c>
      <c r="F35" s="3" t="s">
        <v>1805</v>
      </c>
      <c r="G35" s="3">
        <v>62017876</v>
      </c>
      <c r="H35" s="3" t="s">
        <v>33</v>
      </c>
      <c r="I35" s="3" t="s">
        <v>1670</v>
      </c>
      <c r="J35" s="3" t="s">
        <v>1212</v>
      </c>
      <c r="K35" s="3" t="s">
        <v>79</v>
      </c>
      <c r="L35" s="3" t="s">
        <v>1681</v>
      </c>
      <c r="M35" s="3" t="s">
        <v>1681</v>
      </c>
      <c r="N35" s="3" t="s">
        <v>80</v>
      </c>
      <c r="O35" s="3" t="s">
        <v>125</v>
      </c>
      <c r="P35" s="171" t="s">
        <v>1806</v>
      </c>
      <c r="Q35" s="3" t="s">
        <v>84</v>
      </c>
      <c r="R35" s="3" t="s">
        <v>1628</v>
      </c>
      <c r="S35" s="3" t="s">
        <v>1532</v>
      </c>
      <c r="T35" s="169" t="s">
        <v>1702</v>
      </c>
      <c r="U35" s="153">
        <v>3.19</v>
      </c>
      <c r="V35" s="143">
        <v>417.56700000000001</v>
      </c>
      <c r="W35" s="143">
        <v>1332.039</v>
      </c>
      <c r="X35" s="155">
        <v>0</v>
      </c>
      <c r="Y35" s="155">
        <v>9.1978930784507706E-3</v>
      </c>
      <c r="Z35" s="155">
        <v>1.1430196972637E-3</v>
      </c>
    </row>
    <row r="36" spans="1:26">
      <c r="A36" s="3">
        <v>337</v>
      </c>
      <c r="B36" s="3">
        <v>9963</v>
      </c>
      <c r="C36" s="3" t="s">
        <v>1807</v>
      </c>
      <c r="D36" s="3" t="s">
        <v>1808</v>
      </c>
      <c r="E36" s="3" t="s">
        <v>439</v>
      </c>
      <c r="F36" s="3" t="s">
        <v>1809</v>
      </c>
      <c r="G36" s="3">
        <v>62018734</v>
      </c>
      <c r="H36" s="3" t="s">
        <v>33</v>
      </c>
      <c r="I36" s="3" t="s">
        <v>1670</v>
      </c>
      <c r="J36" s="3" t="s">
        <v>1212</v>
      </c>
      <c r="K36" s="3" t="s">
        <v>79</v>
      </c>
      <c r="L36" s="3" t="s">
        <v>80</v>
      </c>
      <c r="M36" s="3" t="s">
        <v>80</v>
      </c>
      <c r="N36" s="3" t="s">
        <v>80</v>
      </c>
      <c r="O36" s="3" t="s">
        <v>125</v>
      </c>
      <c r="P36" s="171" t="s">
        <v>1810</v>
      </c>
      <c r="Q36" s="3" t="s">
        <v>84</v>
      </c>
      <c r="R36" s="3" t="s">
        <v>1628</v>
      </c>
      <c r="S36" s="3" t="s">
        <v>1532</v>
      </c>
      <c r="T36" s="169" t="s">
        <v>1702</v>
      </c>
      <c r="U36" s="153">
        <v>3.19</v>
      </c>
      <c r="V36" s="143">
        <v>540.98500000000001</v>
      </c>
      <c r="W36" s="143">
        <v>1725.741</v>
      </c>
      <c r="X36" s="155">
        <v>0</v>
      </c>
      <c r="Y36" s="155">
        <v>1.19164553422288E-2</v>
      </c>
      <c r="Z36" s="155">
        <v>1.48085469808755E-3</v>
      </c>
    </row>
    <row r="37" spans="1:26">
      <c r="A37" s="3">
        <v>337</v>
      </c>
      <c r="B37" s="3">
        <v>9963</v>
      </c>
      <c r="C37" s="3" t="s">
        <v>1811</v>
      </c>
      <c r="D37" s="3" t="s">
        <v>1812</v>
      </c>
      <c r="E37" s="3" t="s">
        <v>727</v>
      </c>
      <c r="F37" s="3" t="s">
        <v>1813</v>
      </c>
      <c r="G37" s="3">
        <v>62015433</v>
      </c>
      <c r="H37" s="3" t="s">
        <v>33</v>
      </c>
      <c r="I37" s="3" t="s">
        <v>1670</v>
      </c>
      <c r="J37" s="3" t="s">
        <v>1212</v>
      </c>
      <c r="K37" s="3" t="s">
        <v>79</v>
      </c>
      <c r="L37" s="3" t="s">
        <v>80</v>
      </c>
      <c r="M37" s="3" t="s">
        <v>80</v>
      </c>
      <c r="N37" s="3" t="s">
        <v>80</v>
      </c>
      <c r="O37" s="3" t="s">
        <v>125</v>
      </c>
      <c r="P37" s="171" t="s">
        <v>1814</v>
      </c>
      <c r="Q37" s="3" t="s">
        <v>84</v>
      </c>
      <c r="R37" s="3" t="s">
        <v>1628</v>
      </c>
      <c r="S37" s="3" t="s">
        <v>1532</v>
      </c>
      <c r="T37" s="169" t="s">
        <v>1696</v>
      </c>
      <c r="U37" s="153">
        <v>3.19</v>
      </c>
      <c r="V37" s="143">
        <v>1489.2570000000001</v>
      </c>
      <c r="W37" s="143">
        <v>4750.7290000000003</v>
      </c>
      <c r="X37" s="155">
        <v>0</v>
      </c>
      <c r="Y37" s="155">
        <v>3.2804373322120897E-2</v>
      </c>
      <c r="Z37" s="155">
        <v>4.0765906435054596E-3</v>
      </c>
    </row>
    <row r="38" spans="1:26">
      <c r="A38" s="3">
        <v>337</v>
      </c>
      <c r="B38" s="3">
        <v>9963</v>
      </c>
      <c r="C38" s="3" t="s">
        <v>1815</v>
      </c>
      <c r="D38" s="3" t="s">
        <v>1770</v>
      </c>
      <c r="E38" s="3" t="s">
        <v>269</v>
      </c>
      <c r="F38" s="3" t="s">
        <v>1816</v>
      </c>
      <c r="G38" s="3">
        <v>62014352</v>
      </c>
      <c r="H38" s="3" t="s">
        <v>33</v>
      </c>
      <c r="I38" s="3" t="s">
        <v>1670</v>
      </c>
      <c r="J38" s="3" t="s">
        <v>1212</v>
      </c>
      <c r="K38" s="3" t="s">
        <v>79</v>
      </c>
      <c r="L38" s="3" t="s">
        <v>80</v>
      </c>
      <c r="M38" s="3" t="s">
        <v>80</v>
      </c>
      <c r="N38" s="3" t="s">
        <v>80</v>
      </c>
      <c r="O38" s="3" t="s">
        <v>125</v>
      </c>
      <c r="P38" s="171" t="s">
        <v>1817</v>
      </c>
      <c r="Q38" s="3" t="s">
        <v>84</v>
      </c>
      <c r="R38" s="3" t="s">
        <v>1628</v>
      </c>
      <c r="S38" s="3" t="s">
        <v>1532</v>
      </c>
      <c r="T38" s="169" t="s">
        <v>1533</v>
      </c>
      <c r="U38" s="153">
        <v>3.19</v>
      </c>
      <c r="V38" s="143">
        <v>943.04399999999998</v>
      </c>
      <c r="W38" s="143">
        <v>3008.31</v>
      </c>
      <c r="X38" s="155">
        <v>0</v>
      </c>
      <c r="Y38" s="155">
        <v>2.0772757689716499E-2</v>
      </c>
      <c r="Z38" s="155">
        <v>2.5814250071529601E-3</v>
      </c>
    </row>
    <row r="39" spans="1:26">
      <c r="A39" s="3">
        <v>337</v>
      </c>
      <c r="B39" s="3">
        <v>9963</v>
      </c>
      <c r="C39" s="3" t="s">
        <v>1818</v>
      </c>
      <c r="D39" s="3" t="s">
        <v>1819</v>
      </c>
      <c r="E39" s="3" t="s">
        <v>269</v>
      </c>
      <c r="F39" s="3" t="s">
        <v>1818</v>
      </c>
      <c r="G39" s="3">
        <v>62021076</v>
      </c>
      <c r="H39" s="3" t="s">
        <v>33</v>
      </c>
      <c r="I39" s="3" t="s">
        <v>1670</v>
      </c>
      <c r="J39" s="3" t="s">
        <v>1212</v>
      </c>
      <c r="K39" s="3" t="s">
        <v>79</v>
      </c>
      <c r="L39" s="3" t="s">
        <v>80</v>
      </c>
      <c r="M39" s="3" t="s">
        <v>80</v>
      </c>
      <c r="N39" s="3" t="s">
        <v>80</v>
      </c>
      <c r="O39" s="3" t="s">
        <v>125</v>
      </c>
      <c r="P39" s="171" t="s">
        <v>1820</v>
      </c>
      <c r="Q39" s="3" t="s">
        <v>84</v>
      </c>
      <c r="R39" s="3" t="s">
        <v>1628</v>
      </c>
      <c r="S39" s="3" t="s">
        <v>1532</v>
      </c>
      <c r="T39" s="169" t="s">
        <v>1738</v>
      </c>
      <c r="U39" s="153">
        <v>3.19</v>
      </c>
      <c r="V39" s="143">
        <v>888.08900000000006</v>
      </c>
      <c r="W39" s="143">
        <v>2833.0039999999999</v>
      </c>
      <c r="X39" s="155">
        <v>0</v>
      </c>
      <c r="Y39" s="155">
        <v>1.9562244741816601E-2</v>
      </c>
      <c r="Z39" s="155">
        <v>2.4309948889246901E-3</v>
      </c>
    </row>
    <row r="40" spans="1:26">
      <c r="A40" s="3">
        <v>337</v>
      </c>
      <c r="B40" s="3">
        <v>9963</v>
      </c>
      <c r="C40" s="3" t="s">
        <v>1821</v>
      </c>
      <c r="D40" s="3" t="s">
        <v>1822</v>
      </c>
      <c r="E40" s="3" t="s">
        <v>269</v>
      </c>
      <c r="F40" s="3" t="s">
        <v>1823</v>
      </c>
      <c r="G40" s="3">
        <v>62000395</v>
      </c>
      <c r="H40" s="3" t="s">
        <v>33</v>
      </c>
      <c r="I40" s="3" t="s">
        <v>1670</v>
      </c>
      <c r="J40" s="3" t="s">
        <v>1212</v>
      </c>
      <c r="K40" s="3" t="s">
        <v>79</v>
      </c>
      <c r="L40" s="3" t="s">
        <v>1681</v>
      </c>
      <c r="M40" s="3" t="s">
        <v>30</v>
      </c>
      <c r="N40" s="3" t="s">
        <v>80</v>
      </c>
      <c r="O40" s="3" t="s">
        <v>125</v>
      </c>
      <c r="P40" s="171" t="s">
        <v>1824</v>
      </c>
      <c r="Q40" s="3" t="s">
        <v>84</v>
      </c>
      <c r="R40" s="3" t="s">
        <v>1628</v>
      </c>
      <c r="S40" s="3" t="s">
        <v>1532</v>
      </c>
      <c r="T40" s="169" t="s">
        <v>1696</v>
      </c>
      <c r="U40" s="153">
        <v>3.19</v>
      </c>
      <c r="V40" s="143">
        <v>885.16899999999998</v>
      </c>
      <c r="W40" s="143">
        <v>2823.6880000000001</v>
      </c>
      <c r="X40" s="155">
        <v>0</v>
      </c>
      <c r="Y40" s="155">
        <v>1.9497916695286801E-2</v>
      </c>
      <c r="Z40" s="155">
        <v>2.42300085989621E-3</v>
      </c>
    </row>
    <row r="41" spans="1:26">
      <c r="A41" s="3">
        <v>337</v>
      </c>
      <c r="B41" s="3">
        <v>9963</v>
      </c>
      <c r="C41" s="3" t="s">
        <v>1825</v>
      </c>
      <c r="D41" s="3" t="s">
        <v>1826</v>
      </c>
      <c r="E41" s="3" t="s">
        <v>269</v>
      </c>
      <c r="F41" s="3" t="s">
        <v>1827</v>
      </c>
      <c r="G41" s="3">
        <v>62019021</v>
      </c>
      <c r="H41" s="3" t="s">
        <v>33</v>
      </c>
      <c r="I41" s="3" t="s">
        <v>1670</v>
      </c>
      <c r="J41" s="3" t="s">
        <v>1212</v>
      </c>
      <c r="K41" s="3" t="s">
        <v>79</v>
      </c>
      <c r="L41" s="3" t="s">
        <v>80</v>
      </c>
      <c r="M41" s="3" t="s">
        <v>80</v>
      </c>
      <c r="N41" s="3" t="s">
        <v>80</v>
      </c>
      <c r="O41" s="3" t="s">
        <v>125</v>
      </c>
      <c r="P41" s="171" t="s">
        <v>1828</v>
      </c>
      <c r="Q41" s="3" t="s">
        <v>84</v>
      </c>
      <c r="R41" s="3" t="s">
        <v>1628</v>
      </c>
      <c r="S41" s="3" t="s">
        <v>1532</v>
      </c>
      <c r="T41" s="169" t="s">
        <v>1533</v>
      </c>
      <c r="U41" s="153">
        <v>3.19</v>
      </c>
      <c r="V41" s="143">
        <v>1381.7080000000001</v>
      </c>
      <c r="W41" s="143">
        <v>4407.6499999999996</v>
      </c>
      <c r="X41" s="155">
        <v>0</v>
      </c>
      <c r="Y41" s="155">
        <v>3.0435371780614999E-2</v>
      </c>
      <c r="Z41" s="155">
        <v>3.78219545955477E-3</v>
      </c>
    </row>
    <row r="42" spans="1:26">
      <c r="A42" s="3">
        <v>337</v>
      </c>
      <c r="B42" s="3">
        <v>9963</v>
      </c>
      <c r="C42" s="3" t="s">
        <v>1829</v>
      </c>
      <c r="D42" s="3" t="s">
        <v>1830</v>
      </c>
      <c r="E42" s="3" t="s">
        <v>727</v>
      </c>
      <c r="F42" s="3" t="s">
        <v>1831</v>
      </c>
      <c r="G42" s="3">
        <v>62010970</v>
      </c>
      <c r="H42" s="3" t="s">
        <v>33</v>
      </c>
      <c r="I42" s="3" t="s">
        <v>1670</v>
      </c>
      <c r="J42" s="3" t="s">
        <v>1212</v>
      </c>
      <c r="K42" s="3" t="s">
        <v>79</v>
      </c>
      <c r="L42" s="3" t="s">
        <v>80</v>
      </c>
      <c r="M42" s="3" t="s">
        <v>80</v>
      </c>
      <c r="N42" s="3" t="s">
        <v>138</v>
      </c>
      <c r="O42" s="3" t="s">
        <v>125</v>
      </c>
      <c r="P42" s="171" t="s">
        <v>1832</v>
      </c>
      <c r="Q42" s="3" t="s">
        <v>84</v>
      </c>
      <c r="R42" s="3" t="s">
        <v>1628</v>
      </c>
      <c r="S42" s="3" t="s">
        <v>1532</v>
      </c>
      <c r="T42" s="169" t="s">
        <v>1738</v>
      </c>
      <c r="U42" s="153">
        <v>3.19</v>
      </c>
      <c r="V42" s="143">
        <v>1978.4469999999999</v>
      </c>
      <c r="W42" s="143">
        <v>6311.2439999999997</v>
      </c>
      <c r="X42" s="155">
        <v>0</v>
      </c>
      <c r="Y42" s="155">
        <v>4.3579927020740601E-2</v>
      </c>
      <c r="Z42" s="155">
        <v>5.4156658014132102E-3</v>
      </c>
    </row>
    <row r="43" spans="1:26">
      <c r="A43" s="3">
        <v>337</v>
      </c>
      <c r="B43" s="3">
        <v>9963</v>
      </c>
      <c r="C43" s="3" t="s">
        <v>1833</v>
      </c>
      <c r="D43" s="3" t="s">
        <v>1834</v>
      </c>
      <c r="E43" s="3" t="s">
        <v>269</v>
      </c>
      <c r="F43" s="3" t="s">
        <v>1835</v>
      </c>
      <c r="G43" s="3">
        <v>62021001</v>
      </c>
      <c r="H43" s="3" t="s">
        <v>33</v>
      </c>
      <c r="I43" s="3" t="s">
        <v>1670</v>
      </c>
      <c r="J43" s="3" t="s">
        <v>1212</v>
      </c>
      <c r="K43" s="3" t="s">
        <v>79</v>
      </c>
      <c r="L43" s="3" t="s">
        <v>80</v>
      </c>
      <c r="M43" s="3" t="s">
        <v>80</v>
      </c>
      <c r="N43" s="3" t="s">
        <v>80</v>
      </c>
      <c r="O43" s="3" t="s">
        <v>125</v>
      </c>
      <c r="P43" s="171" t="s">
        <v>1836</v>
      </c>
      <c r="Q43" s="3" t="s">
        <v>84</v>
      </c>
      <c r="R43" s="3" t="s">
        <v>1628</v>
      </c>
      <c r="S43" s="3" t="s">
        <v>1532</v>
      </c>
      <c r="T43" s="169" t="s">
        <v>1837</v>
      </c>
      <c r="U43" s="153">
        <v>3.19</v>
      </c>
      <c r="V43" s="143">
        <v>670.601</v>
      </c>
      <c r="W43" s="143">
        <v>2139.2170000000001</v>
      </c>
      <c r="X43" s="155">
        <v>0</v>
      </c>
      <c r="Y43" s="155">
        <v>1.47715624918952E-2</v>
      </c>
      <c r="Z43" s="155">
        <v>1.8356580951299499E-3</v>
      </c>
    </row>
    <row r="44" spans="1:26">
      <c r="A44" s="3">
        <v>337</v>
      </c>
      <c r="B44" s="3">
        <v>9963</v>
      </c>
      <c r="C44" s="3" t="s">
        <v>1838</v>
      </c>
      <c r="D44" s="3" t="s">
        <v>1839</v>
      </c>
      <c r="E44" s="3" t="s">
        <v>727</v>
      </c>
      <c r="F44" s="3" t="s">
        <v>1840</v>
      </c>
      <c r="G44" s="3">
        <v>62021175</v>
      </c>
      <c r="H44" s="3" t="s">
        <v>33</v>
      </c>
      <c r="I44" s="3" t="s">
        <v>1724</v>
      </c>
      <c r="J44" s="3" t="s">
        <v>1212</v>
      </c>
      <c r="K44" s="3" t="s">
        <v>79</v>
      </c>
      <c r="L44" s="3" t="s">
        <v>80</v>
      </c>
      <c r="M44" s="3" t="s">
        <v>80</v>
      </c>
      <c r="N44" s="3" t="s">
        <v>80</v>
      </c>
      <c r="O44" s="3" t="s">
        <v>125</v>
      </c>
      <c r="P44" s="171" t="s">
        <v>1841</v>
      </c>
      <c r="Q44" s="3" t="s">
        <v>84</v>
      </c>
      <c r="R44" s="3" t="s">
        <v>1628</v>
      </c>
      <c r="S44" s="3" t="s">
        <v>1532</v>
      </c>
      <c r="T44" s="169" t="s">
        <v>1738</v>
      </c>
      <c r="U44" s="153">
        <v>3.19</v>
      </c>
      <c r="V44" s="143">
        <v>545.96</v>
      </c>
      <c r="W44" s="143">
        <v>1741.614</v>
      </c>
      <c r="X44" s="155">
        <v>0.31884299999999999</v>
      </c>
      <c r="Y44" s="155">
        <v>1.20260593344574E-2</v>
      </c>
      <c r="Z44" s="155">
        <v>1.49447515670209E-3</v>
      </c>
    </row>
    <row r="45" spans="1:26">
      <c r="A45" s="3">
        <v>337</v>
      </c>
      <c r="B45" s="3">
        <v>9963</v>
      </c>
      <c r="C45" s="3" t="s">
        <v>1842</v>
      </c>
      <c r="D45" s="3" t="s">
        <v>1843</v>
      </c>
      <c r="E45" s="3" t="s">
        <v>269</v>
      </c>
      <c r="F45" s="3" t="s">
        <v>1844</v>
      </c>
      <c r="G45" s="3">
        <v>62019740</v>
      </c>
      <c r="H45" s="3" t="s">
        <v>33</v>
      </c>
      <c r="I45" s="3" t="s">
        <v>1670</v>
      </c>
      <c r="J45" s="3" t="s">
        <v>1212</v>
      </c>
      <c r="K45" s="3" t="s">
        <v>79</v>
      </c>
      <c r="L45" s="3" t="s">
        <v>80</v>
      </c>
      <c r="M45" s="3" t="s">
        <v>80</v>
      </c>
      <c r="N45" s="3" t="s">
        <v>80</v>
      </c>
      <c r="O45" s="3" t="s">
        <v>125</v>
      </c>
      <c r="P45" s="171" t="s">
        <v>1845</v>
      </c>
      <c r="Q45" s="3" t="s">
        <v>84</v>
      </c>
      <c r="R45" s="3" t="s">
        <v>1628</v>
      </c>
      <c r="S45" s="3" t="s">
        <v>1532</v>
      </c>
      <c r="T45" s="169" t="s">
        <v>1797</v>
      </c>
      <c r="U45" s="153">
        <v>3.19</v>
      </c>
      <c r="V45" s="143">
        <v>1720.645</v>
      </c>
      <c r="W45" s="143">
        <v>5488.857</v>
      </c>
      <c r="X45" s="155">
        <v>0</v>
      </c>
      <c r="Y45" s="155">
        <v>3.7901236894919803E-2</v>
      </c>
      <c r="Z45" s="155">
        <v>4.7099765078860599E-3</v>
      </c>
    </row>
    <row r="46" spans="1:26">
      <c r="A46" s="3">
        <v>337</v>
      </c>
      <c r="B46" s="3">
        <v>9963</v>
      </c>
      <c r="C46" s="3" t="s">
        <v>1846</v>
      </c>
      <c r="D46" s="3" t="s">
        <v>1847</v>
      </c>
      <c r="E46" s="3" t="s">
        <v>118</v>
      </c>
      <c r="F46" s="3" t="s">
        <v>1848</v>
      </c>
      <c r="G46" s="3">
        <v>62018866</v>
      </c>
      <c r="H46" s="3" t="s">
        <v>33</v>
      </c>
      <c r="I46" s="3" t="s">
        <v>1670</v>
      </c>
      <c r="J46" s="3" t="s">
        <v>1212</v>
      </c>
      <c r="K46" s="3" t="s">
        <v>79</v>
      </c>
      <c r="L46" s="3" t="s">
        <v>80</v>
      </c>
      <c r="M46" s="3" t="s">
        <v>80</v>
      </c>
      <c r="N46" s="3" t="s">
        <v>80</v>
      </c>
      <c r="O46" s="3" t="s">
        <v>125</v>
      </c>
      <c r="P46" s="171" t="s">
        <v>1849</v>
      </c>
      <c r="Q46" s="3" t="s">
        <v>84</v>
      </c>
      <c r="R46" s="3" t="s">
        <v>1628</v>
      </c>
      <c r="S46" s="3" t="s">
        <v>1532</v>
      </c>
      <c r="T46" s="169" t="s">
        <v>1792</v>
      </c>
      <c r="U46" s="153">
        <v>3.19</v>
      </c>
      <c r="V46" s="143">
        <v>676.95</v>
      </c>
      <c r="W46" s="143">
        <v>2159.4699999999998</v>
      </c>
      <c r="X46" s="155">
        <v>0</v>
      </c>
      <c r="Y46" s="155">
        <v>1.4911407886559201E-2</v>
      </c>
      <c r="Z46" s="155">
        <v>1.8530366446857199E-3</v>
      </c>
    </row>
    <row r="47" spans="1:26">
      <c r="A47" s="3">
        <v>337</v>
      </c>
      <c r="B47" s="3">
        <v>9963</v>
      </c>
      <c r="C47" s="3" t="s">
        <v>1850</v>
      </c>
      <c r="D47" s="3" t="s">
        <v>1851</v>
      </c>
      <c r="E47" s="3" t="s">
        <v>269</v>
      </c>
      <c r="F47" s="3" t="s">
        <v>1852</v>
      </c>
      <c r="G47" s="3">
        <v>62018486</v>
      </c>
      <c r="H47" s="3" t="s">
        <v>33</v>
      </c>
      <c r="I47" s="3" t="s">
        <v>1670</v>
      </c>
      <c r="J47" s="3" t="s">
        <v>1212</v>
      </c>
      <c r="K47" s="3" t="s">
        <v>79</v>
      </c>
      <c r="L47" s="3" t="s">
        <v>80</v>
      </c>
      <c r="M47" s="3" t="s">
        <v>80</v>
      </c>
      <c r="N47" s="3" t="s">
        <v>80</v>
      </c>
      <c r="O47" s="3" t="s">
        <v>125</v>
      </c>
      <c r="P47" s="171" t="s">
        <v>1853</v>
      </c>
      <c r="Q47" s="3" t="s">
        <v>84</v>
      </c>
      <c r="R47" s="3" t="s">
        <v>1628</v>
      </c>
      <c r="S47" s="3" t="s">
        <v>1532</v>
      </c>
      <c r="T47" s="169" t="s">
        <v>1533</v>
      </c>
      <c r="U47" s="153">
        <v>3.19</v>
      </c>
      <c r="V47" s="143">
        <v>922.93899999999996</v>
      </c>
      <c r="W47" s="143">
        <v>2944.1750000000002</v>
      </c>
      <c r="X47" s="155">
        <v>0</v>
      </c>
      <c r="Y47" s="155">
        <v>2.03298938093034E-2</v>
      </c>
      <c r="Z47" s="155">
        <v>2.5263904319299899E-3</v>
      </c>
    </row>
    <row r="48" spans="1:26">
      <c r="A48" s="3">
        <v>337</v>
      </c>
      <c r="B48" s="3">
        <v>9963</v>
      </c>
      <c r="C48" s="3" t="s">
        <v>1854</v>
      </c>
      <c r="D48" s="3" t="s">
        <v>1855</v>
      </c>
      <c r="E48" s="3" t="s">
        <v>269</v>
      </c>
      <c r="F48" s="3" t="s">
        <v>1856</v>
      </c>
      <c r="G48" s="3">
        <v>62021282</v>
      </c>
      <c r="H48" s="3" t="s">
        <v>33</v>
      </c>
      <c r="I48" s="3" t="s">
        <v>1670</v>
      </c>
      <c r="J48" s="3" t="s">
        <v>1212</v>
      </c>
      <c r="K48" s="3" t="s">
        <v>79</v>
      </c>
      <c r="L48" s="3" t="s">
        <v>1767</v>
      </c>
      <c r="M48" s="3" t="s">
        <v>1767</v>
      </c>
      <c r="N48" s="3" t="s">
        <v>1767</v>
      </c>
      <c r="O48" s="3" t="s">
        <v>125</v>
      </c>
      <c r="P48" s="171" t="s">
        <v>1857</v>
      </c>
      <c r="Q48" s="3" t="s">
        <v>84</v>
      </c>
      <c r="R48" s="3" t="s">
        <v>1628</v>
      </c>
      <c r="S48" s="3" t="s">
        <v>1532</v>
      </c>
      <c r="T48" s="169" t="s">
        <v>1696</v>
      </c>
      <c r="U48" s="153">
        <v>3.19</v>
      </c>
      <c r="V48" s="143">
        <v>561.44799999999998</v>
      </c>
      <c r="W48" s="143">
        <v>1791.02</v>
      </c>
      <c r="X48" s="155">
        <v>0</v>
      </c>
      <c r="Y48" s="155">
        <v>1.2367217230095401E-2</v>
      </c>
      <c r="Z48" s="155">
        <v>1.5368707565710201E-3</v>
      </c>
    </row>
    <row r="49" spans="1:26">
      <c r="A49" s="3">
        <v>337</v>
      </c>
      <c r="B49" s="3">
        <v>9963</v>
      </c>
      <c r="C49" s="3" t="s">
        <v>1858</v>
      </c>
      <c r="D49" s="3" t="s">
        <v>1859</v>
      </c>
      <c r="E49" s="3" t="s">
        <v>439</v>
      </c>
      <c r="F49" s="3" t="s">
        <v>1860</v>
      </c>
      <c r="G49" s="3">
        <v>62018668</v>
      </c>
      <c r="H49" s="3" t="s">
        <v>33</v>
      </c>
      <c r="I49" s="3" t="s">
        <v>1670</v>
      </c>
      <c r="J49" s="3" t="s">
        <v>1212</v>
      </c>
      <c r="K49" s="3" t="s">
        <v>79</v>
      </c>
      <c r="L49" s="3" t="s">
        <v>80</v>
      </c>
      <c r="M49" s="3" t="s">
        <v>80</v>
      </c>
      <c r="N49" s="3" t="s">
        <v>138</v>
      </c>
      <c r="O49" s="3" t="s">
        <v>125</v>
      </c>
      <c r="P49" s="171" t="s">
        <v>1861</v>
      </c>
      <c r="Q49" s="3" t="s">
        <v>84</v>
      </c>
      <c r="R49" s="3" t="s">
        <v>1628</v>
      </c>
      <c r="S49" s="3" t="s">
        <v>1532</v>
      </c>
      <c r="T49" s="169" t="s">
        <v>1862</v>
      </c>
      <c r="U49" s="153">
        <v>3.19</v>
      </c>
      <c r="V49" s="143">
        <v>33.716000000000001</v>
      </c>
      <c r="W49" s="143">
        <v>107.55500000000001</v>
      </c>
      <c r="X49" s="155">
        <v>0</v>
      </c>
      <c r="Y49" s="155">
        <v>7.4268316775746401E-4</v>
      </c>
      <c r="Z49" s="155">
        <v>9.2293037365462103E-5</v>
      </c>
    </row>
    <row r="50" spans="1:26">
      <c r="A50" s="3">
        <v>337</v>
      </c>
      <c r="B50" s="3">
        <v>9963</v>
      </c>
      <c r="C50" s="3" t="s">
        <v>1863</v>
      </c>
      <c r="D50" s="3" t="s">
        <v>1864</v>
      </c>
      <c r="E50" s="3" t="s">
        <v>727</v>
      </c>
      <c r="F50" s="3" t="s">
        <v>1865</v>
      </c>
      <c r="G50" s="3">
        <v>62014592</v>
      </c>
      <c r="H50" s="3" t="s">
        <v>33</v>
      </c>
      <c r="I50" s="3" t="s">
        <v>1670</v>
      </c>
      <c r="J50" s="3" t="s">
        <v>1212</v>
      </c>
      <c r="K50" s="3" t="s">
        <v>79</v>
      </c>
      <c r="L50" s="3" t="s">
        <v>1767</v>
      </c>
      <c r="M50" s="3" t="s">
        <v>956</v>
      </c>
      <c r="N50" s="3" t="s">
        <v>80</v>
      </c>
      <c r="O50" s="3" t="s">
        <v>125</v>
      </c>
      <c r="P50" s="171" t="s">
        <v>1866</v>
      </c>
      <c r="Q50" s="3" t="s">
        <v>84</v>
      </c>
      <c r="R50" s="3" t="s">
        <v>1628</v>
      </c>
      <c r="S50" s="3" t="s">
        <v>1532</v>
      </c>
      <c r="T50" s="169" t="s">
        <v>1797</v>
      </c>
      <c r="U50" s="153">
        <v>3.19</v>
      </c>
      <c r="V50" s="143">
        <v>1073.9110000000001</v>
      </c>
      <c r="W50" s="143">
        <v>3425.7750000000001</v>
      </c>
      <c r="X50" s="155">
        <v>0</v>
      </c>
      <c r="Y50" s="155">
        <v>2.3655398989924799E-2</v>
      </c>
      <c r="Z50" s="155">
        <v>2.93965006567244E-3</v>
      </c>
    </row>
    <row r="51" spans="1:26">
      <c r="A51" s="3">
        <v>337</v>
      </c>
      <c r="B51" s="3">
        <v>9963</v>
      </c>
      <c r="C51" s="3" t="s">
        <v>1867</v>
      </c>
      <c r="D51" s="3" t="s">
        <v>1868</v>
      </c>
      <c r="E51" s="3" t="s">
        <v>439</v>
      </c>
      <c r="F51" s="3" t="s">
        <v>1869</v>
      </c>
      <c r="G51" s="3">
        <v>60407392</v>
      </c>
      <c r="H51" s="3" t="s">
        <v>33</v>
      </c>
      <c r="I51" s="3" t="s">
        <v>1670</v>
      </c>
      <c r="J51" s="3" t="s">
        <v>1212</v>
      </c>
      <c r="K51" s="3" t="s">
        <v>79</v>
      </c>
      <c r="L51" s="3" t="s">
        <v>30</v>
      </c>
      <c r="M51" s="3" t="s">
        <v>30</v>
      </c>
      <c r="N51" s="3" t="s">
        <v>80</v>
      </c>
      <c r="O51" s="3" t="s">
        <v>125</v>
      </c>
      <c r="P51" s="171" t="s">
        <v>1870</v>
      </c>
      <c r="Q51" s="3" t="s">
        <v>84</v>
      </c>
      <c r="R51" s="3" t="s">
        <v>1628</v>
      </c>
      <c r="S51" s="3" t="s">
        <v>1532</v>
      </c>
      <c r="T51" s="169" t="s">
        <v>1727</v>
      </c>
      <c r="U51" s="153">
        <v>3.19</v>
      </c>
      <c r="V51" s="143">
        <v>226.03399999999999</v>
      </c>
      <c r="W51" s="143">
        <v>721.04700000000003</v>
      </c>
      <c r="X51" s="155">
        <v>5.6239999999999997E-3</v>
      </c>
      <c r="Y51" s="155">
        <v>4.9789195430707204E-3</v>
      </c>
      <c r="Z51" s="155">
        <v>6.1872899155069998E-4</v>
      </c>
    </row>
    <row r="52" spans="1:26">
      <c r="A52" s="3">
        <v>337</v>
      </c>
      <c r="B52" s="3">
        <v>9963</v>
      </c>
      <c r="C52" s="3" t="s">
        <v>1871</v>
      </c>
      <c r="D52" s="3" t="s">
        <v>1872</v>
      </c>
      <c r="E52" s="3" t="s">
        <v>439</v>
      </c>
      <c r="F52" s="3" t="s">
        <v>1871</v>
      </c>
      <c r="G52" s="3">
        <v>620211181</v>
      </c>
      <c r="H52" s="3" t="s">
        <v>33</v>
      </c>
      <c r="I52" s="3" t="s">
        <v>1724</v>
      </c>
      <c r="J52" s="3" t="s">
        <v>1212</v>
      </c>
      <c r="K52" s="3" t="s">
        <v>79</v>
      </c>
      <c r="L52" s="3" t="s">
        <v>1873</v>
      </c>
      <c r="M52" s="3" t="s">
        <v>1341</v>
      </c>
      <c r="N52" s="3" t="s">
        <v>1341</v>
      </c>
      <c r="O52" s="3" t="s">
        <v>125</v>
      </c>
      <c r="P52" s="171" t="s">
        <v>1874</v>
      </c>
      <c r="Q52" s="3" t="s">
        <v>1253</v>
      </c>
      <c r="R52" s="3" t="s">
        <v>1628</v>
      </c>
      <c r="S52" s="3" t="s">
        <v>1532</v>
      </c>
      <c r="T52" s="169" t="s">
        <v>1677</v>
      </c>
      <c r="U52" s="153">
        <v>4.29</v>
      </c>
      <c r="V52" s="143">
        <v>307.97199999999998</v>
      </c>
      <c r="W52" s="143">
        <v>1321.202</v>
      </c>
      <c r="X52" s="155">
        <v>0</v>
      </c>
      <c r="Y52" s="155">
        <v>9.1230634159183092E-3</v>
      </c>
      <c r="Z52" s="155">
        <v>1.13372063524105E-3</v>
      </c>
    </row>
    <row r="53" spans="1:26">
      <c r="A53" s="3">
        <v>337</v>
      </c>
      <c r="B53" s="3">
        <v>9963</v>
      </c>
      <c r="C53" s="3" t="s">
        <v>1875</v>
      </c>
      <c r="D53" s="3" t="s">
        <v>1876</v>
      </c>
      <c r="E53" s="3" t="s">
        <v>269</v>
      </c>
      <c r="F53" s="3" t="s">
        <v>1877</v>
      </c>
      <c r="G53" s="3">
        <v>62019716</v>
      </c>
      <c r="H53" s="3" t="s">
        <v>33</v>
      </c>
      <c r="I53" s="3" t="s">
        <v>1670</v>
      </c>
      <c r="J53" s="3" t="s">
        <v>1212</v>
      </c>
      <c r="K53" s="3" t="s">
        <v>79</v>
      </c>
      <c r="L53" s="3" t="s">
        <v>1767</v>
      </c>
      <c r="M53" s="3" t="s">
        <v>1767</v>
      </c>
      <c r="N53" s="3" t="s">
        <v>1341</v>
      </c>
      <c r="O53" s="3" t="s">
        <v>125</v>
      </c>
      <c r="P53" s="171" t="s">
        <v>1878</v>
      </c>
      <c r="Q53" s="3" t="s">
        <v>755</v>
      </c>
      <c r="R53" s="3" t="s">
        <v>1628</v>
      </c>
      <c r="S53" s="3" t="s">
        <v>1532</v>
      </c>
      <c r="T53" s="169" t="s">
        <v>1677</v>
      </c>
      <c r="U53" s="153">
        <v>3.7454999999999998</v>
      </c>
      <c r="V53" s="143">
        <v>478.41500000000002</v>
      </c>
      <c r="W53" s="143">
        <v>1791.902</v>
      </c>
      <c r="X53" s="155">
        <v>0</v>
      </c>
      <c r="Y53" s="155">
        <v>1.2373309354695499E-2</v>
      </c>
      <c r="Z53" s="155">
        <v>1.5376278232554E-3</v>
      </c>
    </row>
    <row r="54" spans="1:26">
      <c r="A54" s="3">
        <v>337</v>
      </c>
      <c r="B54" s="3">
        <v>9963</v>
      </c>
      <c r="C54" s="3" t="s">
        <v>1879</v>
      </c>
      <c r="D54" s="3" t="s">
        <v>1880</v>
      </c>
      <c r="E54" s="3" t="s">
        <v>118</v>
      </c>
      <c r="F54" s="3" t="s">
        <v>1879</v>
      </c>
      <c r="G54" s="3">
        <v>62022801</v>
      </c>
      <c r="H54" s="3" t="s">
        <v>33</v>
      </c>
      <c r="I54" s="3" t="s">
        <v>1670</v>
      </c>
      <c r="J54" s="3" t="s">
        <v>1212</v>
      </c>
      <c r="K54" s="3" t="s">
        <v>79</v>
      </c>
      <c r="L54" s="140" t="s">
        <v>30</v>
      </c>
      <c r="M54" s="140" t="s">
        <v>30</v>
      </c>
      <c r="N54" s="3" t="s">
        <v>80</v>
      </c>
      <c r="O54" s="3" t="s">
        <v>125</v>
      </c>
      <c r="P54" s="171" t="s">
        <v>1743</v>
      </c>
      <c r="Q54" s="3" t="s">
        <v>84</v>
      </c>
      <c r="R54" s="37" t="s">
        <v>1628</v>
      </c>
      <c r="S54" s="37" t="s">
        <v>1532</v>
      </c>
      <c r="T54" s="169" t="s">
        <v>1533</v>
      </c>
      <c r="U54" s="153">
        <v>3.19</v>
      </c>
      <c r="V54" s="143">
        <v>132</v>
      </c>
      <c r="W54" s="143">
        <v>421.08</v>
      </c>
      <c r="X54" s="155">
        <v>0</v>
      </c>
      <c r="Y54" s="155">
        <v>2.9076097640749901E-3</v>
      </c>
      <c r="Z54" s="155">
        <v>3.6132788280397802E-4</v>
      </c>
    </row>
    <row r="55" spans="1:26">
      <c r="A55" s="3">
        <v>337</v>
      </c>
      <c r="B55" s="3">
        <v>9963</v>
      </c>
      <c r="C55" s="3" t="s">
        <v>1858</v>
      </c>
      <c r="D55" s="3" t="s">
        <v>1859</v>
      </c>
      <c r="E55" s="3" t="s">
        <v>439</v>
      </c>
      <c r="F55" s="3" t="s">
        <v>1881</v>
      </c>
      <c r="G55" s="3">
        <v>62018965</v>
      </c>
      <c r="H55" s="3" t="s">
        <v>33</v>
      </c>
      <c r="I55" s="3" t="s">
        <v>1670</v>
      </c>
      <c r="J55" s="3" t="s">
        <v>1212</v>
      </c>
      <c r="K55" s="3" t="s">
        <v>79</v>
      </c>
      <c r="L55" s="3" t="s">
        <v>1681</v>
      </c>
      <c r="M55" s="3" t="s">
        <v>1681</v>
      </c>
      <c r="N55" s="3" t="s">
        <v>80</v>
      </c>
      <c r="O55" s="3" t="s">
        <v>125</v>
      </c>
      <c r="P55" s="171" t="s">
        <v>1882</v>
      </c>
      <c r="Q55" s="3" t="s">
        <v>84</v>
      </c>
      <c r="R55" s="3" t="s">
        <v>1628</v>
      </c>
      <c r="S55" s="3" t="s">
        <v>1532</v>
      </c>
      <c r="T55" s="169" t="s">
        <v>1672</v>
      </c>
      <c r="U55" s="153">
        <v>3.19</v>
      </c>
      <c r="V55" s="143">
        <v>701.98900000000003</v>
      </c>
      <c r="W55" s="143">
        <v>2239.3440000000001</v>
      </c>
      <c r="X55" s="155">
        <v>0</v>
      </c>
      <c r="Y55" s="155">
        <v>1.5462949177529E-2</v>
      </c>
      <c r="Z55" s="155">
        <v>1.92157653246825E-3</v>
      </c>
    </row>
    <row r="56" spans="1:26">
      <c r="A56" s="3">
        <v>337</v>
      </c>
      <c r="B56" s="3">
        <v>9963</v>
      </c>
      <c r="C56" s="3" t="s">
        <v>1883</v>
      </c>
      <c r="D56" s="3" t="s">
        <v>1884</v>
      </c>
      <c r="E56" s="3" t="s">
        <v>727</v>
      </c>
      <c r="F56" s="3" t="s">
        <v>1885</v>
      </c>
      <c r="G56" s="3">
        <v>62018098</v>
      </c>
      <c r="H56" s="3" t="s">
        <v>33</v>
      </c>
      <c r="I56" s="3" t="s">
        <v>1670</v>
      </c>
      <c r="J56" s="3" t="s">
        <v>1212</v>
      </c>
      <c r="K56" s="3" t="s">
        <v>79</v>
      </c>
      <c r="L56" s="3" t="s">
        <v>1681</v>
      </c>
      <c r="M56" s="3" t="s">
        <v>80</v>
      </c>
      <c r="N56" s="3" t="s">
        <v>80</v>
      </c>
      <c r="O56" s="3" t="s">
        <v>125</v>
      </c>
      <c r="P56" s="171" t="s">
        <v>1886</v>
      </c>
      <c r="Q56" s="3" t="s">
        <v>84</v>
      </c>
      <c r="R56" s="3" t="s">
        <v>1628</v>
      </c>
      <c r="S56" s="3" t="s">
        <v>1532</v>
      </c>
      <c r="T56" s="169" t="s">
        <v>1733</v>
      </c>
      <c r="U56" s="153">
        <v>3.19</v>
      </c>
      <c r="V56" s="143">
        <v>596.97299999999996</v>
      </c>
      <c r="W56" s="143">
        <v>1904.345</v>
      </c>
      <c r="X56" s="155">
        <v>0</v>
      </c>
      <c r="Y56" s="155">
        <v>1.3149741024341299E-2</v>
      </c>
      <c r="Z56" s="155">
        <v>1.6341147778671801E-3</v>
      </c>
    </row>
    <row r="57" spans="1:26">
      <c r="A57" s="3">
        <v>337</v>
      </c>
      <c r="B57" s="3">
        <v>9963</v>
      </c>
      <c r="C57" s="3" t="s">
        <v>1887</v>
      </c>
      <c r="D57" s="3" t="s">
        <v>1888</v>
      </c>
      <c r="E57" s="3" t="s">
        <v>439</v>
      </c>
      <c r="F57" s="3" t="s">
        <v>1887</v>
      </c>
      <c r="G57" s="3">
        <v>62020938</v>
      </c>
      <c r="H57" s="3" t="s">
        <v>33</v>
      </c>
      <c r="I57" s="3" t="s">
        <v>1670</v>
      </c>
      <c r="J57" s="3" t="s">
        <v>1212</v>
      </c>
      <c r="K57" s="3" t="s">
        <v>79</v>
      </c>
      <c r="L57" s="3" t="s">
        <v>30</v>
      </c>
      <c r="M57" s="3" t="s">
        <v>30</v>
      </c>
      <c r="N57" s="3" t="s">
        <v>80</v>
      </c>
      <c r="O57" s="3" t="s">
        <v>125</v>
      </c>
      <c r="P57" s="171" t="s">
        <v>1889</v>
      </c>
      <c r="Q57" s="3" t="s">
        <v>84</v>
      </c>
      <c r="R57" s="3" t="s">
        <v>1628</v>
      </c>
      <c r="S57" s="3" t="s">
        <v>1532</v>
      </c>
      <c r="T57" s="169" t="s">
        <v>1702</v>
      </c>
      <c r="U57" s="153">
        <v>3.19</v>
      </c>
      <c r="V57" s="143">
        <v>280.51400000000001</v>
      </c>
      <c r="W57" s="143">
        <v>894.84</v>
      </c>
      <c r="X57" s="155">
        <v>0</v>
      </c>
      <c r="Y57" s="155">
        <v>6.17898329534247E-3</v>
      </c>
      <c r="Z57" s="155">
        <v>7.6786059105064201E-4</v>
      </c>
    </row>
    <row r="58" spans="1:26">
      <c r="A58" s="3">
        <v>337</v>
      </c>
      <c r="B58" s="3">
        <v>9963</v>
      </c>
      <c r="C58" s="3" t="s">
        <v>1890</v>
      </c>
      <c r="D58" s="3" t="s">
        <v>1891</v>
      </c>
      <c r="E58" s="3" t="s">
        <v>439</v>
      </c>
      <c r="F58" s="3" t="s">
        <v>1892</v>
      </c>
      <c r="G58" s="3">
        <v>62020284</v>
      </c>
      <c r="H58" s="3" t="s">
        <v>33</v>
      </c>
      <c r="I58" s="3" t="s">
        <v>1670</v>
      </c>
      <c r="J58" s="3" t="s">
        <v>1212</v>
      </c>
      <c r="K58" s="3" t="s">
        <v>79</v>
      </c>
      <c r="L58" s="3" t="s">
        <v>1681</v>
      </c>
      <c r="M58" s="3" t="s">
        <v>1681</v>
      </c>
      <c r="N58" s="3" t="s">
        <v>80</v>
      </c>
      <c r="O58" s="3" t="s">
        <v>125</v>
      </c>
      <c r="P58" s="171" t="s">
        <v>1893</v>
      </c>
      <c r="Q58" s="3" t="s">
        <v>84</v>
      </c>
      <c r="R58" s="3" t="s">
        <v>1628</v>
      </c>
      <c r="S58" s="3" t="s">
        <v>1532</v>
      </c>
      <c r="T58" s="169" t="s">
        <v>1738</v>
      </c>
      <c r="U58" s="153">
        <v>3.19</v>
      </c>
      <c r="V58" s="143">
        <v>425.68400000000003</v>
      </c>
      <c r="W58" s="143">
        <v>1357.933</v>
      </c>
      <c r="X58" s="155">
        <v>0</v>
      </c>
      <c r="Y58" s="155">
        <v>9.3766952027312493E-3</v>
      </c>
      <c r="Z58" s="155">
        <v>1.16523938912379E-3</v>
      </c>
    </row>
    <row r="59" spans="1:26">
      <c r="A59" s="3">
        <v>337</v>
      </c>
      <c r="B59" s="3">
        <v>9963</v>
      </c>
      <c r="C59" s="3" t="s">
        <v>1894</v>
      </c>
      <c r="D59" s="3" t="s">
        <v>1895</v>
      </c>
      <c r="E59" s="3" t="s">
        <v>269</v>
      </c>
      <c r="F59" s="3" t="s">
        <v>1896</v>
      </c>
      <c r="G59" s="3">
        <v>62000698</v>
      </c>
      <c r="H59" s="3" t="s">
        <v>33</v>
      </c>
      <c r="I59" s="3" t="s">
        <v>1670</v>
      </c>
      <c r="J59" s="3" t="s">
        <v>1212</v>
      </c>
      <c r="K59" s="3" t="s">
        <v>79</v>
      </c>
      <c r="L59" s="3" t="s">
        <v>1681</v>
      </c>
      <c r="M59" s="3" t="s">
        <v>80</v>
      </c>
      <c r="N59" s="3" t="s">
        <v>138</v>
      </c>
      <c r="O59" s="3" t="s">
        <v>125</v>
      </c>
      <c r="P59" s="171" t="s">
        <v>1897</v>
      </c>
      <c r="Q59" s="3" t="s">
        <v>84</v>
      </c>
      <c r="R59" s="3" t="s">
        <v>1628</v>
      </c>
      <c r="S59" s="3" t="s">
        <v>1532</v>
      </c>
      <c r="T59" s="169" t="s">
        <v>1533</v>
      </c>
      <c r="U59" s="153">
        <v>3.19</v>
      </c>
      <c r="V59" s="143">
        <v>857.06200000000001</v>
      </c>
      <c r="W59" s="143">
        <v>2734.027</v>
      </c>
      <c r="X59" s="155">
        <v>0</v>
      </c>
      <c r="Y59" s="155">
        <v>1.8878794597314799E-2</v>
      </c>
      <c r="Z59" s="155">
        <v>2.34606272341676E-3</v>
      </c>
    </row>
    <row r="60" spans="1:26">
      <c r="A60" s="3">
        <v>337</v>
      </c>
      <c r="B60" s="3">
        <v>9963</v>
      </c>
      <c r="C60" s="3" t="s">
        <v>1793</v>
      </c>
      <c r="D60" s="3" t="s">
        <v>1794</v>
      </c>
      <c r="E60" s="3" t="s">
        <v>269</v>
      </c>
      <c r="F60" s="3" t="s">
        <v>1898</v>
      </c>
      <c r="G60" s="3">
        <v>11811062</v>
      </c>
      <c r="H60" s="3" t="s">
        <v>33</v>
      </c>
      <c r="I60" s="3" t="s">
        <v>1670</v>
      </c>
      <c r="J60" s="3" t="s">
        <v>1212</v>
      </c>
      <c r="K60" s="3" t="s">
        <v>79</v>
      </c>
      <c r="L60" s="3" t="s">
        <v>1681</v>
      </c>
      <c r="M60" s="3" t="s">
        <v>30</v>
      </c>
      <c r="N60" s="3" t="s">
        <v>80</v>
      </c>
      <c r="O60" s="3" t="s">
        <v>125</v>
      </c>
      <c r="P60" s="171" t="s">
        <v>1614</v>
      </c>
      <c r="Q60" s="3" t="s">
        <v>84</v>
      </c>
      <c r="R60" s="3" t="s">
        <v>1628</v>
      </c>
      <c r="S60" s="3" t="s">
        <v>1532</v>
      </c>
      <c r="T60" s="169" t="s">
        <v>1899</v>
      </c>
      <c r="U60" s="153">
        <v>3.19</v>
      </c>
      <c r="V60" s="143">
        <v>523.94299999999998</v>
      </c>
      <c r="W60" s="143">
        <v>1671.3789999999999</v>
      </c>
      <c r="X60" s="155">
        <v>7.2989999999999999E-3</v>
      </c>
      <c r="Y60" s="155">
        <v>1.15410809392255E-2</v>
      </c>
      <c r="Z60" s="155">
        <v>1.4342070220576401E-3</v>
      </c>
    </row>
    <row r="61" spans="1:26">
      <c r="A61" s="3">
        <v>337</v>
      </c>
      <c r="B61" s="3">
        <v>9963</v>
      </c>
      <c r="C61" s="3" t="s">
        <v>1900</v>
      </c>
      <c r="D61" s="3" t="s">
        <v>1901</v>
      </c>
      <c r="E61" s="3" t="s">
        <v>269</v>
      </c>
      <c r="F61" s="3" t="s">
        <v>1902</v>
      </c>
      <c r="G61" s="3">
        <v>62014261</v>
      </c>
      <c r="H61" s="3" t="s">
        <v>33</v>
      </c>
      <c r="I61" s="3" t="s">
        <v>1670</v>
      </c>
      <c r="J61" s="3" t="s">
        <v>1212</v>
      </c>
      <c r="K61" s="3" t="s">
        <v>79</v>
      </c>
      <c r="L61" s="3" t="s">
        <v>1767</v>
      </c>
      <c r="M61" s="3" t="s">
        <v>956</v>
      </c>
      <c r="N61" s="3" t="s">
        <v>138</v>
      </c>
      <c r="O61" s="3" t="s">
        <v>125</v>
      </c>
      <c r="P61" s="171" t="s">
        <v>1903</v>
      </c>
      <c r="Q61" s="3" t="s">
        <v>84</v>
      </c>
      <c r="R61" s="3" t="s">
        <v>1628</v>
      </c>
      <c r="S61" s="3" t="s">
        <v>1532</v>
      </c>
      <c r="T61" s="169" t="s">
        <v>1533</v>
      </c>
      <c r="U61" s="153">
        <v>3.19</v>
      </c>
      <c r="V61" s="143">
        <v>1314.4369999999999</v>
      </c>
      <c r="W61" s="143">
        <v>4193.0540000000001</v>
      </c>
      <c r="X61" s="155">
        <v>0</v>
      </c>
      <c r="Y61" s="155">
        <v>2.8953559737953199E-2</v>
      </c>
      <c r="Z61" s="155">
        <v>3.59805107584007E-3</v>
      </c>
    </row>
    <row r="62" spans="1:26">
      <c r="A62" s="3">
        <v>337</v>
      </c>
      <c r="B62" s="3">
        <v>9963</v>
      </c>
      <c r="C62" s="3" t="s">
        <v>1904</v>
      </c>
      <c r="D62" s="3" t="s">
        <v>1905</v>
      </c>
      <c r="E62" s="3" t="s">
        <v>118</v>
      </c>
      <c r="F62" s="3" t="s">
        <v>1906</v>
      </c>
      <c r="G62" s="3">
        <v>9840688</v>
      </c>
      <c r="H62" s="3" t="s">
        <v>33</v>
      </c>
      <c r="I62" s="3" t="s">
        <v>1724</v>
      </c>
      <c r="J62" s="3" t="s">
        <v>1212</v>
      </c>
      <c r="K62" s="3" t="s">
        <v>79</v>
      </c>
      <c r="L62" s="3" t="s">
        <v>30</v>
      </c>
      <c r="M62" s="3" t="s">
        <v>30</v>
      </c>
      <c r="N62" s="3" t="s">
        <v>1341</v>
      </c>
      <c r="O62" s="3" t="s">
        <v>125</v>
      </c>
      <c r="P62" s="171" t="s">
        <v>1579</v>
      </c>
      <c r="Q62" s="3" t="s">
        <v>755</v>
      </c>
      <c r="R62" s="3" t="s">
        <v>1628</v>
      </c>
      <c r="S62" s="3" t="s">
        <v>1532</v>
      </c>
      <c r="T62" s="169" t="s">
        <v>1907</v>
      </c>
      <c r="U62" s="153">
        <v>3.7454999999999998</v>
      </c>
      <c r="V62" s="143">
        <v>51.908000000000001</v>
      </c>
      <c r="W62" s="143">
        <v>194.422</v>
      </c>
      <c r="X62" s="155">
        <v>4.5499999999999999E-2</v>
      </c>
      <c r="Y62" s="155">
        <v>1.34250973114655E-3</v>
      </c>
      <c r="Z62" s="155">
        <v>1.66833322955648E-4</v>
      </c>
    </row>
    <row r="63" spans="1:26">
      <c r="A63" s="3">
        <v>337</v>
      </c>
      <c r="B63" s="3">
        <v>9964</v>
      </c>
      <c r="C63" s="3" t="s">
        <v>1661</v>
      </c>
      <c r="D63" s="3" t="s">
        <v>1662</v>
      </c>
      <c r="E63" s="3" t="s">
        <v>269</v>
      </c>
      <c r="F63" s="3" t="s">
        <v>1661</v>
      </c>
      <c r="G63" s="3">
        <v>62019286</v>
      </c>
      <c r="H63" s="3" t="s">
        <v>33</v>
      </c>
      <c r="I63" s="3" t="s">
        <v>1663</v>
      </c>
      <c r="J63" s="3" t="s">
        <v>1212</v>
      </c>
      <c r="K63" s="3" t="s">
        <v>79</v>
      </c>
      <c r="L63" s="3" t="s">
        <v>1664</v>
      </c>
      <c r="M63" s="3" t="s">
        <v>1341</v>
      </c>
      <c r="N63" s="3" t="s">
        <v>1341</v>
      </c>
      <c r="O63" s="3" t="s">
        <v>125</v>
      </c>
      <c r="P63" s="171" t="s">
        <v>1665</v>
      </c>
      <c r="Q63" s="3" t="s">
        <v>84</v>
      </c>
      <c r="R63" s="3" t="s">
        <v>1628</v>
      </c>
      <c r="S63" s="3" t="s">
        <v>1532</v>
      </c>
      <c r="T63" s="169" t="s">
        <v>1666</v>
      </c>
      <c r="U63" s="153">
        <v>3.19</v>
      </c>
      <c r="V63" s="143">
        <v>20.161000000000001</v>
      </c>
      <c r="W63" s="143">
        <v>64.311999999999998</v>
      </c>
      <c r="X63" s="155">
        <v>0</v>
      </c>
      <c r="Y63" s="155">
        <v>1</v>
      </c>
      <c r="Z63" s="155">
        <v>1.4745776030147401E-3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53 L55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18" t="s">
        <v>0</v>
      </c>
      <c r="B1" s="18" t="s">
        <v>1</v>
      </c>
      <c r="C1" s="18" t="s">
        <v>2</v>
      </c>
      <c r="D1" s="18" t="s">
        <v>105</v>
      </c>
      <c r="E1" s="18" t="s">
        <v>106</v>
      </c>
      <c r="F1" s="18" t="s">
        <v>3</v>
      </c>
      <c r="G1" s="18" t="s">
        <v>4</v>
      </c>
      <c r="H1" s="18" t="s">
        <v>107</v>
      </c>
      <c r="I1" s="18" t="s">
        <v>6</v>
      </c>
      <c r="J1" s="18" t="s">
        <v>7</v>
      </c>
      <c r="K1" s="18" t="s">
        <v>115</v>
      </c>
      <c r="L1" s="18" t="s">
        <v>1488</v>
      </c>
      <c r="M1" s="18" t="s">
        <v>108</v>
      </c>
      <c r="N1" s="18" t="s">
        <v>1489</v>
      </c>
      <c r="O1" s="18" t="s">
        <v>109</v>
      </c>
      <c r="P1" s="18" t="s">
        <v>1514</v>
      </c>
      <c r="Q1" s="18" t="s">
        <v>11</v>
      </c>
      <c r="R1" s="18" t="s">
        <v>1520</v>
      </c>
      <c r="S1" s="18" t="s">
        <v>1521</v>
      </c>
      <c r="T1" s="18" t="s">
        <v>1523</v>
      </c>
      <c r="U1" s="18" t="s">
        <v>1490</v>
      </c>
      <c r="V1" s="18" t="s">
        <v>1491</v>
      </c>
      <c r="W1" s="18" t="s">
        <v>17</v>
      </c>
      <c r="X1" s="18" t="s">
        <v>19</v>
      </c>
      <c r="Y1" s="18" t="s">
        <v>18</v>
      </c>
      <c r="Z1" s="18" t="s">
        <v>20</v>
      </c>
      <c r="AA1" s="18" t="s">
        <v>24</v>
      </c>
      <c r="AB1" s="18" t="s">
        <v>25</v>
      </c>
    </row>
    <row r="2" spans="1:28">
      <c r="A2" s="19"/>
      <c r="B2" s="19"/>
      <c r="C2" s="19"/>
      <c r="D2" s="19"/>
      <c r="E2" s="17"/>
      <c r="F2" s="19"/>
      <c r="G2" s="19"/>
      <c r="H2" s="19"/>
      <c r="I2" s="17"/>
      <c r="J2" s="17"/>
      <c r="K2" s="19"/>
      <c r="L2" s="20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>
      <c r="E20" s="17"/>
      <c r="H20" s="19"/>
      <c r="I20" s="17"/>
      <c r="J20" s="17"/>
      <c r="K20" s="19"/>
      <c r="M20" s="19"/>
      <c r="O20" s="19"/>
      <c r="S20" s="19"/>
    </row>
    <row r="23" spans="1:28">
      <c r="H23" s="35"/>
    </row>
    <row r="24" spans="1:28">
      <c r="H24" s="35"/>
      <c r="K24" s="3"/>
    </row>
    <row r="25" spans="1:28">
      <c r="H25" s="35"/>
    </row>
    <row r="26" spans="1:28">
      <c r="H26" s="35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18" t="s">
        <v>0</v>
      </c>
      <c r="B1" s="18" t="s">
        <v>1</v>
      </c>
      <c r="C1" s="18" t="s">
        <v>2</v>
      </c>
      <c r="D1" s="18" t="s">
        <v>105</v>
      </c>
      <c r="E1" s="18" t="s">
        <v>106</v>
      </c>
      <c r="F1" s="18" t="s">
        <v>3</v>
      </c>
      <c r="G1" s="18" t="s">
        <v>4</v>
      </c>
      <c r="H1" s="18" t="s">
        <v>107</v>
      </c>
      <c r="I1" s="18" t="s">
        <v>5</v>
      </c>
      <c r="J1" s="18" t="s">
        <v>6</v>
      </c>
      <c r="K1" s="18" t="s">
        <v>7</v>
      </c>
      <c r="L1" s="18" t="s">
        <v>108</v>
      </c>
      <c r="M1" s="18" t="s">
        <v>1501</v>
      </c>
      <c r="N1" s="18" t="s">
        <v>1489</v>
      </c>
      <c r="O1" s="18" t="s">
        <v>109</v>
      </c>
      <c r="P1" s="18" t="s">
        <v>1514</v>
      </c>
      <c r="Q1" s="18" t="s">
        <v>11</v>
      </c>
      <c r="R1" s="18" t="s">
        <v>1520</v>
      </c>
      <c r="S1" s="18" t="s">
        <v>1521</v>
      </c>
      <c r="T1" s="18" t="s">
        <v>1523</v>
      </c>
      <c r="U1" s="18" t="s">
        <v>1490</v>
      </c>
      <c r="V1" s="18" t="s">
        <v>1491</v>
      </c>
      <c r="W1" s="18" t="s">
        <v>17</v>
      </c>
      <c r="X1" s="18" t="s">
        <v>19</v>
      </c>
      <c r="Y1" s="18" t="s">
        <v>18</v>
      </c>
      <c r="Z1" s="18" t="s">
        <v>1908</v>
      </c>
      <c r="AA1" s="18" t="s">
        <v>24</v>
      </c>
      <c r="AB1" s="18" t="s">
        <v>25</v>
      </c>
    </row>
    <row r="2" spans="1:28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s="35" customFormat="1">
      <c r="H21" s="34"/>
    </row>
    <row r="23" spans="1:28">
      <c r="H23" s="35"/>
    </row>
    <row r="24" spans="1:28">
      <c r="H24" s="35"/>
    </row>
    <row r="25" spans="1:28">
      <c r="H25" s="35"/>
    </row>
    <row r="26" spans="1:28">
      <c r="H26" s="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C22" sqref="C22"/>
    </sheetView>
  </sheetViews>
  <sheetFormatPr defaultColWidth="0" defaultRowHeight="14.25"/>
  <cols>
    <col min="1" max="6" width="11.625" style="9" customWidth="1"/>
    <col min="7" max="7" width="18.625" style="9" customWidth="1"/>
    <col min="8" max="13" width="11.625" style="9" customWidth="1"/>
    <col min="14" max="14" width="25.5" style="9" customWidth="1"/>
    <col min="15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18" t="s">
        <v>0</v>
      </c>
      <c r="B1" s="18" t="s">
        <v>1</v>
      </c>
      <c r="C1" s="18" t="s">
        <v>5</v>
      </c>
      <c r="D1" s="18" t="s">
        <v>1909</v>
      </c>
      <c r="E1" s="18" t="s">
        <v>1910</v>
      </c>
      <c r="F1" s="158" t="s">
        <v>18</v>
      </c>
      <c r="G1" s="18" t="s">
        <v>1911</v>
      </c>
      <c r="H1" s="18" t="s">
        <v>1912</v>
      </c>
      <c r="I1" s="154" t="s">
        <v>1913</v>
      </c>
      <c r="J1" s="154" t="s">
        <v>1914</v>
      </c>
      <c r="K1" s="18" t="s">
        <v>1915</v>
      </c>
      <c r="L1" s="18" t="s">
        <v>1916</v>
      </c>
      <c r="M1" s="158" t="s">
        <v>18</v>
      </c>
      <c r="N1" s="18" t="s">
        <v>1917</v>
      </c>
      <c r="O1" s="18" t="s">
        <v>1918</v>
      </c>
      <c r="P1" s="154" t="s">
        <v>1919</v>
      </c>
      <c r="Q1" s="154" t="s">
        <v>1920</v>
      </c>
      <c r="R1" s="18" t="s">
        <v>1921</v>
      </c>
      <c r="S1" s="18" t="s">
        <v>6</v>
      </c>
      <c r="T1" s="18" t="s">
        <v>7</v>
      </c>
      <c r="U1" s="18" t="s">
        <v>1922</v>
      </c>
      <c r="V1" s="18" t="s">
        <v>1923</v>
      </c>
      <c r="W1" s="18" t="s">
        <v>1924</v>
      </c>
      <c r="X1" s="18" t="s">
        <v>1506</v>
      </c>
      <c r="Y1" s="18" t="s">
        <v>109</v>
      </c>
      <c r="Z1" s="18" t="s">
        <v>1925</v>
      </c>
      <c r="AA1" s="18" t="s">
        <v>1926</v>
      </c>
      <c r="AB1" s="18" t="s">
        <v>1927</v>
      </c>
      <c r="AC1" s="18" t="s">
        <v>1928</v>
      </c>
      <c r="AD1" s="18" t="s">
        <v>1929</v>
      </c>
      <c r="AE1" s="18" t="s">
        <v>1930</v>
      </c>
      <c r="AF1" s="18" t="s">
        <v>111</v>
      </c>
      <c r="AG1" s="18" t="s">
        <v>1931</v>
      </c>
      <c r="AH1" s="18" t="s">
        <v>1932</v>
      </c>
      <c r="AI1" s="18" t="s">
        <v>1933</v>
      </c>
      <c r="AJ1" s="18" t="s">
        <v>1934</v>
      </c>
      <c r="AK1" s="18" t="s">
        <v>1935</v>
      </c>
      <c r="AL1" s="18" t="s">
        <v>1936</v>
      </c>
      <c r="AM1" s="18" t="s">
        <v>1937</v>
      </c>
      <c r="AN1" s="154" t="s">
        <v>24</v>
      </c>
      <c r="AO1" s="154" t="s">
        <v>25</v>
      </c>
    </row>
    <row r="2" spans="1:41">
      <c r="A2" s="11" t="s">
        <v>1938</v>
      </c>
      <c r="B2" s="11" t="s">
        <v>1939</v>
      </c>
      <c r="C2" s="11" t="s">
        <v>1940</v>
      </c>
      <c r="D2" s="2" t="s">
        <v>1941</v>
      </c>
      <c r="E2" s="11" t="s">
        <v>84</v>
      </c>
      <c r="F2" s="179">
        <v>3.19</v>
      </c>
      <c r="G2" s="149">
        <v>-838000</v>
      </c>
      <c r="H2" s="144">
        <v>-2724.6350000000002</v>
      </c>
      <c r="I2" s="177">
        <v>6.9800000000000005E-4</v>
      </c>
      <c r="J2" s="178">
        <v>-5.8999999999999998E-5</v>
      </c>
      <c r="K2" s="9" t="s">
        <v>1941</v>
      </c>
      <c r="L2" s="11" t="s">
        <v>34</v>
      </c>
      <c r="M2" s="180">
        <v>1</v>
      </c>
      <c r="N2" s="150">
        <v>2737494.6</v>
      </c>
      <c r="O2" s="151">
        <v>2661.73</v>
      </c>
      <c r="P2" s="177">
        <v>4.8999999999999998E-5</v>
      </c>
      <c r="Q2" s="177">
        <v>6.9800000000000005E-4</v>
      </c>
      <c r="R2" s="149">
        <v>62.905000000000001</v>
      </c>
      <c r="S2" s="9" t="s">
        <v>30</v>
      </c>
      <c r="T2" s="17" t="s">
        <v>30</v>
      </c>
      <c r="U2" s="25" t="s">
        <v>1942</v>
      </c>
      <c r="V2" s="10" t="s">
        <v>1943</v>
      </c>
      <c r="W2" s="9" t="s">
        <v>1944</v>
      </c>
      <c r="X2" s="10" t="s">
        <v>1945</v>
      </c>
      <c r="Y2" s="10" t="s">
        <v>125</v>
      </c>
      <c r="Z2" s="1" t="s">
        <v>1946</v>
      </c>
      <c r="AA2" s="24" t="s">
        <v>1947</v>
      </c>
      <c r="AB2" s="10" t="s">
        <v>1948</v>
      </c>
      <c r="AC2" s="10" t="s">
        <v>1949</v>
      </c>
      <c r="AD2" s="10" t="s">
        <v>125</v>
      </c>
      <c r="AE2" s="25" t="s">
        <v>1950</v>
      </c>
      <c r="AF2" s="10" t="s">
        <v>1948</v>
      </c>
      <c r="AG2" s="11" t="s">
        <v>1951</v>
      </c>
      <c r="AH2" s="32" t="s">
        <v>1952</v>
      </c>
      <c r="AI2" s="149">
        <v>3.2509999999999999</v>
      </c>
      <c r="AJ2" s="32" t="s">
        <v>1953</v>
      </c>
      <c r="AK2" s="25" t="s">
        <v>125</v>
      </c>
      <c r="AL2" s="32" t="s">
        <v>1952</v>
      </c>
      <c r="AM2" s="9" t="s">
        <v>1954</v>
      </c>
      <c r="AN2" s="161">
        <v>7.18E-4</v>
      </c>
      <c r="AO2" s="161">
        <v>9.9999999999999995E-7</v>
      </c>
    </row>
    <row r="3" spans="1:41">
      <c r="A3" s="11" t="s">
        <v>1938</v>
      </c>
      <c r="B3" s="11" t="s">
        <v>1939</v>
      </c>
      <c r="C3" s="11" t="s">
        <v>1940</v>
      </c>
      <c r="D3" s="2" t="s">
        <v>1955</v>
      </c>
      <c r="E3" s="11" t="s">
        <v>755</v>
      </c>
      <c r="F3" s="179">
        <v>3.7454999999999998</v>
      </c>
      <c r="G3" s="149">
        <v>-96000</v>
      </c>
      <c r="H3" s="144">
        <v>-360.10700000000003</v>
      </c>
      <c r="I3" s="177">
        <v>9.2E-5</v>
      </c>
      <c r="J3" s="178">
        <v>-7.9999999999999996E-6</v>
      </c>
      <c r="K3" s="9" t="s">
        <v>1955</v>
      </c>
      <c r="L3" s="11" t="s">
        <v>34</v>
      </c>
      <c r="M3" s="180">
        <v>1</v>
      </c>
      <c r="N3" s="150">
        <v>361756.8</v>
      </c>
      <c r="O3" s="150">
        <v>358.66800000000001</v>
      </c>
      <c r="P3" s="177">
        <v>6.9999999999999999E-6</v>
      </c>
      <c r="Q3" s="177">
        <v>9.3999999999999994E-5</v>
      </c>
      <c r="R3" s="149">
        <v>1.4390000000000001</v>
      </c>
      <c r="S3" s="9" t="s">
        <v>30</v>
      </c>
      <c r="T3" s="17" t="s">
        <v>30</v>
      </c>
      <c r="U3" s="25" t="s">
        <v>1942</v>
      </c>
      <c r="V3" s="10" t="s">
        <v>1943</v>
      </c>
      <c r="W3" s="9" t="s">
        <v>1944</v>
      </c>
      <c r="X3" s="10" t="s">
        <v>1956</v>
      </c>
      <c r="Y3" s="10" t="s">
        <v>125</v>
      </c>
      <c r="Z3" s="1" t="s">
        <v>1946</v>
      </c>
      <c r="AA3" s="24" t="s">
        <v>1947</v>
      </c>
      <c r="AB3" s="10" t="s">
        <v>1948</v>
      </c>
      <c r="AC3" s="10" t="s">
        <v>1949</v>
      </c>
      <c r="AD3" s="10" t="s">
        <v>125</v>
      </c>
      <c r="AE3" s="10" t="s">
        <v>1950</v>
      </c>
      <c r="AF3" s="10" t="s">
        <v>1948</v>
      </c>
      <c r="AG3" s="11" t="s">
        <v>1951</v>
      </c>
      <c r="AH3" t="s">
        <v>1952</v>
      </c>
      <c r="AI3" s="149">
        <v>3.7509999999999999</v>
      </c>
      <c r="AJ3" s="10" t="s">
        <v>1957</v>
      </c>
      <c r="AK3" s="10" t="s">
        <v>125</v>
      </c>
      <c r="AL3" s="9" t="s">
        <v>1952</v>
      </c>
      <c r="AM3" s="9" t="s">
        <v>1954</v>
      </c>
      <c r="AN3" s="161">
        <v>1.5999999999999999E-5</v>
      </c>
      <c r="AO3" s="161">
        <v>0</v>
      </c>
    </row>
    <row r="4" spans="1:41">
      <c r="A4" s="11" t="s">
        <v>1938</v>
      </c>
      <c r="B4" s="11" t="s">
        <v>1939</v>
      </c>
      <c r="C4" s="11" t="s">
        <v>1940</v>
      </c>
      <c r="D4" s="2" t="s">
        <v>1958</v>
      </c>
      <c r="E4" s="11" t="s">
        <v>84</v>
      </c>
      <c r="F4" s="179">
        <v>3.19</v>
      </c>
      <c r="G4" s="149">
        <v>-250000</v>
      </c>
      <c r="H4" s="144">
        <v>-817.39200000000005</v>
      </c>
      <c r="I4" s="177">
        <v>2.0900000000000001E-4</v>
      </c>
      <c r="J4" s="178">
        <v>-1.8E-5</v>
      </c>
      <c r="K4" s="9" t="s">
        <v>1958</v>
      </c>
      <c r="L4" s="11" t="s">
        <v>34</v>
      </c>
      <c r="M4" s="180">
        <v>1</v>
      </c>
      <c r="N4" s="150">
        <v>821250</v>
      </c>
      <c r="O4" s="150">
        <v>794.07100000000003</v>
      </c>
      <c r="P4" s="177">
        <v>1.5E-5</v>
      </c>
      <c r="Q4" s="177">
        <v>2.0799999999999999E-4</v>
      </c>
      <c r="R4" s="149">
        <v>23.321000000000002</v>
      </c>
      <c r="S4" s="9" t="s">
        <v>30</v>
      </c>
      <c r="T4" s="17" t="s">
        <v>30</v>
      </c>
      <c r="U4" s="25" t="s">
        <v>1942</v>
      </c>
      <c r="V4" s="10" t="s">
        <v>1943</v>
      </c>
      <c r="W4" s="9" t="s">
        <v>1944</v>
      </c>
      <c r="X4" s="10" t="s">
        <v>1945</v>
      </c>
      <c r="Y4" s="10" t="s">
        <v>125</v>
      </c>
      <c r="Z4" s="1" t="s">
        <v>1959</v>
      </c>
      <c r="AA4" s="24" t="s">
        <v>1947</v>
      </c>
      <c r="AB4" s="10" t="s">
        <v>1948</v>
      </c>
      <c r="AC4" s="10" t="s">
        <v>1949</v>
      </c>
      <c r="AD4" s="10" t="s">
        <v>125</v>
      </c>
      <c r="AE4" s="10" t="s">
        <v>1950</v>
      </c>
      <c r="AF4" s="10" t="s">
        <v>1948</v>
      </c>
      <c r="AG4" s="11" t="s">
        <v>1951</v>
      </c>
      <c r="AH4" t="s">
        <v>1952</v>
      </c>
      <c r="AI4" s="149">
        <v>3.2690000000000001</v>
      </c>
      <c r="AJ4" s="10" t="s">
        <v>1953</v>
      </c>
      <c r="AK4" s="10" t="s">
        <v>125</v>
      </c>
      <c r="AL4" s="9" t="s">
        <v>1952</v>
      </c>
      <c r="AM4" s="9" t="s">
        <v>1954</v>
      </c>
      <c r="AN4" s="161">
        <v>2.6600000000000001E-4</v>
      </c>
      <c r="AO4" s="161">
        <v>0</v>
      </c>
    </row>
    <row r="5" spans="1:41">
      <c r="A5" s="11" t="s">
        <v>1938</v>
      </c>
      <c r="B5" s="11" t="s">
        <v>1960</v>
      </c>
      <c r="C5" s="11" t="s">
        <v>1940</v>
      </c>
      <c r="D5" s="2" t="s">
        <v>1941</v>
      </c>
      <c r="E5" s="11" t="s">
        <v>84</v>
      </c>
      <c r="F5" s="179">
        <v>3.19</v>
      </c>
      <c r="G5" s="149">
        <v>-33284000</v>
      </c>
      <c r="H5" s="144">
        <v>-108218.088</v>
      </c>
      <c r="I5" s="177">
        <v>8.2299999999999995E-4</v>
      </c>
      <c r="J5" s="178">
        <v>-1.05E-4</v>
      </c>
      <c r="K5" s="9" t="s">
        <v>1941</v>
      </c>
      <c r="L5" s="11" t="s">
        <v>34</v>
      </c>
      <c r="M5" s="180">
        <v>1</v>
      </c>
      <c r="N5" s="150">
        <v>108728842.8</v>
      </c>
      <c r="O5" s="150">
        <v>105719.614</v>
      </c>
      <c r="P5" s="177">
        <v>8.2000000000000001E-5</v>
      </c>
      <c r="Q5" s="177">
        <v>8.2100000000000001E-4</v>
      </c>
      <c r="R5" s="149">
        <v>2498.4740000000002</v>
      </c>
      <c r="S5" s="9" t="s">
        <v>30</v>
      </c>
      <c r="T5" s="17" t="s">
        <v>30</v>
      </c>
      <c r="U5" s="25" t="s">
        <v>1942</v>
      </c>
      <c r="V5" s="10" t="s">
        <v>1943</v>
      </c>
      <c r="W5" s="9" t="s">
        <v>1944</v>
      </c>
      <c r="X5" s="10" t="s">
        <v>1945</v>
      </c>
      <c r="Y5" s="10" t="s">
        <v>125</v>
      </c>
      <c r="Z5" s="1" t="s">
        <v>1946</v>
      </c>
      <c r="AA5" s="24" t="s">
        <v>1947</v>
      </c>
      <c r="AB5" s="10" t="s">
        <v>1948</v>
      </c>
      <c r="AC5" s="10" t="s">
        <v>1949</v>
      </c>
      <c r="AD5" s="10" t="s">
        <v>125</v>
      </c>
      <c r="AE5" s="10" t="s">
        <v>1950</v>
      </c>
      <c r="AF5" s="10" t="s">
        <v>1948</v>
      </c>
      <c r="AG5" s="11" t="s">
        <v>1951</v>
      </c>
      <c r="AH5" t="s">
        <v>1952</v>
      </c>
      <c r="AI5" s="149">
        <v>3.2509999999999999</v>
      </c>
      <c r="AJ5" s="10" t="s">
        <v>1953</v>
      </c>
      <c r="AK5" s="10" t="s">
        <v>125</v>
      </c>
      <c r="AL5" s="9" t="s">
        <v>1952</v>
      </c>
      <c r="AM5" s="9" t="s">
        <v>1954</v>
      </c>
      <c r="AN5" s="161">
        <v>9.6400000000000001E-4</v>
      </c>
      <c r="AO5" s="161">
        <v>1.9999999999999999E-6</v>
      </c>
    </row>
    <row r="6" spans="1:41">
      <c r="A6" s="11" t="s">
        <v>1938</v>
      </c>
      <c r="B6" s="11" t="s">
        <v>1960</v>
      </c>
      <c r="C6" s="11" t="s">
        <v>1940</v>
      </c>
      <c r="D6" s="2" t="s">
        <v>1955</v>
      </c>
      <c r="E6" s="11" t="s">
        <v>755</v>
      </c>
      <c r="F6" s="179">
        <v>3.7454999999999998</v>
      </c>
      <c r="G6" s="149">
        <v>-6185000</v>
      </c>
      <c r="H6" s="144">
        <v>-23200.67</v>
      </c>
      <c r="I6" s="177">
        <v>1.7699999999999999E-4</v>
      </c>
      <c r="J6" s="178">
        <v>-2.1999999999999999E-5</v>
      </c>
      <c r="K6" s="9" t="s">
        <v>1955</v>
      </c>
      <c r="L6" s="11" t="s">
        <v>34</v>
      </c>
      <c r="M6" s="180">
        <v>1</v>
      </c>
      <c r="N6" s="150">
        <v>23306935.5</v>
      </c>
      <c r="O6" s="150">
        <v>23107.982</v>
      </c>
      <c r="P6" s="177">
        <v>1.8E-5</v>
      </c>
      <c r="Q6" s="177">
        <v>1.7899999999999999E-4</v>
      </c>
      <c r="R6" s="149">
        <v>92.688000000000002</v>
      </c>
      <c r="S6" s="9" t="s">
        <v>30</v>
      </c>
      <c r="T6" s="17" t="s">
        <v>30</v>
      </c>
      <c r="U6" s="25" t="s">
        <v>1942</v>
      </c>
      <c r="V6" s="10" t="s">
        <v>1943</v>
      </c>
      <c r="W6" s="9" t="s">
        <v>1944</v>
      </c>
      <c r="X6" s="10" t="s">
        <v>1956</v>
      </c>
      <c r="Y6" s="10" t="s">
        <v>125</v>
      </c>
      <c r="Z6" s="1" t="s">
        <v>1946</v>
      </c>
      <c r="AA6" s="24" t="s">
        <v>1947</v>
      </c>
      <c r="AB6" s="10" t="s">
        <v>1948</v>
      </c>
      <c r="AC6" s="10" t="s">
        <v>1949</v>
      </c>
      <c r="AD6" s="10" t="s">
        <v>125</v>
      </c>
      <c r="AE6" s="10" t="s">
        <v>1950</v>
      </c>
      <c r="AF6" s="10" t="s">
        <v>1948</v>
      </c>
      <c r="AG6" s="11" t="s">
        <v>1951</v>
      </c>
      <c r="AH6" t="s">
        <v>1952</v>
      </c>
      <c r="AI6" s="149">
        <v>3.7509999999999999</v>
      </c>
      <c r="AJ6" s="10" t="s">
        <v>1957</v>
      </c>
      <c r="AK6" s="10" t="s">
        <v>125</v>
      </c>
      <c r="AL6" s="9" t="s">
        <v>1952</v>
      </c>
      <c r="AM6" s="9" t="s">
        <v>1954</v>
      </c>
      <c r="AN6" s="161">
        <v>3.6000000000000001E-5</v>
      </c>
      <c r="AO6" s="161">
        <v>0</v>
      </c>
    </row>
    <row r="7" spans="1:41">
      <c r="A7" s="11" t="s">
        <v>1938</v>
      </c>
      <c r="B7" s="11" t="s">
        <v>1961</v>
      </c>
      <c r="C7" s="11" t="s">
        <v>1940</v>
      </c>
      <c r="D7" s="2" t="s">
        <v>1941</v>
      </c>
      <c r="E7" s="11" t="s">
        <v>84</v>
      </c>
      <c r="F7" s="179">
        <v>3.19</v>
      </c>
      <c r="G7" s="149">
        <v>-37000</v>
      </c>
      <c r="H7" s="144">
        <v>-120.3</v>
      </c>
      <c r="I7" s="177">
        <v>6.8999999999999997E-4</v>
      </c>
      <c r="J7" s="178">
        <v>-1.5999999999999999E-5</v>
      </c>
      <c r="K7" s="9" t="s">
        <v>1941</v>
      </c>
      <c r="L7" s="11" t="s">
        <v>34</v>
      </c>
      <c r="M7" s="180">
        <v>1</v>
      </c>
      <c r="N7" s="150">
        <v>120867.9</v>
      </c>
      <c r="O7" s="150">
        <v>117.52200000000001</v>
      </c>
      <c r="P7" s="177">
        <v>1.5E-5</v>
      </c>
      <c r="Q7" s="177">
        <v>6.8599999999999998E-4</v>
      </c>
      <c r="R7" s="149">
        <v>2.7770000000000001</v>
      </c>
      <c r="S7" s="9" t="s">
        <v>30</v>
      </c>
      <c r="T7" s="17" t="s">
        <v>30</v>
      </c>
      <c r="U7" s="25" t="s">
        <v>1942</v>
      </c>
      <c r="V7" s="10" t="s">
        <v>1943</v>
      </c>
      <c r="W7" s="9" t="s">
        <v>1944</v>
      </c>
      <c r="X7" s="10" t="s">
        <v>1945</v>
      </c>
      <c r="Y7" s="10" t="s">
        <v>125</v>
      </c>
      <c r="Z7" s="1" t="s">
        <v>1946</v>
      </c>
      <c r="AA7" s="24" t="s">
        <v>1947</v>
      </c>
      <c r="AB7" s="10" t="s">
        <v>1948</v>
      </c>
      <c r="AC7" s="10" t="s">
        <v>1949</v>
      </c>
      <c r="AD7" s="10" t="s">
        <v>125</v>
      </c>
      <c r="AE7" s="10" t="s">
        <v>1950</v>
      </c>
      <c r="AF7" s="10" t="s">
        <v>1948</v>
      </c>
      <c r="AG7" s="11" t="s">
        <v>1951</v>
      </c>
      <c r="AH7" t="s">
        <v>1952</v>
      </c>
      <c r="AI7" s="149">
        <v>3.2509999999999999</v>
      </c>
      <c r="AJ7" s="10" t="s">
        <v>1953</v>
      </c>
      <c r="AK7" s="10" t="s">
        <v>125</v>
      </c>
      <c r="AL7" s="9" t="s">
        <v>1952</v>
      </c>
      <c r="AM7" s="9" t="s">
        <v>1954</v>
      </c>
      <c r="AN7" s="161">
        <v>9.2800000000000001E-4</v>
      </c>
      <c r="AO7" s="161">
        <v>0</v>
      </c>
    </row>
    <row r="8" spans="1:41">
      <c r="A8" s="11" t="s">
        <v>1938</v>
      </c>
      <c r="B8" s="11" t="s">
        <v>1961</v>
      </c>
      <c r="C8" s="11" t="s">
        <v>1940</v>
      </c>
      <c r="D8" s="2" t="s">
        <v>1955</v>
      </c>
      <c r="E8" s="11" t="s">
        <v>755</v>
      </c>
      <c r="F8" s="179">
        <v>3.7454999999999998</v>
      </c>
      <c r="G8" s="149">
        <v>-14400</v>
      </c>
      <c r="H8" s="144">
        <v>-54.015999999999998</v>
      </c>
      <c r="I8" s="177">
        <v>3.1E-4</v>
      </c>
      <c r="J8" s="178">
        <v>-6.9999999999999999E-6</v>
      </c>
      <c r="K8" s="9" t="s">
        <v>1955</v>
      </c>
      <c r="L8" s="11" t="s">
        <v>34</v>
      </c>
      <c r="M8" s="180">
        <v>1</v>
      </c>
      <c r="N8" s="150">
        <v>54263.519999999997</v>
      </c>
      <c r="O8" s="150">
        <v>53.8</v>
      </c>
      <c r="P8" s="177">
        <v>6.9999999999999999E-6</v>
      </c>
      <c r="Q8" s="177">
        <v>3.1399999999999999E-4</v>
      </c>
      <c r="R8" s="149">
        <v>0.216</v>
      </c>
      <c r="S8" s="9" t="s">
        <v>30</v>
      </c>
      <c r="T8" s="17" t="s">
        <v>30</v>
      </c>
      <c r="U8" s="25" t="s">
        <v>1942</v>
      </c>
      <c r="V8" s="10" t="s">
        <v>1943</v>
      </c>
      <c r="W8" s="9" t="s">
        <v>1944</v>
      </c>
      <c r="X8" s="10" t="s">
        <v>1956</v>
      </c>
      <c r="Y8" s="10" t="s">
        <v>125</v>
      </c>
      <c r="Z8" s="1" t="s">
        <v>1946</v>
      </c>
      <c r="AA8" s="24" t="s">
        <v>1947</v>
      </c>
      <c r="AB8" s="10" t="s">
        <v>1948</v>
      </c>
      <c r="AC8" s="10" t="s">
        <v>1949</v>
      </c>
      <c r="AD8" s="10" t="s">
        <v>125</v>
      </c>
      <c r="AE8" s="10" t="s">
        <v>1950</v>
      </c>
      <c r="AF8" s="10" t="s">
        <v>1948</v>
      </c>
      <c r="AG8" s="11" t="s">
        <v>1951</v>
      </c>
      <c r="AH8" t="s">
        <v>1952</v>
      </c>
      <c r="AI8" s="149">
        <v>3.7509999999999999</v>
      </c>
      <c r="AJ8" s="10" t="s">
        <v>1957</v>
      </c>
      <c r="AK8" s="10" t="s">
        <v>125</v>
      </c>
      <c r="AL8" s="9" t="s">
        <v>1952</v>
      </c>
      <c r="AM8" s="9" t="s">
        <v>1954</v>
      </c>
      <c r="AN8" s="161">
        <v>7.2000000000000002E-5</v>
      </c>
      <c r="AO8" s="161">
        <v>0</v>
      </c>
    </row>
    <row r="9" spans="1:41">
      <c r="A9" s="11" t="s">
        <v>1938</v>
      </c>
      <c r="B9" s="11" t="s">
        <v>1962</v>
      </c>
      <c r="C9" s="11" t="s">
        <v>1940</v>
      </c>
      <c r="D9" s="2" t="s">
        <v>1941</v>
      </c>
      <c r="E9" s="11" t="s">
        <v>84</v>
      </c>
      <c r="F9" s="179">
        <v>3.19</v>
      </c>
      <c r="G9" s="149">
        <v>-341000</v>
      </c>
      <c r="H9" s="144">
        <v>-1108.711</v>
      </c>
      <c r="I9" s="177">
        <v>7.0100000000000002E-4</v>
      </c>
      <c r="J9" s="178">
        <v>-2.5999999999999998E-5</v>
      </c>
      <c r="K9" s="9" t="s">
        <v>1941</v>
      </c>
      <c r="L9" s="11" t="s">
        <v>34</v>
      </c>
      <c r="M9" s="180">
        <v>1</v>
      </c>
      <c r="N9" s="150">
        <v>1113944.7</v>
      </c>
      <c r="O9" s="150">
        <v>1083.114</v>
      </c>
      <c r="P9" s="177">
        <v>2.4000000000000001E-5</v>
      </c>
      <c r="Q9" s="177">
        <v>6.9700000000000003E-4</v>
      </c>
      <c r="R9" s="149">
        <v>25.597000000000001</v>
      </c>
      <c r="S9" s="9" t="s">
        <v>30</v>
      </c>
      <c r="T9" s="17" t="s">
        <v>30</v>
      </c>
      <c r="U9" s="25" t="s">
        <v>1942</v>
      </c>
      <c r="V9" s="10" t="s">
        <v>1943</v>
      </c>
      <c r="W9" s="9" t="s">
        <v>1944</v>
      </c>
      <c r="X9" s="10" t="s">
        <v>1945</v>
      </c>
      <c r="Y9" s="10" t="s">
        <v>125</v>
      </c>
      <c r="Z9" s="1" t="s">
        <v>1946</v>
      </c>
      <c r="AA9" s="24" t="s">
        <v>1947</v>
      </c>
      <c r="AB9" s="10" t="s">
        <v>1948</v>
      </c>
      <c r="AC9" s="10" t="s">
        <v>1949</v>
      </c>
      <c r="AD9" s="10" t="s">
        <v>125</v>
      </c>
      <c r="AE9" s="10" t="s">
        <v>1950</v>
      </c>
      <c r="AF9" s="10" t="s">
        <v>1948</v>
      </c>
      <c r="AG9" s="11" t="s">
        <v>1951</v>
      </c>
      <c r="AH9" t="s">
        <v>1952</v>
      </c>
      <c r="AI9" s="149">
        <v>3.2509999999999999</v>
      </c>
      <c r="AJ9" s="10" t="s">
        <v>1953</v>
      </c>
      <c r="AK9" s="10" t="s">
        <v>125</v>
      </c>
      <c r="AL9" s="9" t="s">
        <v>1952</v>
      </c>
      <c r="AM9" s="9" t="s">
        <v>1954</v>
      </c>
      <c r="AN9" s="161">
        <v>9.3099999999999997E-4</v>
      </c>
      <c r="AO9" s="161">
        <v>9.9999999999999995E-7</v>
      </c>
    </row>
    <row r="10" spans="1:41">
      <c r="A10" s="11" t="s">
        <v>1938</v>
      </c>
      <c r="B10" s="11" t="s">
        <v>1962</v>
      </c>
      <c r="C10" s="11" t="s">
        <v>1940</v>
      </c>
      <c r="D10" s="2" t="s">
        <v>1955</v>
      </c>
      <c r="E10" s="11" t="s">
        <v>755</v>
      </c>
      <c r="F10" s="179">
        <v>3.7454999999999998</v>
      </c>
      <c r="G10" s="149">
        <v>-126000</v>
      </c>
      <c r="H10" s="144">
        <v>-472.64</v>
      </c>
      <c r="I10" s="177">
        <v>2.99E-4</v>
      </c>
      <c r="J10" s="178">
        <v>-1.1E-5</v>
      </c>
      <c r="K10" s="9" t="s">
        <v>1955</v>
      </c>
      <c r="L10" s="11" t="s">
        <v>34</v>
      </c>
      <c r="M10" s="180">
        <v>1</v>
      </c>
      <c r="N10" s="150">
        <v>474805.8</v>
      </c>
      <c r="O10" s="150">
        <v>470.75200000000001</v>
      </c>
      <c r="P10" s="177">
        <v>1.0000000000000001E-5</v>
      </c>
      <c r="Q10" s="177">
        <v>3.0299999999999999E-4</v>
      </c>
      <c r="R10" s="149">
        <v>1.8879999999999999</v>
      </c>
      <c r="S10" s="9" t="s">
        <v>30</v>
      </c>
      <c r="T10" s="17" t="s">
        <v>30</v>
      </c>
      <c r="U10" s="25" t="s">
        <v>1942</v>
      </c>
      <c r="V10" s="10" t="s">
        <v>1943</v>
      </c>
      <c r="W10" s="9" t="s">
        <v>1944</v>
      </c>
      <c r="X10" s="10" t="s">
        <v>1956</v>
      </c>
      <c r="Y10" s="10" t="s">
        <v>125</v>
      </c>
      <c r="Z10" s="1" t="s">
        <v>1946</v>
      </c>
      <c r="AA10" s="24" t="s">
        <v>1947</v>
      </c>
      <c r="AB10" s="10" t="s">
        <v>1948</v>
      </c>
      <c r="AC10" s="10" t="s">
        <v>1949</v>
      </c>
      <c r="AD10" s="10" t="s">
        <v>125</v>
      </c>
      <c r="AE10" s="10" t="s">
        <v>1950</v>
      </c>
      <c r="AF10" s="10" t="s">
        <v>1948</v>
      </c>
      <c r="AG10" s="11" t="s">
        <v>1951</v>
      </c>
      <c r="AH10" t="s">
        <v>1952</v>
      </c>
      <c r="AI10" s="149">
        <v>3.7509999999999999</v>
      </c>
      <c r="AJ10" s="10" t="s">
        <v>1957</v>
      </c>
      <c r="AK10" s="10" t="s">
        <v>125</v>
      </c>
      <c r="AL10" s="9" t="s">
        <v>1952</v>
      </c>
      <c r="AM10" s="9" t="s">
        <v>1954</v>
      </c>
      <c r="AN10" s="161">
        <v>6.8999999999999997E-5</v>
      </c>
      <c r="AO10" s="161">
        <v>0</v>
      </c>
    </row>
    <row r="11" spans="1:41">
      <c r="A11" s="11" t="s">
        <v>1938</v>
      </c>
      <c r="B11" s="11" t="s">
        <v>1963</v>
      </c>
      <c r="C11" s="11" t="s">
        <v>1940</v>
      </c>
      <c r="D11" s="2" t="s">
        <v>1941</v>
      </c>
      <c r="E11" s="11" t="s">
        <v>84</v>
      </c>
      <c r="F11" s="179">
        <v>3.19</v>
      </c>
      <c r="G11" s="149">
        <v>-1410000</v>
      </c>
      <c r="H11" s="144">
        <v>-4584.41</v>
      </c>
      <c r="I11" s="177">
        <v>9.1E-4</v>
      </c>
      <c r="J11" s="178">
        <v>-2.31E-4</v>
      </c>
      <c r="K11" s="9" t="s">
        <v>1941</v>
      </c>
      <c r="L11" s="11" t="s">
        <v>34</v>
      </c>
      <c r="M11" s="180">
        <v>1</v>
      </c>
      <c r="N11" s="150">
        <v>4606047</v>
      </c>
      <c r="O11" s="150">
        <v>4478.567</v>
      </c>
      <c r="P11" s="177">
        <v>1.4999999999999999E-4</v>
      </c>
      <c r="Q11" s="177">
        <v>9.0899999999999998E-4</v>
      </c>
      <c r="R11" s="149">
        <v>105.842</v>
      </c>
      <c r="S11" s="9" t="s">
        <v>30</v>
      </c>
      <c r="T11" s="17" t="s">
        <v>30</v>
      </c>
      <c r="U11" s="25" t="s">
        <v>1942</v>
      </c>
      <c r="V11" s="10" t="s">
        <v>1943</v>
      </c>
      <c r="W11" s="9" t="s">
        <v>1944</v>
      </c>
      <c r="X11" s="10" t="s">
        <v>1945</v>
      </c>
      <c r="Y11" s="10" t="s">
        <v>125</v>
      </c>
      <c r="Z11" s="1" t="s">
        <v>1946</v>
      </c>
      <c r="AA11" s="24" t="s">
        <v>1947</v>
      </c>
      <c r="AB11" s="10" t="s">
        <v>1948</v>
      </c>
      <c r="AC11" s="10" t="s">
        <v>1949</v>
      </c>
      <c r="AD11" s="10" t="s">
        <v>125</v>
      </c>
      <c r="AE11" s="10" t="s">
        <v>1950</v>
      </c>
      <c r="AF11" s="10" t="s">
        <v>1948</v>
      </c>
      <c r="AG11" s="11" t="s">
        <v>1951</v>
      </c>
      <c r="AH11" t="s">
        <v>1952</v>
      </c>
      <c r="AI11" s="149">
        <v>3.2509999999999999</v>
      </c>
      <c r="AJ11" s="10" t="s">
        <v>1953</v>
      </c>
      <c r="AK11" s="10" t="s">
        <v>125</v>
      </c>
      <c r="AL11" s="9" t="s">
        <v>1952</v>
      </c>
      <c r="AM11" s="9" t="s">
        <v>1954</v>
      </c>
      <c r="AN11" s="161">
        <v>9.5299999999999996E-4</v>
      </c>
      <c r="AO11" s="161">
        <v>3.9999999999999998E-6</v>
      </c>
    </row>
    <row r="12" spans="1:41">
      <c r="A12" s="11" t="s">
        <v>1938</v>
      </c>
      <c r="B12" s="11" t="s">
        <v>1963</v>
      </c>
      <c r="C12" s="11" t="s">
        <v>1940</v>
      </c>
      <c r="D12" s="2" t="s">
        <v>1955</v>
      </c>
      <c r="E12" s="11" t="s">
        <v>755</v>
      </c>
      <c r="F12" s="179">
        <v>3.7454999999999998</v>
      </c>
      <c r="G12" s="149">
        <v>-95000</v>
      </c>
      <c r="H12" s="144">
        <v>-356.35599999999999</v>
      </c>
      <c r="I12" s="177">
        <v>7.1000000000000005E-5</v>
      </c>
      <c r="J12" s="178">
        <v>-1.8E-5</v>
      </c>
      <c r="K12" s="9" t="s">
        <v>1955</v>
      </c>
      <c r="L12" s="11" t="s">
        <v>34</v>
      </c>
      <c r="M12" s="180">
        <v>1</v>
      </c>
      <c r="N12" s="150">
        <v>357988.5</v>
      </c>
      <c r="O12" s="150">
        <v>354.93200000000002</v>
      </c>
      <c r="P12" s="177">
        <v>1.2E-5</v>
      </c>
      <c r="Q12" s="177">
        <v>7.2000000000000002E-5</v>
      </c>
      <c r="R12" s="149">
        <v>1.4239999999999999</v>
      </c>
      <c r="S12" s="9" t="s">
        <v>30</v>
      </c>
      <c r="T12" s="17" t="s">
        <v>30</v>
      </c>
      <c r="U12" s="25" t="s">
        <v>1942</v>
      </c>
      <c r="V12" s="10" t="s">
        <v>1943</v>
      </c>
      <c r="W12" s="9" t="s">
        <v>1944</v>
      </c>
      <c r="X12" s="10" t="s">
        <v>1956</v>
      </c>
      <c r="Y12" s="10" t="s">
        <v>125</v>
      </c>
      <c r="Z12" s="1" t="s">
        <v>1946</v>
      </c>
      <c r="AA12" s="24" t="s">
        <v>1947</v>
      </c>
      <c r="AB12" s="10" t="s">
        <v>1948</v>
      </c>
      <c r="AC12" s="10" t="s">
        <v>1949</v>
      </c>
      <c r="AD12" s="10" t="s">
        <v>125</v>
      </c>
      <c r="AE12" s="10" t="s">
        <v>1950</v>
      </c>
      <c r="AF12" s="10" t="s">
        <v>1948</v>
      </c>
      <c r="AG12" s="11" t="s">
        <v>1951</v>
      </c>
      <c r="AH12" t="s">
        <v>1952</v>
      </c>
      <c r="AI12" s="149">
        <v>3.7509999999999999</v>
      </c>
      <c r="AJ12" s="10" t="s">
        <v>1957</v>
      </c>
      <c r="AK12" s="10" t="s">
        <v>125</v>
      </c>
      <c r="AL12" s="9" t="s">
        <v>1952</v>
      </c>
      <c r="AM12" s="9" t="s">
        <v>1954</v>
      </c>
      <c r="AN12" s="161">
        <v>1.2999999999999999E-5</v>
      </c>
      <c r="AO12" s="161">
        <v>0</v>
      </c>
    </row>
    <row r="13" spans="1:41">
      <c r="A13" s="11" t="s">
        <v>1938</v>
      </c>
      <c r="B13" s="11" t="s">
        <v>1963</v>
      </c>
      <c r="C13" s="11" t="s">
        <v>1940</v>
      </c>
      <c r="D13" s="2" t="s">
        <v>1964</v>
      </c>
      <c r="E13" s="11" t="s">
        <v>84</v>
      </c>
      <c r="F13" s="179">
        <v>3.19</v>
      </c>
      <c r="G13" s="149">
        <v>100000</v>
      </c>
      <c r="H13" s="144">
        <v>325.96100000000001</v>
      </c>
      <c r="I13" s="177">
        <v>-6.4999999999999994E-5</v>
      </c>
      <c r="J13" s="178">
        <v>1.5999999999999999E-5</v>
      </c>
      <c r="K13" s="9" t="s">
        <v>1964</v>
      </c>
      <c r="L13" s="11" t="s">
        <v>34</v>
      </c>
      <c r="M13" s="180">
        <v>1</v>
      </c>
      <c r="N13" s="150">
        <v>-327500</v>
      </c>
      <c r="O13" s="150">
        <v>-317.62799999999999</v>
      </c>
      <c r="P13" s="177">
        <v>-1.1E-5</v>
      </c>
      <c r="Q13" s="177">
        <v>-6.3999999999999997E-5</v>
      </c>
      <c r="R13" s="149">
        <v>-8.3330000000000002</v>
      </c>
      <c r="S13" s="9" t="s">
        <v>30</v>
      </c>
      <c r="T13" s="17" t="s">
        <v>30</v>
      </c>
      <c r="U13" s="25" t="s">
        <v>1942</v>
      </c>
      <c r="V13" s="10" t="s">
        <v>1943</v>
      </c>
      <c r="W13" s="9" t="s">
        <v>1944</v>
      </c>
      <c r="X13" s="10" t="s">
        <v>1945</v>
      </c>
      <c r="Y13" s="10" t="s">
        <v>125</v>
      </c>
      <c r="Z13" s="1" t="s">
        <v>1965</v>
      </c>
      <c r="AA13" s="24" t="s">
        <v>1947</v>
      </c>
      <c r="AB13" s="10" t="s">
        <v>1948</v>
      </c>
      <c r="AC13" s="10" t="s">
        <v>1949</v>
      </c>
      <c r="AD13" s="10" t="s">
        <v>125</v>
      </c>
      <c r="AE13" s="10" t="s">
        <v>1950</v>
      </c>
      <c r="AF13" s="10" t="s">
        <v>1948</v>
      </c>
      <c r="AG13" s="11" t="s">
        <v>1951</v>
      </c>
      <c r="AH13" t="s">
        <v>1952</v>
      </c>
      <c r="AI13" s="149">
        <v>3.2589999999999999</v>
      </c>
      <c r="AJ13" s="10" t="s">
        <v>1953</v>
      </c>
      <c r="AK13" s="10" t="s">
        <v>125</v>
      </c>
      <c r="AL13" s="9" t="s">
        <v>1952</v>
      </c>
      <c r="AM13" s="9" t="s">
        <v>1954</v>
      </c>
      <c r="AN13" s="161">
        <v>-7.4999999999999993E-5</v>
      </c>
      <c r="AO13" s="161">
        <v>0</v>
      </c>
    </row>
    <row r="14" spans="1:41">
      <c r="A14" s="11" t="s">
        <v>1938</v>
      </c>
      <c r="B14" s="11" t="s">
        <v>1963</v>
      </c>
      <c r="C14" s="11" t="s">
        <v>1940</v>
      </c>
      <c r="D14" s="2" t="s">
        <v>1958</v>
      </c>
      <c r="E14" s="11" t="s">
        <v>84</v>
      </c>
      <c r="F14" s="179">
        <v>3.19</v>
      </c>
      <c r="G14" s="149">
        <v>-130000</v>
      </c>
      <c r="H14" s="144">
        <v>-425.04399999999998</v>
      </c>
      <c r="I14" s="177">
        <v>8.3999999999999995E-5</v>
      </c>
      <c r="J14" s="178">
        <v>-2.0999999999999999E-5</v>
      </c>
      <c r="K14" s="9" t="s">
        <v>1958</v>
      </c>
      <c r="L14" s="11" t="s">
        <v>34</v>
      </c>
      <c r="M14" s="180">
        <v>1</v>
      </c>
      <c r="N14" s="150">
        <v>427050</v>
      </c>
      <c r="O14" s="150">
        <v>412.91699999999997</v>
      </c>
      <c r="P14" s="177">
        <v>1.4E-5</v>
      </c>
      <c r="Q14" s="177">
        <v>8.3999999999999995E-5</v>
      </c>
      <c r="R14" s="149">
        <v>12.127000000000001</v>
      </c>
      <c r="S14" s="9" t="s">
        <v>30</v>
      </c>
      <c r="T14" s="17" t="s">
        <v>30</v>
      </c>
      <c r="U14" s="25" t="s">
        <v>1942</v>
      </c>
      <c r="V14" s="10" t="s">
        <v>1943</v>
      </c>
      <c r="W14" s="9" t="s">
        <v>1944</v>
      </c>
      <c r="X14" s="10" t="s">
        <v>1945</v>
      </c>
      <c r="Y14" s="10" t="s">
        <v>125</v>
      </c>
      <c r="Z14" s="1" t="s">
        <v>1959</v>
      </c>
      <c r="AA14" s="24" t="s">
        <v>1947</v>
      </c>
      <c r="AB14" s="10" t="s">
        <v>1948</v>
      </c>
      <c r="AC14" s="10" t="s">
        <v>1949</v>
      </c>
      <c r="AD14" s="10" t="s">
        <v>125</v>
      </c>
      <c r="AE14" s="10" t="s">
        <v>1950</v>
      </c>
      <c r="AF14" s="10" t="s">
        <v>1948</v>
      </c>
      <c r="AG14" s="11" t="s">
        <v>1951</v>
      </c>
      <c r="AH14" t="s">
        <v>1952</v>
      </c>
      <c r="AI14" s="149">
        <v>3.2690000000000001</v>
      </c>
      <c r="AJ14" s="10" t="s">
        <v>1953</v>
      </c>
      <c r="AK14" s="10" t="s">
        <v>125</v>
      </c>
      <c r="AL14" s="9" t="s">
        <v>1952</v>
      </c>
      <c r="AM14" s="9" t="s">
        <v>1954</v>
      </c>
      <c r="AN14" s="161">
        <v>1.0900000000000001E-4</v>
      </c>
      <c r="AO14" s="161">
        <v>0</v>
      </c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17"/>
      <c r="U15" s="25"/>
      <c r="V15" s="10"/>
      <c r="X15" s="10"/>
      <c r="Y15" s="10"/>
      <c r="Z15" s="1"/>
      <c r="AA15" s="24"/>
      <c r="AB15" s="10"/>
      <c r="AC15" s="10"/>
      <c r="AD15" s="10"/>
      <c r="AE15" s="10"/>
      <c r="AF15" s="10"/>
      <c r="AG15" s="11"/>
      <c r="AI15" s="11"/>
      <c r="AJ15" s="10"/>
      <c r="AK15" s="10"/>
      <c r="AN15" s="19"/>
      <c r="AO15" s="19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17"/>
      <c r="U16" s="25"/>
      <c r="V16" s="10"/>
      <c r="X16" s="10"/>
      <c r="Y16" s="10"/>
      <c r="Z16" s="1"/>
      <c r="AA16" s="24"/>
      <c r="AB16" s="10"/>
      <c r="AC16" s="10"/>
      <c r="AD16" s="10"/>
      <c r="AE16" s="10"/>
      <c r="AF16" s="10"/>
      <c r="AG16" s="11"/>
      <c r="AI16" s="11"/>
      <c r="AJ16" s="10"/>
      <c r="AK16" s="10"/>
      <c r="AN16" s="19"/>
      <c r="AO16" s="19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17"/>
      <c r="U17" s="25"/>
      <c r="V17" s="10"/>
      <c r="X17" s="10"/>
      <c r="Y17" s="10"/>
      <c r="Z17" s="1"/>
      <c r="AA17" s="24"/>
      <c r="AB17" s="10"/>
      <c r="AC17" s="10"/>
      <c r="AD17" s="10"/>
      <c r="AE17" s="10"/>
      <c r="AF17" s="10"/>
      <c r="AG17" s="11"/>
      <c r="AI17" s="11"/>
      <c r="AJ17" s="10"/>
      <c r="AK17" s="10"/>
      <c r="AN17" s="19"/>
      <c r="AO17" s="19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17"/>
      <c r="U18" s="25"/>
      <c r="V18" s="10"/>
      <c r="X18" s="10"/>
      <c r="Y18" s="10"/>
      <c r="Z18" s="1"/>
      <c r="AA18" s="24"/>
      <c r="AB18" s="10"/>
      <c r="AC18" s="10"/>
      <c r="AD18" s="10"/>
      <c r="AE18" s="10"/>
      <c r="AF18" s="10"/>
      <c r="AG18" s="11"/>
      <c r="AI18" s="11"/>
      <c r="AJ18" s="10"/>
      <c r="AK18" s="10"/>
      <c r="AN18" s="19"/>
      <c r="AO18" s="19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17"/>
      <c r="U19" s="25"/>
      <c r="V19" s="10"/>
      <c r="X19" s="10"/>
      <c r="Y19" s="10"/>
      <c r="Z19" s="1"/>
      <c r="AA19" s="24"/>
      <c r="AB19" s="10"/>
      <c r="AC19" s="10"/>
      <c r="AD19" s="10"/>
      <c r="AE19" s="10"/>
      <c r="AF19" s="10"/>
      <c r="AG19" s="11"/>
      <c r="AI19" s="11"/>
      <c r="AJ19" s="10"/>
      <c r="AK19" s="10"/>
      <c r="AN19" s="19"/>
      <c r="AO19" s="19"/>
    </row>
    <row r="20" spans="1:41">
      <c r="C20" s="11"/>
      <c r="E20" s="11"/>
      <c r="T20" s="17"/>
      <c r="U20" s="25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17"/>
      <c r="AE22" s="10"/>
      <c r="AF22" s="10"/>
    </row>
    <row r="23" spans="1:41">
      <c r="C23" s="11"/>
      <c r="E23" s="11"/>
      <c r="T23" s="17"/>
      <c r="AE23" s="10"/>
      <c r="AF23" s="10"/>
    </row>
    <row r="24" spans="1:41">
      <c r="C24" s="11"/>
      <c r="E24" s="11"/>
      <c r="T24" s="17"/>
      <c r="AE24" s="10"/>
      <c r="AF24" s="10"/>
    </row>
    <row r="25" spans="1:41">
      <c r="C25" s="11"/>
      <c r="E25" s="11"/>
      <c r="T25" s="17"/>
      <c r="AE25" s="10"/>
      <c r="AF25" s="10"/>
    </row>
    <row r="26" spans="1:41">
      <c r="C26" s="11"/>
      <c r="E26" s="11"/>
      <c r="T26" s="17"/>
      <c r="AE26" s="10"/>
      <c r="AF26" s="10"/>
    </row>
    <row r="27" spans="1:41">
      <c r="C27" s="11"/>
      <c r="E27" s="11"/>
      <c r="T27" s="17"/>
    </row>
    <row r="28" spans="1:41">
      <c r="C28" s="11"/>
      <c r="E28" s="11"/>
      <c r="T28" s="17"/>
    </row>
    <row r="29" spans="1:41">
      <c r="C29" s="11"/>
      <c r="E29" s="11"/>
      <c r="T29" s="17"/>
    </row>
    <row r="30" spans="1:41">
      <c r="C30" s="11"/>
      <c r="E30" s="11"/>
      <c r="T30" s="17"/>
    </row>
    <row r="31" spans="1:41">
      <c r="C31" s="11"/>
      <c r="E31" s="11"/>
      <c r="T31" s="17"/>
    </row>
    <row r="32" spans="1:41">
      <c r="C32" s="11"/>
      <c r="E32" s="11"/>
      <c r="T32" s="17"/>
    </row>
    <row r="33" spans="3:20">
      <c r="C33" s="11"/>
      <c r="T33" s="17"/>
    </row>
    <row r="34" spans="3:20">
      <c r="C34" s="11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31"/>
  <sheetViews>
    <sheetView rightToLeft="1" topLeftCell="AP1" workbookViewId="0">
      <selection activeCell="T2" sqref="A2:XFD2"/>
    </sheetView>
  </sheetViews>
  <sheetFormatPr defaultColWidth="0" defaultRowHeight="14.25"/>
  <cols>
    <col min="1" max="27" width="11.625" style="3" customWidth="1"/>
    <col min="28" max="28" width="11.625" style="5" customWidth="1"/>
    <col min="29" max="29" width="21.625" style="3" customWidth="1"/>
    <col min="30" max="42" width="11.625" style="3" customWidth="1"/>
    <col min="43" max="43" width="17" style="3" customWidth="1"/>
    <col min="44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18" t="s">
        <v>0</v>
      </c>
      <c r="B1" s="18" t="s">
        <v>1</v>
      </c>
      <c r="C1" s="18" t="s">
        <v>1966</v>
      </c>
      <c r="D1" s="18" t="s">
        <v>1967</v>
      </c>
      <c r="E1" s="18" t="s">
        <v>1968</v>
      </c>
      <c r="F1" s="18" t="s">
        <v>1969</v>
      </c>
      <c r="G1" s="18" t="s">
        <v>5</v>
      </c>
      <c r="H1" s="18" t="s">
        <v>1970</v>
      </c>
      <c r="I1" s="18" t="s">
        <v>6</v>
      </c>
      <c r="J1" s="18" t="s">
        <v>7</v>
      </c>
      <c r="K1" s="18" t="s">
        <v>108</v>
      </c>
      <c r="L1" s="18" t="s">
        <v>109</v>
      </c>
      <c r="M1" s="18" t="s">
        <v>1971</v>
      </c>
      <c r="N1" s="18" t="s">
        <v>1972</v>
      </c>
      <c r="O1" s="167" t="s">
        <v>1973</v>
      </c>
      <c r="P1" s="18" t="s">
        <v>9</v>
      </c>
      <c r="Q1" s="18" t="s">
        <v>10</v>
      </c>
      <c r="R1" s="18" t="s">
        <v>1974</v>
      </c>
      <c r="S1" s="18" t="s">
        <v>11</v>
      </c>
      <c r="T1" s="18" t="s">
        <v>12</v>
      </c>
      <c r="U1" s="18" t="s">
        <v>1975</v>
      </c>
      <c r="V1" s="154" t="s">
        <v>14</v>
      </c>
      <c r="W1" s="18" t="s">
        <v>1515</v>
      </c>
      <c r="X1" s="18" t="s">
        <v>111</v>
      </c>
      <c r="Y1" s="174" t="s">
        <v>1976</v>
      </c>
      <c r="Z1" s="154" t="s">
        <v>15</v>
      </c>
      <c r="AA1" s="18" t="s">
        <v>13</v>
      </c>
      <c r="AB1" s="18" t="s">
        <v>112</v>
      </c>
      <c r="AC1" s="18" t="s">
        <v>1977</v>
      </c>
      <c r="AD1" s="176" t="s">
        <v>1978</v>
      </c>
      <c r="AE1" s="154" t="s">
        <v>1979</v>
      </c>
      <c r="AF1" s="167" t="s">
        <v>1980</v>
      </c>
      <c r="AG1" s="18" t="s">
        <v>1981</v>
      </c>
      <c r="AH1" s="18" t="s">
        <v>1982</v>
      </c>
      <c r="AI1" s="18" t="s">
        <v>1983</v>
      </c>
      <c r="AJ1" s="18" t="s">
        <v>1984</v>
      </c>
      <c r="AK1" s="18" t="s">
        <v>1520</v>
      </c>
      <c r="AL1" s="18" t="s">
        <v>1522</v>
      </c>
      <c r="AM1" s="18" t="s">
        <v>1521</v>
      </c>
      <c r="AN1" s="167" t="s">
        <v>1523</v>
      </c>
      <c r="AO1" s="167" t="s">
        <v>1524</v>
      </c>
      <c r="AP1" s="154" t="s">
        <v>1985</v>
      </c>
      <c r="AQ1" s="18" t="s">
        <v>1986</v>
      </c>
      <c r="AR1" s="158" t="s">
        <v>1987</v>
      </c>
      <c r="AS1" s="152" t="s">
        <v>18</v>
      </c>
      <c r="AT1" s="18" t="s">
        <v>20</v>
      </c>
      <c r="AU1" s="18" t="s">
        <v>1988</v>
      </c>
      <c r="AV1" s="18" t="s">
        <v>21</v>
      </c>
      <c r="AW1" s="18" t="s">
        <v>114</v>
      </c>
      <c r="AX1" s="18" t="s">
        <v>113</v>
      </c>
      <c r="AY1" s="18" t="s">
        <v>22</v>
      </c>
      <c r="AZ1" s="154" t="s">
        <v>24</v>
      </c>
      <c r="BA1" s="154" t="s">
        <v>25</v>
      </c>
    </row>
    <row r="2" spans="1:53">
      <c r="A2" s="3">
        <v>337</v>
      </c>
      <c r="B2" s="3">
        <v>9963</v>
      </c>
      <c r="C2" s="20" t="s">
        <v>1989</v>
      </c>
      <c r="D2" s="20" t="s">
        <v>730</v>
      </c>
      <c r="E2" s="20" t="s">
        <v>1990</v>
      </c>
      <c r="F2" s="20" t="s">
        <v>1991</v>
      </c>
      <c r="G2" s="19" t="s">
        <v>1992</v>
      </c>
      <c r="H2" s="35"/>
      <c r="I2" s="17" t="s">
        <v>30</v>
      </c>
      <c r="J2" s="27" t="s">
        <v>30</v>
      </c>
      <c r="K2" s="19" t="s">
        <v>1007</v>
      </c>
      <c r="L2" s="19" t="s">
        <v>125</v>
      </c>
      <c r="M2" s="20" t="s">
        <v>125</v>
      </c>
      <c r="N2" s="20"/>
      <c r="O2" s="168" t="s">
        <v>1579</v>
      </c>
      <c r="P2" s="19" t="s">
        <v>630</v>
      </c>
      <c r="Q2" s="19" t="s">
        <v>33</v>
      </c>
      <c r="R2" s="19" t="s">
        <v>1993</v>
      </c>
      <c r="S2" s="17" t="s">
        <v>34</v>
      </c>
      <c r="T2" s="146">
        <v>2</v>
      </c>
      <c r="U2" s="19" t="s">
        <v>1994</v>
      </c>
      <c r="V2" s="161">
        <v>5.2499999999999998E-2</v>
      </c>
      <c r="W2" s="20" t="s">
        <v>2473</v>
      </c>
      <c r="X2" s="20" t="s">
        <v>2607</v>
      </c>
      <c r="Y2" s="175">
        <v>-5.0000000000000001E-3</v>
      </c>
      <c r="Z2" s="161">
        <v>4.9000000000000002E-2</v>
      </c>
      <c r="AA2" s="192">
        <v>49490</v>
      </c>
      <c r="AB2" s="17" t="s">
        <v>129</v>
      </c>
      <c r="AC2" s="20" t="s">
        <v>1996</v>
      </c>
      <c r="AD2" s="20"/>
      <c r="AE2" s="161">
        <v>0</v>
      </c>
      <c r="AF2" s="20"/>
      <c r="AG2" s="20" t="s">
        <v>125</v>
      </c>
      <c r="AH2" s="20" t="s">
        <v>1997</v>
      </c>
      <c r="AI2" s="140" t="s">
        <v>2945</v>
      </c>
      <c r="AJ2" s="3" t="s">
        <v>1590</v>
      </c>
      <c r="AK2" s="19" t="s">
        <v>1531</v>
      </c>
      <c r="AL2" s="20" t="s">
        <v>1998</v>
      </c>
      <c r="AM2" s="19" t="s">
        <v>1532</v>
      </c>
      <c r="AN2" s="169" t="s">
        <v>1533</v>
      </c>
      <c r="AP2" s="155">
        <v>0</v>
      </c>
      <c r="AQ2" s="143">
        <v>42017039.079999998</v>
      </c>
      <c r="AR2" s="162">
        <v>101.39700000000001</v>
      </c>
      <c r="AS2" s="160">
        <v>1</v>
      </c>
      <c r="AT2" s="146">
        <v>42604.057000000001</v>
      </c>
      <c r="AU2" s="148">
        <v>42604.057000000001</v>
      </c>
      <c r="AV2" s="26"/>
      <c r="AW2" s="33"/>
      <c r="AX2" s="27" t="s">
        <v>125</v>
      </c>
      <c r="AY2" s="19" t="s">
        <v>36</v>
      </c>
      <c r="AZ2" s="161">
        <v>1</v>
      </c>
      <c r="BA2" s="161">
        <v>3.6558453439873399E-2</v>
      </c>
    </row>
    <row r="3" spans="1:53">
      <c r="C3" s="19"/>
      <c r="D3" s="20"/>
      <c r="E3" s="19"/>
      <c r="F3" s="19"/>
      <c r="G3" s="19"/>
      <c r="I3" s="17"/>
      <c r="J3" s="17"/>
      <c r="K3" s="19"/>
      <c r="L3" s="19"/>
      <c r="M3" s="20"/>
      <c r="N3" s="20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I3" s="35"/>
      <c r="AK3" s="19"/>
      <c r="AL3" s="20"/>
      <c r="AM3" s="19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>
      <c r="C4" s="19"/>
      <c r="D4" s="20"/>
      <c r="E4" s="19"/>
      <c r="F4" s="19"/>
      <c r="G4" s="19"/>
      <c r="I4" s="17"/>
      <c r="J4" s="17"/>
      <c r="K4" s="19"/>
      <c r="L4" s="19"/>
      <c r="M4" s="20"/>
      <c r="N4" s="20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R4" s="19"/>
      <c r="AS4" s="19"/>
      <c r="AT4" s="19"/>
      <c r="AU4" s="26"/>
      <c r="AV4" s="26"/>
      <c r="AW4" s="26"/>
      <c r="AX4" s="17"/>
      <c r="AY4" s="19"/>
      <c r="AZ4" s="19"/>
      <c r="BA4" s="19"/>
    </row>
    <row r="5" spans="1:53">
      <c r="C5" s="19"/>
      <c r="D5" s="20"/>
      <c r="E5" s="19"/>
      <c r="F5" s="19"/>
      <c r="G5" s="19"/>
      <c r="I5" s="17"/>
      <c r="J5" s="17"/>
      <c r="K5" s="19"/>
      <c r="L5" s="19"/>
      <c r="M5" s="20"/>
      <c r="N5" s="20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R5" s="19"/>
      <c r="AS5" s="19"/>
      <c r="AT5" s="19"/>
      <c r="AU5" s="26"/>
      <c r="AV5" s="26"/>
      <c r="AW5" s="26"/>
      <c r="AX5" s="17"/>
      <c r="AY5" s="19"/>
      <c r="AZ5" s="19"/>
      <c r="BA5" s="19"/>
    </row>
    <row r="6" spans="1:53">
      <c r="C6" s="19"/>
      <c r="D6" s="20"/>
      <c r="E6" s="19"/>
      <c r="F6" s="19"/>
      <c r="G6" s="19"/>
      <c r="I6" s="17"/>
      <c r="J6" s="17"/>
      <c r="K6" s="19"/>
      <c r="L6" s="19"/>
      <c r="M6" s="20"/>
      <c r="N6" s="20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R6" s="19"/>
      <c r="AS6" s="19"/>
      <c r="AT6" s="19"/>
      <c r="AU6" s="26"/>
      <c r="AV6" s="26"/>
      <c r="AW6" s="26"/>
      <c r="AX6" s="17"/>
      <c r="AY6" s="19"/>
      <c r="AZ6" s="19"/>
      <c r="BA6" s="19"/>
    </row>
    <row r="7" spans="1:53">
      <c r="C7" s="19"/>
      <c r="D7" s="20"/>
      <c r="E7" s="19"/>
      <c r="F7" s="19"/>
      <c r="G7" s="19"/>
      <c r="I7" s="17"/>
      <c r="J7" s="17"/>
      <c r="K7" s="19"/>
      <c r="L7" s="19"/>
      <c r="M7" s="20"/>
      <c r="N7" s="20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R7" s="19"/>
      <c r="AS7" s="19"/>
      <c r="AT7" s="19"/>
      <c r="AU7" s="26"/>
      <c r="AV7" s="26"/>
      <c r="AW7" s="26"/>
      <c r="AX7" s="17"/>
      <c r="AY7" s="19"/>
      <c r="AZ7" s="19"/>
      <c r="BA7" s="19"/>
    </row>
    <row r="8" spans="1:53">
      <c r="C8" s="19"/>
      <c r="D8" s="20"/>
      <c r="E8" s="19"/>
      <c r="F8" s="19"/>
      <c r="G8" s="19"/>
      <c r="I8" s="17"/>
      <c r="J8" s="17"/>
      <c r="K8" s="19"/>
      <c r="L8" s="19"/>
      <c r="M8" s="20"/>
      <c r="N8" s="20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>
      <c r="C9" s="19"/>
      <c r="D9" s="20"/>
      <c r="E9" s="19"/>
      <c r="F9" s="19"/>
      <c r="G9" s="19"/>
      <c r="I9" s="17"/>
      <c r="J9" s="17"/>
      <c r="K9" s="19"/>
      <c r="L9" s="19"/>
      <c r="M9" s="20"/>
      <c r="N9" s="20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R9" s="19"/>
      <c r="AS9" s="19"/>
      <c r="AT9" s="19"/>
      <c r="AU9" s="26"/>
      <c r="AV9" s="26"/>
      <c r="AW9" s="26"/>
      <c r="AX9" s="17"/>
      <c r="AY9" s="19"/>
      <c r="AZ9" s="19"/>
      <c r="BA9" s="19"/>
    </row>
    <row r="10" spans="1:53">
      <c r="C10" s="19"/>
      <c r="D10" s="20"/>
      <c r="E10" s="19"/>
      <c r="F10" s="19"/>
      <c r="G10" s="19"/>
      <c r="I10" s="17"/>
      <c r="J10" s="17"/>
      <c r="K10" s="19"/>
      <c r="L10" s="19"/>
      <c r="M10" s="20"/>
      <c r="N10" s="20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>
      <c r="C11" s="19"/>
      <c r="D11" s="20"/>
      <c r="E11" s="19"/>
      <c r="F11" s="19"/>
      <c r="G11" s="19"/>
      <c r="I11" s="17"/>
      <c r="J11" s="17"/>
      <c r="K11" s="19"/>
      <c r="L11" s="19"/>
      <c r="M11" s="20"/>
      <c r="N11" s="20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>
      <c r="C12" s="19"/>
      <c r="D12" s="20"/>
      <c r="E12" s="19"/>
      <c r="F12" s="19"/>
      <c r="G12" s="19"/>
      <c r="I12" s="17"/>
      <c r="J12" s="17"/>
      <c r="K12" s="19"/>
      <c r="L12" s="19"/>
      <c r="M12" s="20"/>
      <c r="N12" s="20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>
      <c r="C13" s="19"/>
      <c r="D13" s="20"/>
      <c r="E13" s="19"/>
      <c r="F13" s="19"/>
      <c r="G13" s="19"/>
      <c r="I13" s="17"/>
      <c r="J13" s="17"/>
      <c r="K13" s="19"/>
      <c r="L13" s="19"/>
      <c r="M13" s="20"/>
      <c r="N13" s="20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>
      <c r="C14" s="19"/>
      <c r="D14" s="20"/>
      <c r="E14" s="19"/>
      <c r="F14" s="19"/>
      <c r="G14" s="19"/>
      <c r="I14" s="17"/>
      <c r="J14" s="17"/>
      <c r="K14" s="19"/>
      <c r="L14" s="19"/>
      <c r="M14" s="20"/>
      <c r="N14" s="20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>
      <c r="C15" s="19"/>
      <c r="D15" s="20"/>
      <c r="E15" s="19"/>
      <c r="F15" s="19"/>
      <c r="G15" s="19"/>
      <c r="I15" s="17"/>
      <c r="J15" s="17"/>
      <c r="K15" s="19"/>
      <c r="L15" s="19"/>
      <c r="M15" s="20"/>
      <c r="N15" s="20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>
      <c r="C16" s="19"/>
      <c r="D16" s="20"/>
      <c r="E16" s="19"/>
      <c r="F16" s="19"/>
      <c r="G16" s="19"/>
      <c r="I16" s="17"/>
      <c r="J16" s="17"/>
      <c r="K16" s="19"/>
      <c r="L16" s="19"/>
      <c r="M16" s="20"/>
      <c r="N16" s="20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3:53">
      <c r="C17" s="19"/>
      <c r="D17" s="20"/>
      <c r="E17" s="19"/>
      <c r="F17" s="19"/>
      <c r="G17" s="19"/>
      <c r="I17" s="17"/>
      <c r="J17" s="17"/>
      <c r="K17" s="19"/>
      <c r="L17" s="19"/>
      <c r="M17" s="20"/>
      <c r="N17" s="20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3:53">
      <c r="C18" s="19"/>
      <c r="D18" s="20"/>
      <c r="E18" s="19"/>
      <c r="F18" s="19"/>
      <c r="G18" s="19"/>
      <c r="I18" s="17"/>
      <c r="J18" s="17"/>
      <c r="K18" s="19"/>
      <c r="L18" s="19"/>
      <c r="M18" s="20"/>
      <c r="N18" s="20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3:53">
      <c r="C19" s="19"/>
      <c r="D19" s="20"/>
      <c r="E19" s="19"/>
      <c r="F19" s="19"/>
      <c r="G19" s="19"/>
      <c r="I19" s="17"/>
      <c r="J19" s="17"/>
      <c r="K19" s="19"/>
      <c r="L19" s="19"/>
      <c r="M19" s="20"/>
      <c r="N19" s="20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3:53">
      <c r="D20" s="20"/>
      <c r="G20" s="19"/>
      <c r="I20" s="17"/>
      <c r="J20" s="17"/>
      <c r="K20" s="19"/>
      <c r="L20" s="19"/>
      <c r="M20" s="20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X20" s="17"/>
      <c r="AY20" s="19"/>
    </row>
    <row r="21" spans="3:53" s="35" customFormat="1">
      <c r="D21" s="38"/>
      <c r="S21" s="27"/>
      <c r="AB21" s="38"/>
      <c r="AQ21" s="34"/>
      <c r="AX21" s="38"/>
    </row>
    <row r="22" spans="3:53">
      <c r="D22" s="5"/>
      <c r="S22" s="17"/>
    </row>
    <row r="23" spans="3:53">
      <c r="D23" s="5"/>
    </row>
    <row r="31" spans="3:53">
      <c r="S31" s="37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18" t="s">
        <v>0</v>
      </c>
      <c r="B1" s="18" t="s">
        <v>1</v>
      </c>
      <c r="C1" s="18" t="s">
        <v>2</v>
      </c>
      <c r="D1" s="18" t="s">
        <v>105</v>
      </c>
      <c r="E1" s="18" t="s">
        <v>106</v>
      </c>
      <c r="F1" s="18" t="s">
        <v>3</v>
      </c>
      <c r="G1" s="18" t="s">
        <v>4</v>
      </c>
      <c r="H1" s="18" t="s">
        <v>107</v>
      </c>
      <c r="I1" s="18" t="s">
        <v>5</v>
      </c>
      <c r="J1" s="18" t="s">
        <v>6</v>
      </c>
      <c r="K1" s="18" t="s">
        <v>7</v>
      </c>
      <c r="L1" s="18" t="s">
        <v>109</v>
      </c>
      <c r="M1" s="18" t="s">
        <v>1501</v>
      </c>
      <c r="N1" s="18" t="s">
        <v>1514</v>
      </c>
      <c r="O1" s="18" t="s">
        <v>9</v>
      </c>
      <c r="P1" s="18" t="s">
        <v>10</v>
      </c>
      <c r="Q1" s="18" t="s">
        <v>110</v>
      </c>
      <c r="R1" s="18" t="s">
        <v>11</v>
      </c>
      <c r="S1" s="18" t="s">
        <v>12</v>
      </c>
      <c r="T1" s="18" t="s">
        <v>14</v>
      </c>
      <c r="U1" s="18" t="s">
        <v>15</v>
      </c>
      <c r="V1" s="18" t="s">
        <v>1520</v>
      </c>
      <c r="W1" s="18" t="s">
        <v>1521</v>
      </c>
      <c r="X1" s="18" t="s">
        <v>1523</v>
      </c>
      <c r="Y1" s="18" t="s">
        <v>17</v>
      </c>
      <c r="Z1" s="18" t="s">
        <v>18</v>
      </c>
      <c r="AA1" s="18" t="s">
        <v>19</v>
      </c>
      <c r="AB1" s="18" t="s">
        <v>20</v>
      </c>
      <c r="AC1" s="18" t="s">
        <v>24</v>
      </c>
      <c r="AD1" s="18" t="s">
        <v>25</v>
      </c>
    </row>
    <row r="2" spans="1:30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20"/>
      <c r="N2" s="19"/>
      <c r="O2" s="19"/>
      <c r="P2" s="19"/>
      <c r="Q2" s="19"/>
      <c r="R2" s="17"/>
      <c r="S2" s="19"/>
      <c r="T2" s="19"/>
      <c r="U2" s="19"/>
      <c r="V2" s="19"/>
      <c r="W2" s="19"/>
      <c r="Y2" s="19"/>
      <c r="Z2" s="19"/>
      <c r="AA2" s="19"/>
      <c r="AB2" s="19"/>
      <c r="AC2" s="19"/>
      <c r="AD2" s="19"/>
    </row>
    <row r="3" spans="1:30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20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20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20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20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20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20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20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20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20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20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20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20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20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20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20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20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20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>
      <c r="E20" s="17"/>
      <c r="H20" s="19"/>
      <c r="I20" s="19"/>
      <c r="J20" s="17"/>
      <c r="K20" s="17"/>
      <c r="L20" s="19"/>
      <c r="M20" s="20"/>
      <c r="P20" s="19"/>
      <c r="Q20" s="19"/>
      <c r="V20" s="19"/>
      <c r="W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35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18" t="s">
        <v>0</v>
      </c>
      <c r="B1" s="18" t="s">
        <v>1</v>
      </c>
      <c r="C1" s="18" t="s">
        <v>1999</v>
      </c>
      <c r="D1" s="18" t="s">
        <v>2000</v>
      </c>
      <c r="E1" s="18" t="s">
        <v>2001</v>
      </c>
      <c r="F1" s="18" t="s">
        <v>5</v>
      </c>
      <c r="G1" s="18" t="s">
        <v>2002</v>
      </c>
      <c r="H1" s="18" t="s">
        <v>6</v>
      </c>
      <c r="I1" s="18" t="s">
        <v>7</v>
      </c>
      <c r="J1" s="18" t="s">
        <v>109</v>
      </c>
      <c r="K1" s="18" t="s">
        <v>2003</v>
      </c>
      <c r="L1" s="18" t="s">
        <v>10</v>
      </c>
      <c r="M1" s="18" t="s">
        <v>11</v>
      </c>
      <c r="N1" s="18" t="s">
        <v>12</v>
      </c>
      <c r="O1" s="18" t="s">
        <v>14</v>
      </c>
      <c r="P1" s="18" t="s">
        <v>15</v>
      </c>
      <c r="Q1" s="18" t="s">
        <v>2004</v>
      </c>
      <c r="R1" s="18" t="s">
        <v>18</v>
      </c>
      <c r="S1" s="18" t="s">
        <v>2005</v>
      </c>
      <c r="T1" s="18" t="s">
        <v>20</v>
      </c>
      <c r="U1" s="18" t="s">
        <v>24</v>
      </c>
      <c r="V1" s="18" t="s">
        <v>25</v>
      </c>
    </row>
    <row r="2" spans="1:22">
      <c r="A2" s="19"/>
      <c r="B2" s="19"/>
      <c r="C2" s="20"/>
      <c r="D2" s="35"/>
      <c r="E2" s="27"/>
      <c r="F2" s="19"/>
      <c r="G2" s="19"/>
      <c r="H2" s="27"/>
      <c r="I2" s="27"/>
      <c r="J2" s="19"/>
      <c r="K2" s="20"/>
      <c r="M2" s="17"/>
      <c r="N2" s="19"/>
      <c r="O2" s="20"/>
      <c r="P2" s="19"/>
      <c r="R2" s="19"/>
      <c r="S2" s="20"/>
      <c r="T2" s="19"/>
      <c r="U2" s="19"/>
      <c r="V2" s="19"/>
    </row>
    <row r="3" spans="1:22">
      <c r="A3" s="19"/>
      <c r="B3" s="19"/>
      <c r="C3" s="20"/>
      <c r="E3" s="17"/>
      <c r="F3" s="19"/>
      <c r="G3" s="19"/>
      <c r="H3" s="27"/>
      <c r="I3" s="27"/>
      <c r="J3" s="19"/>
      <c r="K3" s="19"/>
      <c r="M3" s="17"/>
      <c r="N3" s="19"/>
      <c r="O3" s="19"/>
      <c r="P3" s="19"/>
      <c r="R3" s="19"/>
      <c r="T3" s="19"/>
      <c r="U3" s="19"/>
      <c r="V3" s="19"/>
    </row>
    <row r="4" spans="1:22">
      <c r="A4" s="19"/>
      <c r="B4" s="19"/>
      <c r="C4" s="20"/>
      <c r="E4" s="17"/>
      <c r="F4" s="19"/>
      <c r="G4" s="19"/>
      <c r="H4" s="27"/>
      <c r="I4" s="27"/>
      <c r="J4" s="19"/>
      <c r="K4" s="19"/>
      <c r="M4" s="17"/>
      <c r="N4" s="19"/>
      <c r="O4" s="19"/>
      <c r="P4" s="19"/>
      <c r="R4" s="19"/>
      <c r="T4" s="19"/>
      <c r="U4" s="19"/>
      <c r="V4" s="19"/>
    </row>
    <row r="5" spans="1:22">
      <c r="A5" s="19"/>
      <c r="B5" s="19"/>
      <c r="C5" s="20"/>
      <c r="E5" s="17"/>
      <c r="F5" s="19"/>
      <c r="G5" s="19"/>
      <c r="H5" s="27"/>
      <c r="I5" s="27"/>
      <c r="J5" s="19"/>
      <c r="K5" s="19"/>
      <c r="M5" s="17"/>
      <c r="N5" s="19"/>
      <c r="O5" s="19"/>
      <c r="P5" s="19"/>
      <c r="R5" s="19"/>
      <c r="T5" s="19"/>
      <c r="U5" s="19"/>
      <c r="V5" s="19"/>
    </row>
    <row r="6" spans="1:22">
      <c r="A6" s="19"/>
      <c r="B6" s="19"/>
      <c r="C6" s="20"/>
      <c r="E6" s="17"/>
      <c r="F6" s="19"/>
      <c r="G6" s="19"/>
      <c r="H6" s="27"/>
      <c r="I6" s="27"/>
      <c r="J6" s="19"/>
      <c r="K6" s="19"/>
      <c r="M6" s="17"/>
      <c r="N6" s="19"/>
      <c r="O6" s="19"/>
      <c r="P6" s="19"/>
      <c r="R6" s="19"/>
      <c r="T6" s="19"/>
      <c r="U6" s="19"/>
      <c r="V6" s="19"/>
    </row>
    <row r="7" spans="1:22">
      <c r="A7" s="19"/>
      <c r="B7" s="19"/>
      <c r="C7" s="20"/>
      <c r="E7" s="17"/>
      <c r="F7" s="19"/>
      <c r="G7" s="19"/>
      <c r="H7" s="27"/>
      <c r="I7" s="2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>
      <c r="A8" s="19"/>
      <c r="B8" s="19"/>
      <c r="C8" s="20"/>
      <c r="E8" s="17"/>
      <c r="F8" s="19"/>
      <c r="G8" s="19"/>
      <c r="H8" s="27"/>
      <c r="I8" s="2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>
      <c r="A9" s="19"/>
      <c r="B9" s="19"/>
      <c r="C9" s="20"/>
      <c r="E9" s="17"/>
      <c r="F9" s="19"/>
      <c r="G9" s="19"/>
      <c r="H9" s="27"/>
      <c r="I9" s="2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>
      <c r="A10" s="19"/>
      <c r="B10" s="19"/>
      <c r="C10" s="20"/>
      <c r="E10" s="17"/>
      <c r="F10" s="19"/>
      <c r="G10" s="19"/>
      <c r="H10" s="27"/>
      <c r="I10" s="2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>
      <c r="A11" s="19"/>
      <c r="B11" s="19"/>
      <c r="C11" s="20"/>
      <c r="E11" s="17"/>
      <c r="F11" s="19"/>
      <c r="G11" s="19"/>
      <c r="H11" s="27"/>
      <c r="I11" s="2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>
      <c r="A12" s="19"/>
      <c r="B12" s="19"/>
      <c r="C12" s="20"/>
      <c r="E12" s="17"/>
      <c r="F12" s="19"/>
      <c r="G12" s="19"/>
      <c r="H12" s="27"/>
      <c r="I12" s="2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>
      <c r="A13" s="19"/>
      <c r="B13" s="19"/>
      <c r="C13" s="20"/>
      <c r="E13" s="17"/>
      <c r="F13" s="19"/>
      <c r="G13" s="19"/>
      <c r="H13" s="27"/>
      <c r="I13" s="2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>
      <c r="A14" s="19"/>
      <c r="B14" s="19"/>
      <c r="C14" s="20"/>
      <c r="E14" s="17"/>
      <c r="F14" s="19"/>
      <c r="G14" s="19"/>
      <c r="H14" s="27"/>
      <c r="I14" s="2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>
      <c r="A15" s="19"/>
      <c r="B15" s="19"/>
      <c r="C15" s="20"/>
      <c r="E15" s="17"/>
      <c r="F15" s="19"/>
      <c r="G15" s="19"/>
      <c r="H15" s="27"/>
      <c r="I15" s="2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>
      <c r="A16" s="19"/>
      <c r="B16" s="19"/>
      <c r="C16" s="20"/>
      <c r="E16" s="17"/>
      <c r="F16" s="19"/>
      <c r="G16" s="19"/>
      <c r="H16" s="27"/>
      <c r="I16" s="2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>
      <c r="A17" s="19"/>
      <c r="B17" s="19"/>
      <c r="C17" s="20"/>
      <c r="E17" s="17"/>
      <c r="F17" s="19"/>
      <c r="G17" s="19"/>
      <c r="H17" s="27"/>
      <c r="I17" s="2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>
      <c r="A18" s="19"/>
      <c r="B18" s="19"/>
      <c r="C18" s="20"/>
      <c r="E18" s="17"/>
      <c r="F18" s="19"/>
      <c r="G18" s="19"/>
      <c r="H18" s="27"/>
      <c r="I18" s="2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>
      <c r="A19" s="19"/>
      <c r="B19" s="19"/>
      <c r="C19" s="20"/>
      <c r="E19" s="17"/>
      <c r="F19" s="19"/>
      <c r="G19" s="19"/>
      <c r="H19" s="27"/>
      <c r="I19" s="2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>
      <c r="E20" s="17"/>
      <c r="F20" s="19"/>
      <c r="H20" s="27"/>
      <c r="I20" s="27"/>
      <c r="J20" s="19"/>
    </row>
    <row r="21" spans="1:22" s="35" customFormat="1">
      <c r="E21" s="38"/>
      <c r="L21" s="3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topLeftCell="M1" workbookViewId="0">
      <selection activeCell="T21" sqref="T21"/>
    </sheetView>
  </sheetViews>
  <sheetFormatPr defaultColWidth="0" defaultRowHeight="14.25"/>
  <cols>
    <col min="1" max="13" width="11.625" style="3" customWidth="1"/>
    <col min="14" max="14" width="20" style="3" customWidth="1"/>
    <col min="15" max="24" width="11.625" style="3" customWidth="1"/>
    <col min="25" max="25" width="9" style="3" hidden="1" customWidth="1"/>
    <col min="26" max="16384" width="9" style="3" hidden="1"/>
  </cols>
  <sheetData>
    <row r="1" spans="1:24" ht="51">
      <c r="A1" s="18" t="s">
        <v>0</v>
      </c>
      <c r="B1" s="18" t="s">
        <v>1</v>
      </c>
      <c r="C1" s="18" t="s">
        <v>2006</v>
      </c>
      <c r="D1" s="18" t="s">
        <v>5</v>
      </c>
      <c r="E1" s="18" t="s">
        <v>2007</v>
      </c>
      <c r="F1" s="18" t="s">
        <v>109</v>
      </c>
      <c r="G1" s="167" t="s">
        <v>1514</v>
      </c>
      <c r="H1" s="18" t="s">
        <v>2008</v>
      </c>
      <c r="I1" s="18" t="s">
        <v>2009</v>
      </c>
      <c r="J1" s="18" t="s">
        <v>2010</v>
      </c>
      <c r="K1" s="176" t="s">
        <v>2011</v>
      </c>
      <c r="L1" s="18" t="s">
        <v>2012</v>
      </c>
      <c r="M1" s="18" t="s">
        <v>1520</v>
      </c>
      <c r="N1" s="18" t="s">
        <v>1522</v>
      </c>
      <c r="O1" s="18" t="s">
        <v>1521</v>
      </c>
      <c r="P1" s="167" t="s">
        <v>1523</v>
      </c>
      <c r="Q1" s="18" t="s">
        <v>11</v>
      </c>
      <c r="R1" s="18" t="s">
        <v>1988</v>
      </c>
      <c r="S1" s="18" t="s">
        <v>20</v>
      </c>
      <c r="T1" s="18" t="s">
        <v>21</v>
      </c>
      <c r="U1" s="18" t="s">
        <v>114</v>
      </c>
      <c r="V1" s="18" t="s">
        <v>22</v>
      </c>
      <c r="W1" s="154" t="s">
        <v>24</v>
      </c>
      <c r="X1" s="154" t="s">
        <v>25</v>
      </c>
    </row>
    <row r="2" spans="1:24">
      <c r="A2" s="19">
        <v>337</v>
      </c>
      <c r="B2" s="19">
        <v>9963</v>
      </c>
      <c r="C2" s="19" t="s">
        <v>2013</v>
      </c>
      <c r="D2" s="19" t="s">
        <v>2014</v>
      </c>
      <c r="E2" s="19" t="s">
        <v>30</v>
      </c>
      <c r="F2" s="19" t="s">
        <v>125</v>
      </c>
      <c r="G2" s="168" t="s">
        <v>1579</v>
      </c>
      <c r="H2" s="19" t="s">
        <v>2569</v>
      </c>
      <c r="I2" s="19" t="s">
        <v>730</v>
      </c>
      <c r="J2" s="193" t="s">
        <v>2946</v>
      </c>
      <c r="K2" s="20"/>
      <c r="L2" s="20" t="s">
        <v>730</v>
      </c>
      <c r="M2" s="20" t="s">
        <v>1609</v>
      </c>
      <c r="N2" s="193" t="s">
        <v>2947</v>
      </c>
      <c r="O2" s="20" t="s">
        <v>1532</v>
      </c>
      <c r="P2" s="168" t="s">
        <v>2015</v>
      </c>
      <c r="Q2" s="17" t="s">
        <v>34</v>
      </c>
      <c r="R2" s="146">
        <v>4900</v>
      </c>
      <c r="S2" s="146">
        <v>4900</v>
      </c>
      <c r="T2" s="20"/>
      <c r="U2" s="20"/>
      <c r="V2" s="19" t="s">
        <v>36</v>
      </c>
      <c r="W2" s="161">
        <v>1</v>
      </c>
      <c r="X2" s="161">
        <v>4.2046799362262001E-3</v>
      </c>
    </row>
    <row r="3" spans="1:2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  <c r="M3" s="19"/>
      <c r="N3" s="20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20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20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20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20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20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0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0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20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20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0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20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0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>
      <c r="D20" s="19"/>
      <c r="E20" s="19"/>
      <c r="F20" s="19"/>
      <c r="H20" s="19"/>
      <c r="I20" s="19"/>
      <c r="L20" s="20"/>
      <c r="M20" s="19"/>
      <c r="O20" s="19"/>
      <c r="V20" s="19"/>
    </row>
    <row r="21" spans="1:24" s="35" customFormat="1">
      <c r="D21" s="19"/>
      <c r="E21" s="2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18" t="s">
        <v>0</v>
      </c>
      <c r="B1" s="18" t="s">
        <v>1</v>
      </c>
      <c r="C1" s="18" t="s">
        <v>2</v>
      </c>
      <c r="D1" s="18" t="s">
        <v>105</v>
      </c>
      <c r="E1" s="18" t="s">
        <v>106</v>
      </c>
      <c r="F1" s="18" t="s">
        <v>3</v>
      </c>
      <c r="G1" s="18" t="s">
        <v>4</v>
      </c>
      <c r="H1" s="18" t="s">
        <v>107</v>
      </c>
      <c r="I1" s="18" t="s">
        <v>5</v>
      </c>
      <c r="J1" s="18" t="s">
        <v>6</v>
      </c>
      <c r="K1" s="18" t="s">
        <v>7</v>
      </c>
      <c r="L1" s="18" t="s">
        <v>108</v>
      </c>
      <c r="M1" s="18" t="s">
        <v>109</v>
      </c>
      <c r="N1" s="18" t="s">
        <v>11</v>
      </c>
      <c r="O1" s="18" t="s">
        <v>1520</v>
      </c>
      <c r="P1" s="18" t="s">
        <v>1521</v>
      </c>
      <c r="Q1" s="18" t="s">
        <v>1523</v>
      </c>
      <c r="R1" s="18" t="s">
        <v>1524</v>
      </c>
      <c r="S1" s="18" t="s">
        <v>2016</v>
      </c>
      <c r="T1" s="18" t="s">
        <v>2017</v>
      </c>
      <c r="U1" s="18" t="s">
        <v>20</v>
      </c>
      <c r="V1" s="18" t="s">
        <v>24</v>
      </c>
      <c r="W1" s="18" t="s">
        <v>25</v>
      </c>
    </row>
    <row r="2" spans="1:23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20"/>
      <c r="M2" s="19"/>
      <c r="N2" s="17"/>
      <c r="O2" s="19"/>
      <c r="P2" s="19"/>
      <c r="Q2" s="19"/>
      <c r="R2" s="19"/>
      <c r="S2" s="19"/>
      <c r="T2" s="20"/>
      <c r="U2" s="19"/>
      <c r="V2" s="19"/>
      <c r="W2" s="19"/>
    </row>
    <row r="3" spans="1:23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20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20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20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20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20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20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20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20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20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20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20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20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20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>
      <c r="A16" s="28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20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20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20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>
      <c r="A19" s="26"/>
      <c r="B19" s="19"/>
      <c r="C19" s="19"/>
      <c r="D19" s="19"/>
      <c r="E19" s="17"/>
      <c r="F19" s="19"/>
      <c r="G19" s="19"/>
      <c r="H19" s="19"/>
      <c r="J19" s="17"/>
      <c r="K19" s="17"/>
      <c r="L19" s="20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>
      <c r="A20" s="9"/>
      <c r="E20" s="17"/>
      <c r="H20" s="19"/>
      <c r="I20" s="19"/>
      <c r="J20" s="17"/>
      <c r="K20" s="17"/>
      <c r="L20" s="20"/>
      <c r="M20" s="19"/>
      <c r="O20" s="19"/>
      <c r="P20" s="19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H15" sqref="H15"/>
    </sheetView>
  </sheetViews>
  <sheetFormatPr defaultColWidth="0" defaultRowHeight="14.25"/>
  <cols>
    <col min="1" max="4" width="11.625" style="3" customWidth="1"/>
    <col min="5" max="5" width="18.125" style="3" customWidth="1"/>
    <col min="6" max="18" width="11.625" style="3" customWidth="1"/>
    <col min="19" max="19" width="9" style="3" hidden="1" customWidth="1"/>
    <col min="20" max="16384" width="9" style="3" hidden="1"/>
  </cols>
  <sheetData>
    <row r="1" spans="1:18" ht="51">
      <c r="A1" s="18" t="s">
        <v>0</v>
      </c>
      <c r="B1" s="18" t="s">
        <v>1</v>
      </c>
      <c r="C1" s="18" t="s">
        <v>2018</v>
      </c>
      <c r="D1" s="18" t="s">
        <v>2019</v>
      </c>
      <c r="E1" s="18" t="s">
        <v>5</v>
      </c>
      <c r="F1" s="18" t="s">
        <v>6</v>
      </c>
      <c r="G1" s="18" t="s">
        <v>7</v>
      </c>
      <c r="H1" s="18" t="s">
        <v>109</v>
      </c>
      <c r="I1" s="167" t="s">
        <v>2020</v>
      </c>
      <c r="J1" s="18" t="s">
        <v>11</v>
      </c>
      <c r="K1" s="167" t="s">
        <v>1523</v>
      </c>
      <c r="L1" s="18" t="s">
        <v>2004</v>
      </c>
      <c r="M1" s="152" t="s">
        <v>18</v>
      </c>
      <c r="N1" s="18" t="s">
        <v>20</v>
      </c>
      <c r="O1" s="18" t="s">
        <v>21</v>
      </c>
      <c r="P1" s="18" t="s">
        <v>22</v>
      </c>
      <c r="Q1" s="154" t="s">
        <v>24</v>
      </c>
      <c r="R1" s="154" t="s">
        <v>25</v>
      </c>
    </row>
    <row r="2" spans="1:18">
      <c r="A2" s="19">
        <v>337</v>
      </c>
      <c r="B2" s="19">
        <v>1405</v>
      </c>
      <c r="C2" s="33" t="s">
        <v>2949</v>
      </c>
      <c r="D2" s="33" t="s">
        <v>2021</v>
      </c>
      <c r="E2" s="33" t="s">
        <v>2022</v>
      </c>
      <c r="F2" s="17" t="s">
        <v>30</v>
      </c>
      <c r="G2" s="17" t="s">
        <v>30</v>
      </c>
      <c r="H2" s="16" t="s">
        <v>1590</v>
      </c>
      <c r="I2" s="20"/>
      <c r="J2" s="17" t="s">
        <v>34</v>
      </c>
      <c r="K2" s="168" t="s">
        <v>1533</v>
      </c>
      <c r="L2" s="143">
        <v>-2.722</v>
      </c>
      <c r="M2" s="160">
        <v>1</v>
      </c>
      <c r="N2" s="146">
        <v>-2.722</v>
      </c>
      <c r="O2" s="19"/>
      <c r="P2" s="17" t="s">
        <v>36</v>
      </c>
      <c r="Q2" s="161">
        <v>1</v>
      </c>
      <c r="R2" s="161">
        <v>-3.62624826705495E-4</v>
      </c>
    </row>
    <row r="3" spans="1:18">
      <c r="A3" s="19">
        <v>337</v>
      </c>
      <c r="B3" s="19">
        <v>1477</v>
      </c>
      <c r="C3" s="33" t="s">
        <v>2949</v>
      </c>
      <c r="D3" s="19" t="s">
        <v>2021</v>
      </c>
      <c r="E3" s="33" t="s">
        <v>2022</v>
      </c>
      <c r="F3" s="17" t="s">
        <v>30</v>
      </c>
      <c r="G3" s="17" t="s">
        <v>30</v>
      </c>
      <c r="H3" s="16" t="s">
        <v>1590</v>
      </c>
      <c r="I3" s="20"/>
      <c r="J3" s="17" t="s">
        <v>34</v>
      </c>
      <c r="K3" s="168" t="s">
        <v>1533</v>
      </c>
      <c r="L3" s="143">
        <v>-14.423999999999999</v>
      </c>
      <c r="M3" s="160">
        <v>1</v>
      </c>
      <c r="N3" s="146">
        <v>-14.423999999999999</v>
      </c>
      <c r="O3" s="19"/>
      <c r="P3" s="17" t="s">
        <v>36</v>
      </c>
      <c r="Q3" s="161">
        <v>1</v>
      </c>
      <c r="R3" s="161">
        <v>-5.8036774370322697E-4</v>
      </c>
    </row>
    <row r="4" spans="1:18">
      <c r="A4" s="19">
        <v>337</v>
      </c>
      <c r="B4" s="19">
        <v>9962</v>
      </c>
      <c r="C4" s="33" t="s">
        <v>2949</v>
      </c>
      <c r="D4" s="19" t="s">
        <v>2021</v>
      </c>
      <c r="E4" s="33" t="s">
        <v>2022</v>
      </c>
      <c r="F4" s="17" t="s">
        <v>30</v>
      </c>
      <c r="G4" s="17" t="s">
        <v>30</v>
      </c>
      <c r="H4" s="16" t="s">
        <v>1590</v>
      </c>
      <c r="I4" s="20"/>
      <c r="J4" s="17" t="s">
        <v>34</v>
      </c>
      <c r="K4" s="168" t="s">
        <v>1533</v>
      </c>
      <c r="L4" s="143">
        <v>-25.67</v>
      </c>
      <c r="M4" s="160">
        <v>1</v>
      </c>
      <c r="N4" s="146">
        <v>-25.67</v>
      </c>
      <c r="O4" s="19"/>
      <c r="P4" s="17" t="s">
        <v>36</v>
      </c>
      <c r="Q4" s="161">
        <v>0.88992639248282601</v>
      </c>
      <c r="R4" s="161">
        <v>-5.1163321808697399E-4</v>
      </c>
    </row>
    <row r="5" spans="1:18">
      <c r="A5" s="19">
        <v>337</v>
      </c>
      <c r="B5" s="19">
        <v>9962</v>
      </c>
      <c r="C5" s="26" t="s">
        <v>2023</v>
      </c>
      <c r="D5" s="19" t="s">
        <v>2024</v>
      </c>
      <c r="E5" s="33" t="s">
        <v>2025</v>
      </c>
      <c r="F5" s="17" t="s">
        <v>30</v>
      </c>
      <c r="G5" s="17" t="s">
        <v>30</v>
      </c>
      <c r="H5" s="19" t="s">
        <v>125</v>
      </c>
      <c r="I5" s="20"/>
      <c r="J5" s="17" t="s">
        <v>34</v>
      </c>
      <c r="K5" s="168" t="s">
        <v>1533</v>
      </c>
      <c r="L5" s="143">
        <v>-3.1749999999999998</v>
      </c>
      <c r="M5" s="160">
        <v>1</v>
      </c>
      <c r="N5" s="146">
        <v>-3.1749999999999998</v>
      </c>
      <c r="O5" s="19"/>
      <c r="P5" s="17" t="s">
        <v>36</v>
      </c>
      <c r="Q5" s="161">
        <v>0.110073607517175</v>
      </c>
      <c r="R5" s="161">
        <v>-6.3283114779115205E-5</v>
      </c>
    </row>
    <row r="6" spans="1:18">
      <c r="A6" s="19">
        <v>337</v>
      </c>
      <c r="B6" s="19">
        <v>9963</v>
      </c>
      <c r="C6" s="33" t="s">
        <v>2949</v>
      </c>
      <c r="D6" s="19" t="s">
        <v>2026</v>
      </c>
      <c r="E6" s="33" t="s">
        <v>2022</v>
      </c>
      <c r="F6" s="17" t="s">
        <v>30</v>
      </c>
      <c r="G6" s="17" t="s">
        <v>30</v>
      </c>
      <c r="H6" s="16" t="s">
        <v>1590</v>
      </c>
      <c r="I6" s="20"/>
      <c r="J6" s="17" t="s">
        <v>34</v>
      </c>
      <c r="K6" s="168" t="s">
        <v>1533</v>
      </c>
      <c r="L6" s="143">
        <v>-2227.627</v>
      </c>
      <c r="M6" s="160">
        <v>1</v>
      </c>
      <c r="N6" s="146">
        <v>-2227.627</v>
      </c>
      <c r="O6" s="19"/>
      <c r="P6" s="17" t="s">
        <v>36</v>
      </c>
      <c r="Q6" s="161">
        <v>0.915040452753063</v>
      </c>
      <c r="R6" s="161">
        <v>-1.9115220743504001E-3</v>
      </c>
    </row>
    <row r="7" spans="1:18">
      <c r="A7" s="19">
        <v>337</v>
      </c>
      <c r="B7" s="19">
        <v>9963</v>
      </c>
      <c r="C7" s="33" t="s">
        <v>2949</v>
      </c>
      <c r="D7" s="19" t="s">
        <v>2021</v>
      </c>
      <c r="E7" s="33" t="s">
        <v>2022</v>
      </c>
      <c r="F7" s="17" t="s">
        <v>30</v>
      </c>
      <c r="G7" s="17" t="s">
        <v>30</v>
      </c>
      <c r="H7" s="16" t="s">
        <v>1590</v>
      </c>
      <c r="I7" s="20"/>
      <c r="J7" s="17" t="s">
        <v>34</v>
      </c>
      <c r="K7" s="168" t="s">
        <v>1533</v>
      </c>
      <c r="L7" s="143">
        <v>-142.232</v>
      </c>
      <c r="M7" s="160">
        <v>1</v>
      </c>
      <c r="N7" s="146">
        <v>-142.232</v>
      </c>
      <c r="O7" s="19"/>
      <c r="P7" s="17" t="s">
        <v>36</v>
      </c>
      <c r="Q7" s="161">
        <v>5.8424606584802301E-2</v>
      </c>
      <c r="R7" s="161">
        <v>-1.22049167155483E-4</v>
      </c>
    </row>
    <row r="8" spans="1:18">
      <c r="A8" s="19">
        <v>337</v>
      </c>
      <c r="B8" s="19">
        <v>9963</v>
      </c>
      <c r="C8" s="26" t="s">
        <v>2023</v>
      </c>
      <c r="D8" s="19" t="s">
        <v>2024</v>
      </c>
      <c r="E8" s="33" t="s">
        <v>2025</v>
      </c>
      <c r="F8" s="17" t="s">
        <v>30</v>
      </c>
      <c r="G8" s="17" t="s">
        <v>30</v>
      </c>
      <c r="H8" s="19" t="s">
        <v>125</v>
      </c>
      <c r="I8" s="20"/>
      <c r="J8" s="17" t="s">
        <v>34</v>
      </c>
      <c r="K8" s="168" t="s">
        <v>1533</v>
      </c>
      <c r="L8" s="143">
        <v>-64.597999999999999</v>
      </c>
      <c r="M8" s="160">
        <v>1</v>
      </c>
      <c r="N8" s="146">
        <v>-64.597999999999999</v>
      </c>
      <c r="O8" s="19"/>
      <c r="P8" s="17" t="s">
        <v>36</v>
      </c>
      <c r="Q8" s="161">
        <v>2.6534940662134399E-2</v>
      </c>
      <c r="R8" s="161">
        <v>-5.5431565527667601E-5</v>
      </c>
    </row>
    <row r="9" spans="1:18">
      <c r="A9" s="19">
        <v>337</v>
      </c>
      <c r="B9" s="19">
        <v>9964</v>
      </c>
      <c r="C9" s="33" t="s">
        <v>2949</v>
      </c>
      <c r="D9" s="19" t="s">
        <v>2021</v>
      </c>
      <c r="E9" s="33" t="s">
        <v>2022</v>
      </c>
      <c r="F9" s="17" t="s">
        <v>30</v>
      </c>
      <c r="G9" s="17" t="s">
        <v>30</v>
      </c>
      <c r="H9" s="16" t="s">
        <v>1590</v>
      </c>
      <c r="I9" s="20"/>
      <c r="J9" s="17" t="s">
        <v>34</v>
      </c>
      <c r="K9" s="168" t="s">
        <v>1533</v>
      </c>
      <c r="L9" s="143">
        <v>-16.25</v>
      </c>
      <c r="M9" s="160">
        <v>1</v>
      </c>
      <c r="N9" s="146">
        <v>-16.25</v>
      </c>
      <c r="O9" s="19"/>
      <c r="P9" s="17" t="s">
        <v>36</v>
      </c>
      <c r="Q9" s="161">
        <v>0.98358393426310498</v>
      </c>
      <c r="R9" s="161">
        <v>-3.7259723245545903E-4</v>
      </c>
    </row>
    <row r="10" spans="1:18">
      <c r="A10" s="19">
        <v>337</v>
      </c>
      <c r="B10" s="19">
        <v>9964</v>
      </c>
      <c r="C10" s="26" t="s">
        <v>2023</v>
      </c>
      <c r="D10" s="19" t="s">
        <v>2024</v>
      </c>
      <c r="E10" s="33" t="s">
        <v>2025</v>
      </c>
      <c r="F10" s="17" t="s">
        <v>30</v>
      </c>
      <c r="G10" s="17" t="s">
        <v>30</v>
      </c>
      <c r="H10" s="19" t="s">
        <v>125</v>
      </c>
      <c r="I10" s="20"/>
      <c r="J10" s="17" t="s">
        <v>34</v>
      </c>
      <c r="K10" s="168" t="s">
        <v>1533</v>
      </c>
      <c r="L10" s="143">
        <v>-0.27100000000000002</v>
      </c>
      <c r="M10" s="160">
        <v>1</v>
      </c>
      <c r="N10" s="146">
        <v>-0.27100000000000002</v>
      </c>
      <c r="O10" s="19"/>
      <c r="P10" s="17" t="s">
        <v>36</v>
      </c>
      <c r="Q10" s="161">
        <v>1.6416065736895101E-2</v>
      </c>
      <c r="R10" s="161">
        <v>-6.2186667027623601E-6</v>
      </c>
    </row>
    <row r="11" spans="1:18">
      <c r="A11" s="19">
        <v>337</v>
      </c>
      <c r="B11" s="19">
        <v>15372</v>
      </c>
      <c r="C11" s="33" t="s">
        <v>2949</v>
      </c>
      <c r="D11" s="19" t="s">
        <v>2021</v>
      </c>
      <c r="E11" s="33" t="s">
        <v>2022</v>
      </c>
      <c r="F11" s="17" t="s">
        <v>30</v>
      </c>
      <c r="G11" s="17" t="s">
        <v>30</v>
      </c>
      <c r="H11" s="16" t="s">
        <v>1590</v>
      </c>
      <c r="I11" s="20"/>
      <c r="J11" s="17" t="s">
        <v>34</v>
      </c>
      <c r="K11" s="168" t="s">
        <v>1533</v>
      </c>
      <c r="L11" s="143">
        <v>-3.3839999999999999</v>
      </c>
      <c r="M11" s="160">
        <v>1</v>
      </c>
      <c r="N11" s="146">
        <v>-3.3839999999999999</v>
      </c>
      <c r="O11" s="19"/>
      <c r="P11" s="17" t="s">
        <v>36</v>
      </c>
      <c r="Q11" s="161">
        <v>1</v>
      </c>
      <c r="R11" s="161">
        <v>-4.2256521528021999E-4</v>
      </c>
    </row>
    <row r="12" spans="1:18">
      <c r="A12" s="19"/>
      <c r="B12" s="19"/>
      <c r="C12" s="26"/>
      <c r="D12" s="19"/>
      <c r="E12" s="33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>
      <c r="A13" s="19"/>
      <c r="B13" s="19"/>
      <c r="C13" s="26"/>
      <c r="D13" s="19"/>
      <c r="E13" s="33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>
      <c r="A14" s="19"/>
      <c r="B14" s="19"/>
      <c r="C14" s="26"/>
      <c r="D14" s="19"/>
      <c r="E14" s="33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>
      <c r="A15" s="19"/>
      <c r="B15" s="19"/>
      <c r="C15" s="26"/>
      <c r="D15" s="19"/>
      <c r="E15" s="33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>
      <c r="A16" s="19"/>
      <c r="B16" s="19"/>
      <c r="C16" s="26"/>
      <c r="D16" s="19"/>
      <c r="E16" s="33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>
      <c r="A17" s="19"/>
      <c r="B17" s="19"/>
      <c r="C17" s="26"/>
      <c r="D17" s="19"/>
      <c r="E17" s="33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>
      <c r="A18" s="19"/>
      <c r="B18" s="19"/>
      <c r="C18" s="26"/>
      <c r="D18" s="19"/>
      <c r="E18" s="33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>
      <c r="A19" s="19"/>
      <c r="B19" s="19"/>
      <c r="C19" s="26"/>
      <c r="D19" s="19"/>
      <c r="E19" s="33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>
      <c r="E20" s="33"/>
      <c r="F20" s="17"/>
      <c r="G20" s="17"/>
      <c r="H20" s="19"/>
      <c r="P20" s="17"/>
    </row>
    <row r="21" spans="1:18" s="35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18" t="s">
        <v>0</v>
      </c>
      <c r="B1" s="18" t="s">
        <v>1</v>
      </c>
      <c r="C1" s="18" t="s">
        <v>1966</v>
      </c>
      <c r="D1" s="18" t="s">
        <v>1967</v>
      </c>
      <c r="E1" s="18" t="s">
        <v>1968</v>
      </c>
      <c r="F1" s="18" t="s">
        <v>1969</v>
      </c>
      <c r="G1" s="18" t="s">
        <v>2027</v>
      </c>
      <c r="H1" s="18" t="s">
        <v>6</v>
      </c>
      <c r="I1" s="18" t="s">
        <v>7</v>
      </c>
      <c r="J1" s="18" t="s">
        <v>109</v>
      </c>
      <c r="K1" s="18" t="s">
        <v>9</v>
      </c>
      <c r="L1" s="18" t="s">
        <v>10</v>
      </c>
      <c r="M1" s="18" t="s">
        <v>1974</v>
      </c>
      <c r="N1" s="18" t="s">
        <v>11</v>
      </c>
      <c r="O1" s="18" t="s">
        <v>18</v>
      </c>
      <c r="P1" s="18" t="s">
        <v>14</v>
      </c>
      <c r="Q1" s="18" t="s">
        <v>1975</v>
      </c>
      <c r="R1" s="18" t="s">
        <v>2028</v>
      </c>
      <c r="S1" s="18" t="s">
        <v>2029</v>
      </c>
      <c r="T1" s="18" t="s">
        <v>2030</v>
      </c>
    </row>
    <row r="2" spans="1:20" ht="14.1" customHeight="1">
      <c r="A2" s="6"/>
      <c r="B2" s="6"/>
      <c r="C2" s="37"/>
      <c r="D2" s="20"/>
      <c r="E2" s="37"/>
      <c r="F2" s="37"/>
      <c r="G2" s="27"/>
      <c r="H2" s="17"/>
      <c r="I2" s="27"/>
      <c r="J2" s="19"/>
      <c r="K2" s="19"/>
      <c r="L2" s="19"/>
      <c r="M2" s="19"/>
      <c r="N2" s="6"/>
      <c r="O2" s="6"/>
      <c r="Q2" s="20"/>
      <c r="R2" s="27"/>
      <c r="S2" s="27"/>
      <c r="T2" s="27"/>
    </row>
    <row r="3" spans="1:20" ht="14.1" customHeight="1">
      <c r="A3" s="6"/>
      <c r="B3" s="6"/>
      <c r="C3" s="6"/>
      <c r="D3" s="20"/>
      <c r="E3" s="6"/>
      <c r="F3" s="6"/>
      <c r="H3" s="17"/>
      <c r="I3" s="17"/>
      <c r="J3" s="19"/>
      <c r="K3" s="19"/>
      <c r="L3" s="19"/>
      <c r="M3" s="19"/>
      <c r="N3" s="6"/>
      <c r="O3" s="6"/>
      <c r="P3" s="6"/>
      <c r="Q3" s="19"/>
      <c r="R3" s="6"/>
      <c r="S3" s="6"/>
      <c r="T3" s="6"/>
    </row>
    <row r="4" spans="1:20" ht="14.1" customHeight="1">
      <c r="A4" s="6"/>
      <c r="B4" s="6"/>
      <c r="C4" s="6"/>
      <c r="D4" s="20"/>
      <c r="E4" s="6"/>
      <c r="F4" s="6"/>
      <c r="H4" s="17"/>
      <c r="I4" s="17"/>
      <c r="J4" s="19"/>
      <c r="K4" s="19"/>
      <c r="L4" s="19"/>
      <c r="M4" s="19"/>
      <c r="N4" s="6"/>
      <c r="O4" s="6"/>
      <c r="P4" s="6"/>
      <c r="Q4" s="19"/>
      <c r="R4" s="6"/>
      <c r="S4" s="6"/>
      <c r="T4" s="6"/>
    </row>
    <row r="5" spans="1:20" ht="14.1" customHeight="1">
      <c r="A5" s="6"/>
      <c r="B5" s="6"/>
      <c r="C5" s="6"/>
      <c r="D5" s="20"/>
      <c r="E5" s="6"/>
      <c r="F5" s="6"/>
      <c r="H5" s="17"/>
      <c r="I5" s="17"/>
      <c r="J5" s="19"/>
      <c r="K5" s="19"/>
      <c r="L5" s="19"/>
      <c r="M5" s="19"/>
      <c r="N5" s="6"/>
      <c r="O5" s="36"/>
      <c r="P5" s="6"/>
      <c r="Q5" s="19"/>
      <c r="R5" s="6"/>
      <c r="S5" s="6"/>
      <c r="T5" s="6"/>
    </row>
    <row r="6" spans="1:20" ht="14.1" customHeight="1">
      <c r="A6" s="6"/>
      <c r="B6" s="6"/>
      <c r="C6" s="6"/>
      <c r="D6" s="20"/>
      <c r="E6" s="6"/>
      <c r="F6" s="6"/>
      <c r="H6" s="17"/>
      <c r="I6" s="17"/>
      <c r="J6" s="19"/>
      <c r="K6" s="19"/>
      <c r="L6" s="19"/>
      <c r="M6" s="19"/>
      <c r="N6" s="6"/>
      <c r="O6" s="36"/>
      <c r="P6" s="6"/>
      <c r="Q6" s="19"/>
      <c r="R6" s="6"/>
      <c r="S6" s="6"/>
      <c r="T6" s="6"/>
    </row>
    <row r="7" spans="1:20" ht="14.1" customHeight="1">
      <c r="A7" s="6"/>
      <c r="B7" s="6"/>
      <c r="C7" s="6"/>
      <c r="D7" s="20"/>
      <c r="E7" s="6"/>
      <c r="F7" s="6"/>
      <c r="H7" s="17"/>
      <c r="I7" s="17"/>
      <c r="J7" s="19"/>
      <c r="K7" s="19"/>
      <c r="L7" s="19"/>
      <c r="M7" s="19"/>
      <c r="N7" s="6"/>
      <c r="O7" s="6"/>
      <c r="P7" s="6"/>
      <c r="Q7" s="19"/>
      <c r="R7" s="6"/>
      <c r="S7" s="6"/>
      <c r="T7" s="6"/>
    </row>
    <row r="8" spans="1:20" ht="14.1" customHeight="1">
      <c r="A8" s="6"/>
      <c r="B8" s="6"/>
      <c r="C8" s="6"/>
      <c r="D8" s="20"/>
      <c r="E8" s="6"/>
      <c r="F8" s="6"/>
      <c r="H8" s="17"/>
      <c r="I8" s="17"/>
      <c r="J8" s="19"/>
      <c r="K8" s="19"/>
      <c r="L8" s="19"/>
      <c r="M8" s="19"/>
      <c r="N8" s="36"/>
      <c r="O8" s="6"/>
      <c r="P8" s="6"/>
      <c r="Q8" s="19"/>
      <c r="R8" s="6"/>
      <c r="S8" s="6"/>
      <c r="T8" s="6"/>
    </row>
    <row r="9" spans="1:20" ht="14.1" customHeight="1">
      <c r="A9" s="6"/>
      <c r="B9" s="6"/>
      <c r="C9" s="6"/>
      <c r="D9" s="20"/>
      <c r="E9" s="6"/>
      <c r="F9" s="6"/>
      <c r="H9" s="17"/>
      <c r="I9" s="17"/>
      <c r="J9" s="19"/>
      <c r="K9" s="19"/>
      <c r="L9" s="19"/>
      <c r="M9" s="19"/>
      <c r="N9" s="6"/>
      <c r="O9" s="6"/>
      <c r="P9" s="6"/>
      <c r="Q9" s="19"/>
      <c r="R9" s="6"/>
      <c r="S9" s="6"/>
      <c r="T9" s="6"/>
    </row>
    <row r="10" spans="1:20" ht="13.7" customHeight="1">
      <c r="A10" s="6"/>
      <c r="B10" s="6"/>
      <c r="C10" s="6"/>
      <c r="D10" s="20"/>
      <c r="E10" s="6"/>
      <c r="F10" s="6"/>
      <c r="H10" s="17"/>
      <c r="I10" s="17"/>
      <c r="J10" s="19"/>
      <c r="K10" s="19"/>
      <c r="L10" s="19"/>
      <c r="M10" s="19"/>
      <c r="N10" s="6"/>
      <c r="O10" s="6"/>
      <c r="P10" s="6"/>
      <c r="Q10" s="19"/>
      <c r="R10" s="6"/>
      <c r="S10" s="6"/>
      <c r="T10" s="6"/>
    </row>
    <row r="11" spans="1:20" ht="13.7" customHeight="1">
      <c r="A11" s="6"/>
      <c r="B11" s="6"/>
      <c r="C11" s="6"/>
      <c r="D11" s="20"/>
      <c r="E11" s="6"/>
      <c r="F11" s="6"/>
      <c r="H11" s="17"/>
      <c r="I11" s="17"/>
      <c r="J11" s="19"/>
      <c r="K11" s="19"/>
      <c r="L11" s="19"/>
      <c r="M11" s="19"/>
      <c r="N11" s="6"/>
      <c r="O11" s="6"/>
      <c r="P11" s="6"/>
      <c r="Q11" s="19"/>
      <c r="R11" s="6"/>
      <c r="S11" s="6"/>
      <c r="T11" s="6"/>
    </row>
    <row r="12" spans="1:20" ht="14.1" customHeight="1">
      <c r="A12" s="6"/>
      <c r="B12" s="6"/>
      <c r="C12" s="6"/>
      <c r="D12" s="20"/>
      <c r="E12" s="6"/>
      <c r="F12" s="6"/>
      <c r="H12" s="17"/>
      <c r="I12" s="17"/>
      <c r="J12" s="19"/>
      <c r="K12" s="19"/>
      <c r="L12" s="19"/>
      <c r="M12" s="19"/>
      <c r="N12" s="6"/>
      <c r="O12" s="6"/>
      <c r="P12" s="6"/>
      <c r="Q12" s="19"/>
      <c r="R12" s="6"/>
      <c r="S12" s="6"/>
      <c r="T12" s="6"/>
    </row>
    <row r="13" spans="1:20" ht="14.1" customHeight="1">
      <c r="A13" s="6"/>
      <c r="B13" s="6"/>
      <c r="C13" s="6"/>
      <c r="D13" s="20"/>
      <c r="E13" s="6"/>
      <c r="F13" s="6"/>
      <c r="H13" s="17"/>
      <c r="I13" s="17"/>
      <c r="J13" s="19"/>
      <c r="K13" s="19"/>
      <c r="L13" s="19"/>
      <c r="M13" s="19"/>
      <c r="N13" s="6"/>
      <c r="O13" s="6"/>
      <c r="P13" s="6"/>
      <c r="Q13" s="19"/>
      <c r="R13" s="6"/>
      <c r="S13" s="6"/>
      <c r="T13" s="6"/>
    </row>
    <row r="14" spans="1:20" ht="14.1" customHeight="1">
      <c r="A14" s="6"/>
      <c r="B14" s="6"/>
      <c r="C14" s="6"/>
      <c r="D14" s="20"/>
      <c r="E14" s="6"/>
      <c r="F14" s="6"/>
      <c r="H14" s="17"/>
      <c r="I14" s="17"/>
      <c r="J14" s="19"/>
      <c r="K14" s="19"/>
      <c r="L14" s="19"/>
      <c r="M14" s="19"/>
      <c r="N14" s="6"/>
      <c r="O14" s="6"/>
      <c r="P14" s="6"/>
      <c r="Q14" s="19"/>
      <c r="R14" s="6"/>
      <c r="S14" s="6"/>
      <c r="T14" s="6"/>
    </row>
    <row r="15" spans="1:20" ht="14.1" customHeight="1">
      <c r="A15" s="6"/>
      <c r="B15" s="6"/>
      <c r="C15" s="6"/>
      <c r="D15" s="20"/>
      <c r="E15" s="6"/>
      <c r="F15" s="6"/>
      <c r="H15" s="17"/>
      <c r="I15" s="17"/>
      <c r="J15" s="19"/>
      <c r="K15" s="19"/>
      <c r="L15" s="19"/>
      <c r="M15" s="19"/>
      <c r="N15" s="6"/>
      <c r="O15" s="6"/>
      <c r="P15" s="6"/>
      <c r="Q15" s="19"/>
      <c r="R15" s="6"/>
      <c r="S15" s="6"/>
      <c r="T15" s="6"/>
    </row>
    <row r="16" spans="1:20" ht="14.1" customHeight="1">
      <c r="A16" s="6"/>
      <c r="B16" s="6"/>
      <c r="C16" s="6"/>
      <c r="D16" s="20"/>
      <c r="E16" s="6"/>
      <c r="F16" s="6"/>
      <c r="H16" s="17"/>
      <c r="I16" s="17"/>
      <c r="J16" s="19"/>
      <c r="K16" s="19"/>
      <c r="L16" s="19"/>
      <c r="M16" s="19"/>
      <c r="N16" s="6"/>
      <c r="O16" s="6"/>
      <c r="P16" s="6"/>
      <c r="Q16" s="19"/>
      <c r="R16" s="6"/>
      <c r="S16" s="6"/>
      <c r="T16" s="6"/>
    </row>
    <row r="17" spans="1:20" ht="14.1" customHeight="1">
      <c r="A17" s="6"/>
      <c r="B17" s="6"/>
      <c r="C17" s="6"/>
      <c r="D17" s="20"/>
      <c r="E17" s="6"/>
      <c r="F17" s="6"/>
      <c r="H17" s="17"/>
      <c r="I17" s="17"/>
      <c r="J17" s="19"/>
      <c r="K17" s="19"/>
      <c r="L17" s="19"/>
      <c r="M17" s="19"/>
      <c r="N17" s="6"/>
      <c r="O17" s="6"/>
      <c r="P17" s="6"/>
      <c r="Q17" s="19"/>
      <c r="R17" s="6"/>
      <c r="S17" s="6"/>
      <c r="T17" s="6"/>
    </row>
    <row r="18" spans="1:20" ht="14.1" customHeight="1">
      <c r="D18" s="20"/>
      <c r="H18" s="17"/>
      <c r="I18" s="17"/>
      <c r="J18" s="19"/>
      <c r="K18" s="19"/>
      <c r="L18" s="19"/>
      <c r="M18" s="19"/>
      <c r="Q18" s="19"/>
    </row>
    <row r="19" spans="1:20" ht="14.1" customHeight="1">
      <c r="D19" s="20"/>
      <c r="H19" s="17"/>
      <c r="I19" s="17"/>
      <c r="J19" s="19"/>
      <c r="K19" s="19"/>
      <c r="L19" s="19"/>
      <c r="M19" s="19"/>
      <c r="Q19" s="19"/>
    </row>
    <row r="20" spans="1:20" ht="14.1" customHeight="1">
      <c r="D20" s="20"/>
      <c r="H20" s="17"/>
      <c r="I20" s="17"/>
      <c r="J20" s="19"/>
      <c r="L20" s="19"/>
      <c r="M20" s="19"/>
      <c r="Q20" s="19"/>
    </row>
    <row r="21" spans="1:20" s="35" customFormat="1" ht="14.1" customHeight="1">
      <c r="D21" s="38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47"/>
  <sheetViews>
    <sheetView rightToLeft="1" workbookViewId="0">
      <selection activeCell="O20" sqref="O20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18" t="s">
        <v>0</v>
      </c>
      <c r="B1" s="18" t="s">
        <v>1</v>
      </c>
      <c r="C1" s="18" t="s">
        <v>5</v>
      </c>
      <c r="D1" s="18" t="s">
        <v>1650</v>
      </c>
      <c r="E1" s="18" t="s">
        <v>1651</v>
      </c>
      <c r="F1" s="18" t="s">
        <v>1652</v>
      </c>
      <c r="G1" s="18" t="s">
        <v>1653</v>
      </c>
      <c r="H1" s="18" t="s">
        <v>1654</v>
      </c>
      <c r="I1" s="18" t="s">
        <v>1655</v>
      </c>
      <c r="J1" s="18" t="s">
        <v>11</v>
      </c>
      <c r="K1" s="18" t="s">
        <v>2031</v>
      </c>
      <c r="L1" s="18" t="s">
        <v>2032</v>
      </c>
      <c r="M1" s="18" t="s">
        <v>2033</v>
      </c>
      <c r="N1" s="18" t="s">
        <v>2034</v>
      </c>
      <c r="O1" s="18" t="s">
        <v>2035</v>
      </c>
      <c r="P1" s="18" t="s">
        <v>2036</v>
      </c>
      <c r="Q1" s="18" t="s">
        <v>2037</v>
      </c>
    </row>
    <row r="2" spans="1:17" s="37" customFormat="1" ht="14.1" customHeight="1">
      <c r="A2" s="209">
        <v>337</v>
      </c>
      <c r="B2" s="210">
        <v>9963</v>
      </c>
      <c r="C2" s="211" t="s">
        <v>2774</v>
      </c>
      <c r="D2" s="210" t="s">
        <v>2953</v>
      </c>
      <c r="E2" s="210" t="s">
        <v>1895</v>
      </c>
      <c r="F2" s="210" t="s">
        <v>269</v>
      </c>
      <c r="G2" s="210" t="s">
        <v>2954</v>
      </c>
      <c r="H2" s="210">
        <v>62000698</v>
      </c>
      <c r="I2" s="210" t="s">
        <v>33</v>
      </c>
      <c r="J2" s="210" t="s">
        <v>84</v>
      </c>
      <c r="K2" s="212">
        <v>42793</v>
      </c>
      <c r="L2" s="210">
        <v>1200000</v>
      </c>
      <c r="M2" s="213">
        <v>3828</v>
      </c>
      <c r="N2" s="213">
        <v>298691.28000000009</v>
      </c>
      <c r="O2" s="213">
        <v>952.82518320000031</v>
      </c>
      <c r="P2" s="208">
        <v>0.24890940000000009</v>
      </c>
      <c r="Q2" s="212">
        <v>46424</v>
      </c>
    </row>
    <row r="3" spans="1:17" s="37" customFormat="1" ht="14.1" customHeight="1">
      <c r="A3" s="209">
        <v>337</v>
      </c>
      <c r="B3" s="210">
        <v>9963</v>
      </c>
      <c r="C3" s="211" t="s">
        <v>2774</v>
      </c>
      <c r="D3" s="210" t="s">
        <v>2955</v>
      </c>
      <c r="E3" s="210" t="s">
        <v>2956</v>
      </c>
      <c r="F3" s="210" t="s">
        <v>269</v>
      </c>
      <c r="G3" s="210" t="s">
        <v>2957</v>
      </c>
      <c r="H3" s="210">
        <v>62000073</v>
      </c>
      <c r="I3" s="210" t="s">
        <v>33</v>
      </c>
      <c r="J3" s="210" t="s">
        <v>84</v>
      </c>
      <c r="K3" s="214">
        <v>42758</v>
      </c>
      <c r="L3" s="210">
        <v>1327000</v>
      </c>
      <c r="M3" s="213">
        <v>4233.13</v>
      </c>
      <c r="N3" s="213">
        <v>67000</v>
      </c>
      <c r="O3" s="213">
        <v>213.73</v>
      </c>
      <c r="P3" s="208">
        <v>5.0489826676714387E-2</v>
      </c>
      <c r="Q3" s="212">
        <v>45655</v>
      </c>
    </row>
    <row r="4" spans="1:17" s="37" customFormat="1" ht="13.7" customHeight="1">
      <c r="A4" s="209">
        <v>337</v>
      </c>
      <c r="B4" s="210">
        <v>9963</v>
      </c>
      <c r="C4" s="211" t="s">
        <v>2774</v>
      </c>
      <c r="D4" s="210" t="s">
        <v>2958</v>
      </c>
      <c r="E4" s="210">
        <v>2030</v>
      </c>
      <c r="F4" s="210" t="s">
        <v>269</v>
      </c>
      <c r="G4" s="210" t="s">
        <v>2959</v>
      </c>
      <c r="H4" s="210">
        <v>60397874</v>
      </c>
      <c r="I4" s="210" t="s">
        <v>33</v>
      </c>
      <c r="J4" s="210" t="s">
        <v>84</v>
      </c>
      <c r="K4" s="214">
        <v>42354</v>
      </c>
      <c r="L4" s="210">
        <v>880000</v>
      </c>
      <c r="M4" s="213">
        <v>2807.2</v>
      </c>
      <c r="N4" s="213">
        <v>431428.22000000003</v>
      </c>
      <c r="O4" s="213">
        <v>1376.2560218000001</v>
      </c>
      <c r="P4" s="208">
        <v>0.49025934090909096</v>
      </c>
      <c r="Q4" s="212">
        <v>46022</v>
      </c>
    </row>
    <row r="5" spans="1:17" s="37" customFormat="1" ht="13.7" customHeight="1">
      <c r="A5" s="209">
        <v>337</v>
      </c>
      <c r="B5" s="210">
        <v>9963</v>
      </c>
      <c r="C5" s="211" t="s">
        <v>2774</v>
      </c>
      <c r="D5" s="210" t="s">
        <v>2960</v>
      </c>
      <c r="E5" s="210">
        <v>540303633</v>
      </c>
      <c r="F5" s="210" t="s">
        <v>439</v>
      </c>
      <c r="G5" s="210" t="s">
        <v>1752</v>
      </c>
      <c r="H5" s="210">
        <v>62020128</v>
      </c>
      <c r="I5" s="210" t="s">
        <v>33</v>
      </c>
      <c r="J5" s="210" t="s">
        <v>84</v>
      </c>
      <c r="K5" s="212">
        <v>44581</v>
      </c>
      <c r="L5" s="210">
        <v>300000</v>
      </c>
      <c r="M5" s="213">
        <v>957</v>
      </c>
      <c r="N5" s="213">
        <v>175731</v>
      </c>
      <c r="O5" s="213">
        <v>560.58189000000004</v>
      </c>
      <c r="P5" s="208">
        <v>0.58577000000000001</v>
      </c>
      <c r="Q5" s="212">
        <v>45572</v>
      </c>
    </row>
    <row r="6" spans="1:17" s="37" customFormat="1" ht="14.1" customHeight="1">
      <c r="A6" s="209">
        <v>337</v>
      </c>
      <c r="B6" s="210">
        <v>9963</v>
      </c>
      <c r="C6" s="211" t="s">
        <v>2774</v>
      </c>
      <c r="D6" s="210" t="s">
        <v>2961</v>
      </c>
      <c r="E6" s="210">
        <v>362595</v>
      </c>
      <c r="F6" s="210" t="s">
        <v>269</v>
      </c>
      <c r="G6" s="210" t="s">
        <v>1757</v>
      </c>
      <c r="H6" s="210">
        <v>62019567</v>
      </c>
      <c r="I6" s="210" t="s">
        <v>33</v>
      </c>
      <c r="J6" s="210" t="s">
        <v>84</v>
      </c>
      <c r="K6" s="212">
        <v>44481</v>
      </c>
      <c r="L6" s="210">
        <v>450000</v>
      </c>
      <c r="M6" s="213">
        <v>1435.5</v>
      </c>
      <c r="N6" s="213">
        <v>41621.999999999978</v>
      </c>
      <c r="O6" s="213">
        <v>132.77417999999994</v>
      </c>
      <c r="P6" s="208">
        <v>9.2493333333333289E-2</v>
      </c>
      <c r="Q6" s="212">
        <v>45616</v>
      </c>
    </row>
    <row r="7" spans="1:17" s="37" customFormat="1" ht="14.1" customHeight="1">
      <c r="A7" s="209">
        <v>337</v>
      </c>
      <c r="B7" s="210">
        <v>9963</v>
      </c>
      <c r="C7" s="211" t="s">
        <v>2774</v>
      </c>
      <c r="D7" s="210" t="s">
        <v>2961</v>
      </c>
      <c r="E7" s="210">
        <v>362595</v>
      </c>
      <c r="F7" s="210" t="s">
        <v>269</v>
      </c>
      <c r="G7" s="210" t="s">
        <v>1760</v>
      </c>
      <c r="H7" s="210">
        <v>62019575</v>
      </c>
      <c r="I7" s="210" t="s">
        <v>33</v>
      </c>
      <c r="J7" s="210" t="s">
        <v>84</v>
      </c>
      <c r="K7" s="212">
        <v>44481</v>
      </c>
      <c r="L7" s="210">
        <v>450000</v>
      </c>
      <c r="M7" s="213">
        <v>1435.5</v>
      </c>
      <c r="N7" s="213">
        <v>41621.999999999978</v>
      </c>
      <c r="O7" s="213">
        <v>132.77417999999994</v>
      </c>
      <c r="P7" s="208">
        <v>9.2493333333333289E-2</v>
      </c>
      <c r="Q7" s="212">
        <v>45616</v>
      </c>
    </row>
    <row r="8" spans="1:17" s="37" customFormat="1" ht="14.1" customHeight="1">
      <c r="A8" s="209">
        <v>337</v>
      </c>
      <c r="B8" s="210">
        <v>9963</v>
      </c>
      <c r="C8" s="211" t="s">
        <v>2774</v>
      </c>
      <c r="D8" s="210" t="s">
        <v>2962</v>
      </c>
      <c r="E8" s="210" t="s">
        <v>2963</v>
      </c>
      <c r="F8" s="210" t="s">
        <v>269</v>
      </c>
      <c r="G8" s="210" t="s">
        <v>1763</v>
      </c>
      <c r="H8" s="210">
        <v>62017934</v>
      </c>
      <c r="I8" s="210" t="s">
        <v>33</v>
      </c>
      <c r="J8" s="210" t="s">
        <v>84</v>
      </c>
      <c r="K8" s="214">
        <v>44262</v>
      </c>
      <c r="L8" s="210">
        <v>1000000</v>
      </c>
      <c r="M8" s="213">
        <v>3190</v>
      </c>
      <c r="N8" s="213">
        <v>199120.12000000002</v>
      </c>
      <c r="O8" s="213">
        <v>635.19318280000005</v>
      </c>
      <c r="P8" s="208">
        <v>0.19912012000000001</v>
      </c>
      <c r="Q8" s="214">
        <v>46819</v>
      </c>
    </row>
    <row r="9" spans="1:17" s="37" customFormat="1" ht="14.1" customHeight="1">
      <c r="A9" s="209">
        <v>337</v>
      </c>
      <c r="B9" s="210">
        <v>9963</v>
      </c>
      <c r="C9" s="211" t="s">
        <v>2774</v>
      </c>
      <c r="D9" s="210" t="s">
        <v>2964</v>
      </c>
      <c r="E9" s="210">
        <v>3935</v>
      </c>
      <c r="F9" s="210" t="s">
        <v>269</v>
      </c>
      <c r="G9" s="210" t="s">
        <v>1661</v>
      </c>
      <c r="H9" s="210">
        <v>62019286</v>
      </c>
      <c r="I9" s="210" t="s">
        <v>33</v>
      </c>
      <c r="J9" s="210" t="s">
        <v>84</v>
      </c>
      <c r="K9" s="212">
        <v>44441</v>
      </c>
      <c r="L9" s="210">
        <v>950000</v>
      </c>
      <c r="M9" s="213">
        <v>3030.5</v>
      </c>
      <c r="N9" s="213">
        <v>223196.65000000005</v>
      </c>
      <c r="O9" s="213">
        <v>711.99731350000013</v>
      </c>
      <c r="P9" s="208">
        <v>0.2349438421052632</v>
      </c>
      <c r="Q9" s="212">
        <v>45987</v>
      </c>
    </row>
    <row r="10" spans="1:17" s="37" customFormat="1" ht="14.1" customHeight="1">
      <c r="A10" s="209">
        <v>337</v>
      </c>
      <c r="B10" s="210">
        <v>9963</v>
      </c>
      <c r="C10" s="211" t="s">
        <v>2774</v>
      </c>
      <c r="D10" s="210" t="s">
        <v>2965</v>
      </c>
      <c r="E10" s="210" t="s">
        <v>1770</v>
      </c>
      <c r="F10" s="210" t="s">
        <v>269</v>
      </c>
      <c r="G10" s="210" t="s">
        <v>2966</v>
      </c>
      <c r="H10" s="210">
        <v>62021078</v>
      </c>
      <c r="I10" s="210" t="s">
        <v>33</v>
      </c>
      <c r="J10" s="210" t="s">
        <v>84</v>
      </c>
      <c r="K10" s="212">
        <v>45099</v>
      </c>
      <c r="L10" s="210">
        <v>900000</v>
      </c>
      <c r="M10" s="213">
        <v>2871</v>
      </c>
      <c r="N10" s="213">
        <v>441000</v>
      </c>
      <c r="O10" s="213">
        <v>1406.79</v>
      </c>
      <c r="P10" s="208">
        <v>0.49</v>
      </c>
      <c r="Q10" s="214">
        <v>46607</v>
      </c>
    </row>
    <row r="11" spans="1:17" s="37" customFormat="1" ht="14.1" customHeight="1">
      <c r="A11" s="209">
        <v>337</v>
      </c>
      <c r="B11" s="210">
        <v>9963</v>
      </c>
      <c r="C11" s="211" t="s">
        <v>2774</v>
      </c>
      <c r="D11" s="210" t="s">
        <v>2967</v>
      </c>
      <c r="E11" s="210" t="s">
        <v>2968</v>
      </c>
      <c r="F11" s="210" t="s">
        <v>269</v>
      </c>
      <c r="G11" s="210" t="s">
        <v>1779</v>
      </c>
      <c r="H11" s="210">
        <v>62020359</v>
      </c>
      <c r="I11" s="210" t="s">
        <v>33</v>
      </c>
      <c r="J11" s="210" t="s">
        <v>84</v>
      </c>
      <c r="K11" s="212">
        <v>44635</v>
      </c>
      <c r="L11" s="210">
        <v>2500000</v>
      </c>
      <c r="M11" s="213">
        <v>7975</v>
      </c>
      <c r="N11" s="213">
        <v>749882</v>
      </c>
      <c r="O11" s="213">
        <v>2392.1235799999999</v>
      </c>
      <c r="P11" s="208">
        <v>0.29995280000000002</v>
      </c>
      <c r="Q11" s="214">
        <v>47208</v>
      </c>
    </row>
    <row r="12" spans="1:17" s="37" customFormat="1" ht="14.1" customHeight="1">
      <c r="A12" s="209">
        <v>337</v>
      </c>
      <c r="B12" s="210">
        <v>9963</v>
      </c>
      <c r="C12" s="211" t="s">
        <v>2774</v>
      </c>
      <c r="D12" s="210" t="s">
        <v>2969</v>
      </c>
      <c r="E12" s="210">
        <v>516190006</v>
      </c>
      <c r="F12" s="210" t="s">
        <v>118</v>
      </c>
      <c r="G12" s="210" t="s">
        <v>2970</v>
      </c>
      <c r="H12" s="210">
        <v>62018528</v>
      </c>
      <c r="I12" s="210" t="s">
        <v>33</v>
      </c>
      <c r="J12" s="210" t="s">
        <v>755</v>
      </c>
      <c r="K12" s="212">
        <v>44382</v>
      </c>
      <c r="L12" s="210">
        <v>580000</v>
      </c>
      <c r="M12" s="213">
        <v>2172.39</v>
      </c>
      <c r="N12" s="213">
        <v>95198.000000000044</v>
      </c>
      <c r="O12" s="213">
        <v>356.56410900000014</v>
      </c>
      <c r="P12" s="208">
        <v>0.16413448275862078</v>
      </c>
      <c r="Q12" s="214">
        <v>46939</v>
      </c>
    </row>
    <row r="13" spans="1:17" s="37" customFormat="1" ht="14.1" customHeight="1">
      <c r="A13" s="209">
        <v>337</v>
      </c>
      <c r="B13" s="210">
        <v>9963</v>
      </c>
      <c r="C13" s="211" t="s">
        <v>2774</v>
      </c>
      <c r="D13" s="210" t="s">
        <v>2971</v>
      </c>
      <c r="E13" s="210">
        <v>515527968</v>
      </c>
      <c r="F13" s="210" t="s">
        <v>118</v>
      </c>
      <c r="G13" s="210" t="s">
        <v>1791</v>
      </c>
      <c r="H13" s="210">
        <v>62017942</v>
      </c>
      <c r="I13" s="210" t="s">
        <v>33</v>
      </c>
      <c r="J13" s="210" t="s">
        <v>755</v>
      </c>
      <c r="K13" s="214">
        <v>44262</v>
      </c>
      <c r="L13" s="210">
        <v>1200000</v>
      </c>
      <c r="M13" s="213">
        <v>4494.6000000000004</v>
      </c>
      <c r="N13" s="213">
        <v>7402.0000000001537</v>
      </c>
      <c r="O13" s="213">
        <v>27.724191000000573</v>
      </c>
      <c r="P13" s="208">
        <v>6.1683333333334605E-3</v>
      </c>
      <c r="Q13" s="212">
        <v>45814</v>
      </c>
    </row>
    <row r="14" spans="1:17" s="37" customFormat="1" ht="14.1" customHeight="1">
      <c r="A14" s="209">
        <v>337</v>
      </c>
      <c r="B14" s="210">
        <v>9963</v>
      </c>
      <c r="C14" s="211" t="s">
        <v>2774</v>
      </c>
      <c r="D14" s="210" t="s">
        <v>2972</v>
      </c>
      <c r="E14" s="210" t="s">
        <v>2973</v>
      </c>
      <c r="F14" s="210" t="s">
        <v>269</v>
      </c>
      <c r="G14" s="210" t="s">
        <v>2974</v>
      </c>
      <c r="H14" s="210">
        <v>62018891</v>
      </c>
      <c r="I14" s="210" t="s">
        <v>33</v>
      </c>
      <c r="J14" s="210" t="s">
        <v>755</v>
      </c>
      <c r="K14" s="212">
        <v>44417</v>
      </c>
      <c r="L14" s="210">
        <v>1150000</v>
      </c>
      <c r="M14" s="213">
        <v>4307.3249999999998</v>
      </c>
      <c r="N14" s="213">
        <v>82989.360000000146</v>
      </c>
      <c r="O14" s="213">
        <v>310.83664788000056</v>
      </c>
      <c r="P14" s="208">
        <v>7.2164660869565356E-2</v>
      </c>
      <c r="Q14" s="212">
        <v>46688</v>
      </c>
    </row>
    <row r="15" spans="1:17" s="37" customFormat="1" ht="14.1" customHeight="1">
      <c r="A15" s="209">
        <v>337</v>
      </c>
      <c r="B15" s="210">
        <v>9963</v>
      </c>
      <c r="C15" s="211" t="s">
        <v>2774</v>
      </c>
      <c r="D15" s="210" t="s">
        <v>2975</v>
      </c>
      <c r="E15" s="210">
        <v>104909</v>
      </c>
      <c r="F15" s="210" t="s">
        <v>269</v>
      </c>
      <c r="G15" s="210" t="s">
        <v>2976</v>
      </c>
      <c r="H15" s="210">
        <v>62018734</v>
      </c>
      <c r="I15" s="210" t="s">
        <v>33</v>
      </c>
      <c r="J15" s="210" t="s">
        <v>84</v>
      </c>
      <c r="K15" s="212">
        <v>44403</v>
      </c>
      <c r="L15" s="210">
        <v>650000</v>
      </c>
      <c r="M15" s="213">
        <v>2073.5</v>
      </c>
      <c r="N15" s="213">
        <v>130000</v>
      </c>
      <c r="O15" s="213">
        <v>414.7</v>
      </c>
      <c r="P15" s="208">
        <v>0.19999999999999998</v>
      </c>
      <c r="Q15" s="214">
        <v>46948</v>
      </c>
    </row>
    <row r="16" spans="1:17" s="37" customFormat="1" ht="14.1" customHeight="1">
      <c r="A16" s="209">
        <v>337</v>
      </c>
      <c r="B16" s="210">
        <v>9963</v>
      </c>
      <c r="C16" s="211" t="s">
        <v>2774</v>
      </c>
      <c r="D16" s="210" t="s">
        <v>2977</v>
      </c>
      <c r="E16" s="210" t="s">
        <v>1770</v>
      </c>
      <c r="F16" s="210" t="s">
        <v>269</v>
      </c>
      <c r="G16" s="210" t="s">
        <v>2978</v>
      </c>
      <c r="H16" s="210">
        <v>62014352</v>
      </c>
      <c r="I16" s="210" t="s">
        <v>33</v>
      </c>
      <c r="J16" s="210" t="s">
        <v>84</v>
      </c>
      <c r="K16" s="214">
        <v>43765</v>
      </c>
      <c r="L16" s="210">
        <v>1000000</v>
      </c>
      <c r="M16" s="213">
        <v>3190</v>
      </c>
      <c r="N16" s="213">
        <v>225000</v>
      </c>
      <c r="O16" s="213">
        <v>717.75</v>
      </c>
      <c r="P16" s="208">
        <v>0.22500000000000001</v>
      </c>
      <c r="Q16" s="212">
        <v>47392</v>
      </c>
    </row>
    <row r="17" spans="1:17" s="37" customFormat="1" ht="14.1" customHeight="1">
      <c r="A17" s="209">
        <v>337</v>
      </c>
      <c r="B17" s="210">
        <v>9963</v>
      </c>
      <c r="C17" s="211" t="s">
        <v>2774</v>
      </c>
      <c r="D17" s="210" t="s">
        <v>2965</v>
      </c>
      <c r="E17" s="210" t="s">
        <v>1770</v>
      </c>
      <c r="F17" s="210" t="s">
        <v>269</v>
      </c>
      <c r="G17" s="210" t="s">
        <v>2979</v>
      </c>
      <c r="H17" s="210">
        <v>62015433</v>
      </c>
      <c r="I17" s="210" t="s">
        <v>33</v>
      </c>
      <c r="J17" s="210" t="s">
        <v>84</v>
      </c>
      <c r="K17" s="214">
        <v>43865</v>
      </c>
      <c r="L17" s="210">
        <v>1750000</v>
      </c>
      <c r="M17" s="213">
        <v>5582.5</v>
      </c>
      <c r="N17" s="213">
        <v>332500</v>
      </c>
      <c r="O17" s="213">
        <v>1060.675</v>
      </c>
      <c r="P17" s="208">
        <v>0.19</v>
      </c>
      <c r="Q17" s="214">
        <v>47392</v>
      </c>
    </row>
    <row r="18" spans="1:17" s="37" customFormat="1" ht="14.1" customHeight="1">
      <c r="A18" s="209">
        <v>337</v>
      </c>
      <c r="B18" s="210">
        <v>9963</v>
      </c>
      <c r="C18" s="211" t="s">
        <v>2774</v>
      </c>
      <c r="D18" s="210" t="s">
        <v>2980</v>
      </c>
      <c r="E18" s="210">
        <v>6196719</v>
      </c>
      <c r="F18" s="210" t="s">
        <v>269</v>
      </c>
      <c r="G18" s="210" t="s">
        <v>2981</v>
      </c>
      <c r="H18" s="210">
        <v>62021076</v>
      </c>
      <c r="I18" s="210" t="s">
        <v>33</v>
      </c>
      <c r="J18" s="210" t="s">
        <v>84</v>
      </c>
      <c r="K18" s="212">
        <v>44938</v>
      </c>
      <c r="L18" s="210">
        <v>1000000</v>
      </c>
      <c r="M18" s="213">
        <v>3190</v>
      </c>
      <c r="N18" s="213">
        <v>90000</v>
      </c>
      <c r="O18" s="213">
        <v>287.10000000000002</v>
      </c>
      <c r="P18" s="208">
        <v>9.0000000000000011E-2</v>
      </c>
      <c r="Q18" s="212">
        <v>46203</v>
      </c>
    </row>
    <row r="19" spans="1:17" s="37" customFormat="1" ht="14.1" customHeight="1">
      <c r="A19" s="209">
        <v>337</v>
      </c>
      <c r="B19" s="210">
        <v>9963</v>
      </c>
      <c r="C19" s="211" t="s">
        <v>2774</v>
      </c>
      <c r="D19" s="210" t="s">
        <v>2982</v>
      </c>
      <c r="E19" s="210">
        <v>515333862</v>
      </c>
      <c r="F19" s="210" t="s">
        <v>118</v>
      </c>
      <c r="G19" s="210" t="s">
        <v>2983</v>
      </c>
      <c r="H19" s="210">
        <v>62000395</v>
      </c>
      <c r="I19" s="210" t="s">
        <v>33</v>
      </c>
      <c r="J19" s="210" t="s">
        <v>84</v>
      </c>
      <c r="K19" s="214">
        <v>42762</v>
      </c>
      <c r="L19" s="210">
        <v>1200000</v>
      </c>
      <c r="M19" s="213">
        <v>3828</v>
      </c>
      <c r="N19" s="213">
        <v>66000</v>
      </c>
      <c r="O19" s="213">
        <v>210.54</v>
      </c>
      <c r="P19" s="208">
        <v>5.5E-2</v>
      </c>
      <c r="Q19" s="212">
        <v>46006</v>
      </c>
    </row>
    <row r="20" spans="1:17" s="37" customFormat="1" ht="14.1" customHeight="1">
      <c r="A20" s="209">
        <v>337</v>
      </c>
      <c r="B20" s="210">
        <v>9963</v>
      </c>
      <c r="C20" s="211" t="s">
        <v>2774</v>
      </c>
      <c r="D20" s="210" t="s">
        <v>2984</v>
      </c>
      <c r="E20" s="210">
        <v>540285145</v>
      </c>
      <c r="F20" s="210" t="s">
        <v>439</v>
      </c>
      <c r="G20" s="210" t="s">
        <v>1675</v>
      </c>
      <c r="H20" s="210">
        <v>62018080</v>
      </c>
      <c r="I20" s="210" t="s">
        <v>33</v>
      </c>
      <c r="J20" s="210" t="s">
        <v>84</v>
      </c>
      <c r="K20" s="214">
        <v>43572</v>
      </c>
      <c r="L20" s="210">
        <v>875000</v>
      </c>
      <c r="M20" s="213">
        <v>2791.25</v>
      </c>
      <c r="N20" s="213">
        <v>243488</v>
      </c>
      <c r="O20" s="213">
        <v>776.72672</v>
      </c>
      <c r="P20" s="208">
        <v>0.27827200000000002</v>
      </c>
      <c r="Q20" s="214">
        <v>46112</v>
      </c>
    </row>
    <row r="21" spans="1:17" s="37" customFormat="1" ht="14.1" customHeight="1">
      <c r="A21" s="209">
        <v>337</v>
      </c>
      <c r="B21" s="210">
        <v>9963</v>
      </c>
      <c r="C21" s="211" t="s">
        <v>2774</v>
      </c>
      <c r="D21" s="210" t="s">
        <v>2985</v>
      </c>
      <c r="E21" s="210" t="s">
        <v>1679</v>
      </c>
      <c r="F21" s="210" t="s">
        <v>269</v>
      </c>
      <c r="G21" s="210" t="s">
        <v>2986</v>
      </c>
      <c r="H21" s="210">
        <v>50000967</v>
      </c>
      <c r="I21" s="210" t="s">
        <v>33</v>
      </c>
      <c r="J21" s="210" t="s">
        <v>34</v>
      </c>
      <c r="K21" s="212">
        <v>43782</v>
      </c>
      <c r="L21" s="210">
        <v>3600000</v>
      </c>
      <c r="M21" s="213">
        <v>3600</v>
      </c>
      <c r="N21" s="213">
        <v>360978</v>
      </c>
      <c r="O21" s="213">
        <v>360.97800000000001</v>
      </c>
      <c r="P21" s="208">
        <v>0.10027166666666668</v>
      </c>
      <c r="Q21" s="212">
        <v>46691</v>
      </c>
    </row>
    <row r="22" spans="1:17" s="37" customFormat="1" ht="14.1" customHeight="1">
      <c r="A22" s="209">
        <v>337</v>
      </c>
      <c r="B22" s="210">
        <v>9963</v>
      </c>
      <c r="C22" s="211" t="s">
        <v>2774</v>
      </c>
      <c r="D22" s="210" t="s">
        <v>1678</v>
      </c>
      <c r="E22" s="210" t="s">
        <v>2987</v>
      </c>
      <c r="F22" s="210" t="s">
        <v>269</v>
      </c>
      <c r="G22" s="210" t="s">
        <v>2988</v>
      </c>
      <c r="H22" s="210">
        <v>50007947</v>
      </c>
      <c r="I22" s="210" t="s">
        <v>33</v>
      </c>
      <c r="J22" s="210" t="s">
        <v>34</v>
      </c>
      <c r="K22" s="212">
        <v>45039</v>
      </c>
      <c r="L22" s="210">
        <v>5000000</v>
      </c>
      <c r="M22" s="213">
        <v>5000</v>
      </c>
      <c r="N22" s="213">
        <v>2650000</v>
      </c>
      <c r="O22" s="213">
        <v>2650</v>
      </c>
      <c r="P22" s="208">
        <v>0.53</v>
      </c>
      <c r="Q22" s="212">
        <v>47923</v>
      </c>
    </row>
    <row r="23" spans="1:17" s="37" customFormat="1" ht="14.1" customHeight="1">
      <c r="A23" s="209">
        <v>337</v>
      </c>
      <c r="B23" s="210">
        <v>9963</v>
      </c>
      <c r="C23" s="211" t="s">
        <v>2774</v>
      </c>
      <c r="D23" s="210" t="s">
        <v>2989</v>
      </c>
      <c r="E23" s="210">
        <v>4352472</v>
      </c>
      <c r="F23" s="210" t="s">
        <v>269</v>
      </c>
      <c r="G23" s="210" t="s">
        <v>1827</v>
      </c>
      <c r="H23" s="210">
        <v>62019021</v>
      </c>
      <c r="I23" s="210" t="s">
        <v>33</v>
      </c>
      <c r="J23" s="210" t="s">
        <v>84</v>
      </c>
      <c r="K23" s="212">
        <v>44431</v>
      </c>
      <c r="L23" s="210">
        <v>1500000</v>
      </c>
      <c r="M23" s="213">
        <v>4785</v>
      </c>
      <c r="N23" s="213">
        <v>337021.10000000009</v>
      </c>
      <c r="O23" s="213">
        <v>1075.0973090000005</v>
      </c>
      <c r="P23" s="208">
        <v>0.22468073333333344</v>
      </c>
      <c r="Q23" s="212">
        <v>46727</v>
      </c>
    </row>
    <row r="24" spans="1:17" s="37" customFormat="1" ht="14.1" customHeight="1">
      <c r="A24" s="209">
        <v>337</v>
      </c>
      <c r="B24" s="210">
        <v>9963</v>
      </c>
      <c r="C24" s="211" t="s">
        <v>2774</v>
      </c>
      <c r="D24" s="210" t="s">
        <v>2990</v>
      </c>
      <c r="E24" s="210">
        <v>11744</v>
      </c>
      <c r="F24" s="210" t="s">
        <v>269</v>
      </c>
      <c r="G24" s="210" t="s">
        <v>1831</v>
      </c>
      <c r="H24" s="210">
        <v>62010970</v>
      </c>
      <c r="I24" s="210" t="s">
        <v>33</v>
      </c>
      <c r="J24" s="210" t="s">
        <v>84</v>
      </c>
      <c r="K24" s="214">
        <v>43507</v>
      </c>
      <c r="L24" s="210">
        <v>1300000</v>
      </c>
      <c r="M24" s="213">
        <v>4147</v>
      </c>
      <c r="N24" s="213">
        <v>74467.790000000095</v>
      </c>
      <c r="O24" s="213">
        <v>237.55225010000029</v>
      </c>
      <c r="P24" s="208">
        <v>5.7282915384615454E-2</v>
      </c>
      <c r="Q24" s="212">
        <v>47119</v>
      </c>
    </row>
    <row r="25" spans="1:17" s="37" customFormat="1" ht="14.1" customHeight="1">
      <c r="A25" s="209">
        <v>337</v>
      </c>
      <c r="B25" s="210">
        <v>9963</v>
      </c>
      <c r="C25" s="211" t="s">
        <v>2774</v>
      </c>
      <c r="D25" s="210" t="s">
        <v>2991</v>
      </c>
      <c r="E25" s="210">
        <v>6589505</v>
      </c>
      <c r="F25" s="210" t="s">
        <v>269</v>
      </c>
      <c r="G25" s="210" t="s">
        <v>1835</v>
      </c>
      <c r="H25" s="210">
        <v>62021001</v>
      </c>
      <c r="I25" s="210" t="s">
        <v>33</v>
      </c>
      <c r="J25" s="210" t="s">
        <v>84</v>
      </c>
      <c r="K25" s="212">
        <v>44887</v>
      </c>
      <c r="L25" s="210">
        <v>1000000</v>
      </c>
      <c r="M25" s="213">
        <v>3190</v>
      </c>
      <c r="N25" s="213">
        <v>175292.41000000012</v>
      </c>
      <c r="O25" s="213">
        <v>559.18278790000033</v>
      </c>
      <c r="P25" s="208">
        <v>0.17529241000000009</v>
      </c>
      <c r="Q25" s="212">
        <v>46608</v>
      </c>
    </row>
    <row r="26" spans="1:17" s="37" customFormat="1" ht="14.1" customHeight="1">
      <c r="A26" s="209">
        <v>337</v>
      </c>
      <c r="B26" s="210">
        <v>9963</v>
      </c>
      <c r="C26" s="211" t="s">
        <v>2774</v>
      </c>
      <c r="D26" s="210" t="s">
        <v>1840</v>
      </c>
      <c r="E26" s="210">
        <v>6858778</v>
      </c>
      <c r="F26" s="210" t="s">
        <v>269</v>
      </c>
      <c r="G26" s="210" t="s">
        <v>1840</v>
      </c>
      <c r="H26" s="210">
        <v>62021175</v>
      </c>
      <c r="I26" s="210" t="s">
        <v>33</v>
      </c>
      <c r="J26" s="210" t="s">
        <v>84</v>
      </c>
      <c r="K26" s="212">
        <v>45057</v>
      </c>
      <c r="L26" s="210">
        <v>800000</v>
      </c>
      <c r="M26" s="213">
        <v>2552</v>
      </c>
      <c r="N26" s="213">
        <v>289851.5</v>
      </c>
      <c r="O26" s="213">
        <v>924.62628499999994</v>
      </c>
      <c r="P26" s="208">
        <v>0.36231437499999997</v>
      </c>
      <c r="Q26" s="212">
        <v>45747</v>
      </c>
    </row>
    <row r="27" spans="1:17" s="37" customFormat="1" ht="14.1" customHeight="1">
      <c r="A27" s="209">
        <v>337</v>
      </c>
      <c r="B27" s="210">
        <v>9963</v>
      </c>
      <c r="C27" s="211" t="s">
        <v>2774</v>
      </c>
      <c r="D27" s="210" t="s">
        <v>2992</v>
      </c>
      <c r="E27" s="210">
        <v>310223474</v>
      </c>
      <c r="F27" s="210" t="s">
        <v>269</v>
      </c>
      <c r="G27" s="210" t="s">
        <v>2993</v>
      </c>
      <c r="H27" s="210">
        <v>62019740</v>
      </c>
      <c r="I27" s="210" t="s">
        <v>33</v>
      </c>
      <c r="J27" s="210" t="s">
        <v>84</v>
      </c>
      <c r="K27" s="212">
        <v>44518</v>
      </c>
      <c r="L27" s="210">
        <v>1250000</v>
      </c>
      <c r="M27" s="213">
        <v>3987.5</v>
      </c>
      <c r="N27" s="213">
        <v>55301.999999999964</v>
      </c>
      <c r="O27" s="213">
        <v>176.41337999999988</v>
      </c>
      <c r="P27" s="208">
        <v>4.4241599999999971E-2</v>
      </c>
      <c r="Q27" s="212">
        <v>49041</v>
      </c>
    </row>
    <row r="28" spans="1:17" s="37" customFormat="1" ht="14.1" customHeight="1">
      <c r="A28" s="209">
        <v>337</v>
      </c>
      <c r="B28" s="210">
        <v>9963</v>
      </c>
      <c r="C28" s="211" t="s">
        <v>2774</v>
      </c>
      <c r="D28" s="210" t="s">
        <v>2994</v>
      </c>
      <c r="E28" s="210" t="s">
        <v>1855</v>
      </c>
      <c r="F28" s="210" t="s">
        <v>269</v>
      </c>
      <c r="G28" s="210" t="s">
        <v>1854</v>
      </c>
      <c r="H28" s="210">
        <v>62021282</v>
      </c>
      <c r="I28" s="210" t="s">
        <v>33</v>
      </c>
      <c r="J28" s="210" t="s">
        <v>84</v>
      </c>
      <c r="K28" s="212">
        <v>45132</v>
      </c>
      <c r="L28" s="210">
        <v>650000</v>
      </c>
      <c r="M28" s="213">
        <v>2073.5</v>
      </c>
      <c r="N28" s="213">
        <v>139108</v>
      </c>
      <c r="O28" s="213">
        <v>443.75452000000001</v>
      </c>
      <c r="P28" s="208">
        <v>0.2140123076923077</v>
      </c>
      <c r="Q28" s="212">
        <v>46310</v>
      </c>
    </row>
    <row r="29" spans="1:17" s="37" customFormat="1" ht="14.1" customHeight="1">
      <c r="A29" s="209">
        <v>337</v>
      </c>
      <c r="B29" s="210">
        <v>9963</v>
      </c>
      <c r="C29" s="211" t="s">
        <v>2774</v>
      </c>
      <c r="D29" s="210" t="s">
        <v>2995</v>
      </c>
      <c r="E29" s="210">
        <v>540297413</v>
      </c>
      <c r="F29" s="210" t="s">
        <v>439</v>
      </c>
      <c r="G29" s="210" t="s">
        <v>2996</v>
      </c>
      <c r="H29" s="210">
        <v>62018569</v>
      </c>
      <c r="I29" s="210" t="s">
        <v>33</v>
      </c>
      <c r="J29" s="210" t="s">
        <v>84</v>
      </c>
      <c r="K29" s="212">
        <v>44384</v>
      </c>
      <c r="L29" s="210">
        <v>600000</v>
      </c>
      <c r="M29" s="213">
        <v>1914</v>
      </c>
      <c r="N29" s="213">
        <v>137538</v>
      </c>
      <c r="O29" s="213">
        <v>438.74621999999999</v>
      </c>
      <c r="P29" s="208">
        <v>0.22922999999999999</v>
      </c>
      <c r="Q29" s="212">
        <v>45549</v>
      </c>
    </row>
    <row r="30" spans="1:17" s="37" customFormat="1" ht="14.1" customHeight="1">
      <c r="A30" s="209">
        <v>337</v>
      </c>
      <c r="B30" s="210">
        <v>9963</v>
      </c>
      <c r="C30" s="211" t="s">
        <v>2774</v>
      </c>
      <c r="D30" s="210" t="s">
        <v>2997</v>
      </c>
      <c r="E30" s="210" t="s">
        <v>2998</v>
      </c>
      <c r="F30" s="210" t="s">
        <v>269</v>
      </c>
      <c r="G30" s="210" t="s">
        <v>2999</v>
      </c>
      <c r="H30" s="210">
        <v>62014592</v>
      </c>
      <c r="I30" s="210" t="s">
        <v>33</v>
      </c>
      <c r="J30" s="210" t="s">
        <v>84</v>
      </c>
      <c r="K30" s="214">
        <v>43787</v>
      </c>
      <c r="L30" s="210">
        <v>1000000</v>
      </c>
      <c r="M30" s="213">
        <v>3190</v>
      </c>
      <c r="N30" s="213">
        <v>86750.999999999985</v>
      </c>
      <c r="O30" s="213">
        <v>276.73568999999992</v>
      </c>
      <c r="P30" s="208">
        <v>8.6750999999999981E-2</v>
      </c>
      <c r="Q30" s="212">
        <v>46997</v>
      </c>
    </row>
    <row r="31" spans="1:17" s="37" customFormat="1" ht="14.1" customHeight="1">
      <c r="A31" s="209">
        <v>337</v>
      </c>
      <c r="B31" s="210">
        <v>9963</v>
      </c>
      <c r="C31" s="211" t="s">
        <v>2774</v>
      </c>
      <c r="D31" s="210" t="s">
        <v>3000</v>
      </c>
      <c r="E31" s="210">
        <v>111401</v>
      </c>
      <c r="F31" s="210" t="s">
        <v>269</v>
      </c>
      <c r="G31" s="210" t="s">
        <v>3001</v>
      </c>
      <c r="H31" s="210">
        <v>62018254</v>
      </c>
      <c r="I31" s="210" t="s">
        <v>33</v>
      </c>
      <c r="J31" s="210" t="s">
        <v>84</v>
      </c>
      <c r="K31" s="212">
        <v>44327</v>
      </c>
      <c r="L31" s="210">
        <v>450000</v>
      </c>
      <c r="M31" s="213">
        <v>1435.5</v>
      </c>
      <c r="N31" s="213">
        <v>67500</v>
      </c>
      <c r="O31" s="213">
        <v>215.32499999999999</v>
      </c>
      <c r="P31" s="208">
        <v>0.15</v>
      </c>
      <c r="Q31" s="212">
        <v>45775</v>
      </c>
    </row>
    <row r="32" spans="1:17" s="37" customFormat="1" ht="14.1" customHeight="1">
      <c r="A32" s="209">
        <v>337</v>
      </c>
      <c r="B32" s="210">
        <v>9963</v>
      </c>
      <c r="C32" s="211" t="s">
        <v>2774</v>
      </c>
      <c r="D32" s="210" t="s">
        <v>3002</v>
      </c>
      <c r="E32" s="210">
        <v>550256168</v>
      </c>
      <c r="F32" s="210" t="s">
        <v>439</v>
      </c>
      <c r="G32" s="210" t="s">
        <v>1869</v>
      </c>
      <c r="H32" s="210">
        <v>60407392</v>
      </c>
      <c r="I32" s="210" t="s">
        <v>33</v>
      </c>
      <c r="J32" s="210" t="s">
        <v>84</v>
      </c>
      <c r="K32" s="214">
        <v>42516</v>
      </c>
      <c r="L32" s="210">
        <v>425000</v>
      </c>
      <c r="M32" s="213">
        <v>1355.75</v>
      </c>
      <c r="N32" s="213">
        <v>3187.0000000000086</v>
      </c>
      <c r="O32" s="213">
        <v>10.166530000000028</v>
      </c>
      <c r="P32" s="208">
        <v>7.4988235294117852E-3</v>
      </c>
      <c r="Q32" s="212">
        <v>44469</v>
      </c>
    </row>
    <row r="33" spans="1:17" s="37" customFormat="1" ht="14.1" customHeight="1">
      <c r="A33" s="209">
        <v>337</v>
      </c>
      <c r="B33" s="210">
        <v>9963</v>
      </c>
      <c r="C33" s="211" t="s">
        <v>2774</v>
      </c>
      <c r="D33" s="210" t="s">
        <v>3003</v>
      </c>
      <c r="E33" s="210" t="s">
        <v>3004</v>
      </c>
      <c r="F33" s="210" t="s">
        <v>269</v>
      </c>
      <c r="G33" s="210" t="s">
        <v>1871</v>
      </c>
      <c r="H33" s="210">
        <v>620211181</v>
      </c>
      <c r="I33" s="210" t="s">
        <v>33</v>
      </c>
      <c r="J33" s="210" t="s">
        <v>1253</v>
      </c>
      <c r="K33" s="212">
        <v>44950</v>
      </c>
      <c r="L33" s="210">
        <v>750000</v>
      </c>
      <c r="M33" s="213">
        <v>3217.5</v>
      </c>
      <c r="N33" s="213">
        <v>501445.07999999996</v>
      </c>
      <c r="O33" s="213">
        <v>2151.1993932</v>
      </c>
      <c r="P33" s="208">
        <v>0.66859343999999998</v>
      </c>
      <c r="Q33" s="212">
        <v>45939</v>
      </c>
    </row>
    <row r="34" spans="1:17" s="37" customFormat="1" ht="14.1" customHeight="1">
      <c r="A34" s="209">
        <v>337</v>
      </c>
      <c r="B34" s="210">
        <v>9963</v>
      </c>
      <c r="C34" s="211" t="s">
        <v>2774</v>
      </c>
      <c r="D34" s="210" t="s">
        <v>3005</v>
      </c>
      <c r="E34" s="210" t="s">
        <v>1876</v>
      </c>
      <c r="F34" s="210" t="s">
        <v>269</v>
      </c>
      <c r="G34" s="210" t="s">
        <v>1877</v>
      </c>
      <c r="H34" s="210">
        <v>62019716</v>
      </c>
      <c r="I34" s="210" t="s">
        <v>33</v>
      </c>
      <c r="J34" s="210" t="s">
        <v>755</v>
      </c>
      <c r="K34" s="212">
        <v>44508</v>
      </c>
      <c r="L34" s="210">
        <v>650000</v>
      </c>
      <c r="M34" s="213">
        <v>2434.5749999999998</v>
      </c>
      <c r="N34" s="213">
        <v>65000</v>
      </c>
      <c r="O34" s="213">
        <v>243.45750000000001</v>
      </c>
      <c r="P34" s="208">
        <v>0.1</v>
      </c>
      <c r="Q34" s="212">
        <v>47066</v>
      </c>
    </row>
    <row r="35" spans="1:17" s="37" customFormat="1" ht="14.1" customHeight="1">
      <c r="A35" s="209">
        <v>337</v>
      </c>
      <c r="B35" s="210">
        <v>9963</v>
      </c>
      <c r="C35" s="211" t="s">
        <v>2774</v>
      </c>
      <c r="D35" s="210" t="s">
        <v>3006</v>
      </c>
      <c r="E35" s="210">
        <v>107746</v>
      </c>
      <c r="F35" s="210" t="s">
        <v>269</v>
      </c>
      <c r="G35" s="210" t="s">
        <v>1881</v>
      </c>
      <c r="H35" s="210">
        <v>62018965</v>
      </c>
      <c r="I35" s="210" t="s">
        <v>33</v>
      </c>
      <c r="J35" s="210" t="s">
        <v>84</v>
      </c>
      <c r="K35" s="212">
        <v>44431</v>
      </c>
      <c r="L35" s="210">
        <v>800000</v>
      </c>
      <c r="M35" s="213">
        <v>2552</v>
      </c>
      <c r="N35" s="213">
        <v>68000</v>
      </c>
      <c r="O35" s="213">
        <v>216.92</v>
      </c>
      <c r="P35" s="208">
        <v>8.4999999999999992E-2</v>
      </c>
      <c r="Q35" s="212">
        <v>46023</v>
      </c>
    </row>
    <row r="36" spans="1:17" s="37" customFormat="1" ht="14.1" customHeight="1">
      <c r="A36" s="209">
        <v>337</v>
      </c>
      <c r="B36" s="210">
        <v>9963</v>
      </c>
      <c r="C36" s="211" t="s">
        <v>2774</v>
      </c>
      <c r="D36" s="210" t="s">
        <v>3007</v>
      </c>
      <c r="E36" s="210" t="s">
        <v>3008</v>
      </c>
      <c r="F36" s="210" t="s">
        <v>269</v>
      </c>
      <c r="G36" s="210" t="s">
        <v>1885</v>
      </c>
      <c r="H36" s="210">
        <v>62018098</v>
      </c>
      <c r="I36" s="210" t="s">
        <v>33</v>
      </c>
      <c r="J36" s="210" t="s">
        <v>84</v>
      </c>
      <c r="K36" s="214">
        <v>44286</v>
      </c>
      <c r="L36" s="210">
        <v>850000</v>
      </c>
      <c r="M36" s="213">
        <v>2711.5</v>
      </c>
      <c r="N36" s="213">
        <v>341930.69666666671</v>
      </c>
      <c r="O36" s="213">
        <v>1090.7589223666669</v>
      </c>
      <c r="P36" s="208">
        <v>0.40227140784313731</v>
      </c>
      <c r="Q36" s="214">
        <v>46843</v>
      </c>
    </row>
    <row r="37" spans="1:17" s="37" customFormat="1" ht="14.1" customHeight="1">
      <c r="A37" s="209">
        <v>337</v>
      </c>
      <c r="B37" s="210">
        <v>9963</v>
      </c>
      <c r="C37" s="211" t="s">
        <v>2774</v>
      </c>
      <c r="D37" s="210" t="s">
        <v>3009</v>
      </c>
      <c r="E37" s="210">
        <v>540327830</v>
      </c>
      <c r="F37" s="210" t="s">
        <v>439</v>
      </c>
      <c r="G37" s="210" t="s">
        <v>1887</v>
      </c>
      <c r="H37" s="210">
        <v>62020938</v>
      </c>
      <c r="I37" s="210" t="s">
        <v>33</v>
      </c>
      <c r="J37" s="210" t="s">
        <v>84</v>
      </c>
      <c r="K37" s="212">
        <v>44858</v>
      </c>
      <c r="L37" s="210">
        <v>536911</v>
      </c>
      <c r="M37" s="213">
        <v>1712.7460900000001</v>
      </c>
      <c r="N37" s="213">
        <v>180372.00000000006</v>
      </c>
      <c r="O37" s="213">
        <v>575.38668000000018</v>
      </c>
      <c r="P37" s="208">
        <v>0.33594394601712396</v>
      </c>
      <c r="Q37" s="212">
        <v>47026</v>
      </c>
    </row>
    <row r="38" spans="1:17" s="37" customFormat="1" ht="14.1" customHeight="1">
      <c r="A38" s="209">
        <v>337</v>
      </c>
      <c r="B38" s="210">
        <v>9963</v>
      </c>
      <c r="C38" s="211" t="s">
        <v>2774</v>
      </c>
      <c r="D38" s="210" t="s">
        <v>3010</v>
      </c>
      <c r="E38" s="210">
        <v>382566</v>
      </c>
      <c r="F38" s="210" t="s">
        <v>269</v>
      </c>
      <c r="G38" s="210" t="s">
        <v>3011</v>
      </c>
      <c r="H38" s="210">
        <v>62020284</v>
      </c>
      <c r="I38" s="210" t="s">
        <v>33</v>
      </c>
      <c r="J38" s="210" t="s">
        <v>84</v>
      </c>
      <c r="K38" s="212">
        <v>44620</v>
      </c>
      <c r="L38" s="210">
        <v>750000</v>
      </c>
      <c r="M38" s="213">
        <v>2392.5</v>
      </c>
      <c r="N38" s="213">
        <v>336750</v>
      </c>
      <c r="O38" s="213">
        <v>1074.2325000000001</v>
      </c>
      <c r="P38" s="208">
        <v>0.44900000000000001</v>
      </c>
      <c r="Q38" s="212">
        <v>46739</v>
      </c>
    </row>
    <row r="39" spans="1:17" s="37" customFormat="1" ht="14.1" customHeight="1">
      <c r="A39" s="209">
        <v>337</v>
      </c>
      <c r="B39" s="210">
        <v>9963</v>
      </c>
      <c r="C39" s="211" t="s">
        <v>2774</v>
      </c>
      <c r="D39" s="210" t="s">
        <v>3012</v>
      </c>
      <c r="E39" s="210">
        <v>550257125</v>
      </c>
      <c r="F39" s="210" t="s">
        <v>439</v>
      </c>
      <c r="G39" s="210" t="s">
        <v>3013</v>
      </c>
      <c r="H39" s="210">
        <v>50006691</v>
      </c>
      <c r="I39" s="210" t="s">
        <v>33</v>
      </c>
      <c r="J39" s="210" t="s">
        <v>34</v>
      </c>
      <c r="K39" s="214">
        <v>43801</v>
      </c>
      <c r="L39" s="210">
        <v>4800000</v>
      </c>
      <c r="M39" s="213">
        <v>4800</v>
      </c>
      <c r="N39" s="213">
        <v>1423512</v>
      </c>
      <c r="O39" s="213">
        <v>1423.5119999999999</v>
      </c>
      <c r="P39" s="208">
        <v>0.29656499999999997</v>
      </c>
      <c r="Q39" s="212">
        <v>46721</v>
      </c>
    </row>
    <row r="40" spans="1:17" s="37" customFormat="1" ht="14.1" customHeight="1">
      <c r="A40" s="209">
        <v>337</v>
      </c>
      <c r="B40" s="210">
        <v>9963</v>
      </c>
      <c r="C40" s="211" t="s">
        <v>2774</v>
      </c>
      <c r="D40" s="210" t="s">
        <v>3014</v>
      </c>
      <c r="E40" s="210" t="s">
        <v>3015</v>
      </c>
      <c r="F40" s="210" t="s">
        <v>269</v>
      </c>
      <c r="G40" s="210" t="s">
        <v>3016</v>
      </c>
      <c r="H40" s="210">
        <v>62014261</v>
      </c>
      <c r="I40" s="210" t="s">
        <v>33</v>
      </c>
      <c r="J40" s="210" t="s">
        <v>84</v>
      </c>
      <c r="K40" s="214">
        <v>43762</v>
      </c>
      <c r="L40" s="210">
        <v>1750000</v>
      </c>
      <c r="M40" s="213">
        <v>5582.5</v>
      </c>
      <c r="N40" s="213">
        <v>467710</v>
      </c>
      <c r="O40" s="213">
        <v>1491.9948999999999</v>
      </c>
      <c r="P40" s="208">
        <v>0.26726285714285714</v>
      </c>
      <c r="Q40" s="212">
        <v>47392</v>
      </c>
    </row>
    <row r="41" spans="1:17" s="37" customFormat="1" ht="14.1" customHeight="1">
      <c r="A41" s="209">
        <v>337</v>
      </c>
      <c r="B41" s="210">
        <v>9963</v>
      </c>
      <c r="C41" s="211" t="s">
        <v>2774</v>
      </c>
      <c r="D41" s="210" t="s">
        <v>3017</v>
      </c>
      <c r="E41" s="210">
        <v>516445962</v>
      </c>
      <c r="F41" s="210" t="s">
        <v>118</v>
      </c>
      <c r="G41" s="210" t="s">
        <v>1709</v>
      </c>
      <c r="H41" s="210">
        <v>62020158</v>
      </c>
      <c r="I41" s="210" t="s">
        <v>33</v>
      </c>
      <c r="J41" s="210" t="s">
        <v>34</v>
      </c>
      <c r="K41" s="212">
        <v>44598</v>
      </c>
      <c r="L41" s="210">
        <v>4770559</v>
      </c>
      <c r="M41" s="213">
        <v>4770.5590000000002</v>
      </c>
      <c r="N41" s="213">
        <v>1712083</v>
      </c>
      <c r="O41" s="213">
        <v>1712.0830000000001</v>
      </c>
      <c r="P41" s="208">
        <v>0.35888519563430615</v>
      </c>
      <c r="Q41" s="212">
        <v>46284</v>
      </c>
    </row>
    <row r="42" spans="1:17" s="37" customFormat="1" ht="14.1" customHeight="1">
      <c r="A42" s="209">
        <v>337</v>
      </c>
      <c r="B42" s="210">
        <v>9963</v>
      </c>
      <c r="C42" s="211" t="s">
        <v>2774</v>
      </c>
      <c r="D42" s="210" t="s">
        <v>3018</v>
      </c>
      <c r="E42" s="210">
        <v>0</v>
      </c>
      <c r="F42" s="210" t="s">
        <v>269</v>
      </c>
      <c r="G42" s="210" t="s">
        <v>3019</v>
      </c>
      <c r="H42" s="210">
        <v>9840688</v>
      </c>
      <c r="I42" s="210" t="s">
        <v>33</v>
      </c>
      <c r="J42" s="210" t="s">
        <v>755</v>
      </c>
      <c r="K42" s="212">
        <v>41988</v>
      </c>
      <c r="L42" s="210">
        <v>500000</v>
      </c>
      <c r="M42" s="213">
        <v>1872.75</v>
      </c>
      <c r="N42" s="213">
        <v>45000</v>
      </c>
      <c r="O42" s="213">
        <v>168.54750000000001</v>
      </c>
      <c r="P42" s="208">
        <v>9.0000000000000011E-2</v>
      </c>
      <c r="Q42" s="212">
        <v>46022</v>
      </c>
    </row>
    <row r="43" spans="1:17" s="37" customFormat="1" ht="14.1" customHeight="1">
      <c r="A43" s="209">
        <v>337</v>
      </c>
      <c r="B43" s="210">
        <v>9963</v>
      </c>
      <c r="C43" s="211" t="s">
        <v>2774</v>
      </c>
      <c r="D43" s="210" t="s">
        <v>3020</v>
      </c>
      <c r="E43" s="210">
        <v>540294501</v>
      </c>
      <c r="F43" s="210" t="s">
        <v>439</v>
      </c>
      <c r="G43" s="210" t="s">
        <v>3021</v>
      </c>
      <c r="H43" s="210">
        <v>62017520</v>
      </c>
      <c r="I43" s="210" t="s">
        <v>33</v>
      </c>
      <c r="J43" s="210" t="s">
        <v>84</v>
      </c>
      <c r="K43" s="214">
        <v>44117</v>
      </c>
      <c r="L43" s="210">
        <v>1200000</v>
      </c>
      <c r="M43" s="213">
        <v>3828</v>
      </c>
      <c r="N43" s="213">
        <v>138000</v>
      </c>
      <c r="O43" s="213">
        <v>440.22</v>
      </c>
      <c r="P43" s="208">
        <v>0.115</v>
      </c>
      <c r="Q43" s="215">
        <v>46996</v>
      </c>
    </row>
    <row r="44" spans="1:17" s="37" customFormat="1" ht="14.1" customHeight="1">
      <c r="A44" s="209">
        <v>337</v>
      </c>
      <c r="B44" s="210">
        <v>9963</v>
      </c>
      <c r="C44" s="211" t="s">
        <v>2774</v>
      </c>
      <c r="D44" s="216" t="s">
        <v>3022</v>
      </c>
      <c r="E44" s="216">
        <v>1987624</v>
      </c>
      <c r="F44" s="216" t="s">
        <v>269</v>
      </c>
      <c r="G44" s="217" t="s">
        <v>1741</v>
      </c>
      <c r="H44" s="210">
        <v>62022132</v>
      </c>
      <c r="I44" s="210" t="s">
        <v>33</v>
      </c>
      <c r="J44" s="217" t="s">
        <v>84</v>
      </c>
      <c r="K44" s="218">
        <v>45107</v>
      </c>
      <c r="L44" s="210">
        <v>850000</v>
      </c>
      <c r="M44" s="213">
        <v>2711.5</v>
      </c>
      <c r="N44" s="213">
        <v>340929.4</v>
      </c>
      <c r="O44" s="213">
        <v>1087.5647860000001</v>
      </c>
      <c r="P44" s="208">
        <v>0.40109341176470592</v>
      </c>
      <c r="Q44" s="212">
        <v>47299</v>
      </c>
    </row>
    <row r="45" spans="1:17" s="37" customFormat="1" ht="14.1" customHeight="1">
      <c r="A45" s="209">
        <v>337</v>
      </c>
      <c r="B45" s="210">
        <v>9963</v>
      </c>
      <c r="C45" s="211" t="s">
        <v>2774</v>
      </c>
      <c r="D45" s="219" t="s">
        <v>1744</v>
      </c>
      <c r="E45" s="216" t="s">
        <v>1745</v>
      </c>
      <c r="F45" s="210" t="s">
        <v>269</v>
      </c>
      <c r="G45" s="217" t="s">
        <v>1746</v>
      </c>
      <c r="H45" s="210">
        <v>62022363</v>
      </c>
      <c r="I45" s="220" t="s">
        <v>33</v>
      </c>
      <c r="J45" s="210" t="s">
        <v>755</v>
      </c>
      <c r="K45" s="214">
        <v>45777</v>
      </c>
      <c r="L45" s="210">
        <v>500000</v>
      </c>
      <c r="M45" s="213">
        <v>1872.75</v>
      </c>
      <c r="N45" s="213">
        <v>238748.22000000003</v>
      </c>
      <c r="O45" s="213">
        <v>894.2314580100001</v>
      </c>
      <c r="P45" s="208">
        <v>0.47749644000000008</v>
      </c>
      <c r="Q45" s="212">
        <v>48699</v>
      </c>
    </row>
    <row r="46" spans="1:17" s="37" customFormat="1" ht="14.1" customHeight="1">
      <c r="A46" s="209">
        <v>337</v>
      </c>
      <c r="B46" s="210">
        <v>9962</v>
      </c>
      <c r="C46" s="211" t="s">
        <v>2774</v>
      </c>
      <c r="D46" s="210" t="s">
        <v>2964</v>
      </c>
      <c r="E46" s="210">
        <v>3935</v>
      </c>
      <c r="F46" s="210" t="s">
        <v>269</v>
      </c>
      <c r="G46" s="210" t="s">
        <v>1661</v>
      </c>
      <c r="H46" s="210">
        <v>62019286</v>
      </c>
      <c r="I46" s="210" t="s">
        <v>33</v>
      </c>
      <c r="J46" s="210" t="s">
        <v>84</v>
      </c>
      <c r="K46" s="212">
        <v>44441</v>
      </c>
      <c r="L46" s="210">
        <v>20000</v>
      </c>
      <c r="M46" s="213">
        <v>63.8</v>
      </c>
      <c r="N46" s="213">
        <v>4699.63</v>
      </c>
      <c r="O46" s="213">
        <v>14.991819700000001</v>
      </c>
      <c r="P46" s="208">
        <v>0.23498150000000001</v>
      </c>
      <c r="Q46" s="212">
        <v>45987</v>
      </c>
    </row>
    <row r="47" spans="1:17" s="37" customFormat="1" ht="14.1" customHeight="1">
      <c r="A47" s="209">
        <v>337</v>
      </c>
      <c r="B47" s="210">
        <v>9964</v>
      </c>
      <c r="C47" s="211" t="s">
        <v>2774</v>
      </c>
      <c r="D47" s="210" t="s">
        <v>2964</v>
      </c>
      <c r="E47" s="210">
        <v>3935</v>
      </c>
      <c r="F47" s="210" t="s">
        <v>269</v>
      </c>
      <c r="G47" s="210" t="s">
        <v>1661</v>
      </c>
      <c r="H47" s="210">
        <v>62019286</v>
      </c>
      <c r="I47" s="210" t="s">
        <v>33</v>
      </c>
      <c r="J47" s="210" t="s">
        <v>84</v>
      </c>
      <c r="K47" s="212">
        <v>44441</v>
      </c>
      <c r="L47" s="210">
        <v>30000</v>
      </c>
      <c r="M47" s="213">
        <v>95.7</v>
      </c>
      <c r="N47" s="213">
        <v>7048.4500000000007</v>
      </c>
      <c r="O47" s="213">
        <v>22.484555500000003</v>
      </c>
      <c r="P47" s="208">
        <v>0.23494833333333334</v>
      </c>
      <c r="Q47" s="212">
        <v>45987</v>
      </c>
    </row>
  </sheetData>
  <sheetProtection formatColumns="0"/>
  <dataConsolidate/>
  <dataValidations count="2">
    <dataValidation type="list" allowBlank="1" showInputMessage="1" showErrorMessage="1" sqref="F20 F2:F14" xr:uid="{22C85E39-A7D7-42AC-AB3A-451EB8853104}">
      <formula1>Issuer_Number_Fund</formula1>
    </dataValidation>
    <dataValidation type="list" allowBlank="1" showInputMessage="1" showErrorMessage="1" sqref="I46:I47 I2:I44" xr:uid="{2ABD06B7-2690-431F-9871-7C7DC88AF968}">
      <formula1>Type_of_Security_ID_Fund</formula1>
    </dataValidation>
  </dataValidations>
  <hyperlinks>
    <hyperlink ref="E44" display="https://www.sec.gov/cgi-bin/browse-edgar?action=getcompany&amp;CIK=0001987624" xr:uid="{7EDDD0D5-58F2-4FF9-80C0-AC593D9BE26D}"/>
  </hyperlink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445" activePane="bottomLeft" state="frozen"/>
      <selection activeCell="A2" sqref="A2"/>
      <selection pane="bottomLeft" activeCell="C479" sqref="C479"/>
    </sheetView>
  </sheetViews>
  <sheetFormatPr defaultColWidth="0" defaultRowHeight="14.25"/>
  <cols>
    <col min="1" max="1" width="29.5" style="9" customWidth="1"/>
    <col min="2" max="2" width="30.375" style="15" customWidth="1"/>
    <col min="3" max="3" width="90.875" style="57" customWidth="1"/>
    <col min="4" max="4" width="68.875" style="9" customWidth="1"/>
    <col min="5" max="5" width="29.75" style="15" bestFit="1" customWidth="1"/>
    <col min="6" max="6" width="9" style="15" hidden="1" customWidth="1"/>
    <col min="7" max="16384" width="9" style="15" hidden="1"/>
  </cols>
  <sheetData>
    <row r="1" spans="1:5" s="54" customFormat="1" ht="45">
      <c r="A1" s="53" t="s">
        <v>2038</v>
      </c>
      <c r="B1" s="53" t="s">
        <v>2039</v>
      </c>
      <c r="C1" s="53" t="s">
        <v>2040</v>
      </c>
      <c r="D1" s="53" t="s">
        <v>2041</v>
      </c>
      <c r="E1" s="15"/>
    </row>
    <row r="2" spans="1:5">
      <c r="A2" s="89"/>
      <c r="B2" s="89" t="s">
        <v>2042</v>
      </c>
      <c r="C2" s="21" t="s">
        <v>30</v>
      </c>
      <c r="D2" s="21"/>
    </row>
    <row r="3" spans="1:5">
      <c r="A3" s="90"/>
      <c r="B3" s="90"/>
      <c r="C3" s="21" t="s">
        <v>79</v>
      </c>
      <c r="D3" s="21"/>
    </row>
    <row r="4" spans="1:5" ht="42.75">
      <c r="A4" s="82"/>
      <c r="B4" s="107" t="s">
        <v>2043</v>
      </c>
      <c r="C4" s="22" t="s">
        <v>30</v>
      </c>
      <c r="D4" s="22"/>
    </row>
    <row r="5" spans="1:5">
      <c r="A5" s="83"/>
      <c r="B5" s="108"/>
      <c r="C5" s="22" t="s">
        <v>2044</v>
      </c>
      <c r="D5" s="22"/>
    </row>
    <row r="6" spans="1:5">
      <c r="A6" s="83"/>
      <c r="B6" s="108"/>
      <c r="C6" s="22" t="s">
        <v>2045</v>
      </c>
      <c r="D6" s="22"/>
    </row>
    <row r="7" spans="1:5">
      <c r="A7" s="83"/>
      <c r="B7" s="108"/>
      <c r="C7" s="22" t="s">
        <v>2046</v>
      </c>
      <c r="D7" s="22"/>
    </row>
    <row r="8" spans="1:5">
      <c r="A8" s="83"/>
      <c r="B8" s="108"/>
      <c r="C8" s="22" t="s">
        <v>2047</v>
      </c>
      <c r="D8" s="22"/>
    </row>
    <row r="9" spans="1:5">
      <c r="A9" s="83"/>
      <c r="B9" s="108"/>
      <c r="C9" s="22" t="s">
        <v>2048</v>
      </c>
      <c r="D9" s="22"/>
    </row>
    <row r="10" spans="1:5">
      <c r="A10" s="83"/>
      <c r="B10" s="108"/>
      <c r="C10" s="22" t="s">
        <v>2049</v>
      </c>
      <c r="D10" s="22"/>
    </row>
    <row r="11" spans="1:5">
      <c r="A11" s="83"/>
      <c r="B11" s="108"/>
      <c r="C11" s="22" t="s">
        <v>2050</v>
      </c>
      <c r="D11" s="22"/>
      <c r="E11" s="15" t="s">
        <v>2051</v>
      </c>
    </row>
    <row r="12" spans="1:5">
      <c r="A12" s="83"/>
      <c r="B12" s="108"/>
      <c r="C12" s="22" t="s">
        <v>2052</v>
      </c>
      <c r="D12" s="22"/>
      <c r="E12" s="15" t="s">
        <v>2051</v>
      </c>
    </row>
    <row r="13" spans="1:5">
      <c r="A13" s="83"/>
      <c r="B13" s="108"/>
      <c r="C13" s="22" t="s">
        <v>2053</v>
      </c>
      <c r="D13" s="22"/>
    </row>
    <row r="14" spans="1:5">
      <c r="A14" s="83"/>
      <c r="B14" s="108"/>
      <c r="C14" s="22" t="s">
        <v>1681</v>
      </c>
      <c r="D14" s="22"/>
    </row>
    <row r="15" spans="1:5">
      <c r="A15" s="83"/>
      <c r="B15" s="108"/>
      <c r="C15" s="22" t="s">
        <v>2054</v>
      </c>
      <c r="D15" s="22"/>
    </row>
    <row r="16" spans="1:5">
      <c r="A16" s="83"/>
      <c r="B16" s="108"/>
      <c r="C16" s="22" t="s">
        <v>2055</v>
      </c>
      <c r="D16" s="22"/>
    </row>
    <row r="17" spans="1:4">
      <c r="A17" s="83"/>
      <c r="B17" s="108"/>
      <c r="C17" s="22" t="s">
        <v>2056</v>
      </c>
      <c r="D17" s="22"/>
    </row>
    <row r="18" spans="1:4">
      <c r="A18" s="83"/>
      <c r="B18" s="108"/>
      <c r="C18" s="22" t="s">
        <v>2057</v>
      </c>
      <c r="D18" s="22"/>
    </row>
    <row r="19" spans="1:4">
      <c r="A19" s="83"/>
      <c r="B19" s="108"/>
      <c r="C19" s="22" t="s">
        <v>2058</v>
      </c>
      <c r="D19" s="22"/>
    </row>
    <row r="20" spans="1:4">
      <c r="A20" s="83"/>
      <c r="B20" s="108"/>
      <c r="C20" s="22" t="s">
        <v>2059</v>
      </c>
      <c r="D20" s="22"/>
    </row>
    <row r="21" spans="1:4">
      <c r="A21" s="83"/>
      <c r="B21" s="108"/>
      <c r="C21" s="22" t="s">
        <v>80</v>
      </c>
      <c r="D21" s="22"/>
    </row>
    <row r="22" spans="1:4">
      <c r="A22" s="83"/>
      <c r="B22" s="108"/>
      <c r="C22" s="22" t="s">
        <v>2060</v>
      </c>
      <c r="D22" s="22"/>
    </row>
    <row r="23" spans="1:4">
      <c r="A23" s="83"/>
      <c r="B23" s="108"/>
      <c r="C23" s="22" t="s">
        <v>2061</v>
      </c>
      <c r="D23" s="22"/>
    </row>
    <row r="24" spans="1:4">
      <c r="A24" s="83"/>
      <c r="B24" s="108"/>
      <c r="C24" s="22" t="s">
        <v>2062</v>
      </c>
      <c r="D24" s="22"/>
    </row>
    <row r="25" spans="1:4">
      <c r="A25" s="83"/>
      <c r="B25" s="108"/>
      <c r="C25" s="22" t="s">
        <v>2063</v>
      </c>
      <c r="D25" s="22"/>
    </row>
    <row r="26" spans="1:4">
      <c r="A26" s="83"/>
      <c r="B26" s="108"/>
      <c r="C26" s="22" t="s">
        <v>2064</v>
      </c>
      <c r="D26" s="22"/>
    </row>
    <row r="27" spans="1:4">
      <c r="A27" s="83"/>
      <c r="B27" s="108"/>
      <c r="C27" s="22" t="s">
        <v>2065</v>
      </c>
      <c r="D27" s="22"/>
    </row>
    <row r="28" spans="1:4">
      <c r="A28" s="83"/>
      <c r="B28" s="108"/>
      <c r="C28" s="22" t="s">
        <v>2066</v>
      </c>
      <c r="D28" s="22"/>
    </row>
    <row r="29" spans="1:4">
      <c r="A29" s="83"/>
      <c r="B29" s="108"/>
      <c r="C29" s="22" t="s">
        <v>2067</v>
      </c>
      <c r="D29" s="22"/>
    </row>
    <row r="30" spans="1:4">
      <c r="A30" s="83"/>
      <c r="B30" s="108"/>
      <c r="C30" s="22" t="s">
        <v>956</v>
      </c>
      <c r="D30" s="22"/>
    </row>
    <row r="31" spans="1:4">
      <c r="A31" s="83"/>
      <c r="B31" s="108"/>
      <c r="C31" s="22" t="s">
        <v>2068</v>
      </c>
      <c r="D31" s="22"/>
    </row>
    <row r="32" spans="1:4">
      <c r="A32" s="83"/>
      <c r="B32" s="108"/>
      <c r="C32" s="22" t="s">
        <v>2069</v>
      </c>
      <c r="D32" s="22"/>
    </row>
    <row r="33" spans="1:5">
      <c r="A33" s="83"/>
      <c r="B33" s="108"/>
      <c r="C33" s="22" t="s">
        <v>2070</v>
      </c>
      <c r="D33" s="22"/>
    </row>
    <row r="34" spans="1:5">
      <c r="A34" s="83"/>
      <c r="B34" s="108"/>
      <c r="C34" s="22" t="s">
        <v>2071</v>
      </c>
      <c r="D34" s="22"/>
    </row>
    <row r="35" spans="1:5">
      <c r="A35" s="83"/>
      <c r="B35" s="108"/>
      <c r="C35" s="22" t="s">
        <v>968</v>
      </c>
      <c r="D35" s="22"/>
    </row>
    <row r="36" spans="1:5">
      <c r="A36" s="83"/>
      <c r="B36" s="108"/>
      <c r="C36" s="22" t="s">
        <v>2072</v>
      </c>
      <c r="D36" s="22"/>
      <c r="E36" s="15" t="s">
        <v>2051</v>
      </c>
    </row>
    <row r="37" spans="1:5">
      <c r="A37" s="83"/>
      <c r="B37" s="108"/>
      <c r="C37" s="9" t="s">
        <v>2073</v>
      </c>
      <c r="D37" s="22"/>
      <c r="E37" s="15" t="s">
        <v>2051</v>
      </c>
    </row>
    <row r="38" spans="1:5">
      <c r="A38" s="83"/>
      <c r="B38" s="108"/>
      <c r="C38" s="22" t="s">
        <v>2074</v>
      </c>
      <c r="D38" s="22"/>
    </row>
    <row r="39" spans="1:5">
      <c r="A39" s="83"/>
      <c r="B39" s="108"/>
      <c r="C39" s="22" t="s">
        <v>2075</v>
      </c>
      <c r="D39" s="22"/>
    </row>
    <row r="40" spans="1:5">
      <c r="A40" s="83"/>
      <c r="B40" s="108"/>
      <c r="C40" s="22" t="s">
        <v>2076</v>
      </c>
      <c r="D40" s="22"/>
      <c r="E40" s="15" t="s">
        <v>2051</v>
      </c>
    </row>
    <row r="41" spans="1:5">
      <c r="A41" s="83"/>
      <c r="B41" s="108"/>
      <c r="C41" s="22" t="s">
        <v>1476</v>
      </c>
      <c r="D41" s="22"/>
    </row>
    <row r="42" spans="1:5">
      <c r="A42" s="83"/>
      <c r="B42" s="108"/>
      <c r="C42" s="22" t="s">
        <v>2077</v>
      </c>
      <c r="D42" s="22"/>
    </row>
    <row r="43" spans="1:5">
      <c r="A43" s="83"/>
      <c r="B43" s="108"/>
      <c r="C43" s="22" t="s">
        <v>2078</v>
      </c>
      <c r="D43" s="22"/>
    </row>
    <row r="44" spans="1:5">
      <c r="A44" s="83"/>
      <c r="B44" s="108"/>
      <c r="C44" s="22" t="s">
        <v>2079</v>
      </c>
      <c r="D44" s="22"/>
    </row>
    <row r="45" spans="1:5">
      <c r="A45" s="83"/>
      <c r="B45" s="108"/>
      <c r="C45" s="22" t="s">
        <v>2080</v>
      </c>
      <c r="D45" s="22"/>
    </row>
    <row r="46" spans="1:5">
      <c r="A46" s="83"/>
      <c r="B46" s="108"/>
      <c r="C46" s="22" t="s">
        <v>2081</v>
      </c>
      <c r="D46" s="22"/>
      <c r="E46" s="15" t="s">
        <v>2051</v>
      </c>
    </row>
    <row r="47" spans="1:5">
      <c r="A47" s="83"/>
      <c r="B47" s="108"/>
      <c r="C47" s="22" t="s">
        <v>2082</v>
      </c>
      <c r="D47" s="22"/>
    </row>
    <row r="48" spans="1:5">
      <c r="A48" s="83"/>
      <c r="B48" s="108"/>
      <c r="C48" s="22" t="s">
        <v>2083</v>
      </c>
      <c r="D48" s="22"/>
    </row>
    <row r="49" spans="1:5">
      <c r="A49" s="83"/>
      <c r="B49" s="108"/>
      <c r="C49" s="22" t="s">
        <v>2084</v>
      </c>
      <c r="D49" s="22"/>
    </row>
    <row r="50" spans="1:5">
      <c r="A50" s="83"/>
      <c r="B50" s="108"/>
      <c r="C50" s="22" t="s">
        <v>1767</v>
      </c>
      <c r="D50" s="22"/>
    </row>
    <row r="51" spans="1:5">
      <c r="A51" s="83"/>
      <c r="B51" s="108"/>
      <c r="C51" s="22" t="s">
        <v>2085</v>
      </c>
      <c r="D51" s="22"/>
    </row>
    <row r="52" spans="1:5">
      <c r="A52" s="83"/>
      <c r="B52" s="108"/>
      <c r="C52" s="22" t="s">
        <v>2086</v>
      </c>
      <c r="D52" s="22"/>
    </row>
    <row r="53" spans="1:5">
      <c r="A53" s="83"/>
      <c r="B53" s="108"/>
      <c r="C53" s="22" t="s">
        <v>2087</v>
      </c>
      <c r="D53" s="22"/>
    </row>
    <row r="54" spans="1:5">
      <c r="A54" s="83"/>
      <c r="B54" s="108"/>
      <c r="C54" s="22" t="s">
        <v>2088</v>
      </c>
      <c r="D54" s="22"/>
    </row>
    <row r="55" spans="1:5">
      <c r="A55" s="83"/>
      <c r="B55" s="108"/>
      <c r="C55" s="22" t="s">
        <v>2089</v>
      </c>
      <c r="D55" s="22"/>
    </row>
    <row r="56" spans="1:5">
      <c r="A56" s="83"/>
      <c r="B56" s="108"/>
      <c r="C56" s="22" t="s">
        <v>2090</v>
      </c>
      <c r="D56" s="22"/>
    </row>
    <row r="57" spans="1:5">
      <c r="A57" s="83"/>
      <c r="B57" s="108"/>
      <c r="C57" s="22" t="s">
        <v>2091</v>
      </c>
      <c r="D57" s="22"/>
    </row>
    <row r="58" spans="1:5">
      <c r="A58" s="83"/>
      <c r="B58" s="108"/>
      <c r="C58" s="22" t="s">
        <v>2092</v>
      </c>
      <c r="D58" s="22"/>
    </row>
    <row r="59" spans="1:5">
      <c r="A59" s="83"/>
      <c r="B59" s="108"/>
      <c r="C59" s="22" t="s">
        <v>2093</v>
      </c>
      <c r="D59" s="22"/>
    </row>
    <row r="60" spans="1:5">
      <c r="A60" s="83"/>
      <c r="B60" s="108"/>
      <c r="C60" s="22" t="s">
        <v>2094</v>
      </c>
      <c r="D60" s="22"/>
    </row>
    <row r="61" spans="1:5">
      <c r="A61" s="83"/>
      <c r="B61" s="108"/>
      <c r="C61" s="22" t="s">
        <v>2095</v>
      </c>
      <c r="D61" s="22"/>
    </row>
    <row r="62" spans="1:5">
      <c r="A62" s="83"/>
      <c r="B62" s="108"/>
      <c r="C62" s="22" t="s">
        <v>2096</v>
      </c>
      <c r="D62" s="22"/>
    </row>
    <row r="63" spans="1:5">
      <c r="A63" s="83"/>
      <c r="B63" s="108"/>
      <c r="C63" s="22" t="s">
        <v>2097</v>
      </c>
      <c r="D63" s="22"/>
      <c r="E63" s="15" t="s">
        <v>2051</v>
      </c>
    </row>
    <row r="64" spans="1:5">
      <c r="A64" s="83"/>
      <c r="B64" s="108"/>
      <c r="C64" s="22" t="s">
        <v>2098</v>
      </c>
      <c r="D64" s="22"/>
    </row>
    <row r="65" spans="1:4">
      <c r="A65" s="83"/>
      <c r="B65" s="108"/>
      <c r="C65" s="22" t="s">
        <v>1179</v>
      </c>
      <c r="D65" s="22"/>
    </row>
    <row r="66" spans="1:4">
      <c r="A66" s="83"/>
      <c r="B66" s="108"/>
      <c r="C66" s="22" t="s">
        <v>2099</v>
      </c>
      <c r="D66" s="22"/>
    </row>
    <row r="67" spans="1:4">
      <c r="A67" s="83"/>
      <c r="B67" s="108"/>
      <c r="C67" s="22" t="s">
        <v>2100</v>
      </c>
      <c r="D67" s="22"/>
    </row>
    <row r="68" spans="1:4">
      <c r="A68" s="83"/>
      <c r="B68" s="108"/>
      <c r="C68" s="22" t="s">
        <v>2101</v>
      </c>
      <c r="D68" s="22"/>
    </row>
    <row r="69" spans="1:4">
      <c r="A69" s="83"/>
      <c r="B69" s="108"/>
      <c r="C69" s="22" t="s">
        <v>1748</v>
      </c>
      <c r="D69" s="22"/>
    </row>
    <row r="70" spans="1:4">
      <c r="A70" s="83"/>
      <c r="B70" s="108"/>
      <c r="C70" s="22" t="s">
        <v>2102</v>
      </c>
      <c r="D70" s="22"/>
    </row>
    <row r="71" spans="1:4">
      <c r="A71" s="83"/>
      <c r="B71" s="108"/>
      <c r="C71" s="22" t="s">
        <v>2103</v>
      </c>
      <c r="D71" s="22"/>
    </row>
    <row r="72" spans="1:4">
      <c r="A72" s="83"/>
      <c r="B72" s="108"/>
      <c r="C72" s="22" t="s">
        <v>2104</v>
      </c>
      <c r="D72" s="22"/>
    </row>
    <row r="73" spans="1:4">
      <c r="A73" s="83"/>
      <c r="B73" s="108"/>
      <c r="C73" s="22" t="s">
        <v>2105</v>
      </c>
      <c r="D73" s="22"/>
    </row>
    <row r="74" spans="1:4">
      <c r="A74" s="83"/>
      <c r="B74" s="108"/>
      <c r="C74" s="22" t="s">
        <v>2106</v>
      </c>
      <c r="D74" s="22"/>
    </row>
    <row r="75" spans="1:4">
      <c r="A75" s="83"/>
      <c r="B75" s="108"/>
      <c r="C75" s="22" t="s">
        <v>2107</v>
      </c>
      <c r="D75" s="22"/>
    </row>
    <row r="76" spans="1:4">
      <c r="A76" s="83"/>
      <c r="B76" s="108"/>
      <c r="C76" s="22" t="s">
        <v>2108</v>
      </c>
      <c r="D76" s="22"/>
    </row>
    <row r="77" spans="1:4">
      <c r="A77" s="83"/>
      <c r="B77" s="108"/>
      <c r="C77" s="22" t="s">
        <v>2109</v>
      </c>
      <c r="D77" s="22"/>
    </row>
    <row r="78" spans="1:4">
      <c r="A78" s="83"/>
      <c r="B78" s="108"/>
      <c r="C78" s="22" t="s">
        <v>2110</v>
      </c>
      <c r="D78" s="22"/>
    </row>
    <row r="79" spans="1:4">
      <c r="A79" s="83"/>
      <c r="B79" s="108"/>
      <c r="C79" s="22" t="s">
        <v>2111</v>
      </c>
      <c r="D79" s="22"/>
    </row>
    <row r="80" spans="1:4">
      <c r="A80" s="83"/>
      <c r="B80" s="108"/>
      <c r="C80" s="22" t="s">
        <v>2112</v>
      </c>
      <c r="D80" s="22"/>
    </row>
    <row r="81" spans="1:5">
      <c r="A81" s="83"/>
      <c r="B81" s="108"/>
      <c r="C81" s="22" t="s">
        <v>803</v>
      </c>
      <c r="D81" s="22"/>
    </row>
    <row r="82" spans="1:5">
      <c r="A82" s="83"/>
      <c r="B82" s="108"/>
      <c r="C82" s="22" t="s">
        <v>2113</v>
      </c>
      <c r="D82" s="22"/>
    </row>
    <row r="83" spans="1:5">
      <c r="A83" s="83"/>
      <c r="B83" s="108"/>
      <c r="C83" s="22" t="s">
        <v>2114</v>
      </c>
      <c r="D83" s="22"/>
    </row>
    <row r="84" spans="1:5">
      <c r="A84" s="83"/>
      <c r="B84" s="108"/>
      <c r="C84" s="22" t="s">
        <v>2115</v>
      </c>
      <c r="D84" s="22"/>
    </row>
    <row r="85" spans="1:5">
      <c r="A85" s="83"/>
      <c r="B85" s="108"/>
      <c r="C85" s="22" t="s">
        <v>2116</v>
      </c>
      <c r="D85" s="22"/>
    </row>
    <row r="86" spans="1:5">
      <c r="A86" s="83"/>
      <c r="B86" s="108"/>
      <c r="C86" s="22" t="s">
        <v>2117</v>
      </c>
      <c r="D86" s="22"/>
    </row>
    <row r="87" spans="1:5">
      <c r="A87" s="83"/>
      <c r="B87" s="108"/>
      <c r="C87" s="22" t="s">
        <v>2118</v>
      </c>
      <c r="D87" s="22"/>
    </row>
    <row r="88" spans="1:5">
      <c r="A88" s="83"/>
      <c r="B88" s="108"/>
      <c r="C88" s="22" t="s">
        <v>2119</v>
      </c>
      <c r="D88" s="22"/>
    </row>
    <row r="89" spans="1:5">
      <c r="A89" s="83"/>
      <c r="B89" s="108"/>
      <c r="C89" s="22" t="s">
        <v>2120</v>
      </c>
      <c r="D89" s="22"/>
    </row>
    <row r="90" spans="1:5">
      <c r="A90" s="83"/>
      <c r="B90" s="108"/>
      <c r="C90" s="22" t="s">
        <v>1341</v>
      </c>
      <c r="D90" s="22"/>
    </row>
    <row r="91" spans="1:5">
      <c r="A91" s="83"/>
      <c r="B91" s="108"/>
      <c r="C91" s="22" t="s">
        <v>2121</v>
      </c>
      <c r="D91" s="22"/>
    </row>
    <row r="92" spans="1:5">
      <c r="A92" s="83"/>
      <c r="B92" s="108"/>
      <c r="C92" s="22" t="s">
        <v>2122</v>
      </c>
      <c r="D92" s="22"/>
    </row>
    <row r="93" spans="1:5">
      <c r="A93" s="83"/>
      <c r="B93" s="108"/>
      <c r="C93" s="22" t="s">
        <v>138</v>
      </c>
      <c r="D93" s="22"/>
    </row>
    <row r="94" spans="1:5">
      <c r="A94" s="83"/>
      <c r="B94" s="108"/>
      <c r="C94" s="22" t="s">
        <v>2123</v>
      </c>
      <c r="D94" s="22" t="s">
        <v>2124</v>
      </c>
      <c r="E94" s="15" t="s">
        <v>2051</v>
      </c>
    </row>
    <row r="95" spans="1:5">
      <c r="A95" s="83"/>
      <c r="B95" s="108"/>
      <c r="C95" s="22" t="s">
        <v>1385</v>
      </c>
      <c r="D95" s="22" t="s">
        <v>2125</v>
      </c>
      <c r="E95" s="15" t="s">
        <v>2051</v>
      </c>
    </row>
    <row r="96" spans="1:5">
      <c r="A96" s="83"/>
      <c r="B96" s="108"/>
      <c r="C96" s="22" t="s">
        <v>1367</v>
      </c>
      <c r="D96" s="22" t="s">
        <v>2125</v>
      </c>
      <c r="E96" s="15" t="s">
        <v>2051</v>
      </c>
    </row>
    <row r="97" spans="1:5">
      <c r="A97" s="83"/>
      <c r="B97" s="108"/>
      <c r="C97" s="22" t="s">
        <v>2126</v>
      </c>
      <c r="D97" s="22" t="s">
        <v>2125</v>
      </c>
      <c r="E97" s="15" t="s">
        <v>2051</v>
      </c>
    </row>
    <row r="98" spans="1:5">
      <c r="A98" s="83"/>
      <c r="B98" s="108"/>
      <c r="C98" s="22" t="s">
        <v>2127</v>
      </c>
      <c r="D98" s="22" t="s">
        <v>2125</v>
      </c>
      <c r="E98" s="15" t="s">
        <v>2051</v>
      </c>
    </row>
    <row r="99" spans="1:5">
      <c r="A99" s="83"/>
      <c r="B99" s="108"/>
      <c r="C99" s="22" t="s">
        <v>2128</v>
      </c>
      <c r="D99" s="22" t="s">
        <v>2125</v>
      </c>
      <c r="E99" s="15" t="s">
        <v>2051</v>
      </c>
    </row>
    <row r="100" spans="1:5">
      <c r="A100" s="83"/>
      <c r="B100" s="108"/>
      <c r="C100" s="22" t="s">
        <v>2129</v>
      </c>
      <c r="D100" s="22" t="s">
        <v>2125</v>
      </c>
      <c r="E100" s="15" t="s">
        <v>2051</v>
      </c>
    </row>
    <row r="101" spans="1:5">
      <c r="A101" s="83"/>
      <c r="B101" s="108"/>
      <c r="C101" s="22" t="s">
        <v>2130</v>
      </c>
      <c r="D101" s="22" t="s">
        <v>2125</v>
      </c>
      <c r="E101" s="15" t="s">
        <v>2051</v>
      </c>
    </row>
    <row r="102" spans="1:5">
      <c r="A102" s="83"/>
      <c r="B102" s="108"/>
      <c r="C102" s="22" t="s">
        <v>2131</v>
      </c>
      <c r="D102" s="22" t="s">
        <v>2125</v>
      </c>
      <c r="E102" s="15" t="s">
        <v>2051</v>
      </c>
    </row>
    <row r="103" spans="1:5">
      <c r="A103" s="83"/>
      <c r="B103" s="108"/>
      <c r="C103" s="22" t="s">
        <v>2132</v>
      </c>
      <c r="D103" s="22" t="s">
        <v>2125</v>
      </c>
      <c r="E103" s="15" t="s">
        <v>2051</v>
      </c>
    </row>
    <row r="104" spans="1:5">
      <c r="A104" s="78"/>
      <c r="B104" s="78" t="s">
        <v>106</v>
      </c>
      <c r="C104" s="21" t="s">
        <v>118</v>
      </c>
      <c r="D104" s="21"/>
    </row>
    <row r="105" spans="1:5">
      <c r="A105" s="79"/>
      <c r="B105" s="79"/>
      <c r="C105" s="21" t="s">
        <v>105</v>
      </c>
      <c r="D105" s="21"/>
    </row>
    <row r="106" spans="1:5">
      <c r="A106" s="79"/>
      <c r="B106" s="79"/>
      <c r="C106" s="21" t="s">
        <v>439</v>
      </c>
      <c r="D106" s="21"/>
    </row>
    <row r="107" spans="1:5">
      <c r="A107" s="79"/>
      <c r="B107" s="79"/>
      <c r="C107" s="21" t="s">
        <v>269</v>
      </c>
      <c r="D107" s="21"/>
    </row>
    <row r="108" spans="1:5">
      <c r="A108" s="79"/>
      <c r="B108" s="79"/>
      <c r="C108" s="21" t="s">
        <v>33</v>
      </c>
      <c r="D108" s="21"/>
    </row>
    <row r="109" spans="1:5">
      <c r="A109" s="79"/>
      <c r="B109" s="79"/>
      <c r="C109" s="21" t="s">
        <v>727</v>
      </c>
      <c r="D109" s="21"/>
    </row>
    <row r="110" spans="1:5">
      <c r="A110" s="80"/>
      <c r="B110" s="80"/>
      <c r="C110" s="21" t="s">
        <v>730</v>
      </c>
      <c r="D110" s="21"/>
    </row>
    <row r="111" spans="1:5">
      <c r="A111" s="83"/>
      <c r="B111" s="69" t="s">
        <v>2001</v>
      </c>
      <c r="C111" s="22" t="s">
        <v>118</v>
      </c>
      <c r="D111" s="22"/>
    </row>
    <row r="112" spans="1:5">
      <c r="A112" s="83"/>
      <c r="B112" s="70"/>
      <c r="C112" s="22" t="s">
        <v>2133</v>
      </c>
      <c r="D112" s="22"/>
    </row>
    <row r="113" spans="1:4">
      <c r="A113" s="83"/>
      <c r="B113" s="71"/>
      <c r="C113" s="22" t="s">
        <v>2134</v>
      </c>
      <c r="D113" s="22"/>
    </row>
    <row r="114" spans="1:4">
      <c r="A114" s="96"/>
      <c r="B114" s="96" t="s">
        <v>2135</v>
      </c>
      <c r="C114" s="21" t="s">
        <v>118</v>
      </c>
      <c r="D114" s="21"/>
    </row>
    <row r="115" spans="1:4">
      <c r="A115" s="96"/>
      <c r="B115" s="96"/>
      <c r="C115" s="21" t="s">
        <v>439</v>
      </c>
      <c r="D115" s="21"/>
    </row>
    <row r="116" spans="1:4">
      <c r="A116" s="96"/>
      <c r="B116" s="96"/>
      <c r="C116" s="21" t="s">
        <v>269</v>
      </c>
      <c r="D116" s="21"/>
    </row>
    <row r="117" spans="1:4">
      <c r="A117" s="96"/>
      <c r="B117" s="96"/>
      <c r="C117" s="21" t="s">
        <v>727</v>
      </c>
      <c r="D117" s="21"/>
    </row>
    <row r="118" spans="1:4">
      <c r="A118" s="82"/>
      <c r="B118" s="97" t="s">
        <v>1967</v>
      </c>
      <c r="C118" s="22" t="s">
        <v>118</v>
      </c>
      <c r="D118" s="22"/>
    </row>
    <row r="119" spans="1:4">
      <c r="A119" s="118"/>
      <c r="B119" s="117"/>
      <c r="C119" s="22" t="s">
        <v>2136</v>
      </c>
      <c r="D119" s="22"/>
    </row>
    <row r="120" spans="1:4">
      <c r="A120" s="118"/>
      <c r="B120" s="117"/>
      <c r="C120" s="22" t="s">
        <v>269</v>
      </c>
      <c r="D120" s="22"/>
    </row>
    <row r="121" spans="1:4">
      <c r="A121" s="118"/>
      <c r="B121" s="117"/>
      <c r="C121" s="22" t="s">
        <v>33</v>
      </c>
      <c r="D121" s="22"/>
    </row>
    <row r="122" spans="1:4">
      <c r="A122" s="118"/>
      <c r="B122" s="117"/>
      <c r="C122" s="22" t="s">
        <v>439</v>
      </c>
      <c r="D122" s="22"/>
    </row>
    <row r="123" spans="1:4">
      <c r="A123" s="118"/>
      <c r="B123" s="117"/>
      <c r="C123" s="22" t="s">
        <v>2137</v>
      </c>
      <c r="D123" s="22"/>
    </row>
    <row r="124" spans="1:4">
      <c r="A124" s="118"/>
      <c r="B124" s="117"/>
      <c r="C124" s="22" t="s">
        <v>2138</v>
      </c>
      <c r="D124" s="22"/>
    </row>
    <row r="125" spans="1:4">
      <c r="A125" s="118"/>
      <c r="B125" s="117"/>
      <c r="C125" s="22" t="s">
        <v>727</v>
      </c>
      <c r="D125" s="22"/>
    </row>
    <row r="126" spans="1:4">
      <c r="A126" s="83"/>
      <c r="B126" s="98"/>
      <c r="C126" s="22" t="s">
        <v>730</v>
      </c>
      <c r="D126" s="22"/>
    </row>
    <row r="127" spans="1:4">
      <c r="A127" s="78"/>
      <c r="B127" s="78" t="s">
        <v>107</v>
      </c>
      <c r="C127" s="21" t="s">
        <v>121</v>
      </c>
      <c r="D127" s="21"/>
    </row>
    <row r="128" spans="1:4">
      <c r="A128" s="79"/>
      <c r="B128" s="79"/>
      <c r="C128" s="21" t="s">
        <v>2139</v>
      </c>
      <c r="D128" s="21"/>
    </row>
    <row r="129" spans="1:5">
      <c r="A129" s="79"/>
      <c r="B129" s="79"/>
      <c r="C129" s="21" t="s">
        <v>2140</v>
      </c>
      <c r="D129" s="21"/>
    </row>
    <row r="130" spans="1:5">
      <c r="A130" s="79"/>
      <c r="B130" s="79"/>
      <c r="C130" s="21" t="s">
        <v>1506</v>
      </c>
      <c r="D130" s="21"/>
    </row>
    <row r="131" spans="1:5">
      <c r="A131" s="79"/>
      <c r="B131" s="79"/>
      <c r="C131" s="21" t="s">
        <v>33</v>
      </c>
      <c r="D131" s="21"/>
    </row>
    <row r="132" spans="1:5">
      <c r="A132" s="83"/>
      <c r="B132" s="70" t="s">
        <v>2141</v>
      </c>
      <c r="C132" s="22" t="s">
        <v>121</v>
      </c>
      <c r="D132" s="22"/>
    </row>
    <row r="133" spans="1:5">
      <c r="A133" s="83"/>
      <c r="B133" s="70"/>
      <c r="C133" s="22" t="s">
        <v>33</v>
      </c>
      <c r="D133" s="22"/>
    </row>
    <row r="134" spans="1:5">
      <c r="A134" s="84"/>
      <c r="B134" s="71"/>
      <c r="C134" s="22" t="s">
        <v>730</v>
      </c>
      <c r="D134" s="22"/>
    </row>
    <row r="135" spans="1:5">
      <c r="A135" s="85"/>
      <c r="B135" s="85" t="s">
        <v>115</v>
      </c>
      <c r="C135" s="21" t="s">
        <v>123</v>
      </c>
      <c r="D135" s="21"/>
    </row>
    <row r="136" spans="1:5">
      <c r="A136" s="86"/>
      <c r="B136" s="86"/>
      <c r="C136" s="21" t="s">
        <v>1529</v>
      </c>
      <c r="D136" s="21"/>
      <c r="E136" s="15" t="s">
        <v>2051</v>
      </c>
    </row>
    <row r="137" spans="1:5">
      <c r="A137" s="86"/>
      <c r="B137" s="86"/>
      <c r="C137" s="21" t="s">
        <v>2142</v>
      </c>
      <c r="D137" s="21" t="s">
        <v>2143</v>
      </c>
    </row>
    <row r="138" spans="1:5">
      <c r="A138" s="86"/>
      <c r="B138" s="86"/>
      <c r="C138" s="21" t="s">
        <v>2144</v>
      </c>
      <c r="D138" s="21" t="s">
        <v>2145</v>
      </c>
    </row>
    <row r="139" spans="1:5">
      <c r="A139" s="86"/>
      <c r="B139" s="86"/>
      <c r="C139" s="21" t="s">
        <v>2146</v>
      </c>
      <c r="D139" s="21"/>
    </row>
    <row r="140" spans="1:5">
      <c r="A140" s="86"/>
      <c r="B140" s="86"/>
      <c r="C140" s="21" t="s">
        <v>2147</v>
      </c>
      <c r="D140" s="21"/>
    </row>
    <row r="141" spans="1:5">
      <c r="A141" s="86"/>
      <c r="B141" s="86"/>
      <c r="C141" s="21" t="s">
        <v>2148</v>
      </c>
      <c r="D141" s="21"/>
    </row>
    <row r="142" spans="1:5">
      <c r="A142" s="86"/>
      <c r="B142" s="86"/>
      <c r="C142" s="21" t="s">
        <v>2149</v>
      </c>
      <c r="D142" s="21"/>
    </row>
    <row r="143" spans="1:5">
      <c r="A143" s="86"/>
      <c r="B143" s="86"/>
      <c r="C143" s="21" t="s">
        <v>2150</v>
      </c>
      <c r="D143" s="21"/>
    </row>
    <row r="144" spans="1:5">
      <c r="A144" s="86"/>
      <c r="B144" s="86"/>
      <c r="C144" s="21" t="s">
        <v>2151</v>
      </c>
      <c r="D144" s="21"/>
    </row>
    <row r="145" spans="1:4">
      <c r="A145" s="86"/>
      <c r="B145" s="86"/>
      <c r="C145" s="21" t="s">
        <v>730</v>
      </c>
      <c r="D145" s="21"/>
    </row>
    <row r="146" spans="1:4">
      <c r="A146" s="82"/>
      <c r="B146" s="75" t="s">
        <v>2152</v>
      </c>
      <c r="C146" s="22" t="s">
        <v>1590</v>
      </c>
      <c r="D146" s="22"/>
    </row>
    <row r="147" spans="1:4">
      <c r="A147" s="84"/>
      <c r="B147" s="77"/>
      <c r="C147" s="22" t="s">
        <v>125</v>
      </c>
      <c r="D147" s="22"/>
    </row>
    <row r="148" spans="1:4">
      <c r="A148" s="64"/>
      <c r="B148" s="116" t="s">
        <v>8</v>
      </c>
      <c r="C148" s="21" t="s">
        <v>31</v>
      </c>
      <c r="D148" s="21" t="s">
        <v>2153</v>
      </c>
    </row>
    <row r="149" spans="1:4">
      <c r="A149" s="65"/>
      <c r="B149" s="65"/>
      <c r="C149" s="21" t="s">
        <v>2154</v>
      </c>
      <c r="D149" s="21" t="s">
        <v>2155</v>
      </c>
    </row>
    <row r="150" spans="1:4">
      <c r="A150" s="65"/>
      <c r="B150" s="65"/>
      <c r="C150" s="21" t="s">
        <v>1180</v>
      </c>
      <c r="D150" s="21" t="s">
        <v>2156</v>
      </c>
    </row>
    <row r="151" spans="1:4">
      <c r="A151" s="65"/>
      <c r="B151" s="65"/>
      <c r="C151" s="21" t="s">
        <v>1173</v>
      </c>
      <c r="D151" s="21" t="s">
        <v>2157</v>
      </c>
    </row>
    <row r="152" spans="1:4">
      <c r="A152" s="65"/>
      <c r="B152" s="65"/>
      <c r="C152" s="21" t="s">
        <v>2158</v>
      </c>
      <c r="D152" s="21" t="s">
        <v>2159</v>
      </c>
    </row>
    <row r="153" spans="1:4">
      <c r="A153" s="65"/>
      <c r="B153" s="65"/>
      <c r="C153" s="21" t="s">
        <v>2160</v>
      </c>
      <c r="D153" s="21" t="s">
        <v>2161</v>
      </c>
    </row>
    <row r="154" spans="1:4">
      <c r="A154" s="65"/>
      <c r="B154" s="65"/>
      <c r="C154" s="21" t="s">
        <v>2162</v>
      </c>
      <c r="D154" s="21" t="s">
        <v>2163</v>
      </c>
    </row>
    <row r="155" spans="1:4">
      <c r="A155" s="65"/>
      <c r="B155" s="65"/>
      <c r="C155" s="21" t="s">
        <v>2164</v>
      </c>
      <c r="D155" s="21" t="s">
        <v>2165</v>
      </c>
    </row>
    <row r="156" spans="1:4">
      <c r="A156" s="65"/>
      <c r="B156" s="65"/>
      <c r="C156" s="21" t="s">
        <v>2166</v>
      </c>
      <c r="D156" s="21" t="s">
        <v>2167</v>
      </c>
    </row>
    <row r="157" spans="1:4">
      <c r="A157" s="65"/>
      <c r="B157" s="65"/>
      <c r="C157" s="21" t="s">
        <v>2168</v>
      </c>
      <c r="D157" s="21" t="s">
        <v>2169</v>
      </c>
    </row>
    <row r="158" spans="1:4">
      <c r="A158" s="65"/>
      <c r="B158" s="65"/>
      <c r="C158" s="21" t="s">
        <v>1381</v>
      </c>
      <c r="D158" s="21" t="s">
        <v>2170</v>
      </c>
    </row>
    <row r="159" spans="1:4">
      <c r="A159" s="65"/>
      <c r="B159" s="65"/>
      <c r="C159" s="21" t="s">
        <v>2171</v>
      </c>
      <c r="D159" s="21" t="s">
        <v>2172</v>
      </c>
    </row>
    <row r="160" spans="1:4">
      <c r="A160" s="65"/>
      <c r="B160" s="65"/>
      <c r="C160" s="21" t="s">
        <v>1458</v>
      </c>
      <c r="D160" s="21" t="s">
        <v>2173</v>
      </c>
    </row>
    <row r="161" spans="1:4">
      <c r="A161" s="65"/>
      <c r="B161" s="65"/>
      <c r="C161" s="21" t="s">
        <v>2174</v>
      </c>
      <c r="D161" s="21" t="s">
        <v>2175</v>
      </c>
    </row>
    <row r="162" spans="1:4">
      <c r="A162" s="65"/>
      <c r="B162" s="65"/>
      <c r="C162" s="21" t="s">
        <v>2176</v>
      </c>
      <c r="D162" s="21" t="s">
        <v>2177</v>
      </c>
    </row>
    <row r="163" spans="1:4">
      <c r="A163" s="65"/>
      <c r="B163" s="65"/>
      <c r="C163" s="21" t="s">
        <v>2178</v>
      </c>
      <c r="D163" s="21" t="s">
        <v>2179</v>
      </c>
    </row>
    <row r="164" spans="1:4">
      <c r="A164" s="65"/>
      <c r="B164" s="65"/>
      <c r="C164" s="21" t="s">
        <v>2180</v>
      </c>
      <c r="D164" s="21" t="s">
        <v>2181</v>
      </c>
    </row>
    <row r="165" spans="1:4">
      <c r="A165" s="65"/>
      <c r="B165" s="65"/>
      <c r="C165" s="21" t="s">
        <v>2182</v>
      </c>
      <c r="D165" s="21" t="s">
        <v>2183</v>
      </c>
    </row>
    <row r="166" spans="1:4">
      <c r="A166" s="65"/>
      <c r="B166" s="65"/>
      <c r="C166" s="21" t="s">
        <v>2184</v>
      </c>
      <c r="D166" s="21" t="s">
        <v>2185</v>
      </c>
    </row>
    <row r="167" spans="1:4">
      <c r="A167" s="65"/>
      <c r="B167" s="65"/>
      <c r="C167" s="21" t="s">
        <v>2186</v>
      </c>
      <c r="D167" s="21" t="s">
        <v>2187</v>
      </c>
    </row>
    <row r="168" spans="1:4">
      <c r="A168" s="65"/>
      <c r="B168" s="65"/>
      <c r="C168" s="21" t="s">
        <v>1251</v>
      </c>
      <c r="D168" s="21" t="s">
        <v>2188</v>
      </c>
    </row>
    <row r="169" spans="1:4">
      <c r="A169" s="65"/>
      <c r="B169" s="65"/>
      <c r="C169" s="21" t="s">
        <v>2189</v>
      </c>
      <c r="D169" s="21" t="s">
        <v>2190</v>
      </c>
    </row>
    <row r="170" spans="1:4">
      <c r="A170" s="65"/>
      <c r="B170" s="65"/>
      <c r="C170" s="21" t="s">
        <v>2191</v>
      </c>
      <c r="D170" s="21" t="s">
        <v>2192</v>
      </c>
    </row>
    <row r="171" spans="1:4">
      <c r="A171" s="65"/>
      <c r="B171" s="65"/>
      <c r="C171" s="21" t="s">
        <v>2193</v>
      </c>
      <c r="D171" s="21" t="s">
        <v>2194</v>
      </c>
    </row>
    <row r="172" spans="1:4">
      <c r="A172" s="65"/>
      <c r="B172" s="65"/>
      <c r="C172" s="21" t="s">
        <v>2195</v>
      </c>
      <c r="D172" s="21" t="s">
        <v>2196</v>
      </c>
    </row>
    <row r="173" spans="1:4">
      <c r="A173" s="65"/>
      <c r="B173" s="65"/>
      <c r="C173" s="21" t="s">
        <v>2197</v>
      </c>
      <c r="D173" s="21" t="s">
        <v>2198</v>
      </c>
    </row>
    <row r="174" spans="1:4">
      <c r="A174" s="65"/>
      <c r="B174" s="65"/>
      <c r="C174" s="21" t="s">
        <v>2199</v>
      </c>
      <c r="D174" s="21" t="s">
        <v>2200</v>
      </c>
    </row>
    <row r="175" spans="1:4">
      <c r="A175" s="65"/>
      <c r="B175" s="65"/>
      <c r="C175" s="21" t="s">
        <v>2201</v>
      </c>
      <c r="D175" s="21" t="s">
        <v>2202</v>
      </c>
    </row>
    <row r="176" spans="1:4">
      <c r="A176" s="65"/>
      <c r="B176" s="65"/>
      <c r="C176" s="21" t="s">
        <v>1298</v>
      </c>
      <c r="D176" s="21" t="s">
        <v>2203</v>
      </c>
    </row>
    <row r="177" spans="1:5">
      <c r="A177" s="65"/>
      <c r="B177" s="65"/>
      <c r="C177" s="21" t="s">
        <v>2204</v>
      </c>
      <c r="D177" s="21" t="s">
        <v>2205</v>
      </c>
    </row>
    <row r="178" spans="1:5">
      <c r="A178" s="65"/>
      <c r="B178" s="65"/>
      <c r="C178" s="21" t="s">
        <v>2206</v>
      </c>
      <c r="D178" s="21" t="s">
        <v>2207</v>
      </c>
    </row>
    <row r="179" spans="1:5">
      <c r="A179" s="65"/>
      <c r="B179" s="65"/>
      <c r="C179" s="21" t="s">
        <v>2208</v>
      </c>
      <c r="D179" s="21" t="s">
        <v>2209</v>
      </c>
    </row>
    <row r="180" spans="1:5">
      <c r="A180" s="65"/>
      <c r="B180" s="65"/>
      <c r="C180" s="21" t="s">
        <v>81</v>
      </c>
      <c r="D180" s="21" t="s">
        <v>2210</v>
      </c>
      <c r="E180" s="15" t="s">
        <v>2051</v>
      </c>
    </row>
    <row r="181" spans="1:5">
      <c r="A181" s="65"/>
      <c r="B181" s="65"/>
      <c r="C181" s="21" t="s">
        <v>730</v>
      </c>
      <c r="D181" s="21" t="s">
        <v>730</v>
      </c>
    </row>
    <row r="182" spans="1:5">
      <c r="A182" s="82"/>
      <c r="B182" s="75" t="s">
        <v>2211</v>
      </c>
      <c r="C182" s="56" t="s">
        <v>128</v>
      </c>
      <c r="D182" s="56"/>
    </row>
    <row r="183" spans="1:5">
      <c r="A183" s="83"/>
      <c r="B183" s="76"/>
      <c r="C183" s="56" t="s">
        <v>1993</v>
      </c>
      <c r="D183" s="56"/>
    </row>
    <row r="184" spans="1:5">
      <c r="A184" s="83"/>
      <c r="B184" s="76"/>
      <c r="C184" s="56" t="s">
        <v>2212</v>
      </c>
      <c r="D184" s="56"/>
    </row>
    <row r="185" spans="1:5">
      <c r="A185" s="84"/>
      <c r="B185" s="77"/>
      <c r="C185" s="58" t="s">
        <v>178</v>
      </c>
      <c r="D185" s="58"/>
    </row>
    <row r="186" spans="1:5">
      <c r="A186" s="78"/>
      <c r="B186" s="78" t="s">
        <v>112</v>
      </c>
      <c r="C186" s="55" t="s">
        <v>1589</v>
      </c>
      <c r="D186" s="55"/>
    </row>
    <row r="187" spans="1:5">
      <c r="A187" s="79"/>
      <c r="B187" s="79"/>
      <c r="C187" s="55" t="s">
        <v>129</v>
      </c>
      <c r="D187" s="55"/>
    </row>
    <row r="188" spans="1:5">
      <c r="A188" s="82"/>
      <c r="B188" s="75" t="s">
        <v>10</v>
      </c>
      <c r="C188" s="58" t="s">
        <v>146</v>
      </c>
      <c r="D188" s="58" t="s">
        <v>2213</v>
      </c>
    </row>
    <row r="189" spans="1:5">
      <c r="A189" s="83"/>
      <c r="B189" s="76"/>
      <c r="C189" s="58" t="s">
        <v>127</v>
      </c>
      <c r="D189" s="58" t="s">
        <v>2214</v>
      </c>
    </row>
    <row r="190" spans="1:5">
      <c r="A190" s="83"/>
      <c r="B190" s="76"/>
      <c r="C190" s="58" t="s">
        <v>33</v>
      </c>
      <c r="D190" s="58" t="s">
        <v>33</v>
      </c>
    </row>
    <row r="191" spans="1:5">
      <c r="A191" s="83"/>
      <c r="B191" s="76"/>
      <c r="C191" s="58" t="s">
        <v>2215</v>
      </c>
      <c r="D191" s="58" t="s">
        <v>2216</v>
      </c>
    </row>
    <row r="192" spans="1:5">
      <c r="A192" s="83"/>
      <c r="B192" s="76"/>
      <c r="C192" s="58" t="s">
        <v>2217</v>
      </c>
      <c r="D192" s="58" t="s">
        <v>2218</v>
      </c>
    </row>
    <row r="193" spans="1:4">
      <c r="A193" s="83"/>
      <c r="B193" s="76"/>
      <c r="C193" s="58" t="s">
        <v>2219</v>
      </c>
      <c r="D193" s="58" t="s">
        <v>2220</v>
      </c>
    </row>
    <row r="194" spans="1:4">
      <c r="A194" s="83"/>
      <c r="B194" s="76"/>
      <c r="C194" s="58" t="s">
        <v>2221</v>
      </c>
      <c r="D194" s="58" t="s">
        <v>2222</v>
      </c>
    </row>
    <row r="195" spans="1:4">
      <c r="A195" s="83"/>
      <c r="B195" s="76"/>
      <c r="C195" s="58" t="s">
        <v>2223</v>
      </c>
      <c r="D195" s="58" t="s">
        <v>2224</v>
      </c>
    </row>
    <row r="196" spans="1:4">
      <c r="A196" s="83"/>
      <c r="B196" s="76"/>
      <c r="C196" s="58" t="s">
        <v>2225</v>
      </c>
      <c r="D196" s="58" t="s">
        <v>2226</v>
      </c>
    </row>
    <row r="197" spans="1:4">
      <c r="A197" s="83"/>
      <c r="B197" s="76"/>
      <c r="C197" s="58" t="s">
        <v>2227</v>
      </c>
      <c r="D197" s="58" t="s">
        <v>2228</v>
      </c>
    </row>
    <row r="198" spans="1:4">
      <c r="A198" s="83"/>
      <c r="B198" s="76"/>
      <c r="C198" s="58" t="s">
        <v>83</v>
      </c>
      <c r="D198" s="58" t="s">
        <v>2229</v>
      </c>
    </row>
    <row r="199" spans="1:4">
      <c r="A199" s="83"/>
      <c r="B199" s="76"/>
      <c r="C199" s="58" t="s">
        <v>732</v>
      </c>
      <c r="D199" s="58" t="s">
        <v>2230</v>
      </c>
    </row>
    <row r="200" spans="1:4">
      <c r="A200" s="83"/>
      <c r="B200" s="76"/>
      <c r="C200" s="58" t="s">
        <v>730</v>
      </c>
      <c r="D200" s="58" t="s">
        <v>730</v>
      </c>
    </row>
    <row r="201" spans="1:4">
      <c r="A201" s="84"/>
      <c r="B201" s="77"/>
      <c r="C201" s="58" t="s">
        <v>178</v>
      </c>
      <c r="D201" s="58" t="s">
        <v>2231</v>
      </c>
    </row>
    <row r="202" spans="1:4">
      <c r="A202" s="116"/>
      <c r="B202" s="116" t="s">
        <v>108</v>
      </c>
      <c r="C202" s="21" t="s">
        <v>1578</v>
      </c>
      <c r="D202" s="21"/>
    </row>
    <row r="203" spans="1:4">
      <c r="A203" s="65"/>
      <c r="B203" s="65"/>
      <c r="C203" s="21" t="s">
        <v>2232</v>
      </c>
      <c r="D203" s="21"/>
    </row>
    <row r="204" spans="1:4">
      <c r="A204" s="65"/>
      <c r="B204" s="65"/>
      <c r="C204" s="21" t="s">
        <v>2233</v>
      </c>
      <c r="D204" s="21"/>
    </row>
    <row r="205" spans="1:4">
      <c r="A205" s="65"/>
      <c r="B205" s="65"/>
      <c r="C205" s="21" t="s">
        <v>1105</v>
      </c>
      <c r="D205" s="21"/>
    </row>
    <row r="206" spans="1:4">
      <c r="A206" s="65"/>
      <c r="B206" s="65"/>
      <c r="C206" s="21" t="s">
        <v>152</v>
      </c>
      <c r="D206" s="21"/>
    </row>
    <row r="207" spans="1:4">
      <c r="A207" s="65"/>
      <c r="B207" s="65"/>
      <c r="C207" s="21" t="s">
        <v>228</v>
      </c>
      <c r="D207" s="21"/>
    </row>
    <row r="208" spans="1:4">
      <c r="A208" s="65"/>
      <c r="B208" s="65"/>
      <c r="C208" s="21" t="s">
        <v>2234</v>
      </c>
      <c r="D208" s="21"/>
    </row>
    <row r="209" spans="1:5">
      <c r="A209" s="65"/>
      <c r="B209" s="65"/>
      <c r="C209" s="21" t="s">
        <v>242</v>
      </c>
      <c r="D209" s="21"/>
    </row>
    <row r="210" spans="1:5">
      <c r="A210" s="65"/>
      <c r="B210" s="65"/>
      <c r="C210" s="21" t="s">
        <v>1619</v>
      </c>
      <c r="D210" s="21"/>
    </row>
    <row r="211" spans="1:5">
      <c r="A211" s="65"/>
      <c r="B211" s="65"/>
      <c r="C211" s="21" t="s">
        <v>159</v>
      </c>
      <c r="D211" s="21"/>
    </row>
    <row r="212" spans="1:5">
      <c r="A212" s="65"/>
      <c r="B212" s="65"/>
      <c r="C212" s="21" t="s">
        <v>945</v>
      </c>
      <c r="D212" s="21"/>
    </row>
    <row r="213" spans="1:5">
      <c r="A213" s="65"/>
      <c r="B213" s="65"/>
      <c r="C213" s="21" t="s">
        <v>124</v>
      </c>
      <c r="D213" s="21"/>
    </row>
    <row r="214" spans="1:5">
      <c r="A214" s="65"/>
      <c r="B214" s="65"/>
      <c r="C214" s="21" t="s">
        <v>316</v>
      </c>
      <c r="D214" s="21"/>
    </row>
    <row r="215" spans="1:5">
      <c r="A215" s="65"/>
      <c r="B215" s="65"/>
      <c r="C215" s="21" t="s">
        <v>1601</v>
      </c>
      <c r="D215" s="21"/>
    </row>
    <row r="216" spans="1:5">
      <c r="A216" s="65"/>
      <c r="B216" s="65"/>
      <c r="C216" s="21" t="s">
        <v>2235</v>
      </c>
      <c r="D216" s="21"/>
    </row>
    <row r="217" spans="1:5">
      <c r="A217" s="65"/>
      <c r="B217" s="65"/>
      <c r="C217" s="21" t="s">
        <v>209</v>
      </c>
      <c r="D217" s="21"/>
    </row>
    <row r="218" spans="1:5">
      <c r="A218" s="65"/>
      <c r="B218" s="65"/>
      <c r="C218" s="21" t="s">
        <v>2236</v>
      </c>
      <c r="D218" s="21" t="s">
        <v>2237</v>
      </c>
      <c r="E218" s="15" t="s">
        <v>2051</v>
      </c>
    </row>
    <row r="219" spans="1:5">
      <c r="A219" s="65"/>
      <c r="B219" s="65"/>
      <c r="C219" s="21" t="s">
        <v>377</v>
      </c>
      <c r="D219" s="21"/>
    </row>
    <row r="220" spans="1:5">
      <c r="A220" s="65"/>
      <c r="B220" s="65"/>
      <c r="C220" s="21" t="s">
        <v>1164</v>
      </c>
      <c r="D220" s="21"/>
    </row>
    <row r="221" spans="1:5">
      <c r="A221" s="65"/>
      <c r="B221" s="65"/>
      <c r="C221" s="21" t="s">
        <v>144</v>
      </c>
      <c r="D221" s="21"/>
    </row>
    <row r="222" spans="1:5">
      <c r="A222" s="65"/>
      <c r="B222" s="65"/>
      <c r="C222" s="21" t="s">
        <v>2238</v>
      </c>
      <c r="D222" s="21"/>
    </row>
    <row r="223" spans="1:5">
      <c r="A223" s="65"/>
      <c r="B223" s="65"/>
      <c r="C223" s="21" t="s">
        <v>1040</v>
      </c>
      <c r="D223" s="21"/>
    </row>
    <row r="224" spans="1:5">
      <c r="A224" s="65"/>
      <c r="B224" s="65"/>
      <c r="C224" s="21" t="s">
        <v>2239</v>
      </c>
      <c r="D224" s="21"/>
    </row>
    <row r="225" spans="1:4">
      <c r="A225" s="65"/>
      <c r="B225" s="65"/>
      <c r="C225" s="21" t="s">
        <v>2240</v>
      </c>
      <c r="D225" s="21"/>
    </row>
    <row r="226" spans="1:4">
      <c r="A226" s="65"/>
      <c r="B226" s="65"/>
      <c r="C226" s="21" t="s">
        <v>177</v>
      </c>
      <c r="D226" s="21"/>
    </row>
    <row r="227" spans="1:4">
      <c r="A227" s="65"/>
      <c r="B227" s="65"/>
      <c r="C227" s="21" t="s">
        <v>695</v>
      </c>
      <c r="D227" s="21"/>
    </row>
    <row r="228" spans="1:4">
      <c r="A228" s="65"/>
      <c r="B228" s="65"/>
      <c r="C228" s="21" t="s">
        <v>724</v>
      </c>
      <c r="D228" s="21"/>
    </row>
    <row r="229" spans="1:4">
      <c r="A229" s="65"/>
      <c r="B229" s="65"/>
      <c r="C229" s="21" t="s">
        <v>171</v>
      </c>
      <c r="D229" s="21"/>
    </row>
    <row r="230" spans="1:4">
      <c r="A230" s="65"/>
      <c r="B230" s="65"/>
      <c r="C230" s="21" t="s">
        <v>139</v>
      </c>
      <c r="D230" s="21"/>
    </row>
    <row r="231" spans="1:4">
      <c r="A231" s="65"/>
      <c r="B231" s="65"/>
      <c r="C231" s="21" t="s">
        <v>2241</v>
      </c>
      <c r="D231" s="21"/>
    </row>
    <row r="232" spans="1:4">
      <c r="A232" s="65"/>
      <c r="B232" s="65"/>
      <c r="C232" s="21" t="s">
        <v>754</v>
      </c>
      <c r="D232" s="21"/>
    </row>
    <row r="233" spans="1:4">
      <c r="A233" s="65"/>
      <c r="B233" s="65"/>
      <c r="C233" s="21" t="s">
        <v>2242</v>
      </c>
      <c r="D233" s="21"/>
    </row>
    <row r="234" spans="1:4">
      <c r="A234" s="65"/>
      <c r="B234" s="65"/>
      <c r="C234" s="21" t="s">
        <v>2243</v>
      </c>
      <c r="D234" s="21"/>
    </row>
    <row r="235" spans="1:4">
      <c r="A235" s="65"/>
      <c r="B235" s="65"/>
      <c r="C235" s="21" t="s">
        <v>2244</v>
      </c>
      <c r="D235" s="21"/>
    </row>
    <row r="236" spans="1:4">
      <c r="A236" s="65"/>
      <c r="B236" s="65"/>
      <c r="C236" s="21" t="s">
        <v>2245</v>
      </c>
      <c r="D236" s="21"/>
    </row>
    <row r="237" spans="1:4">
      <c r="A237" s="65"/>
      <c r="B237" s="65"/>
      <c r="C237" s="21" t="s">
        <v>2246</v>
      </c>
      <c r="D237" s="21"/>
    </row>
    <row r="238" spans="1:4">
      <c r="A238" s="65"/>
      <c r="B238" s="65"/>
      <c r="C238" s="21" t="s">
        <v>2247</v>
      </c>
      <c r="D238" s="21"/>
    </row>
    <row r="239" spans="1:4">
      <c r="A239" s="65"/>
      <c r="B239" s="65"/>
      <c r="C239" s="21" t="s">
        <v>2248</v>
      </c>
      <c r="D239" s="21"/>
    </row>
    <row r="240" spans="1:4">
      <c r="A240" s="65"/>
      <c r="B240" s="65"/>
      <c r="C240" s="21" t="s">
        <v>2249</v>
      </c>
      <c r="D240" s="21"/>
    </row>
    <row r="241" spans="1:4">
      <c r="A241" s="65"/>
      <c r="B241" s="65"/>
      <c r="C241" s="21" t="s">
        <v>421</v>
      </c>
      <c r="D241" s="21"/>
    </row>
    <row r="242" spans="1:4">
      <c r="A242" s="65"/>
      <c r="B242" s="65"/>
      <c r="C242" s="21" t="s">
        <v>662</v>
      </c>
      <c r="D242" s="21"/>
    </row>
    <row r="243" spans="1:4">
      <c r="A243" s="65"/>
      <c r="B243" s="65"/>
      <c r="C243" s="21" t="s">
        <v>184</v>
      </c>
      <c r="D243" s="21"/>
    </row>
    <row r="244" spans="1:4">
      <c r="A244" s="65"/>
      <c r="B244" s="65"/>
      <c r="C244" s="21" t="s">
        <v>1007</v>
      </c>
      <c r="D244" s="21"/>
    </row>
    <row r="245" spans="1:4">
      <c r="A245" s="65"/>
      <c r="B245" s="65"/>
      <c r="C245" s="21" t="s">
        <v>2250</v>
      </c>
      <c r="D245" s="21"/>
    </row>
    <row r="246" spans="1:4">
      <c r="A246" s="65"/>
      <c r="B246" s="65"/>
      <c r="C246" s="21" t="s">
        <v>1099</v>
      </c>
      <c r="D246" s="21"/>
    </row>
    <row r="247" spans="1:4">
      <c r="A247" s="65"/>
      <c r="B247" s="65"/>
      <c r="C247" s="21" t="s">
        <v>2251</v>
      </c>
      <c r="D247" s="21"/>
    </row>
    <row r="248" spans="1:4">
      <c r="A248" s="65"/>
      <c r="B248" s="65"/>
      <c r="C248" s="21" t="s">
        <v>2252</v>
      </c>
      <c r="D248" s="21"/>
    </row>
    <row r="249" spans="1:4">
      <c r="A249" s="65"/>
      <c r="B249" s="65"/>
      <c r="C249" s="21" t="s">
        <v>2253</v>
      </c>
      <c r="D249" s="21"/>
    </row>
    <row r="250" spans="1:4">
      <c r="A250" s="65"/>
      <c r="B250" s="65"/>
      <c r="C250" s="21" t="s">
        <v>301</v>
      </c>
      <c r="D250" s="21"/>
    </row>
    <row r="251" spans="1:4">
      <c r="A251" s="65"/>
      <c r="B251" s="65"/>
      <c r="C251" s="21" t="s">
        <v>2254</v>
      </c>
      <c r="D251" s="21"/>
    </row>
    <row r="252" spans="1:4">
      <c r="A252" s="65"/>
      <c r="B252" s="65"/>
      <c r="C252" s="21" t="s">
        <v>730</v>
      </c>
      <c r="D252" s="21"/>
    </row>
    <row r="253" spans="1:4">
      <c r="A253" s="65"/>
      <c r="B253" s="65"/>
      <c r="C253" s="21" t="s">
        <v>2255</v>
      </c>
      <c r="D253" s="21"/>
    </row>
    <row r="254" spans="1:4">
      <c r="A254" s="65"/>
      <c r="B254" s="65"/>
      <c r="C254" s="21" t="s">
        <v>2256</v>
      </c>
      <c r="D254" s="21"/>
    </row>
    <row r="255" spans="1:4">
      <c r="A255" s="65"/>
      <c r="B255" s="65"/>
      <c r="C255" s="21" t="s">
        <v>2257</v>
      </c>
      <c r="D255" s="21"/>
    </row>
    <row r="256" spans="1:4">
      <c r="A256" s="65"/>
      <c r="B256" s="65"/>
      <c r="C256" s="21" t="s">
        <v>2258</v>
      </c>
      <c r="D256" s="21"/>
    </row>
    <row r="257" spans="1:5">
      <c r="A257" s="65"/>
      <c r="B257" s="65"/>
      <c r="C257" s="21" t="s">
        <v>2259</v>
      </c>
      <c r="D257" s="21"/>
    </row>
    <row r="258" spans="1:5">
      <c r="A258" s="65"/>
      <c r="B258" s="65"/>
      <c r="C258" s="21" t="s">
        <v>2260</v>
      </c>
      <c r="D258" s="21"/>
    </row>
    <row r="259" spans="1:5">
      <c r="A259" s="65"/>
      <c r="B259" s="65"/>
      <c r="C259" s="21" t="s">
        <v>2261</v>
      </c>
      <c r="D259" s="21"/>
    </row>
    <row r="260" spans="1:5">
      <c r="A260" s="65"/>
      <c r="B260" s="65"/>
      <c r="C260" s="21" t="s">
        <v>2262</v>
      </c>
      <c r="D260" s="21"/>
    </row>
    <row r="261" spans="1:5">
      <c r="A261" s="65"/>
      <c r="B261" s="65"/>
      <c r="C261" s="21" t="s">
        <v>2263</v>
      </c>
      <c r="D261" s="21"/>
    </row>
    <row r="262" spans="1:5">
      <c r="A262" s="65"/>
      <c r="B262" s="65"/>
      <c r="C262" s="21" t="s">
        <v>2264</v>
      </c>
      <c r="D262" s="21"/>
    </row>
    <row r="263" spans="1:5">
      <c r="A263" s="65"/>
      <c r="B263" s="65"/>
      <c r="C263" s="21" t="s">
        <v>2265</v>
      </c>
      <c r="D263" s="21"/>
    </row>
    <row r="264" spans="1:5">
      <c r="A264" s="65"/>
      <c r="B264" s="65"/>
      <c r="C264" s="21" t="s">
        <v>1226</v>
      </c>
      <c r="D264" s="21"/>
    </row>
    <row r="265" spans="1:5">
      <c r="A265" s="65"/>
      <c r="B265" s="65"/>
      <c r="C265" s="21" t="s">
        <v>2266</v>
      </c>
      <c r="D265" s="21"/>
    </row>
    <row r="266" spans="1:5">
      <c r="A266" s="65"/>
      <c r="B266" s="65"/>
      <c r="C266" s="21" t="s">
        <v>2267</v>
      </c>
      <c r="D266" s="21"/>
    </row>
    <row r="267" spans="1:5">
      <c r="A267" s="65"/>
      <c r="B267" s="65"/>
      <c r="C267" s="21" t="s">
        <v>1258</v>
      </c>
      <c r="D267" s="21"/>
    </row>
    <row r="268" spans="1:5">
      <c r="A268" s="65"/>
      <c r="B268" s="65"/>
      <c r="C268" s="21" t="s">
        <v>2268</v>
      </c>
      <c r="D268" s="21"/>
    </row>
    <row r="269" spans="1:5">
      <c r="A269" s="65"/>
      <c r="B269" s="65"/>
      <c r="C269" s="21" t="s">
        <v>2269</v>
      </c>
      <c r="D269" s="21"/>
    </row>
    <row r="270" spans="1:5">
      <c r="A270" s="65"/>
      <c r="B270" s="65"/>
      <c r="C270" s="21" t="s">
        <v>2270</v>
      </c>
      <c r="D270" s="21" t="s">
        <v>2271</v>
      </c>
      <c r="E270" s="15" t="s">
        <v>2051</v>
      </c>
    </row>
    <row r="271" spans="1:5">
      <c r="A271" s="65"/>
      <c r="B271" s="65"/>
      <c r="C271" s="21" t="s">
        <v>2272</v>
      </c>
      <c r="D271" s="21" t="s">
        <v>2273</v>
      </c>
      <c r="E271" s="15" t="s">
        <v>2051</v>
      </c>
    </row>
    <row r="272" spans="1:5">
      <c r="A272" s="65"/>
      <c r="B272" s="65"/>
      <c r="C272" s="21" t="s">
        <v>2274</v>
      </c>
      <c r="D272" s="21" t="s">
        <v>2275</v>
      </c>
      <c r="E272" s="15" t="s">
        <v>2051</v>
      </c>
    </row>
    <row r="273" spans="1:5">
      <c r="A273" s="65"/>
      <c r="B273" s="65"/>
      <c r="C273" s="21" t="s">
        <v>1268</v>
      </c>
      <c r="D273" s="21"/>
    </row>
    <row r="274" spans="1:5">
      <c r="A274" s="65"/>
      <c r="B274" s="65"/>
      <c r="C274" s="21" t="s">
        <v>2276</v>
      </c>
      <c r="D274" s="21" t="s">
        <v>2277</v>
      </c>
      <c r="E274" s="15" t="s">
        <v>2051</v>
      </c>
    </row>
    <row r="275" spans="1:5">
      <c r="A275" s="65"/>
      <c r="B275" s="65"/>
      <c r="C275" s="21" t="s">
        <v>2278</v>
      </c>
      <c r="D275" s="21"/>
    </row>
    <row r="276" spans="1:5">
      <c r="A276" s="65"/>
      <c r="B276" s="65"/>
      <c r="C276" s="21" t="s">
        <v>2279</v>
      </c>
      <c r="D276" s="21"/>
    </row>
    <row r="277" spans="1:5">
      <c r="A277" s="65"/>
      <c r="B277" s="65"/>
      <c r="C277" s="21" t="s">
        <v>2280</v>
      </c>
      <c r="D277" s="21"/>
    </row>
    <row r="278" spans="1:5">
      <c r="A278" s="65"/>
      <c r="B278" s="65"/>
      <c r="C278" s="21" t="s">
        <v>1181</v>
      </c>
      <c r="D278" s="21"/>
    </row>
    <row r="279" spans="1:5">
      <c r="A279" s="65"/>
      <c r="B279" s="65"/>
      <c r="C279" s="21" t="s">
        <v>2281</v>
      </c>
      <c r="D279" s="21"/>
    </row>
    <row r="280" spans="1:5">
      <c r="A280" s="65"/>
      <c r="B280" s="65"/>
      <c r="C280" s="21" t="s">
        <v>1252</v>
      </c>
      <c r="D280" s="21"/>
    </row>
    <row r="281" spans="1:5">
      <c r="A281" s="65"/>
      <c r="B281" s="65"/>
      <c r="C281" s="21" t="s">
        <v>2282</v>
      </c>
      <c r="D281" s="21"/>
    </row>
    <row r="282" spans="1:5">
      <c r="A282" s="65"/>
      <c r="B282" s="65"/>
      <c r="C282" s="21" t="s">
        <v>2283</v>
      </c>
      <c r="D282" s="21" t="s">
        <v>2284</v>
      </c>
      <c r="E282" s="15" t="s">
        <v>2051</v>
      </c>
    </row>
    <row r="283" spans="1:5">
      <c r="A283" s="65"/>
      <c r="B283" s="65"/>
      <c r="C283" s="21" t="s">
        <v>2285</v>
      </c>
      <c r="D283" s="21"/>
    </row>
    <row r="284" spans="1:5">
      <c r="A284" s="65"/>
      <c r="B284" s="65"/>
      <c r="C284" s="21" t="s">
        <v>2286</v>
      </c>
      <c r="D284" s="21" t="s">
        <v>2287</v>
      </c>
      <c r="E284" s="15" t="s">
        <v>2051</v>
      </c>
    </row>
    <row r="285" spans="1:5">
      <c r="A285" s="65"/>
      <c r="B285" s="65"/>
      <c r="C285" s="21" t="s">
        <v>2288</v>
      </c>
      <c r="D285" s="21"/>
    </row>
    <row r="286" spans="1:5">
      <c r="A286" s="65"/>
      <c r="B286" s="65"/>
      <c r="C286" s="21" t="s">
        <v>1231</v>
      </c>
      <c r="D286" s="21"/>
    </row>
    <row r="287" spans="1:5">
      <c r="A287" s="65"/>
      <c r="B287" s="65"/>
      <c r="C287" s="21" t="s">
        <v>2289</v>
      </c>
      <c r="D287" s="21"/>
    </row>
    <row r="288" spans="1:5">
      <c r="A288" s="65"/>
      <c r="B288" s="65"/>
      <c r="C288" s="21" t="s">
        <v>2290</v>
      </c>
      <c r="D288" s="21"/>
    </row>
    <row r="289" spans="1:5">
      <c r="A289" s="65"/>
      <c r="B289" s="65"/>
      <c r="C289" s="21" t="s">
        <v>2291</v>
      </c>
      <c r="D289" s="21" t="s">
        <v>2292</v>
      </c>
      <c r="E289" s="15" t="s">
        <v>2051</v>
      </c>
    </row>
    <row r="290" spans="1:5">
      <c r="A290" s="65"/>
      <c r="B290" s="65"/>
      <c r="C290" s="21" t="s">
        <v>1299</v>
      </c>
      <c r="D290" s="21"/>
    </row>
    <row r="291" spans="1:5">
      <c r="A291" s="65"/>
      <c r="B291" s="65"/>
      <c r="C291" s="21" t="s">
        <v>2293</v>
      </c>
      <c r="D291" s="21"/>
    </row>
    <row r="292" spans="1:5">
      <c r="A292" s="65"/>
      <c r="B292" s="65"/>
      <c r="C292" s="21" t="s">
        <v>2294</v>
      </c>
      <c r="D292" s="21"/>
    </row>
    <row r="293" spans="1:5">
      <c r="A293" s="65"/>
      <c r="B293" s="65"/>
      <c r="C293" s="21" t="s">
        <v>2295</v>
      </c>
      <c r="D293" s="21"/>
    </row>
    <row r="294" spans="1:5">
      <c r="A294" s="65"/>
      <c r="B294" s="65"/>
      <c r="C294" s="21" t="s">
        <v>1190</v>
      </c>
      <c r="D294" s="21"/>
    </row>
    <row r="295" spans="1:5">
      <c r="A295" s="65"/>
      <c r="B295" s="65"/>
      <c r="C295" s="21" t="s">
        <v>2296</v>
      </c>
      <c r="D295" s="21"/>
    </row>
    <row r="296" spans="1:5">
      <c r="A296" s="65"/>
      <c r="B296" s="65"/>
      <c r="C296" s="21" t="s">
        <v>1209</v>
      </c>
      <c r="D296" s="21"/>
    </row>
    <row r="297" spans="1:5">
      <c r="A297" s="65"/>
      <c r="B297" s="65"/>
      <c r="C297" s="21" t="s">
        <v>1216</v>
      </c>
      <c r="D297" s="21" t="s">
        <v>2297</v>
      </c>
      <c r="E297" s="15" t="s">
        <v>2051</v>
      </c>
    </row>
    <row r="298" spans="1:5">
      <c r="A298" s="65"/>
      <c r="B298" s="65"/>
      <c r="C298" s="21" t="s">
        <v>1195</v>
      </c>
      <c r="D298" s="21"/>
    </row>
    <row r="299" spans="1:5">
      <c r="A299" s="65"/>
      <c r="B299" s="65"/>
      <c r="C299" s="21" t="s">
        <v>2298</v>
      </c>
      <c r="D299" s="21"/>
    </row>
    <row r="300" spans="1:5">
      <c r="A300" s="65"/>
      <c r="B300" s="65"/>
      <c r="C300" s="21" t="s">
        <v>2299</v>
      </c>
      <c r="D300" s="21"/>
      <c r="E300" s="15" t="s">
        <v>2051</v>
      </c>
    </row>
    <row r="301" spans="1:5">
      <c r="A301" s="65"/>
      <c r="B301" s="65"/>
      <c r="C301" s="21" t="s">
        <v>2300</v>
      </c>
      <c r="D301" s="21"/>
    </row>
    <row r="302" spans="1:5">
      <c r="A302" s="65"/>
      <c r="B302" s="65"/>
      <c r="C302" s="21" t="s">
        <v>2301</v>
      </c>
      <c r="D302" s="21"/>
    </row>
    <row r="303" spans="1:5">
      <c r="A303" s="65"/>
      <c r="B303" s="65"/>
      <c r="C303" s="21" t="s">
        <v>1221</v>
      </c>
      <c r="D303" s="21"/>
    </row>
    <row r="304" spans="1:5">
      <c r="A304" s="65"/>
      <c r="B304" s="65"/>
      <c r="C304" s="21" t="s">
        <v>2302</v>
      </c>
      <c r="D304" s="21"/>
    </row>
    <row r="305" spans="1:5">
      <c r="A305" s="65"/>
      <c r="B305" s="65"/>
      <c r="C305" s="21" t="s">
        <v>1634</v>
      </c>
      <c r="D305" s="21"/>
    </row>
    <row r="306" spans="1:5">
      <c r="A306" s="65"/>
      <c r="B306" s="65"/>
      <c r="C306" s="21" t="s">
        <v>2303</v>
      </c>
      <c r="D306" s="21"/>
    </row>
    <row r="307" spans="1:5">
      <c r="A307" s="65"/>
      <c r="B307" s="65"/>
      <c r="C307" s="21" t="s">
        <v>1174</v>
      </c>
      <c r="D307" s="21"/>
    </row>
    <row r="308" spans="1:5">
      <c r="A308" s="65"/>
      <c r="B308" s="65"/>
      <c r="C308" s="21" t="s">
        <v>1200</v>
      </c>
      <c r="D308" s="21"/>
    </row>
    <row r="309" spans="1:5">
      <c r="A309" s="65"/>
      <c r="B309" s="65"/>
      <c r="C309" s="21" t="s">
        <v>2304</v>
      </c>
      <c r="D309" s="21"/>
    </row>
    <row r="310" spans="1:5">
      <c r="A310" s="65"/>
      <c r="B310" s="65"/>
      <c r="C310" s="21" t="s">
        <v>2305</v>
      </c>
      <c r="D310" s="21"/>
      <c r="E310" s="15" t="s">
        <v>2051</v>
      </c>
    </row>
    <row r="311" spans="1:5">
      <c r="A311" s="65"/>
      <c r="B311" s="65"/>
      <c r="C311" s="21" t="s">
        <v>2306</v>
      </c>
      <c r="D311" s="21"/>
      <c r="E311" s="15" t="s">
        <v>2051</v>
      </c>
    </row>
    <row r="312" spans="1:5">
      <c r="A312" s="65"/>
      <c r="B312" s="65"/>
      <c r="C312" s="21" t="s">
        <v>2307</v>
      </c>
      <c r="D312" s="21"/>
      <c r="E312" s="15" t="s">
        <v>2051</v>
      </c>
    </row>
    <row r="313" spans="1:5">
      <c r="A313" s="65"/>
      <c r="B313" s="65"/>
      <c r="C313" s="21" t="s">
        <v>2308</v>
      </c>
      <c r="D313" s="21"/>
    </row>
    <row r="314" spans="1:5">
      <c r="A314" s="65"/>
      <c r="B314" s="65"/>
      <c r="C314" s="21" t="s">
        <v>2309</v>
      </c>
      <c r="D314" s="21"/>
    </row>
    <row r="315" spans="1:5">
      <c r="A315" s="65"/>
      <c r="B315" s="65"/>
      <c r="C315" s="21" t="s">
        <v>1607</v>
      </c>
      <c r="D315" s="21"/>
    </row>
    <row r="316" spans="1:5">
      <c r="A316" s="65"/>
      <c r="B316" s="65"/>
      <c r="C316" s="21" t="s">
        <v>1242</v>
      </c>
      <c r="D316" s="21"/>
    </row>
    <row r="317" spans="1:5">
      <c r="A317" s="65"/>
      <c r="B317" s="65"/>
      <c r="C317" s="21" t="s">
        <v>2310</v>
      </c>
      <c r="D317" s="21"/>
    </row>
    <row r="318" spans="1:5">
      <c r="A318" s="65"/>
      <c r="B318" s="65"/>
      <c r="C318" s="21" t="s">
        <v>2311</v>
      </c>
      <c r="D318" s="131" t="s">
        <v>2312</v>
      </c>
      <c r="E318" s="15" t="s">
        <v>2051</v>
      </c>
    </row>
    <row r="319" spans="1:5">
      <c r="A319" s="65"/>
      <c r="B319" s="65"/>
      <c r="C319" s="21" t="s">
        <v>2313</v>
      </c>
      <c r="D319" s="21"/>
    </row>
    <row r="320" spans="1:5">
      <c r="A320" s="65"/>
      <c r="B320" s="65"/>
      <c r="C320" s="21" t="s">
        <v>2314</v>
      </c>
      <c r="D320" s="21"/>
    </row>
    <row r="321" spans="1:5">
      <c r="A321" s="65"/>
      <c r="B321" s="65"/>
      <c r="C321" s="21" t="s">
        <v>2315</v>
      </c>
      <c r="D321" s="21"/>
    </row>
    <row r="322" spans="1:5">
      <c r="A322" s="65"/>
      <c r="B322" s="65"/>
      <c r="C322" s="21" t="s">
        <v>2316</v>
      </c>
      <c r="D322" s="21"/>
    </row>
    <row r="323" spans="1:5">
      <c r="A323" s="65"/>
      <c r="B323" s="65"/>
      <c r="C323" s="21" t="s">
        <v>2317</v>
      </c>
      <c r="D323" s="21"/>
    </row>
    <row r="324" spans="1:5">
      <c r="A324" s="65"/>
      <c r="B324" s="65"/>
      <c r="C324" s="21" t="s">
        <v>2318</v>
      </c>
      <c r="D324" s="21"/>
    </row>
    <row r="325" spans="1:5">
      <c r="A325" s="65"/>
      <c r="B325" s="65"/>
      <c r="C325" s="21" t="s">
        <v>2319</v>
      </c>
      <c r="D325" s="21"/>
    </row>
    <row r="326" spans="1:5">
      <c r="A326" s="65"/>
      <c r="B326" s="65"/>
      <c r="C326" s="21" t="s">
        <v>2320</v>
      </c>
      <c r="D326" s="21"/>
    </row>
    <row r="327" spans="1:5">
      <c r="A327" s="65"/>
      <c r="B327" s="65"/>
      <c r="C327" s="21" t="s">
        <v>1212</v>
      </c>
      <c r="D327" s="21"/>
    </row>
    <row r="328" spans="1:5">
      <c r="A328" s="82"/>
      <c r="B328" s="72" t="s">
        <v>1302</v>
      </c>
      <c r="C328" s="58" t="s">
        <v>2321</v>
      </c>
      <c r="D328" s="58"/>
      <c r="E328" s="15" t="s">
        <v>2051</v>
      </c>
    </row>
    <row r="329" spans="1:5">
      <c r="A329" s="83"/>
      <c r="B329" s="73"/>
      <c r="C329" s="58" t="s">
        <v>2322</v>
      </c>
      <c r="D329" s="58"/>
      <c r="E329" s="15" t="s">
        <v>2051</v>
      </c>
    </row>
    <row r="330" spans="1:5">
      <c r="A330" s="83"/>
      <c r="B330" s="73"/>
      <c r="C330" s="133" t="s">
        <v>1345</v>
      </c>
      <c r="D330" s="58"/>
      <c r="E330" s="15" t="s">
        <v>2051</v>
      </c>
    </row>
    <row r="331" spans="1:5">
      <c r="A331" s="83"/>
      <c r="B331" s="73"/>
      <c r="C331" s="132" t="s">
        <v>1429</v>
      </c>
      <c r="D331" s="58"/>
      <c r="E331" s="15" t="s">
        <v>2051</v>
      </c>
    </row>
    <row r="332" spans="1:5">
      <c r="A332" s="83"/>
      <c r="B332" s="73"/>
      <c r="C332" s="132" t="s">
        <v>2323</v>
      </c>
      <c r="D332" s="58"/>
      <c r="E332" s="15" t="s">
        <v>2051</v>
      </c>
    </row>
    <row r="333" spans="1:5">
      <c r="A333" s="83"/>
      <c r="B333" s="73"/>
      <c r="C333" s="132" t="s">
        <v>2324</v>
      </c>
      <c r="D333" s="58"/>
      <c r="E333" s="15" t="s">
        <v>2051</v>
      </c>
    </row>
    <row r="334" spans="1:5">
      <c r="A334" s="83"/>
      <c r="B334" s="73"/>
      <c r="C334" s="132" t="s">
        <v>1424</v>
      </c>
      <c r="D334" s="58"/>
      <c r="E334" s="15" t="s">
        <v>2051</v>
      </c>
    </row>
    <row r="335" spans="1:5">
      <c r="A335" s="83"/>
      <c r="B335" s="73"/>
      <c r="C335" s="58" t="s">
        <v>1324</v>
      </c>
      <c r="D335" s="58"/>
      <c r="E335" s="15" t="s">
        <v>2051</v>
      </c>
    </row>
    <row r="336" spans="1:5">
      <c r="A336" s="83"/>
      <c r="B336" s="73"/>
      <c r="C336" s="58" t="s">
        <v>2325</v>
      </c>
      <c r="D336" s="58"/>
      <c r="E336" s="15" t="s">
        <v>2051</v>
      </c>
    </row>
    <row r="337" spans="1:5">
      <c r="A337" s="83"/>
      <c r="B337" s="73"/>
      <c r="C337" s="58" t="s">
        <v>2326</v>
      </c>
      <c r="D337" s="58"/>
      <c r="E337" s="15" t="s">
        <v>2051</v>
      </c>
    </row>
    <row r="338" spans="1:5">
      <c r="A338" s="83"/>
      <c r="B338" s="73"/>
      <c r="C338" s="58" t="s">
        <v>1477</v>
      </c>
      <c r="D338" s="58"/>
      <c r="E338" s="15" t="s">
        <v>2051</v>
      </c>
    </row>
    <row r="339" spans="1:5">
      <c r="A339" s="83"/>
      <c r="B339" s="73"/>
      <c r="C339" s="58" t="s">
        <v>2327</v>
      </c>
      <c r="D339" s="58"/>
      <c r="E339" s="15" t="s">
        <v>2051</v>
      </c>
    </row>
    <row r="340" spans="1:5">
      <c r="A340" s="83"/>
      <c r="B340" s="73"/>
      <c r="C340" s="58" t="s">
        <v>1348</v>
      </c>
      <c r="D340" s="58"/>
      <c r="E340" s="15" t="s">
        <v>2051</v>
      </c>
    </row>
    <row r="341" spans="1:5">
      <c r="A341" s="83"/>
      <c r="B341" s="73"/>
      <c r="C341" s="58" t="s">
        <v>2328</v>
      </c>
      <c r="D341" s="58"/>
      <c r="E341" s="15" t="s">
        <v>2051</v>
      </c>
    </row>
    <row r="342" spans="1:5">
      <c r="A342" s="83"/>
      <c r="B342" s="73"/>
      <c r="C342" s="58" t="s">
        <v>2329</v>
      </c>
      <c r="D342" s="58"/>
      <c r="E342" s="15" t="s">
        <v>2051</v>
      </c>
    </row>
    <row r="343" spans="1:5">
      <c r="A343" s="83"/>
      <c r="B343" s="73"/>
      <c r="C343" s="58" t="s">
        <v>1360</v>
      </c>
      <c r="D343" s="58"/>
      <c r="E343" s="15" t="s">
        <v>2051</v>
      </c>
    </row>
    <row r="344" spans="1:5">
      <c r="A344" s="83"/>
      <c r="B344" s="73"/>
      <c r="C344" s="58" t="s">
        <v>1374</v>
      </c>
      <c r="D344" s="58"/>
      <c r="E344" s="15" t="s">
        <v>2051</v>
      </c>
    </row>
    <row r="345" spans="1:5">
      <c r="A345" s="83"/>
      <c r="B345" s="73"/>
      <c r="C345" s="58" t="s">
        <v>2330</v>
      </c>
      <c r="D345" s="58"/>
      <c r="E345" s="15" t="s">
        <v>2051</v>
      </c>
    </row>
    <row r="346" spans="1:5">
      <c r="A346" s="83"/>
      <c r="B346" s="73"/>
      <c r="C346" s="58" t="s">
        <v>1392</v>
      </c>
      <c r="D346" s="58"/>
      <c r="E346" s="15" t="s">
        <v>2051</v>
      </c>
    </row>
    <row r="347" spans="1:5">
      <c r="A347" s="83"/>
      <c r="B347" s="73"/>
      <c r="C347" s="58" t="s">
        <v>2331</v>
      </c>
      <c r="D347" s="58"/>
      <c r="E347" s="15" t="s">
        <v>2051</v>
      </c>
    </row>
    <row r="348" spans="1:5">
      <c r="A348" s="83"/>
      <c r="B348" s="73"/>
      <c r="C348" s="58" t="s">
        <v>2332</v>
      </c>
      <c r="D348" s="58"/>
      <c r="E348" s="15" t="s">
        <v>2051</v>
      </c>
    </row>
    <row r="349" spans="1:5">
      <c r="A349" s="83"/>
      <c r="B349" s="73"/>
      <c r="C349" s="58" t="s">
        <v>2333</v>
      </c>
      <c r="D349" s="58"/>
      <c r="E349" s="15" t="s">
        <v>2051</v>
      </c>
    </row>
    <row r="350" spans="1:5">
      <c r="A350" s="83"/>
      <c r="B350" s="73"/>
      <c r="C350" s="58" t="s">
        <v>2334</v>
      </c>
      <c r="D350" s="58"/>
      <c r="E350" s="15" t="s">
        <v>2051</v>
      </c>
    </row>
    <row r="351" spans="1:5">
      <c r="A351" s="83"/>
      <c r="B351" s="73"/>
      <c r="C351" s="58" t="s">
        <v>2335</v>
      </c>
      <c r="D351" s="58"/>
      <c r="E351" s="15" t="s">
        <v>2051</v>
      </c>
    </row>
    <row r="352" spans="1:5">
      <c r="A352" s="83"/>
      <c r="B352" s="73"/>
      <c r="C352" s="58" t="s">
        <v>2336</v>
      </c>
      <c r="D352" s="58"/>
      <c r="E352" s="15" t="s">
        <v>2051</v>
      </c>
    </row>
    <row r="353" spans="1:5">
      <c r="A353" s="83"/>
      <c r="B353" s="73"/>
      <c r="C353" s="58" t="s">
        <v>2337</v>
      </c>
      <c r="D353" s="58"/>
      <c r="E353" s="15" t="s">
        <v>2051</v>
      </c>
    </row>
    <row r="354" spans="1:5">
      <c r="A354" s="83"/>
      <c r="B354" s="73"/>
      <c r="C354" s="58" t="s">
        <v>1368</v>
      </c>
      <c r="D354" s="58"/>
      <c r="E354" s="15" t="s">
        <v>2051</v>
      </c>
    </row>
    <row r="355" spans="1:5">
      <c r="A355" s="83"/>
      <c r="B355" s="73"/>
      <c r="C355" s="58" t="s">
        <v>1403</v>
      </c>
      <c r="D355" s="58"/>
      <c r="E355" s="15" t="s">
        <v>2051</v>
      </c>
    </row>
    <row r="356" spans="1:5">
      <c r="A356" s="83"/>
      <c r="B356" s="73"/>
      <c r="C356" s="58" t="s">
        <v>1355</v>
      </c>
      <c r="D356" s="58"/>
      <c r="E356" s="15" t="s">
        <v>2051</v>
      </c>
    </row>
    <row r="357" spans="1:5">
      <c r="A357" s="83"/>
      <c r="B357" s="73"/>
      <c r="C357" s="58" t="s">
        <v>2338</v>
      </c>
      <c r="D357" s="58"/>
      <c r="E357" s="15" t="s">
        <v>2051</v>
      </c>
    </row>
    <row r="358" spans="1:5">
      <c r="A358" s="83"/>
      <c r="B358" s="73"/>
      <c r="C358" s="58" t="s">
        <v>2339</v>
      </c>
      <c r="D358" s="58"/>
      <c r="E358" s="15" t="s">
        <v>2051</v>
      </c>
    </row>
    <row r="359" spans="1:5">
      <c r="A359" s="83"/>
      <c r="B359" s="73"/>
      <c r="C359" s="58" t="s">
        <v>2340</v>
      </c>
      <c r="D359" s="58"/>
      <c r="E359" s="15" t="s">
        <v>2051</v>
      </c>
    </row>
    <row r="360" spans="1:5">
      <c r="A360" s="83"/>
      <c r="B360" s="73"/>
      <c r="C360" s="58" t="s">
        <v>1471</v>
      </c>
      <c r="D360" s="58"/>
      <c r="E360" s="15" t="s">
        <v>2051</v>
      </c>
    </row>
    <row r="361" spans="1:5">
      <c r="A361" s="83"/>
      <c r="B361" s="73"/>
      <c r="C361" s="58" t="s">
        <v>1371</v>
      </c>
      <c r="D361" s="58"/>
      <c r="E361" s="15" t="s">
        <v>2051</v>
      </c>
    </row>
    <row r="362" spans="1:5">
      <c r="A362" s="83"/>
      <c r="B362" s="73"/>
      <c r="C362" s="58" t="s">
        <v>1333</v>
      </c>
      <c r="D362" s="58"/>
      <c r="E362" s="15" t="s">
        <v>2051</v>
      </c>
    </row>
    <row r="363" spans="1:5">
      <c r="A363" s="83"/>
      <c r="B363" s="73"/>
      <c r="C363" s="58" t="s">
        <v>1328</v>
      </c>
      <c r="D363" s="58"/>
      <c r="E363" s="15" t="s">
        <v>2051</v>
      </c>
    </row>
    <row r="364" spans="1:5">
      <c r="A364" s="83"/>
      <c r="B364" s="73"/>
      <c r="C364" s="58" t="s">
        <v>2341</v>
      </c>
      <c r="D364" s="58"/>
      <c r="E364" s="15" t="s">
        <v>2051</v>
      </c>
    </row>
    <row r="365" spans="1:5">
      <c r="A365" s="83"/>
      <c r="B365" s="73"/>
      <c r="C365" s="58" t="s">
        <v>2342</v>
      </c>
      <c r="D365" s="58"/>
      <c r="E365" s="15" t="s">
        <v>2051</v>
      </c>
    </row>
    <row r="366" spans="1:5">
      <c r="A366" s="83"/>
      <c r="B366" s="73"/>
      <c r="C366" s="58" t="s">
        <v>2343</v>
      </c>
      <c r="D366" s="58"/>
      <c r="E366" s="15" t="s">
        <v>2051</v>
      </c>
    </row>
    <row r="367" spans="1:5">
      <c r="A367" s="83"/>
      <c r="B367" s="73"/>
      <c r="C367" s="58" t="s">
        <v>1342</v>
      </c>
      <c r="D367" s="58"/>
      <c r="E367" s="15" t="s">
        <v>2051</v>
      </c>
    </row>
    <row r="368" spans="1:5">
      <c r="A368" s="83"/>
      <c r="B368" s="73"/>
      <c r="C368" s="58" t="s">
        <v>1459</v>
      </c>
      <c r="D368" s="58"/>
      <c r="E368" s="15" t="s">
        <v>2051</v>
      </c>
    </row>
    <row r="369" spans="1:5">
      <c r="A369" s="83"/>
      <c r="B369" s="73"/>
      <c r="C369" s="58" t="s">
        <v>2344</v>
      </c>
      <c r="D369" s="58"/>
      <c r="E369" s="15" t="s">
        <v>2051</v>
      </c>
    </row>
    <row r="370" spans="1:5">
      <c r="A370" s="83"/>
      <c r="B370" s="73"/>
      <c r="C370" s="58" t="s">
        <v>2345</v>
      </c>
      <c r="D370" s="58"/>
      <c r="E370" s="15" t="s">
        <v>2051</v>
      </c>
    </row>
    <row r="371" spans="1:5">
      <c r="A371" s="83"/>
      <c r="B371" s="73"/>
      <c r="C371" s="58" t="s">
        <v>1431</v>
      </c>
      <c r="D371" s="58"/>
      <c r="E371" s="15" t="s">
        <v>2051</v>
      </c>
    </row>
    <row r="372" spans="1:5">
      <c r="A372" s="83"/>
      <c r="B372" s="73"/>
      <c r="C372" s="58" t="s">
        <v>2346</v>
      </c>
      <c r="D372" s="58"/>
      <c r="E372" s="15" t="s">
        <v>2051</v>
      </c>
    </row>
    <row r="373" spans="1:5">
      <c r="A373" s="83"/>
      <c r="B373" s="73"/>
      <c r="C373" s="58" t="s">
        <v>2347</v>
      </c>
      <c r="D373" s="58"/>
      <c r="E373" s="15" t="s">
        <v>2051</v>
      </c>
    </row>
    <row r="374" spans="1:5">
      <c r="A374" s="83"/>
      <c r="B374" s="73"/>
      <c r="C374" s="58" t="s">
        <v>2348</v>
      </c>
      <c r="D374" s="58"/>
      <c r="E374" s="15" t="s">
        <v>2051</v>
      </c>
    </row>
    <row r="375" spans="1:5">
      <c r="A375" s="83"/>
      <c r="B375" s="73"/>
      <c r="C375" s="58" t="s">
        <v>2349</v>
      </c>
      <c r="D375" s="58"/>
      <c r="E375" s="15" t="s">
        <v>2051</v>
      </c>
    </row>
    <row r="376" spans="1:5">
      <c r="A376" s="83"/>
      <c r="B376" s="73"/>
      <c r="C376" s="58" t="s">
        <v>2350</v>
      </c>
      <c r="D376" s="58"/>
      <c r="E376" s="15" t="s">
        <v>2051</v>
      </c>
    </row>
    <row r="377" spans="1:5">
      <c r="A377" s="83"/>
      <c r="B377" s="73"/>
      <c r="C377" s="58" t="s">
        <v>2351</v>
      </c>
      <c r="D377" s="58"/>
      <c r="E377" s="15" t="s">
        <v>2051</v>
      </c>
    </row>
    <row r="378" spans="1:5">
      <c r="A378" s="83"/>
      <c r="B378" s="73"/>
      <c r="C378" s="58" t="s">
        <v>2352</v>
      </c>
      <c r="D378" s="58"/>
      <c r="E378" s="15" t="s">
        <v>2051</v>
      </c>
    </row>
    <row r="379" spans="1:5">
      <c r="A379" s="83"/>
      <c r="B379" s="73"/>
      <c r="C379" s="58" t="s">
        <v>2353</v>
      </c>
      <c r="D379" s="58"/>
      <c r="E379" s="15" t="s">
        <v>2051</v>
      </c>
    </row>
    <row r="380" spans="1:5">
      <c r="A380" s="83"/>
      <c r="B380" s="73"/>
      <c r="C380" s="58" t="s">
        <v>2354</v>
      </c>
      <c r="D380" s="58"/>
      <c r="E380" s="15" t="s">
        <v>2051</v>
      </c>
    </row>
    <row r="381" spans="1:5">
      <c r="A381" s="83"/>
      <c r="B381" s="73"/>
      <c r="C381" s="58" t="s">
        <v>2355</v>
      </c>
      <c r="D381" s="58"/>
      <c r="E381" s="15" t="s">
        <v>2051</v>
      </c>
    </row>
    <row r="382" spans="1:5">
      <c r="A382" s="83"/>
      <c r="B382" s="73"/>
      <c r="C382" s="58" t="s">
        <v>2356</v>
      </c>
      <c r="D382" s="58"/>
      <c r="E382" s="15" t="s">
        <v>2051</v>
      </c>
    </row>
    <row r="383" spans="1:5">
      <c r="A383" s="83"/>
      <c r="B383" s="73"/>
      <c r="C383" s="58" t="s">
        <v>1436</v>
      </c>
      <c r="D383" s="58"/>
      <c r="E383" s="15" t="s">
        <v>2051</v>
      </c>
    </row>
    <row r="384" spans="1:5">
      <c r="A384" s="83"/>
      <c r="B384" s="73"/>
      <c r="C384" s="58" t="s">
        <v>2357</v>
      </c>
      <c r="D384" s="58"/>
      <c r="E384" s="15" t="s">
        <v>2051</v>
      </c>
    </row>
    <row r="385" spans="1:5">
      <c r="A385" s="83"/>
      <c r="B385" s="73"/>
      <c r="C385" s="58" t="s">
        <v>2358</v>
      </c>
      <c r="D385" s="58"/>
      <c r="E385" s="15" t="s">
        <v>2051</v>
      </c>
    </row>
    <row r="386" spans="1:5">
      <c r="A386" s="83"/>
      <c r="B386" s="73"/>
      <c r="C386" s="58" t="s">
        <v>2359</v>
      </c>
      <c r="D386" s="58"/>
      <c r="E386" s="15" t="s">
        <v>2051</v>
      </c>
    </row>
    <row r="387" spans="1:5">
      <c r="A387" s="83"/>
      <c r="B387" s="73"/>
      <c r="C387" s="58" t="s">
        <v>2360</v>
      </c>
      <c r="D387" s="58"/>
      <c r="E387" s="15" t="s">
        <v>2051</v>
      </c>
    </row>
    <row r="388" spans="1:5">
      <c r="A388" s="83"/>
      <c r="B388" s="73"/>
      <c r="C388" s="58" t="s">
        <v>2361</v>
      </c>
      <c r="D388" s="58"/>
      <c r="E388" s="15" t="s">
        <v>2051</v>
      </c>
    </row>
    <row r="389" spans="1:5">
      <c r="A389" s="83"/>
      <c r="B389" s="73"/>
      <c r="C389" s="58" t="s">
        <v>2362</v>
      </c>
      <c r="D389" s="58"/>
      <c r="E389" s="15" t="s">
        <v>2051</v>
      </c>
    </row>
    <row r="390" spans="1:5">
      <c r="A390" s="83"/>
      <c r="B390" s="73"/>
      <c r="C390" s="58" t="s">
        <v>1308</v>
      </c>
      <c r="D390" s="58"/>
      <c r="E390" s="15" t="s">
        <v>2051</v>
      </c>
    </row>
    <row r="391" spans="1:5">
      <c r="A391" s="83"/>
      <c r="B391" s="73"/>
      <c r="C391" s="58" t="s">
        <v>2363</v>
      </c>
      <c r="D391" s="58"/>
      <c r="E391" s="15" t="s">
        <v>2051</v>
      </c>
    </row>
    <row r="392" spans="1:5">
      <c r="A392" s="83"/>
      <c r="B392" s="73"/>
      <c r="C392" s="58" t="s">
        <v>1441</v>
      </c>
      <c r="D392" s="58"/>
      <c r="E392" s="15" t="s">
        <v>2051</v>
      </c>
    </row>
    <row r="393" spans="1:5">
      <c r="A393" s="83"/>
      <c r="B393" s="73"/>
      <c r="C393" s="58" t="s">
        <v>2364</v>
      </c>
      <c r="D393" s="58"/>
      <c r="E393" s="15" t="s">
        <v>2051</v>
      </c>
    </row>
    <row r="394" spans="1:5">
      <c r="A394" s="83"/>
      <c r="B394" s="73"/>
      <c r="C394" s="58" t="s">
        <v>2365</v>
      </c>
      <c r="D394" s="58"/>
      <c r="E394" s="15" t="s">
        <v>2051</v>
      </c>
    </row>
    <row r="395" spans="1:5">
      <c r="A395" s="83"/>
      <c r="B395" s="73"/>
      <c r="C395" s="58" t="s">
        <v>2366</v>
      </c>
      <c r="D395" s="58"/>
      <c r="E395" s="15" t="s">
        <v>2051</v>
      </c>
    </row>
    <row r="396" spans="1:5">
      <c r="A396" s="83"/>
      <c r="B396" s="73"/>
      <c r="C396" s="58" t="s">
        <v>2367</v>
      </c>
      <c r="D396" s="58"/>
      <c r="E396" s="15" t="s">
        <v>2051</v>
      </c>
    </row>
    <row r="397" spans="1:5">
      <c r="A397" s="83"/>
      <c r="B397" s="73"/>
      <c r="C397" s="58" t="s">
        <v>2368</v>
      </c>
      <c r="D397" s="58"/>
      <c r="E397" s="15" t="s">
        <v>2051</v>
      </c>
    </row>
    <row r="398" spans="1:5">
      <c r="A398" s="83"/>
      <c r="B398" s="73"/>
      <c r="C398" s="58" t="s">
        <v>2369</v>
      </c>
      <c r="D398" s="58"/>
      <c r="E398" s="15" t="s">
        <v>2051</v>
      </c>
    </row>
    <row r="399" spans="1:5">
      <c r="A399" s="83"/>
      <c r="B399" s="73"/>
      <c r="C399" s="58" t="s">
        <v>2370</v>
      </c>
      <c r="D399" s="58"/>
      <c r="E399" s="15" t="s">
        <v>2051</v>
      </c>
    </row>
    <row r="400" spans="1:5">
      <c r="A400" s="83"/>
      <c r="B400" s="73"/>
      <c r="C400" s="58" t="s">
        <v>2371</v>
      </c>
      <c r="D400" s="58"/>
      <c r="E400" s="15" t="s">
        <v>2051</v>
      </c>
    </row>
    <row r="401" spans="1:5">
      <c r="A401" s="83"/>
      <c r="B401" s="73"/>
      <c r="C401" s="58" t="s">
        <v>2372</v>
      </c>
      <c r="D401" s="58"/>
      <c r="E401" s="15" t="s">
        <v>2051</v>
      </c>
    </row>
    <row r="402" spans="1:5">
      <c r="A402" s="83"/>
      <c r="B402" s="73"/>
      <c r="C402" s="58" t="s">
        <v>2373</v>
      </c>
      <c r="D402" s="58"/>
      <c r="E402" s="15" t="s">
        <v>2051</v>
      </c>
    </row>
    <row r="403" spans="1:5">
      <c r="A403" s="83"/>
      <c r="B403" s="73"/>
      <c r="C403" s="58" t="s">
        <v>2374</v>
      </c>
      <c r="D403" s="58"/>
      <c r="E403" s="15" t="s">
        <v>2051</v>
      </c>
    </row>
    <row r="404" spans="1:5">
      <c r="A404" s="83"/>
      <c r="B404" s="73"/>
      <c r="C404" s="58" t="s">
        <v>2375</v>
      </c>
      <c r="D404" s="58"/>
      <c r="E404" s="15" t="s">
        <v>2051</v>
      </c>
    </row>
    <row r="405" spans="1:5">
      <c r="A405" s="83"/>
      <c r="B405" s="73"/>
      <c r="C405" s="58" t="s">
        <v>2376</v>
      </c>
      <c r="D405" s="58"/>
      <c r="E405" s="15" t="s">
        <v>2051</v>
      </c>
    </row>
    <row r="406" spans="1:5">
      <c r="A406" s="83"/>
      <c r="B406" s="73"/>
      <c r="C406" s="58" t="s">
        <v>2377</v>
      </c>
      <c r="D406" s="58"/>
      <c r="E406" s="15" t="s">
        <v>2051</v>
      </c>
    </row>
    <row r="407" spans="1:5">
      <c r="A407" s="83"/>
      <c r="B407" s="73"/>
      <c r="C407" s="58" t="s">
        <v>2378</v>
      </c>
      <c r="D407" s="58"/>
      <c r="E407" s="15" t="s">
        <v>2051</v>
      </c>
    </row>
    <row r="408" spans="1:5">
      <c r="A408" s="83"/>
      <c r="B408" s="73"/>
      <c r="C408" s="58" t="s">
        <v>2379</v>
      </c>
      <c r="D408" s="58"/>
      <c r="E408" s="15" t="s">
        <v>2051</v>
      </c>
    </row>
    <row r="409" spans="1:5">
      <c r="A409" s="83"/>
      <c r="B409" s="73"/>
      <c r="C409" s="58" t="s">
        <v>2380</v>
      </c>
      <c r="D409" s="58"/>
      <c r="E409" s="15" t="s">
        <v>2051</v>
      </c>
    </row>
    <row r="410" spans="1:5">
      <c r="A410" s="83"/>
      <c r="B410" s="73"/>
      <c r="C410" s="58" t="s">
        <v>2381</v>
      </c>
      <c r="D410" s="58"/>
      <c r="E410" s="15" t="s">
        <v>2051</v>
      </c>
    </row>
    <row r="411" spans="1:5">
      <c r="A411" s="83"/>
      <c r="B411" s="73"/>
      <c r="C411" s="58" t="s">
        <v>2382</v>
      </c>
      <c r="D411" s="58"/>
      <c r="E411" s="15" t="s">
        <v>2051</v>
      </c>
    </row>
    <row r="412" spans="1:5">
      <c r="A412" s="83"/>
      <c r="B412" s="73"/>
      <c r="C412" s="58" t="s">
        <v>2383</v>
      </c>
      <c r="D412" s="58"/>
      <c r="E412" s="15" t="s">
        <v>2051</v>
      </c>
    </row>
    <row r="413" spans="1:5">
      <c r="A413" s="83"/>
      <c r="B413" s="73"/>
      <c r="C413" s="58" t="s">
        <v>2384</v>
      </c>
      <c r="D413" s="58"/>
      <c r="E413" s="15" t="s">
        <v>2051</v>
      </c>
    </row>
    <row r="414" spans="1:5">
      <c r="A414" s="83"/>
      <c r="B414" s="73"/>
      <c r="C414" s="58" t="s">
        <v>2385</v>
      </c>
      <c r="D414" s="58"/>
      <c r="E414" s="15" t="s">
        <v>2051</v>
      </c>
    </row>
    <row r="415" spans="1:5">
      <c r="A415" s="83"/>
      <c r="B415" s="73"/>
      <c r="C415" s="58" t="s">
        <v>2386</v>
      </c>
      <c r="D415" s="58"/>
      <c r="E415" s="15" t="s">
        <v>2051</v>
      </c>
    </row>
    <row r="416" spans="1:5">
      <c r="A416" s="83"/>
      <c r="B416" s="73"/>
      <c r="C416" s="58" t="s">
        <v>2387</v>
      </c>
      <c r="D416" s="58"/>
      <c r="E416" s="15" t="s">
        <v>2051</v>
      </c>
    </row>
    <row r="417" spans="1:5">
      <c r="A417" s="83"/>
      <c r="B417" s="73"/>
      <c r="C417" s="58" t="s">
        <v>2388</v>
      </c>
      <c r="D417" s="58"/>
      <c r="E417" s="15" t="s">
        <v>2051</v>
      </c>
    </row>
    <row r="418" spans="1:5">
      <c r="A418" s="83"/>
      <c r="B418" s="73"/>
      <c r="C418" s="58" t="s">
        <v>2389</v>
      </c>
      <c r="D418" s="58"/>
      <c r="E418" s="15" t="s">
        <v>2051</v>
      </c>
    </row>
    <row r="419" spans="1:5">
      <c r="A419" s="83"/>
      <c r="B419" s="73"/>
      <c r="C419" s="58" t="s">
        <v>2390</v>
      </c>
      <c r="D419" s="58"/>
      <c r="E419" s="15" t="s">
        <v>2051</v>
      </c>
    </row>
    <row r="420" spans="1:5">
      <c r="A420" s="83"/>
      <c r="B420" s="73"/>
      <c r="C420" s="58" t="s">
        <v>2391</v>
      </c>
      <c r="D420" s="58"/>
      <c r="E420" s="15" t="s">
        <v>2051</v>
      </c>
    </row>
    <row r="421" spans="1:5">
      <c r="A421" s="83"/>
      <c r="B421" s="73"/>
      <c r="C421" s="58" t="s">
        <v>2392</v>
      </c>
      <c r="D421" s="58"/>
      <c r="E421" s="15" t="s">
        <v>2051</v>
      </c>
    </row>
    <row r="422" spans="1:5">
      <c r="A422" s="83"/>
      <c r="B422" s="73"/>
      <c r="C422" s="58" t="s">
        <v>2393</v>
      </c>
      <c r="D422" s="58"/>
      <c r="E422" s="15" t="s">
        <v>2051</v>
      </c>
    </row>
    <row r="423" spans="1:5">
      <c r="A423" s="83"/>
      <c r="B423" s="73"/>
      <c r="C423" s="58" t="s">
        <v>2394</v>
      </c>
      <c r="D423" s="58"/>
      <c r="E423" s="15" t="s">
        <v>2051</v>
      </c>
    </row>
    <row r="424" spans="1:5">
      <c r="A424" s="83"/>
      <c r="B424" s="73"/>
      <c r="C424" s="58" t="s">
        <v>2395</v>
      </c>
      <c r="D424" s="58"/>
      <c r="E424" s="15" t="s">
        <v>2051</v>
      </c>
    </row>
    <row r="425" spans="1:5">
      <c r="A425" s="83"/>
      <c r="B425" s="73"/>
      <c r="C425" s="58" t="s">
        <v>2396</v>
      </c>
      <c r="D425" s="58"/>
      <c r="E425" s="15" t="s">
        <v>2051</v>
      </c>
    </row>
    <row r="426" spans="1:5">
      <c r="A426" s="83"/>
      <c r="B426" s="73"/>
      <c r="C426" s="58" t="s">
        <v>2397</v>
      </c>
      <c r="D426" s="58"/>
      <c r="E426" s="15" t="s">
        <v>2051</v>
      </c>
    </row>
    <row r="427" spans="1:5">
      <c r="A427" s="83"/>
      <c r="B427" s="73"/>
      <c r="C427" s="58" t="s">
        <v>2398</v>
      </c>
      <c r="D427" s="58"/>
      <c r="E427" s="15" t="s">
        <v>2051</v>
      </c>
    </row>
    <row r="428" spans="1:5">
      <c r="A428" s="83"/>
      <c r="B428" s="73"/>
      <c r="C428" s="58" t="s">
        <v>2399</v>
      </c>
      <c r="D428" s="58"/>
      <c r="E428" s="15" t="s">
        <v>2051</v>
      </c>
    </row>
    <row r="429" spans="1:5">
      <c r="A429" s="83"/>
      <c r="B429" s="73"/>
      <c r="C429" s="58" t="s">
        <v>2400</v>
      </c>
      <c r="D429" s="58"/>
      <c r="E429" s="15" t="s">
        <v>2051</v>
      </c>
    </row>
    <row r="430" spans="1:5">
      <c r="A430" s="83"/>
      <c r="B430" s="73"/>
      <c r="C430" s="58" t="s">
        <v>2401</v>
      </c>
      <c r="D430" s="58"/>
      <c r="E430" s="15" t="s">
        <v>2051</v>
      </c>
    </row>
    <row r="431" spans="1:5">
      <c r="A431" s="83"/>
      <c r="B431" s="73"/>
      <c r="C431" s="58" t="s">
        <v>2402</v>
      </c>
      <c r="D431" s="58"/>
      <c r="E431" s="15" t="s">
        <v>2051</v>
      </c>
    </row>
    <row r="432" spans="1:5">
      <c r="A432" s="83"/>
      <c r="B432" s="73"/>
      <c r="C432" s="58" t="s">
        <v>2403</v>
      </c>
      <c r="D432" s="58"/>
      <c r="E432" s="15" t="s">
        <v>2051</v>
      </c>
    </row>
    <row r="433" spans="1:5">
      <c r="A433" s="83"/>
      <c r="B433" s="73"/>
      <c r="C433" s="58" t="s">
        <v>2404</v>
      </c>
      <c r="D433" s="58"/>
      <c r="E433" s="15" t="s">
        <v>2051</v>
      </c>
    </row>
    <row r="434" spans="1:5">
      <c r="A434" s="83"/>
      <c r="B434" s="73"/>
      <c r="C434" s="58" t="s">
        <v>2405</v>
      </c>
      <c r="D434" s="58"/>
      <c r="E434" s="15" t="s">
        <v>2051</v>
      </c>
    </row>
    <row r="435" spans="1:5">
      <c r="A435" s="83"/>
      <c r="B435" s="73"/>
      <c r="C435" s="58" t="s">
        <v>2406</v>
      </c>
      <c r="D435" s="58"/>
      <c r="E435" s="15" t="s">
        <v>2051</v>
      </c>
    </row>
    <row r="436" spans="1:5">
      <c r="A436" s="83"/>
      <c r="B436" s="73"/>
      <c r="C436" s="58" t="s">
        <v>1314</v>
      </c>
      <c r="D436" s="58"/>
      <c r="E436" s="15" t="s">
        <v>2051</v>
      </c>
    </row>
    <row r="437" spans="1:5">
      <c r="A437" s="83"/>
      <c r="B437" s="73"/>
      <c r="C437" s="58" t="s">
        <v>2407</v>
      </c>
      <c r="D437" s="58"/>
      <c r="E437" s="15" t="s">
        <v>2051</v>
      </c>
    </row>
    <row r="438" spans="1:5">
      <c r="A438" s="83"/>
      <c r="B438" s="73"/>
      <c r="C438" s="58" t="s">
        <v>2408</v>
      </c>
      <c r="D438" s="58"/>
      <c r="E438" s="15" t="s">
        <v>2051</v>
      </c>
    </row>
    <row r="439" spans="1:5">
      <c r="A439" s="83"/>
      <c r="B439" s="73"/>
      <c r="C439" s="58" t="s">
        <v>2409</v>
      </c>
      <c r="D439" s="58"/>
      <c r="E439" s="15" t="s">
        <v>2051</v>
      </c>
    </row>
    <row r="440" spans="1:5">
      <c r="A440" s="83"/>
      <c r="B440" s="73"/>
      <c r="C440" s="58" t="s">
        <v>2410</v>
      </c>
      <c r="D440" s="58"/>
      <c r="E440" s="15" t="s">
        <v>2051</v>
      </c>
    </row>
    <row r="441" spans="1:5">
      <c r="A441" s="83"/>
      <c r="B441" s="73"/>
      <c r="C441" s="58" t="s">
        <v>2411</v>
      </c>
      <c r="D441" s="58"/>
      <c r="E441" s="15" t="s">
        <v>2051</v>
      </c>
    </row>
    <row r="442" spans="1:5">
      <c r="A442" s="83"/>
      <c r="B442" s="73"/>
      <c r="C442" s="58" t="s">
        <v>2412</v>
      </c>
      <c r="D442" s="58"/>
      <c r="E442" s="15" t="s">
        <v>2051</v>
      </c>
    </row>
    <row r="443" spans="1:5">
      <c r="A443" s="83"/>
      <c r="B443" s="73"/>
      <c r="C443" s="58" t="s">
        <v>2413</v>
      </c>
      <c r="D443" s="58"/>
      <c r="E443" s="15" t="s">
        <v>2051</v>
      </c>
    </row>
    <row r="444" spans="1:5">
      <c r="A444" s="83"/>
      <c r="B444" s="73"/>
      <c r="C444" s="58" t="s">
        <v>2414</v>
      </c>
      <c r="D444" s="58"/>
      <c r="E444" s="15" t="s">
        <v>2051</v>
      </c>
    </row>
    <row r="445" spans="1:5">
      <c r="A445" s="83"/>
      <c r="B445" s="73"/>
      <c r="C445" s="58" t="s">
        <v>2415</v>
      </c>
      <c r="D445" s="58"/>
      <c r="E445" s="15" t="s">
        <v>2051</v>
      </c>
    </row>
    <row r="446" spans="1:5">
      <c r="A446" s="83"/>
      <c r="B446" s="73"/>
      <c r="C446" s="58" t="s">
        <v>2416</v>
      </c>
      <c r="D446" s="58"/>
      <c r="E446" s="15" t="s">
        <v>2051</v>
      </c>
    </row>
    <row r="447" spans="1:5">
      <c r="A447" s="83"/>
      <c r="B447" s="73"/>
      <c r="C447" s="58" t="s">
        <v>2417</v>
      </c>
      <c r="D447" s="58"/>
      <c r="E447" s="15" t="s">
        <v>2051</v>
      </c>
    </row>
    <row r="448" spans="1:5">
      <c r="A448" s="83"/>
      <c r="B448" s="73"/>
      <c r="C448" s="58" t="s">
        <v>2418</v>
      </c>
      <c r="D448" s="58"/>
      <c r="E448" s="15" t="s">
        <v>2051</v>
      </c>
    </row>
    <row r="449" spans="1:5">
      <c r="A449" s="83"/>
      <c r="B449" s="73"/>
      <c r="C449" s="58" t="s">
        <v>2419</v>
      </c>
      <c r="D449" s="58"/>
      <c r="E449" s="15" t="s">
        <v>2051</v>
      </c>
    </row>
    <row r="450" spans="1:5">
      <c r="A450" s="83"/>
      <c r="B450" s="73"/>
      <c r="C450" s="58" t="s">
        <v>2420</v>
      </c>
      <c r="D450" s="58"/>
      <c r="E450" s="15" t="s">
        <v>2051</v>
      </c>
    </row>
    <row r="451" spans="1:5">
      <c r="A451" s="83"/>
      <c r="B451" s="73"/>
      <c r="C451" s="58" t="s">
        <v>2421</v>
      </c>
      <c r="D451" s="58"/>
      <c r="E451" s="15" t="s">
        <v>2051</v>
      </c>
    </row>
    <row r="452" spans="1:5">
      <c r="A452" s="83"/>
      <c r="B452" s="73"/>
      <c r="C452" s="58" t="s">
        <v>2422</v>
      </c>
      <c r="D452" s="58"/>
      <c r="E452" s="15" t="s">
        <v>2051</v>
      </c>
    </row>
    <row r="453" spans="1:5">
      <c r="A453" s="83"/>
      <c r="B453" s="73"/>
      <c r="C453" s="58" t="s">
        <v>2423</v>
      </c>
      <c r="D453" s="58"/>
      <c r="E453" s="15" t="s">
        <v>2051</v>
      </c>
    </row>
    <row r="454" spans="1:5">
      <c r="A454" s="83"/>
      <c r="B454" s="73"/>
      <c r="C454" s="58" t="s">
        <v>2424</v>
      </c>
      <c r="D454" s="58"/>
      <c r="E454" s="15" t="s">
        <v>2051</v>
      </c>
    </row>
    <row r="455" spans="1:5">
      <c r="A455" s="83"/>
      <c r="B455" s="73"/>
      <c r="C455" s="58" t="s">
        <v>2425</v>
      </c>
      <c r="D455" s="58"/>
      <c r="E455" s="15" t="s">
        <v>2051</v>
      </c>
    </row>
    <row r="456" spans="1:5">
      <c r="A456" s="83"/>
      <c r="B456" s="73"/>
      <c r="C456" s="58" t="s">
        <v>2426</v>
      </c>
      <c r="D456" s="58"/>
      <c r="E456" s="15" t="s">
        <v>2051</v>
      </c>
    </row>
    <row r="457" spans="1:5">
      <c r="A457" s="83"/>
      <c r="B457" s="73"/>
      <c r="C457" s="58" t="s">
        <v>2427</v>
      </c>
      <c r="D457" s="58"/>
      <c r="E457" s="15" t="s">
        <v>2051</v>
      </c>
    </row>
    <row r="458" spans="1:5">
      <c r="A458" s="83"/>
      <c r="B458" s="73"/>
      <c r="C458" s="58" t="s">
        <v>2428</v>
      </c>
      <c r="D458" s="58"/>
      <c r="E458" s="15" t="s">
        <v>2051</v>
      </c>
    </row>
    <row r="459" spans="1:5">
      <c r="A459" s="83"/>
      <c r="B459" s="73"/>
      <c r="C459" s="58" t="s">
        <v>2429</v>
      </c>
      <c r="D459" s="58"/>
      <c r="E459" s="15" t="s">
        <v>2051</v>
      </c>
    </row>
    <row r="460" spans="1:5">
      <c r="A460" s="83"/>
      <c r="B460" s="73"/>
      <c r="C460" s="58" t="s">
        <v>1415</v>
      </c>
      <c r="D460" s="58"/>
      <c r="E460" s="15" t="s">
        <v>2051</v>
      </c>
    </row>
    <row r="461" spans="1:5">
      <c r="A461" s="83"/>
      <c r="B461" s="73"/>
      <c r="C461" s="58" t="s">
        <v>2430</v>
      </c>
      <c r="D461" s="58"/>
      <c r="E461" s="15" t="s">
        <v>2051</v>
      </c>
    </row>
    <row r="462" spans="1:5">
      <c r="A462" s="83"/>
      <c r="B462" s="73"/>
      <c r="C462" s="58" t="s">
        <v>2431</v>
      </c>
      <c r="D462" s="58"/>
      <c r="E462" s="15" t="s">
        <v>2051</v>
      </c>
    </row>
    <row r="463" spans="1:5">
      <c r="A463" s="83"/>
      <c r="B463" s="73"/>
      <c r="C463" s="58" t="s">
        <v>2432</v>
      </c>
      <c r="D463" s="58"/>
      <c r="E463" s="15" t="s">
        <v>2051</v>
      </c>
    </row>
    <row r="464" spans="1:5">
      <c r="A464" s="83"/>
      <c r="B464" s="73"/>
      <c r="C464" s="58" t="s">
        <v>1487</v>
      </c>
      <c r="D464" s="58"/>
      <c r="E464" s="15" t="s">
        <v>2051</v>
      </c>
    </row>
    <row r="465" spans="1:5">
      <c r="A465" s="83"/>
      <c r="B465" s="73"/>
      <c r="C465" s="58" t="s">
        <v>2433</v>
      </c>
      <c r="D465" s="58"/>
      <c r="E465" s="15" t="s">
        <v>2051</v>
      </c>
    </row>
    <row r="466" spans="1:5">
      <c r="A466" s="83"/>
      <c r="B466" s="73"/>
      <c r="C466" s="58" t="s">
        <v>2434</v>
      </c>
      <c r="D466" s="58"/>
      <c r="E466" s="15" t="s">
        <v>2051</v>
      </c>
    </row>
    <row r="467" spans="1:5">
      <c r="A467" s="83"/>
      <c r="B467" s="73"/>
      <c r="C467" s="58" t="s">
        <v>2435</v>
      </c>
      <c r="D467" s="58"/>
      <c r="E467" s="15" t="s">
        <v>2051</v>
      </c>
    </row>
    <row r="468" spans="1:5">
      <c r="A468" s="83"/>
      <c r="B468" s="73"/>
      <c r="C468" s="58" t="s">
        <v>2436</v>
      </c>
      <c r="D468" s="58"/>
      <c r="E468" s="15" t="s">
        <v>2051</v>
      </c>
    </row>
    <row r="469" spans="1:5">
      <c r="A469" s="83"/>
      <c r="B469" s="73"/>
      <c r="C469" s="58" t="s">
        <v>2437</v>
      </c>
      <c r="D469" s="58"/>
      <c r="E469" s="15" t="s">
        <v>2051</v>
      </c>
    </row>
    <row r="470" spans="1:5">
      <c r="A470" s="83"/>
      <c r="B470" s="73"/>
      <c r="C470" s="58" t="s">
        <v>2438</v>
      </c>
      <c r="D470" s="58"/>
      <c r="E470" s="15" t="s">
        <v>2051</v>
      </c>
    </row>
    <row r="471" spans="1:5">
      <c r="A471" s="83"/>
      <c r="B471" s="73"/>
      <c r="C471" s="58" t="s">
        <v>2439</v>
      </c>
      <c r="D471" s="58"/>
      <c r="E471" s="15" t="s">
        <v>2051</v>
      </c>
    </row>
    <row r="472" spans="1:5">
      <c r="A472" s="83"/>
      <c r="B472" s="73"/>
      <c r="C472" s="58" t="s">
        <v>2440</v>
      </c>
      <c r="D472" s="58"/>
      <c r="E472" s="15" t="s">
        <v>2051</v>
      </c>
    </row>
    <row r="473" spans="1:5">
      <c r="A473" s="83"/>
      <c r="B473" s="73"/>
      <c r="C473" s="58" t="s">
        <v>2441</v>
      </c>
      <c r="D473" s="58"/>
      <c r="E473" s="15" t="s">
        <v>2051</v>
      </c>
    </row>
    <row r="474" spans="1:5">
      <c r="A474" s="83"/>
      <c r="B474" s="73"/>
      <c r="C474" s="58" t="s">
        <v>2442</v>
      </c>
      <c r="D474" s="58"/>
      <c r="E474" s="15" t="s">
        <v>2051</v>
      </c>
    </row>
    <row r="475" spans="1:5">
      <c r="A475" s="83"/>
      <c r="B475" s="73"/>
      <c r="C475" s="58" t="s">
        <v>2443</v>
      </c>
      <c r="D475" s="58"/>
      <c r="E475" s="15" t="s">
        <v>2051</v>
      </c>
    </row>
    <row r="476" spans="1:5">
      <c r="A476" s="83"/>
      <c r="B476" s="73"/>
      <c r="C476" s="58" t="s">
        <v>2444</v>
      </c>
      <c r="D476" s="58"/>
      <c r="E476" s="15" t="s">
        <v>2051</v>
      </c>
    </row>
    <row r="477" spans="1:5">
      <c r="A477" s="83"/>
      <c r="B477" s="73"/>
      <c r="C477" s="58" t="s">
        <v>1338</v>
      </c>
      <c r="D477" s="58"/>
      <c r="E477" s="15" t="s">
        <v>2051</v>
      </c>
    </row>
    <row r="478" spans="1:5">
      <c r="A478" s="83"/>
      <c r="B478" s="73"/>
      <c r="C478" s="58" t="s">
        <v>2445</v>
      </c>
      <c r="D478" s="58"/>
      <c r="E478" s="15" t="s">
        <v>2051</v>
      </c>
    </row>
    <row r="479" spans="1:5">
      <c r="A479" s="83"/>
      <c r="B479" s="73"/>
      <c r="C479" s="58" t="s">
        <v>1382</v>
      </c>
      <c r="D479" s="58"/>
      <c r="E479" s="15" t="s">
        <v>2051</v>
      </c>
    </row>
    <row r="480" spans="1:5">
      <c r="A480" s="83"/>
      <c r="B480" s="73"/>
      <c r="C480" s="58" t="s">
        <v>2446</v>
      </c>
      <c r="D480" s="58"/>
      <c r="E480" s="15" t="s">
        <v>2051</v>
      </c>
    </row>
    <row r="481" spans="1:5">
      <c r="A481" s="83"/>
      <c r="B481" s="73"/>
      <c r="C481" s="58" t="s">
        <v>2447</v>
      </c>
      <c r="D481" s="58"/>
      <c r="E481" s="15" t="s">
        <v>2051</v>
      </c>
    </row>
    <row r="482" spans="1:5">
      <c r="A482" s="83"/>
      <c r="B482" s="73"/>
      <c r="C482" s="58" t="s">
        <v>2448</v>
      </c>
      <c r="D482" s="58"/>
      <c r="E482" s="15" t="s">
        <v>2051</v>
      </c>
    </row>
    <row r="483" spans="1:5">
      <c r="A483" s="83"/>
      <c r="B483" s="73"/>
      <c r="C483" s="58" t="s">
        <v>2449</v>
      </c>
      <c r="D483" s="58"/>
      <c r="E483" s="15" t="s">
        <v>2051</v>
      </c>
    </row>
    <row r="484" spans="1:5">
      <c r="A484" s="83"/>
      <c r="B484" s="73"/>
      <c r="C484" s="58" t="s">
        <v>2450</v>
      </c>
      <c r="D484" s="58"/>
      <c r="E484" s="15" t="s">
        <v>2051</v>
      </c>
    </row>
    <row r="485" spans="1:5">
      <c r="A485" s="83"/>
      <c r="B485" s="73"/>
      <c r="C485" s="58" t="s">
        <v>2451</v>
      </c>
      <c r="D485" s="58"/>
      <c r="E485" s="15" t="s">
        <v>2051</v>
      </c>
    </row>
    <row r="486" spans="1:5">
      <c r="A486" s="83"/>
      <c r="B486" s="73"/>
      <c r="C486" s="58" t="s">
        <v>2452</v>
      </c>
      <c r="D486" s="58"/>
      <c r="E486" s="15" t="s">
        <v>2051</v>
      </c>
    </row>
    <row r="487" spans="1:5">
      <c r="A487" s="83"/>
      <c r="B487" s="73"/>
      <c r="C487" s="58" t="s">
        <v>2453</v>
      </c>
      <c r="D487" s="58"/>
      <c r="E487" s="15" t="s">
        <v>2051</v>
      </c>
    </row>
    <row r="488" spans="1:5">
      <c r="A488" s="83"/>
      <c r="B488" s="73"/>
      <c r="C488" s="58" t="s">
        <v>1482</v>
      </c>
      <c r="D488" s="58"/>
      <c r="E488" s="15" t="s">
        <v>2051</v>
      </c>
    </row>
    <row r="489" spans="1:5">
      <c r="A489" s="83"/>
      <c r="B489" s="73"/>
      <c r="C489" s="58" t="s">
        <v>730</v>
      </c>
      <c r="D489" s="58"/>
    </row>
    <row r="490" spans="1:5">
      <c r="A490" s="83"/>
      <c r="B490" s="73"/>
      <c r="C490" s="58" t="s">
        <v>2454</v>
      </c>
      <c r="D490" s="58"/>
    </row>
    <row r="491" spans="1:5">
      <c r="A491" s="83"/>
      <c r="B491" s="73"/>
      <c r="C491" s="58" t="s">
        <v>2455</v>
      </c>
      <c r="D491" s="58"/>
    </row>
    <row r="492" spans="1:5">
      <c r="A492" s="83"/>
      <c r="B492" s="73"/>
      <c r="C492" s="58" t="s">
        <v>2456</v>
      </c>
      <c r="D492" s="58"/>
    </row>
    <row r="493" spans="1:5">
      <c r="A493" s="83"/>
      <c r="B493" s="73"/>
      <c r="C493" s="58" t="s">
        <v>2457</v>
      </c>
      <c r="D493" s="58"/>
    </row>
    <row r="494" spans="1:5">
      <c r="A494" s="83"/>
      <c r="B494" s="73"/>
      <c r="C494" s="58" t="s">
        <v>1410</v>
      </c>
      <c r="D494" s="58"/>
    </row>
    <row r="495" spans="1:5">
      <c r="A495" s="83"/>
      <c r="B495" s="73"/>
      <c r="C495" s="58" t="s">
        <v>2458</v>
      </c>
      <c r="D495" s="58"/>
    </row>
    <row r="496" spans="1:5">
      <c r="A496" s="83"/>
      <c r="B496" s="73"/>
      <c r="C496" s="58" t="s">
        <v>2459</v>
      </c>
      <c r="D496" s="58"/>
    </row>
    <row r="497" spans="1:4">
      <c r="A497" s="83"/>
      <c r="B497" s="73"/>
      <c r="C497" s="58" t="s">
        <v>2460</v>
      </c>
      <c r="D497" s="58"/>
    </row>
    <row r="498" spans="1:4">
      <c r="A498" s="84"/>
      <c r="B498" s="74"/>
      <c r="C498" s="58" t="s">
        <v>1212</v>
      </c>
      <c r="D498" s="58"/>
    </row>
    <row r="499" spans="1:4">
      <c r="A499" s="116"/>
      <c r="B499" s="121" t="s">
        <v>2461</v>
      </c>
      <c r="C499" s="55" t="s">
        <v>152</v>
      </c>
      <c r="D499" s="55"/>
    </row>
    <row r="500" spans="1:4">
      <c r="A500" s="65"/>
      <c r="B500" s="121"/>
      <c r="C500" s="55" t="s">
        <v>2462</v>
      </c>
      <c r="D500" s="55"/>
    </row>
    <row r="501" spans="1:4">
      <c r="A501" s="65"/>
      <c r="B501" s="121"/>
      <c r="C501" s="55" t="s">
        <v>2463</v>
      </c>
      <c r="D501" s="55"/>
    </row>
    <row r="502" spans="1:4">
      <c r="A502" s="65"/>
      <c r="B502" s="121"/>
      <c r="C502" s="55" t="s">
        <v>2464</v>
      </c>
      <c r="D502" s="55"/>
    </row>
    <row r="503" spans="1:4">
      <c r="A503" s="65"/>
      <c r="B503" s="121"/>
      <c r="C503" s="55" t="s">
        <v>2465</v>
      </c>
      <c r="D503" s="55"/>
    </row>
    <row r="504" spans="1:4">
      <c r="A504" s="65"/>
      <c r="B504" s="121"/>
      <c r="C504" s="55" t="s">
        <v>2466</v>
      </c>
      <c r="D504" s="55"/>
    </row>
    <row r="505" spans="1:4">
      <c r="A505" s="65"/>
      <c r="B505" s="121"/>
      <c r="C505" s="55" t="s">
        <v>2467</v>
      </c>
      <c r="D505" s="55"/>
    </row>
    <row r="506" spans="1:4">
      <c r="A506" s="65"/>
      <c r="B506" s="121"/>
      <c r="C506" s="55" t="s">
        <v>1942</v>
      </c>
      <c r="D506" s="55"/>
    </row>
    <row r="507" spans="1:4">
      <c r="A507" s="65"/>
      <c r="B507" s="121"/>
      <c r="C507" s="55" t="s">
        <v>1513</v>
      </c>
      <c r="D507" s="55"/>
    </row>
    <row r="508" spans="1:4">
      <c r="A508" s="65"/>
      <c r="B508" s="121"/>
      <c r="C508" s="55" t="s">
        <v>2468</v>
      </c>
      <c r="D508" s="55"/>
    </row>
    <row r="509" spans="1:4">
      <c r="A509" s="65"/>
      <c r="B509" s="121"/>
      <c r="C509" s="55" t="s">
        <v>2469</v>
      </c>
      <c r="D509" s="55"/>
    </row>
    <row r="510" spans="1:4">
      <c r="A510" s="65"/>
      <c r="B510" s="121"/>
      <c r="C510" s="55" t="s">
        <v>2470</v>
      </c>
      <c r="D510" s="55"/>
    </row>
    <row r="511" spans="1:4">
      <c r="A511" s="65"/>
      <c r="B511" s="121"/>
      <c r="C511" s="55" t="s">
        <v>2471</v>
      </c>
      <c r="D511" s="55"/>
    </row>
    <row r="512" spans="1:4">
      <c r="A512" s="65"/>
      <c r="B512" s="121"/>
      <c r="C512" s="55" t="s">
        <v>2254</v>
      </c>
      <c r="D512" s="55"/>
    </row>
    <row r="513" spans="1:4">
      <c r="A513" s="65"/>
      <c r="B513" s="121"/>
      <c r="C513" s="55" t="s">
        <v>730</v>
      </c>
      <c r="D513" s="55"/>
    </row>
    <row r="514" spans="1:4">
      <c r="A514" s="83"/>
      <c r="B514" s="69" t="s">
        <v>2472</v>
      </c>
      <c r="C514" s="58" t="s">
        <v>1590</v>
      </c>
      <c r="D514" s="58"/>
    </row>
    <row r="515" spans="1:4">
      <c r="A515" s="84"/>
      <c r="B515" s="71"/>
      <c r="C515" s="58" t="s">
        <v>125</v>
      </c>
      <c r="D515" s="58"/>
    </row>
    <row r="516" spans="1:4">
      <c r="A516" s="65"/>
      <c r="B516" s="121" t="s">
        <v>1515</v>
      </c>
      <c r="C516" s="55" t="s">
        <v>2473</v>
      </c>
      <c r="D516" s="55"/>
    </row>
    <row r="517" spans="1:4">
      <c r="A517" s="65"/>
      <c r="B517" s="121"/>
      <c r="C517" s="55" t="s">
        <v>132</v>
      </c>
      <c r="D517" s="55"/>
    </row>
    <row r="518" spans="1:4">
      <c r="A518" s="65"/>
      <c r="B518" s="121"/>
      <c r="C518" s="55" t="s">
        <v>410</v>
      </c>
      <c r="D518" s="55"/>
    </row>
    <row r="519" spans="1:4">
      <c r="A519" s="65"/>
      <c r="B519" s="121"/>
      <c r="C519" s="55" t="s">
        <v>1995</v>
      </c>
      <c r="D519" s="55"/>
    </row>
    <row r="520" spans="1:4">
      <c r="A520" s="119"/>
      <c r="B520" s="69" t="s">
        <v>1977</v>
      </c>
      <c r="C520" s="58" t="s">
        <v>2474</v>
      </c>
      <c r="D520" s="58"/>
    </row>
    <row r="521" spans="1:4">
      <c r="A521" s="81"/>
      <c r="B521" s="70"/>
      <c r="C521" s="58" t="s">
        <v>2475</v>
      </c>
      <c r="D521" s="58"/>
    </row>
    <row r="522" spans="1:4">
      <c r="A522" s="81"/>
      <c r="B522" s="70"/>
      <c r="C522" s="58" t="s">
        <v>2476</v>
      </c>
      <c r="D522" s="58"/>
    </row>
    <row r="523" spans="1:4">
      <c r="A523" s="81"/>
      <c r="B523" s="70"/>
      <c r="C523" s="58" t="s">
        <v>2477</v>
      </c>
      <c r="D523" s="58"/>
    </row>
    <row r="524" spans="1:4">
      <c r="A524" s="81"/>
      <c r="B524" s="70"/>
      <c r="C524" s="58" t="s">
        <v>1996</v>
      </c>
      <c r="D524" s="58"/>
    </row>
    <row r="525" spans="1:4">
      <c r="A525" s="81"/>
      <c r="B525" s="70"/>
      <c r="C525" s="58" t="s">
        <v>2478</v>
      </c>
      <c r="D525" s="58"/>
    </row>
    <row r="526" spans="1:4">
      <c r="A526" s="81"/>
      <c r="B526" s="70"/>
      <c r="C526" s="58" t="s">
        <v>2479</v>
      </c>
      <c r="D526" s="58"/>
    </row>
    <row r="527" spans="1:4">
      <c r="A527" s="81"/>
      <c r="B527" s="70"/>
      <c r="C527" s="58" t="s">
        <v>2480</v>
      </c>
      <c r="D527" s="58"/>
    </row>
    <row r="528" spans="1:4">
      <c r="A528" s="81"/>
      <c r="B528" s="70"/>
      <c r="C528" s="58" t="s">
        <v>1595</v>
      </c>
      <c r="D528" s="58"/>
    </row>
    <row r="529" spans="1:4">
      <c r="A529" s="81"/>
      <c r="B529" s="70"/>
      <c r="C529" s="58" t="s">
        <v>2468</v>
      </c>
      <c r="D529" s="58"/>
    </row>
    <row r="530" spans="1:4">
      <c r="B530" s="70"/>
      <c r="C530" s="58" t="s">
        <v>2481</v>
      </c>
      <c r="D530" s="58"/>
    </row>
    <row r="531" spans="1:4" ht="15">
      <c r="A531" s="81"/>
      <c r="B531" s="70"/>
      <c r="C531" s="58" t="s">
        <v>2482</v>
      </c>
      <c r="D531" s="58" t="s">
        <v>2483</v>
      </c>
    </row>
    <row r="532" spans="1:4" ht="15">
      <c r="A532" s="81"/>
      <c r="B532" s="70"/>
      <c r="C532" s="58" t="s">
        <v>2484</v>
      </c>
      <c r="D532" s="58" t="s">
        <v>2483</v>
      </c>
    </row>
    <row r="533" spans="1:4" ht="15">
      <c r="A533" s="81"/>
      <c r="B533" s="70"/>
      <c r="C533" s="58" t="s">
        <v>2485</v>
      </c>
      <c r="D533" s="58" t="s">
        <v>2483</v>
      </c>
    </row>
    <row r="534" spans="1:4">
      <c r="A534" s="81"/>
      <c r="B534" s="70"/>
      <c r="C534" s="58" t="s">
        <v>2486</v>
      </c>
      <c r="D534" s="58"/>
    </row>
    <row r="535" spans="1:4">
      <c r="A535" s="81"/>
      <c r="B535" s="70"/>
      <c r="C535" s="58" t="s">
        <v>2487</v>
      </c>
      <c r="D535" s="58"/>
    </row>
    <row r="536" spans="1:4">
      <c r="A536" s="81"/>
      <c r="B536" s="70"/>
      <c r="C536" s="58" t="s">
        <v>2488</v>
      </c>
      <c r="D536" s="58"/>
    </row>
    <row r="537" spans="1:4">
      <c r="A537" s="81"/>
      <c r="B537" s="70"/>
      <c r="C537" s="58" t="s">
        <v>2489</v>
      </c>
      <c r="D537" s="58"/>
    </row>
    <row r="538" spans="1:4">
      <c r="A538" s="81"/>
      <c r="B538" s="70"/>
      <c r="C538" s="58" t="s">
        <v>2490</v>
      </c>
      <c r="D538" s="58"/>
    </row>
    <row r="539" spans="1:4">
      <c r="A539" s="81"/>
      <c r="B539" s="70"/>
      <c r="C539" s="58" t="s">
        <v>2491</v>
      </c>
      <c r="D539" s="58"/>
    </row>
    <row r="540" spans="1:4">
      <c r="A540" s="81"/>
      <c r="B540" s="70"/>
      <c r="C540" s="58" t="s">
        <v>2492</v>
      </c>
      <c r="D540" s="58"/>
    </row>
    <row r="541" spans="1:4">
      <c r="A541" s="81"/>
      <c r="B541" s="70"/>
      <c r="C541" s="58" t="s">
        <v>2493</v>
      </c>
      <c r="D541" s="58"/>
    </row>
    <row r="542" spans="1:4">
      <c r="A542" s="81"/>
      <c r="B542" s="70"/>
      <c r="C542" s="58" t="s">
        <v>2254</v>
      </c>
      <c r="D542" s="58"/>
    </row>
    <row r="543" spans="1:4">
      <c r="A543" s="81"/>
      <c r="B543" s="70"/>
      <c r="C543" s="58" t="s">
        <v>730</v>
      </c>
      <c r="D543" s="59"/>
    </row>
    <row r="544" spans="1:4">
      <c r="A544" s="87"/>
      <c r="B544" s="60" t="s">
        <v>1981</v>
      </c>
      <c r="C544" s="55" t="s">
        <v>1590</v>
      </c>
      <c r="D544" s="55"/>
    </row>
    <row r="545" spans="1:4">
      <c r="A545" s="88"/>
      <c r="B545" s="120"/>
      <c r="C545" s="55" t="s">
        <v>125</v>
      </c>
      <c r="D545" s="55"/>
    </row>
    <row r="546" spans="1:4">
      <c r="A546" s="81"/>
      <c r="B546" s="69" t="s">
        <v>1982</v>
      </c>
      <c r="C546" s="58" t="s">
        <v>2494</v>
      </c>
      <c r="D546" s="58"/>
    </row>
    <row r="547" spans="1:4">
      <c r="A547" s="81"/>
      <c r="B547" s="70"/>
      <c r="C547" s="58" t="s">
        <v>2495</v>
      </c>
      <c r="D547" s="58"/>
    </row>
    <row r="548" spans="1:4">
      <c r="A548" s="81"/>
      <c r="B548" s="70"/>
      <c r="C548" s="58" t="s">
        <v>2496</v>
      </c>
      <c r="D548" s="58"/>
    </row>
    <row r="549" spans="1:4">
      <c r="A549" s="81"/>
      <c r="B549" s="70"/>
      <c r="C549" s="58" t="s">
        <v>1997</v>
      </c>
      <c r="D549" s="58"/>
    </row>
    <row r="550" spans="1:4">
      <c r="A550" s="81"/>
      <c r="B550" s="70"/>
      <c r="C550" s="58" t="s">
        <v>2497</v>
      </c>
      <c r="D550" s="58"/>
    </row>
    <row r="551" spans="1:4">
      <c r="A551" s="87"/>
      <c r="B551" s="60" t="s">
        <v>1984</v>
      </c>
      <c r="C551" s="55" t="s">
        <v>1590</v>
      </c>
      <c r="D551" s="55"/>
    </row>
    <row r="552" spans="1:4">
      <c r="A552" s="88"/>
      <c r="B552" s="120"/>
      <c r="C552" s="55" t="s">
        <v>125</v>
      </c>
      <c r="D552" s="55"/>
    </row>
    <row r="553" spans="1:4">
      <c r="A553" s="66"/>
      <c r="B553" s="69" t="s">
        <v>2498</v>
      </c>
      <c r="C553" s="58" t="s">
        <v>2499</v>
      </c>
      <c r="D553" s="58"/>
    </row>
    <row r="554" spans="1:4">
      <c r="A554" s="67"/>
      <c r="B554" s="67"/>
      <c r="C554" s="58" t="s">
        <v>2500</v>
      </c>
      <c r="D554" s="58"/>
    </row>
    <row r="555" spans="1:4">
      <c r="A555" s="67"/>
      <c r="B555" s="67"/>
      <c r="C555" s="58" t="s">
        <v>2501</v>
      </c>
      <c r="D555" s="58"/>
    </row>
    <row r="556" spans="1:4">
      <c r="A556" s="67"/>
      <c r="B556" s="67"/>
      <c r="C556" s="58" t="s">
        <v>2502</v>
      </c>
      <c r="D556" s="58"/>
    </row>
    <row r="557" spans="1:4">
      <c r="A557" s="67"/>
      <c r="B557" s="67"/>
      <c r="C557" s="58" t="s">
        <v>2503</v>
      </c>
      <c r="D557" s="58"/>
    </row>
    <row r="558" spans="1:4">
      <c r="A558" s="67"/>
      <c r="B558" s="67"/>
      <c r="C558" s="58" t="s">
        <v>2504</v>
      </c>
      <c r="D558" s="58"/>
    </row>
    <row r="559" spans="1:4">
      <c r="A559" s="67"/>
      <c r="B559" s="67"/>
      <c r="C559" s="58" t="s">
        <v>2505</v>
      </c>
      <c r="D559" s="58"/>
    </row>
    <row r="560" spans="1:4">
      <c r="A560" s="67"/>
      <c r="B560" s="67"/>
      <c r="C560" s="58" t="s">
        <v>2506</v>
      </c>
      <c r="D560" s="58"/>
    </row>
    <row r="561" spans="1:4">
      <c r="A561" s="67"/>
      <c r="B561" s="67"/>
      <c r="C561" s="58" t="s">
        <v>2507</v>
      </c>
      <c r="D561" s="58"/>
    </row>
    <row r="562" spans="1:4">
      <c r="A562" s="67"/>
      <c r="B562" s="67"/>
      <c r="C562" s="58" t="s">
        <v>2508</v>
      </c>
      <c r="D562" s="58"/>
    </row>
    <row r="563" spans="1:4">
      <c r="A563" s="67"/>
      <c r="B563" s="67"/>
      <c r="C563" s="58" t="s">
        <v>2509</v>
      </c>
      <c r="D563" s="58"/>
    </row>
    <row r="564" spans="1:4">
      <c r="A564" s="67"/>
      <c r="B564" s="67"/>
      <c r="C564" s="58" t="s">
        <v>2510</v>
      </c>
      <c r="D564" s="58"/>
    </row>
    <row r="565" spans="1:4">
      <c r="A565" s="67"/>
      <c r="B565" s="67"/>
      <c r="C565" s="58" t="s">
        <v>2511</v>
      </c>
      <c r="D565" s="58"/>
    </row>
    <row r="566" spans="1:4">
      <c r="A566" s="67"/>
      <c r="B566" s="67"/>
      <c r="C566" s="58" t="s">
        <v>2512</v>
      </c>
      <c r="D566" s="58"/>
    </row>
    <row r="567" spans="1:4">
      <c r="A567" s="67"/>
      <c r="B567" s="67"/>
      <c r="C567" s="58" t="s">
        <v>2513</v>
      </c>
      <c r="D567" s="58"/>
    </row>
    <row r="568" spans="1:4">
      <c r="A568" s="67"/>
      <c r="B568" s="67"/>
      <c r="C568" s="58" t="s">
        <v>2514</v>
      </c>
      <c r="D568" s="58"/>
    </row>
    <row r="569" spans="1:4">
      <c r="A569" s="67"/>
      <c r="B569" s="67"/>
      <c r="C569" s="58" t="s">
        <v>2515</v>
      </c>
      <c r="D569" s="58"/>
    </row>
    <row r="570" spans="1:4">
      <c r="A570" s="67"/>
      <c r="B570" s="67"/>
      <c r="C570" s="58" t="s">
        <v>2516</v>
      </c>
      <c r="D570" s="58"/>
    </row>
    <row r="571" spans="1:4">
      <c r="A571" s="67"/>
      <c r="B571" s="67"/>
      <c r="C571" s="58" t="s">
        <v>2517</v>
      </c>
      <c r="D571" s="58"/>
    </row>
    <row r="572" spans="1:4">
      <c r="A572" s="67"/>
      <c r="B572" s="67"/>
      <c r="C572" s="58" t="s">
        <v>2518</v>
      </c>
      <c r="D572" s="58"/>
    </row>
    <row r="573" spans="1:4">
      <c r="A573" s="67"/>
      <c r="B573" s="67"/>
      <c r="C573" s="58" t="s">
        <v>2519</v>
      </c>
      <c r="D573" s="58"/>
    </row>
    <row r="574" spans="1:4">
      <c r="A574" s="67"/>
      <c r="B574" s="67"/>
      <c r="C574" s="58" t="s">
        <v>2520</v>
      </c>
      <c r="D574" s="58"/>
    </row>
    <row r="575" spans="1:4">
      <c r="A575" s="67"/>
      <c r="B575" s="67"/>
      <c r="C575" s="58" t="s">
        <v>2521</v>
      </c>
      <c r="D575" s="58"/>
    </row>
    <row r="576" spans="1:4">
      <c r="A576" s="67"/>
      <c r="B576" s="67"/>
      <c r="C576" s="58" t="s">
        <v>2522</v>
      </c>
      <c r="D576" s="58"/>
    </row>
    <row r="577" spans="1:5">
      <c r="A577" s="67"/>
      <c r="B577" s="67"/>
      <c r="C577" s="58" t="s">
        <v>2523</v>
      </c>
      <c r="D577" s="58"/>
    </row>
    <row r="578" spans="1:5">
      <c r="A578" s="67"/>
      <c r="B578" s="67"/>
      <c r="C578" s="58" t="s">
        <v>2524</v>
      </c>
      <c r="D578" s="58"/>
    </row>
    <row r="579" spans="1:5">
      <c r="A579" s="67"/>
      <c r="B579" s="67"/>
      <c r="C579" s="58" t="s">
        <v>2525</v>
      </c>
      <c r="D579" s="58"/>
    </row>
    <row r="580" spans="1:5">
      <c r="A580" s="67"/>
      <c r="B580" s="67"/>
      <c r="C580" s="58" t="s">
        <v>2526</v>
      </c>
      <c r="D580" s="58"/>
      <c r="E580" s="15" t="s">
        <v>2051</v>
      </c>
    </row>
    <row r="581" spans="1:5">
      <c r="A581" s="67"/>
      <c r="B581" s="67"/>
      <c r="C581" s="58" t="s">
        <v>2527</v>
      </c>
      <c r="D581" s="58"/>
      <c r="E581" s="15" t="s">
        <v>2051</v>
      </c>
    </row>
    <row r="582" spans="1:5">
      <c r="A582" s="67"/>
      <c r="B582" s="67"/>
      <c r="C582" s="58" t="s">
        <v>2528</v>
      </c>
      <c r="D582" s="58"/>
    </row>
    <row r="583" spans="1:5">
      <c r="A583" s="67"/>
      <c r="B583" s="67"/>
      <c r="C583" s="58" t="s">
        <v>2529</v>
      </c>
      <c r="D583" s="58"/>
    </row>
    <row r="584" spans="1:5">
      <c r="A584" s="67"/>
      <c r="B584" s="67"/>
      <c r="C584" s="58" t="s">
        <v>2530</v>
      </c>
      <c r="D584" s="58"/>
    </row>
    <row r="585" spans="1:5">
      <c r="A585" s="67"/>
      <c r="B585" s="67"/>
      <c r="C585" s="58" t="s">
        <v>2531</v>
      </c>
      <c r="D585" s="58"/>
    </row>
    <row r="586" spans="1:5">
      <c r="A586" s="67"/>
      <c r="B586" s="67"/>
      <c r="C586" s="58" t="s">
        <v>2532</v>
      </c>
      <c r="D586" s="58"/>
    </row>
    <row r="587" spans="1:5">
      <c r="A587" s="67"/>
      <c r="B587" s="67"/>
      <c r="C587" s="58" t="s">
        <v>2533</v>
      </c>
      <c r="D587" s="58"/>
    </row>
    <row r="588" spans="1:5">
      <c r="A588" s="67"/>
      <c r="B588" s="67"/>
      <c r="C588" s="58" t="s">
        <v>2534</v>
      </c>
      <c r="D588" s="58"/>
    </row>
    <row r="589" spans="1:5">
      <c r="A589" s="67"/>
      <c r="B589" s="67"/>
      <c r="C589" s="58" t="s">
        <v>2535</v>
      </c>
      <c r="D589" s="58"/>
    </row>
    <row r="590" spans="1:5">
      <c r="A590" s="67"/>
      <c r="B590" s="67"/>
      <c r="C590" s="58" t="s">
        <v>2536</v>
      </c>
      <c r="D590" s="58"/>
    </row>
    <row r="591" spans="1:5">
      <c r="A591" s="68"/>
      <c r="B591" s="68"/>
      <c r="C591" s="58" t="s">
        <v>2537</v>
      </c>
      <c r="D591" s="58"/>
    </row>
    <row r="592" spans="1:5">
      <c r="A592" s="65"/>
      <c r="B592" s="121" t="s">
        <v>1975</v>
      </c>
      <c r="C592" s="55" t="s">
        <v>2538</v>
      </c>
      <c r="D592" s="55"/>
    </row>
    <row r="593" spans="1:5">
      <c r="A593" s="65"/>
      <c r="B593" s="121"/>
      <c r="C593" s="55" t="s">
        <v>2539</v>
      </c>
      <c r="D593" s="55"/>
    </row>
    <row r="594" spans="1:5">
      <c r="A594" s="65"/>
      <c r="B594" s="121"/>
      <c r="C594" s="55" t="s">
        <v>730</v>
      </c>
      <c r="D594" s="55"/>
    </row>
    <row r="595" spans="1:5">
      <c r="A595" s="69"/>
      <c r="B595" s="75" t="s">
        <v>113</v>
      </c>
      <c r="C595" s="58" t="s">
        <v>1590</v>
      </c>
      <c r="D595" s="58"/>
      <c r="E595" s="128"/>
    </row>
    <row r="596" spans="1:5">
      <c r="A596" s="122"/>
      <c r="B596" s="124"/>
      <c r="C596" s="123" t="s">
        <v>125</v>
      </c>
      <c r="D596" s="58"/>
    </row>
    <row r="597" spans="1:5">
      <c r="A597" s="116"/>
      <c r="B597" s="116" t="s">
        <v>1656</v>
      </c>
      <c r="C597" s="55" t="s">
        <v>2540</v>
      </c>
      <c r="D597" s="55"/>
    </row>
    <row r="598" spans="1:5">
      <c r="A598" s="65"/>
      <c r="B598" s="65"/>
      <c r="C598" s="55" t="s">
        <v>2541</v>
      </c>
      <c r="D598" s="55"/>
    </row>
    <row r="599" spans="1:5">
      <c r="A599" s="65"/>
      <c r="B599" s="65"/>
      <c r="C599" s="55" t="s">
        <v>2542</v>
      </c>
      <c r="D599" s="55"/>
    </row>
    <row r="600" spans="1:5">
      <c r="A600" s="65"/>
      <c r="B600" s="65"/>
      <c r="C600" s="55" t="s">
        <v>2543</v>
      </c>
      <c r="D600" s="55"/>
    </row>
    <row r="601" spans="1:5">
      <c r="A601" s="65"/>
      <c r="B601" s="65"/>
      <c r="C601" s="55" t="s">
        <v>2544</v>
      </c>
      <c r="D601" s="55"/>
    </row>
    <row r="602" spans="1:5">
      <c r="A602" s="65"/>
      <c r="B602" s="65"/>
      <c r="C602" s="55" t="s">
        <v>2545</v>
      </c>
      <c r="D602" s="55"/>
    </row>
    <row r="603" spans="1:5">
      <c r="A603" s="65"/>
      <c r="B603" s="65"/>
      <c r="C603" s="55" t="s">
        <v>2546</v>
      </c>
      <c r="D603" s="55"/>
    </row>
    <row r="604" spans="1:5">
      <c r="A604" s="65"/>
      <c r="B604" s="65"/>
      <c r="C604" s="55" t="s">
        <v>1747</v>
      </c>
      <c r="D604" s="55"/>
    </row>
    <row r="605" spans="1:5">
      <c r="A605" s="65"/>
      <c r="B605" s="65"/>
      <c r="C605" s="55" t="s">
        <v>2547</v>
      </c>
      <c r="D605" s="55"/>
    </row>
    <row r="606" spans="1:5">
      <c r="A606" s="65"/>
      <c r="B606" s="65"/>
      <c r="C606" s="55" t="s">
        <v>2548</v>
      </c>
      <c r="D606" s="55"/>
    </row>
    <row r="607" spans="1:5">
      <c r="A607" s="65"/>
      <c r="B607" s="65"/>
      <c r="C607" s="55" t="s">
        <v>2549</v>
      </c>
      <c r="D607" s="55"/>
    </row>
    <row r="608" spans="1:5">
      <c r="A608" s="65"/>
      <c r="B608" s="65"/>
      <c r="C608" s="55" t="s">
        <v>2550</v>
      </c>
      <c r="D608" s="55"/>
    </row>
    <row r="609" spans="1:5">
      <c r="A609" s="65"/>
      <c r="B609" s="65"/>
      <c r="C609" s="55" t="s">
        <v>2551</v>
      </c>
      <c r="D609" s="55"/>
    </row>
    <row r="610" spans="1:5">
      <c r="A610" s="65"/>
      <c r="B610" s="65"/>
      <c r="C610" s="55" t="s">
        <v>2552</v>
      </c>
      <c r="D610" s="55"/>
    </row>
    <row r="611" spans="1:5">
      <c r="A611" s="65"/>
      <c r="B611" s="65"/>
      <c r="C611" s="55" t="s">
        <v>2553</v>
      </c>
      <c r="D611" s="55"/>
    </row>
    <row r="612" spans="1:5">
      <c r="A612" s="65"/>
      <c r="B612" s="65"/>
      <c r="C612" s="55" t="s">
        <v>2554</v>
      </c>
      <c r="D612" s="55"/>
    </row>
    <row r="613" spans="1:5">
      <c r="A613" s="65"/>
      <c r="B613" s="65"/>
      <c r="C613" s="55" t="s">
        <v>2555</v>
      </c>
      <c r="D613" s="55"/>
    </row>
    <row r="614" spans="1:5">
      <c r="A614" s="65"/>
      <c r="B614" s="65"/>
      <c r="C614" s="55" t="s">
        <v>2556</v>
      </c>
      <c r="D614" s="55"/>
    </row>
    <row r="615" spans="1:5">
      <c r="A615" s="65"/>
      <c r="B615" s="65"/>
      <c r="C615" s="55" t="s">
        <v>2557</v>
      </c>
      <c r="D615" s="55"/>
    </row>
    <row r="616" spans="1:5">
      <c r="A616" s="65"/>
      <c r="B616" s="65"/>
      <c r="C616" s="55" t="s">
        <v>1694</v>
      </c>
      <c r="D616" s="55"/>
    </row>
    <row r="617" spans="1:5">
      <c r="A617" s="65"/>
      <c r="B617" s="65"/>
      <c r="C617" s="55" t="s">
        <v>2558</v>
      </c>
      <c r="D617" s="55"/>
    </row>
    <row r="618" spans="1:5">
      <c r="A618" s="65"/>
      <c r="B618" s="65"/>
      <c r="C618" s="55" t="s">
        <v>2559</v>
      </c>
      <c r="D618" s="55"/>
    </row>
    <row r="619" spans="1:5">
      <c r="A619" s="65"/>
      <c r="B619" s="65"/>
      <c r="C619" s="55" t="s">
        <v>2560</v>
      </c>
      <c r="D619" s="55"/>
    </row>
    <row r="620" spans="1:5">
      <c r="A620" s="65"/>
      <c r="B620" s="65"/>
      <c r="C620" s="55" t="s">
        <v>1212</v>
      </c>
      <c r="D620" s="55"/>
    </row>
    <row r="621" spans="1:5">
      <c r="A621" s="65"/>
      <c r="B621" s="65"/>
      <c r="C621" s="55" t="s">
        <v>2561</v>
      </c>
      <c r="D621" s="55"/>
      <c r="E621" s="15" t="s">
        <v>2051</v>
      </c>
    </row>
    <row r="622" spans="1:5">
      <c r="A622" s="69"/>
      <c r="B622" s="69" t="s">
        <v>2008</v>
      </c>
      <c r="C622" s="58" t="s">
        <v>2562</v>
      </c>
      <c r="D622" s="58"/>
    </row>
    <row r="623" spans="1:5">
      <c r="A623" s="70"/>
      <c r="B623" s="70"/>
      <c r="C623" s="58" t="s">
        <v>2563</v>
      </c>
      <c r="D623" s="58"/>
    </row>
    <row r="624" spans="1:5">
      <c r="A624" s="70"/>
      <c r="B624" s="70"/>
      <c r="C624" s="58" t="s">
        <v>2564</v>
      </c>
      <c r="D624" s="58"/>
    </row>
    <row r="625" spans="1:5">
      <c r="A625" s="70"/>
      <c r="B625" s="70"/>
      <c r="C625" s="58" t="s">
        <v>2565</v>
      </c>
      <c r="D625" s="58"/>
    </row>
    <row r="626" spans="1:5">
      <c r="A626" s="70"/>
      <c r="B626" s="70"/>
      <c r="C626" s="58" t="s">
        <v>2566</v>
      </c>
      <c r="D626" s="58"/>
      <c r="E626" s="15" t="s">
        <v>2051</v>
      </c>
    </row>
    <row r="627" spans="1:5">
      <c r="A627" s="70"/>
      <c r="B627" s="70"/>
      <c r="C627" s="58" t="s">
        <v>2567</v>
      </c>
      <c r="D627" s="58"/>
    </row>
    <row r="628" spans="1:5">
      <c r="A628" s="70"/>
      <c r="B628" s="70"/>
      <c r="C628" s="58" t="s">
        <v>2568</v>
      </c>
      <c r="D628" s="58"/>
    </row>
    <row r="629" spans="1:5">
      <c r="A629" s="70"/>
      <c r="B629" s="70"/>
      <c r="C629" s="58" t="s">
        <v>695</v>
      </c>
      <c r="D629" s="58"/>
    </row>
    <row r="630" spans="1:5">
      <c r="A630" s="70"/>
      <c r="B630" s="70"/>
      <c r="C630" s="58" t="s">
        <v>2569</v>
      </c>
      <c r="D630" s="58"/>
    </row>
    <row r="631" spans="1:5">
      <c r="A631" s="70"/>
      <c r="B631" s="70"/>
      <c r="C631" s="58" t="s">
        <v>2570</v>
      </c>
      <c r="D631" s="58"/>
    </row>
    <row r="632" spans="1:5">
      <c r="A632" s="70"/>
      <c r="B632" s="70"/>
      <c r="C632" s="58" t="s">
        <v>2571</v>
      </c>
      <c r="D632" s="58"/>
    </row>
    <row r="633" spans="1:5">
      <c r="A633" s="71"/>
      <c r="B633" s="71"/>
      <c r="C633" s="58" t="s">
        <v>730</v>
      </c>
      <c r="D633" s="58"/>
    </row>
    <row r="634" spans="1:5">
      <c r="A634" s="65"/>
      <c r="B634" s="121" t="s">
        <v>2009</v>
      </c>
      <c r="C634" s="55" t="s">
        <v>2572</v>
      </c>
      <c r="D634" s="55" t="s">
        <v>2573</v>
      </c>
    </row>
    <row r="635" spans="1:5">
      <c r="A635" s="65"/>
      <c r="B635" s="121"/>
      <c r="C635" s="55" t="s">
        <v>2574</v>
      </c>
      <c r="D635" s="55" t="s">
        <v>2575</v>
      </c>
    </row>
    <row r="636" spans="1:5">
      <c r="A636" s="65"/>
      <c r="B636" s="121"/>
      <c r="C636" s="55" t="s">
        <v>2576</v>
      </c>
      <c r="D636" s="55" t="s">
        <v>2577</v>
      </c>
    </row>
    <row r="637" spans="1:5">
      <c r="A637" s="65"/>
      <c r="B637" s="121"/>
      <c r="C637" s="55" t="s">
        <v>2578</v>
      </c>
      <c r="D637" s="55" t="s">
        <v>2579</v>
      </c>
    </row>
    <row r="638" spans="1:5">
      <c r="A638" s="65"/>
      <c r="B638" s="121"/>
      <c r="C638" s="55" t="s">
        <v>2580</v>
      </c>
      <c r="D638" s="55" t="s">
        <v>2581</v>
      </c>
    </row>
    <row r="639" spans="1:5">
      <c r="A639" s="65"/>
      <c r="B639" s="121"/>
      <c r="C639" s="55" t="s">
        <v>2582</v>
      </c>
      <c r="D639" s="55" t="s">
        <v>2583</v>
      </c>
    </row>
    <row r="640" spans="1:5">
      <c r="A640" s="65"/>
      <c r="B640" s="121"/>
      <c r="C640" s="55" t="s">
        <v>2584</v>
      </c>
      <c r="D640" s="55" t="s">
        <v>2585</v>
      </c>
    </row>
    <row r="641" spans="1:4">
      <c r="A641" s="65"/>
      <c r="B641" s="121"/>
      <c r="C641" s="55" t="s">
        <v>2586</v>
      </c>
      <c r="D641" s="55" t="s">
        <v>2586</v>
      </c>
    </row>
    <row r="642" spans="1:4">
      <c r="A642" s="65"/>
      <c r="B642" s="121"/>
      <c r="C642" s="55" t="s">
        <v>730</v>
      </c>
      <c r="D642" s="55"/>
    </row>
    <row r="643" spans="1:4">
      <c r="A643" s="72"/>
      <c r="B643" s="72" t="s">
        <v>2587</v>
      </c>
      <c r="C643" s="58" t="s">
        <v>2588</v>
      </c>
      <c r="D643" s="58" t="s">
        <v>2589</v>
      </c>
    </row>
    <row r="644" spans="1:4">
      <c r="A644" s="73"/>
      <c r="B644" s="73"/>
      <c r="C644" s="58" t="s">
        <v>2590</v>
      </c>
      <c r="D644" s="58" t="s">
        <v>2591</v>
      </c>
    </row>
    <row r="645" spans="1:4">
      <c r="A645" s="73"/>
      <c r="B645" s="73"/>
      <c r="C645" s="58" t="s">
        <v>2592</v>
      </c>
      <c r="D645" s="58" t="s">
        <v>2593</v>
      </c>
    </row>
    <row r="646" spans="1:4">
      <c r="A646" s="73"/>
      <c r="B646" s="73"/>
      <c r="C646" s="58" t="s">
        <v>2594</v>
      </c>
      <c r="D646" s="58" t="s">
        <v>2595</v>
      </c>
    </row>
    <row r="647" spans="1:4">
      <c r="A647" s="73"/>
      <c r="B647" s="73"/>
      <c r="C647" s="58" t="s">
        <v>2596</v>
      </c>
      <c r="D647" s="58"/>
    </row>
    <row r="648" spans="1:4">
      <c r="A648" s="74"/>
      <c r="B648" s="74"/>
      <c r="C648" s="58" t="s">
        <v>730</v>
      </c>
      <c r="D648" s="58"/>
    </row>
    <row r="649" spans="1:4">
      <c r="A649" s="65"/>
      <c r="B649" s="121" t="s">
        <v>1520</v>
      </c>
      <c r="C649" s="55" t="s">
        <v>1573</v>
      </c>
      <c r="D649" s="55"/>
    </row>
    <row r="650" spans="1:4">
      <c r="A650" s="65"/>
      <c r="B650" s="121"/>
      <c r="C650" s="55" t="s">
        <v>1628</v>
      </c>
      <c r="D650" s="55"/>
    </row>
    <row r="651" spans="1:4">
      <c r="A651" s="65"/>
      <c r="B651" s="121"/>
      <c r="C651" s="55" t="s">
        <v>1531</v>
      </c>
      <c r="D651" s="55"/>
    </row>
    <row r="652" spans="1:4">
      <c r="A652" s="65"/>
      <c r="B652" s="121"/>
      <c r="C652" s="55" t="s">
        <v>1609</v>
      </c>
      <c r="D652" s="55"/>
    </row>
    <row r="653" spans="1:4">
      <c r="A653" s="65"/>
      <c r="B653" s="121"/>
      <c r="C653" s="55" t="s">
        <v>730</v>
      </c>
      <c r="D653" s="55"/>
    </row>
    <row r="654" spans="1:4">
      <c r="A654" s="72"/>
      <c r="B654" s="72" t="s">
        <v>1521</v>
      </c>
      <c r="C654" s="58" t="s">
        <v>2597</v>
      </c>
      <c r="D654" s="58"/>
    </row>
    <row r="655" spans="1:4">
      <c r="A655" s="73"/>
      <c r="B655" s="73"/>
      <c r="C655" s="58" t="s">
        <v>1532</v>
      </c>
      <c r="D655" s="58"/>
    </row>
    <row r="656" spans="1:4">
      <c r="A656" s="65"/>
      <c r="B656" s="121" t="s">
        <v>22</v>
      </c>
      <c r="C656" s="55" t="s">
        <v>36</v>
      </c>
      <c r="D656" s="55"/>
    </row>
    <row r="657" spans="1:4">
      <c r="A657" s="65"/>
      <c r="B657" s="121"/>
      <c r="C657" s="55" t="s">
        <v>2598</v>
      </c>
      <c r="D657" s="55"/>
    </row>
    <row r="658" spans="1:4">
      <c r="A658" s="72"/>
      <c r="B658" s="72" t="s">
        <v>1927</v>
      </c>
      <c r="C658" s="58" t="s">
        <v>2599</v>
      </c>
      <c r="D658" s="58"/>
    </row>
    <row r="659" spans="1:4">
      <c r="A659" s="73"/>
      <c r="B659" s="73"/>
      <c r="C659" s="58" t="s">
        <v>2600</v>
      </c>
      <c r="D659" s="58"/>
    </row>
    <row r="660" spans="1:4">
      <c r="A660" s="73"/>
      <c r="B660" s="73"/>
      <c r="C660" s="58" t="s">
        <v>1951</v>
      </c>
      <c r="D660" s="58"/>
    </row>
    <row r="661" spans="1:4">
      <c r="A661" s="73"/>
      <c r="B661" s="73"/>
      <c r="C661" s="58" t="s">
        <v>2601</v>
      </c>
      <c r="D661" s="58"/>
    </row>
    <row r="662" spans="1:4">
      <c r="A662" s="73"/>
      <c r="B662" s="73"/>
      <c r="C662" s="58" t="s">
        <v>2602</v>
      </c>
      <c r="D662" s="58"/>
    </row>
    <row r="663" spans="1:4">
      <c r="A663" s="73"/>
      <c r="B663" s="73"/>
      <c r="C663" s="58" t="s">
        <v>2603</v>
      </c>
      <c r="D663" s="58"/>
    </row>
    <row r="664" spans="1:4">
      <c r="A664" s="73"/>
      <c r="B664" s="73"/>
      <c r="C664" s="58" t="s">
        <v>730</v>
      </c>
      <c r="D664" s="58"/>
    </row>
    <row r="665" spans="1:4">
      <c r="A665" s="74"/>
      <c r="B665" s="74"/>
      <c r="C665" s="58" t="s">
        <v>1948</v>
      </c>
      <c r="D665" s="58"/>
    </row>
    <row r="666" spans="1:4">
      <c r="A666" s="65"/>
      <c r="B666" s="121" t="s">
        <v>1928</v>
      </c>
      <c r="C666" s="55" t="s">
        <v>2604</v>
      </c>
      <c r="D666" s="55"/>
    </row>
    <row r="667" spans="1:4">
      <c r="A667" s="65"/>
      <c r="B667" s="121"/>
      <c r="C667" s="55" t="s">
        <v>2605</v>
      </c>
      <c r="D667" s="55"/>
    </row>
    <row r="668" spans="1:4">
      <c r="A668" s="72"/>
      <c r="B668" s="72" t="s">
        <v>111</v>
      </c>
      <c r="C668" s="58" t="s">
        <v>2606</v>
      </c>
      <c r="D668" s="58"/>
    </row>
    <row r="669" spans="1:4">
      <c r="A669" s="73"/>
      <c r="B669" s="73"/>
      <c r="C669" s="58" t="s">
        <v>2607</v>
      </c>
      <c r="D669" s="58"/>
    </row>
    <row r="670" spans="1:4">
      <c r="A670" s="73"/>
      <c r="B670" s="73"/>
      <c r="C670" s="58" t="s">
        <v>2608</v>
      </c>
      <c r="D670" s="58"/>
    </row>
    <row r="671" spans="1:4">
      <c r="A671" s="73"/>
      <c r="B671" s="73"/>
      <c r="C671" s="58" t="s">
        <v>2609</v>
      </c>
      <c r="D671" s="58"/>
    </row>
    <row r="672" spans="1:4">
      <c r="A672" s="73"/>
      <c r="B672" s="73"/>
      <c r="C672" s="58" t="s">
        <v>2610</v>
      </c>
      <c r="D672" s="58"/>
    </row>
    <row r="673" spans="1:4">
      <c r="A673" s="73"/>
      <c r="B673" s="73"/>
      <c r="C673" s="58" t="s">
        <v>2611</v>
      </c>
      <c r="D673" s="58"/>
    </row>
    <row r="674" spans="1:4">
      <c r="A674" s="73"/>
      <c r="B674" s="73"/>
      <c r="C674" s="58" t="s">
        <v>2612</v>
      </c>
      <c r="D674" s="58"/>
    </row>
    <row r="675" spans="1:4">
      <c r="A675" s="73"/>
      <c r="B675" s="73"/>
      <c r="C675" s="58" t="s">
        <v>2613</v>
      </c>
      <c r="D675" s="58"/>
    </row>
    <row r="676" spans="1:4">
      <c r="A676" s="73"/>
      <c r="B676" s="73"/>
      <c r="C676" s="58" t="s">
        <v>2614</v>
      </c>
      <c r="D676" s="58"/>
    </row>
    <row r="677" spans="1:4">
      <c r="A677" s="73"/>
      <c r="B677" s="73"/>
      <c r="C677" s="58" t="s">
        <v>2615</v>
      </c>
      <c r="D677" s="58"/>
    </row>
    <row r="678" spans="1:4">
      <c r="A678" s="73"/>
      <c r="B678" s="73"/>
      <c r="C678" s="58" t="s">
        <v>1212</v>
      </c>
      <c r="D678" s="58"/>
    </row>
    <row r="679" spans="1:4">
      <c r="A679" s="74"/>
      <c r="B679" s="74"/>
      <c r="C679" s="58" t="s">
        <v>1948</v>
      </c>
      <c r="D679" s="58"/>
    </row>
    <row r="680" spans="1:4">
      <c r="A680" s="94"/>
      <c r="B680" s="94" t="s">
        <v>1931</v>
      </c>
      <c r="C680" s="55" t="s">
        <v>2599</v>
      </c>
      <c r="D680" s="55"/>
    </row>
    <row r="681" spans="1:4">
      <c r="A681" s="96"/>
      <c r="B681" s="96"/>
      <c r="C681" s="55" t="s">
        <v>2600</v>
      </c>
      <c r="D681" s="55"/>
    </row>
    <row r="682" spans="1:4">
      <c r="A682" s="96"/>
      <c r="B682" s="96"/>
      <c r="C682" s="55" t="s">
        <v>1951</v>
      </c>
      <c r="D682" s="55"/>
    </row>
    <row r="683" spans="1:4">
      <c r="A683" s="96"/>
      <c r="B683" s="96"/>
      <c r="C683" s="55" t="s">
        <v>2601</v>
      </c>
      <c r="D683" s="55"/>
    </row>
    <row r="684" spans="1:4">
      <c r="A684" s="96"/>
      <c r="B684" s="96"/>
      <c r="C684" s="55" t="s">
        <v>2602</v>
      </c>
      <c r="D684" s="55"/>
    </row>
    <row r="685" spans="1:4">
      <c r="A685" s="96"/>
      <c r="B685" s="96"/>
      <c r="C685" s="55" t="s">
        <v>2603</v>
      </c>
      <c r="D685" s="55"/>
    </row>
    <row r="686" spans="1:4">
      <c r="A686" s="96"/>
      <c r="B686" s="96"/>
      <c r="C686" s="55" t="s">
        <v>730</v>
      </c>
      <c r="D686" s="55"/>
    </row>
    <row r="687" spans="1:4">
      <c r="A687" s="96"/>
      <c r="B687" s="96"/>
      <c r="C687" s="55" t="s">
        <v>1948</v>
      </c>
      <c r="D687" s="55"/>
    </row>
    <row r="688" spans="1:4">
      <c r="A688" s="72"/>
      <c r="B688" s="69" t="s">
        <v>2616</v>
      </c>
      <c r="C688" s="58" t="s">
        <v>2617</v>
      </c>
      <c r="D688" s="58"/>
    </row>
    <row r="689" spans="1:4">
      <c r="A689" s="73"/>
      <c r="B689" s="71"/>
      <c r="C689" s="58" t="s">
        <v>2618</v>
      </c>
      <c r="D689" s="58"/>
    </row>
    <row r="690" spans="1:4">
      <c r="A690" s="94"/>
      <c r="B690" s="94" t="s">
        <v>1930</v>
      </c>
      <c r="C690" s="55" t="s">
        <v>1950</v>
      </c>
      <c r="D690" s="55"/>
    </row>
    <row r="691" spans="1:4">
      <c r="A691" s="96"/>
      <c r="B691" s="96"/>
      <c r="C691" s="55" t="s">
        <v>2619</v>
      </c>
      <c r="D691" s="55"/>
    </row>
    <row r="692" spans="1:4">
      <c r="A692" s="72"/>
      <c r="B692" s="72" t="s">
        <v>1923</v>
      </c>
      <c r="C692" s="58" t="s">
        <v>2620</v>
      </c>
      <c r="D692" s="58"/>
    </row>
    <row r="693" spans="1:4">
      <c r="A693" s="73"/>
      <c r="B693" s="73"/>
      <c r="C693" s="58" t="s">
        <v>2467</v>
      </c>
      <c r="D693" s="58"/>
    </row>
    <row r="694" spans="1:4">
      <c r="A694" s="73"/>
      <c r="B694" s="73"/>
      <c r="C694" s="58" t="s">
        <v>1943</v>
      </c>
      <c r="D694" s="58"/>
    </row>
    <row r="695" spans="1:4">
      <c r="A695" s="73"/>
      <c r="B695" s="73"/>
      <c r="C695" s="58" t="s">
        <v>2621</v>
      </c>
      <c r="D695" s="58"/>
    </row>
    <row r="696" spans="1:4">
      <c r="A696" s="73"/>
      <c r="B696" s="73"/>
      <c r="C696" s="58" t="s">
        <v>920</v>
      </c>
      <c r="D696" s="58"/>
    </row>
    <row r="697" spans="1:4">
      <c r="A697" s="73"/>
      <c r="B697" s="73"/>
      <c r="C697" s="58" t="s">
        <v>108</v>
      </c>
      <c r="D697" s="58"/>
    </row>
    <row r="698" spans="1:4">
      <c r="A698" s="73"/>
      <c r="B698" s="73"/>
      <c r="C698" s="58" t="s">
        <v>2622</v>
      </c>
      <c r="D698" s="58"/>
    </row>
    <row r="699" spans="1:4">
      <c r="A699" s="73"/>
      <c r="B699" s="73"/>
      <c r="C699" s="58" t="s">
        <v>2623</v>
      </c>
      <c r="D699" s="58"/>
    </row>
    <row r="700" spans="1:4">
      <c r="A700" s="73"/>
      <c r="B700" s="73"/>
      <c r="C700" s="58" t="s">
        <v>730</v>
      </c>
      <c r="D700" s="58"/>
    </row>
    <row r="701" spans="1:4">
      <c r="A701" s="94"/>
      <c r="B701" s="94" t="s">
        <v>1924</v>
      </c>
      <c r="C701" s="55" t="s">
        <v>1578</v>
      </c>
      <c r="D701" s="55"/>
    </row>
    <row r="702" spans="1:4">
      <c r="A702" s="96"/>
      <c r="B702" s="96"/>
      <c r="C702" s="55" t="s">
        <v>2232</v>
      </c>
      <c r="D702" s="55"/>
    </row>
    <row r="703" spans="1:4">
      <c r="A703" s="96"/>
      <c r="B703" s="96"/>
      <c r="C703" s="55" t="s">
        <v>2233</v>
      </c>
      <c r="D703" s="55"/>
    </row>
    <row r="704" spans="1:4">
      <c r="A704" s="96"/>
      <c r="B704" s="96"/>
      <c r="C704" s="55" t="s">
        <v>1105</v>
      </c>
      <c r="D704" s="55"/>
    </row>
    <row r="705" spans="1:5">
      <c r="A705" s="96"/>
      <c r="B705" s="96"/>
      <c r="C705" s="55" t="s">
        <v>152</v>
      </c>
      <c r="D705" s="55"/>
    </row>
    <row r="706" spans="1:5">
      <c r="A706" s="96"/>
      <c r="B706" s="96"/>
      <c r="C706" s="55" t="s">
        <v>228</v>
      </c>
      <c r="D706" s="55"/>
    </row>
    <row r="707" spans="1:5">
      <c r="A707" s="96"/>
      <c r="B707" s="96"/>
      <c r="C707" s="55" t="s">
        <v>242</v>
      </c>
      <c r="D707" s="55"/>
    </row>
    <row r="708" spans="1:5">
      <c r="A708" s="96"/>
      <c r="B708" s="96"/>
      <c r="C708" s="55" t="s">
        <v>1619</v>
      </c>
      <c r="D708" s="55"/>
    </row>
    <row r="709" spans="1:5">
      <c r="A709" s="96"/>
      <c r="B709" s="96"/>
      <c r="C709" s="55" t="s">
        <v>159</v>
      </c>
      <c r="D709" s="55"/>
    </row>
    <row r="710" spans="1:5">
      <c r="A710" s="96"/>
      <c r="B710" s="96"/>
      <c r="C710" s="55" t="s">
        <v>945</v>
      </c>
      <c r="D710" s="55"/>
    </row>
    <row r="711" spans="1:5">
      <c r="A711" s="96"/>
      <c r="B711" s="96"/>
      <c r="C711" s="55" t="s">
        <v>124</v>
      </c>
      <c r="D711" s="55"/>
    </row>
    <row r="712" spans="1:5">
      <c r="A712" s="96"/>
      <c r="B712" s="96"/>
      <c r="C712" s="55" t="s">
        <v>316</v>
      </c>
      <c r="D712" s="55"/>
    </row>
    <row r="713" spans="1:5">
      <c r="A713" s="96"/>
      <c r="B713" s="96"/>
      <c r="C713" s="55" t="s">
        <v>1601</v>
      </c>
      <c r="D713" s="55"/>
    </row>
    <row r="714" spans="1:5">
      <c r="A714" s="96"/>
      <c r="B714" s="96"/>
      <c r="C714" s="55" t="s">
        <v>2235</v>
      </c>
      <c r="D714" s="55"/>
    </row>
    <row r="715" spans="1:5">
      <c r="A715" s="96"/>
      <c r="B715" s="96"/>
      <c r="C715" s="55" t="s">
        <v>209</v>
      </c>
      <c r="D715" s="55"/>
    </row>
    <row r="716" spans="1:5">
      <c r="A716" s="96"/>
      <c r="B716" s="96"/>
      <c r="C716" s="55" t="s">
        <v>2236</v>
      </c>
      <c r="D716" s="55" t="s">
        <v>2237</v>
      </c>
      <c r="E716" s="15" t="s">
        <v>2051</v>
      </c>
    </row>
    <row r="717" spans="1:5">
      <c r="A717" s="96"/>
      <c r="B717" s="96"/>
      <c r="C717" s="55" t="s">
        <v>377</v>
      </c>
      <c r="D717" s="55"/>
    </row>
    <row r="718" spans="1:5">
      <c r="A718" s="96"/>
      <c r="B718" s="96"/>
      <c r="C718" s="55" t="s">
        <v>1164</v>
      </c>
      <c r="D718" s="55"/>
    </row>
    <row r="719" spans="1:5">
      <c r="A719" s="96"/>
      <c r="B719" s="96"/>
      <c r="C719" s="55" t="s">
        <v>144</v>
      </c>
      <c r="D719" s="55"/>
    </row>
    <row r="720" spans="1:5">
      <c r="A720" s="96"/>
      <c r="B720" s="96"/>
      <c r="C720" s="55" t="s">
        <v>2238</v>
      </c>
      <c r="D720" s="55"/>
    </row>
    <row r="721" spans="1:4">
      <c r="A721" s="96"/>
      <c r="B721" s="96"/>
      <c r="C721" s="55" t="s">
        <v>1040</v>
      </c>
      <c r="D721" s="55"/>
    </row>
    <row r="722" spans="1:4">
      <c r="A722" s="96"/>
      <c r="B722" s="96"/>
      <c r="C722" s="55" t="s">
        <v>2239</v>
      </c>
      <c r="D722" s="55"/>
    </row>
    <row r="723" spans="1:4">
      <c r="A723" s="96"/>
      <c r="B723" s="96"/>
      <c r="C723" s="55" t="s">
        <v>2240</v>
      </c>
      <c r="D723" s="55"/>
    </row>
    <row r="724" spans="1:4">
      <c r="A724" s="96"/>
      <c r="B724" s="96"/>
      <c r="C724" s="55" t="s">
        <v>177</v>
      </c>
      <c r="D724" s="55"/>
    </row>
    <row r="725" spans="1:4">
      <c r="A725" s="96"/>
      <c r="B725" s="96"/>
      <c r="C725" s="55" t="s">
        <v>695</v>
      </c>
      <c r="D725" s="55"/>
    </row>
    <row r="726" spans="1:4">
      <c r="A726" s="96"/>
      <c r="B726" s="96"/>
      <c r="C726" s="55" t="s">
        <v>724</v>
      </c>
      <c r="D726" s="55"/>
    </row>
    <row r="727" spans="1:4">
      <c r="A727" s="96"/>
      <c r="B727" s="96"/>
      <c r="C727" s="55" t="s">
        <v>171</v>
      </c>
      <c r="D727" s="55"/>
    </row>
    <row r="728" spans="1:4">
      <c r="A728" s="96"/>
      <c r="B728" s="96"/>
      <c r="C728" s="55" t="s">
        <v>139</v>
      </c>
      <c r="D728" s="55"/>
    </row>
    <row r="729" spans="1:4">
      <c r="A729" s="96"/>
      <c r="B729" s="96"/>
      <c r="C729" s="55" t="s">
        <v>2241</v>
      </c>
      <c r="D729" s="55"/>
    </row>
    <row r="730" spans="1:4">
      <c r="A730" s="96"/>
      <c r="B730" s="96"/>
      <c r="C730" s="55" t="s">
        <v>754</v>
      </c>
      <c r="D730" s="55"/>
    </row>
    <row r="731" spans="1:4">
      <c r="A731" s="96"/>
      <c r="B731" s="96"/>
      <c r="C731" s="55" t="s">
        <v>2242</v>
      </c>
      <c r="D731" s="55"/>
    </row>
    <row r="732" spans="1:4">
      <c r="A732" s="96"/>
      <c r="B732" s="96"/>
      <c r="C732" s="55" t="s">
        <v>2243</v>
      </c>
      <c r="D732" s="55"/>
    </row>
    <row r="733" spans="1:4">
      <c r="A733" s="96"/>
      <c r="B733" s="96"/>
      <c r="C733" s="55" t="s">
        <v>2244</v>
      </c>
      <c r="D733" s="55"/>
    </row>
    <row r="734" spans="1:4">
      <c r="A734" s="96"/>
      <c r="B734" s="96"/>
      <c r="C734" s="55" t="s">
        <v>2245</v>
      </c>
      <c r="D734" s="55"/>
    </row>
    <row r="735" spans="1:4">
      <c r="A735" s="96"/>
      <c r="B735" s="96"/>
      <c r="C735" s="55" t="s">
        <v>2246</v>
      </c>
      <c r="D735" s="55"/>
    </row>
    <row r="736" spans="1:4">
      <c r="A736" s="96"/>
      <c r="B736" s="96"/>
      <c r="C736" s="55" t="s">
        <v>2247</v>
      </c>
      <c r="D736" s="55"/>
    </row>
    <row r="737" spans="1:4">
      <c r="A737" s="96"/>
      <c r="B737" s="96"/>
      <c r="C737" s="55" t="s">
        <v>2248</v>
      </c>
      <c r="D737" s="55"/>
    </row>
    <row r="738" spans="1:4">
      <c r="A738" s="96"/>
      <c r="B738" s="96"/>
      <c r="C738" s="55" t="s">
        <v>2249</v>
      </c>
      <c r="D738" s="55"/>
    </row>
    <row r="739" spans="1:4">
      <c r="A739" s="96"/>
      <c r="B739" s="96"/>
      <c r="C739" s="55" t="s">
        <v>421</v>
      </c>
      <c r="D739" s="55"/>
    </row>
    <row r="740" spans="1:4">
      <c r="A740" s="96"/>
      <c r="B740" s="96"/>
      <c r="C740" s="55" t="s">
        <v>662</v>
      </c>
      <c r="D740" s="55"/>
    </row>
    <row r="741" spans="1:4">
      <c r="A741" s="96"/>
      <c r="B741" s="96"/>
      <c r="C741" s="55" t="s">
        <v>184</v>
      </c>
      <c r="D741" s="55"/>
    </row>
    <row r="742" spans="1:4">
      <c r="A742" s="96"/>
      <c r="B742" s="96"/>
      <c r="C742" s="55" t="s">
        <v>1007</v>
      </c>
      <c r="D742" s="55"/>
    </row>
    <row r="743" spans="1:4">
      <c r="A743" s="96"/>
      <c r="B743" s="96"/>
      <c r="C743" s="55" t="s">
        <v>2250</v>
      </c>
      <c r="D743" s="55"/>
    </row>
    <row r="744" spans="1:4">
      <c r="A744" s="96"/>
      <c r="B744" s="96"/>
      <c r="C744" s="55" t="s">
        <v>1099</v>
      </c>
      <c r="D744" s="55"/>
    </row>
    <row r="745" spans="1:4">
      <c r="A745" s="96"/>
      <c r="B745" s="96"/>
      <c r="C745" s="55" t="s">
        <v>2251</v>
      </c>
      <c r="D745" s="55"/>
    </row>
    <row r="746" spans="1:4">
      <c r="A746" s="96"/>
      <c r="B746" s="96"/>
      <c r="C746" s="55" t="s">
        <v>2252</v>
      </c>
      <c r="D746" s="55"/>
    </row>
    <row r="747" spans="1:4">
      <c r="A747" s="96"/>
      <c r="B747" s="96"/>
      <c r="C747" s="55" t="s">
        <v>2253</v>
      </c>
      <c r="D747" s="55"/>
    </row>
    <row r="748" spans="1:4">
      <c r="A748" s="96"/>
      <c r="B748" s="96"/>
      <c r="C748" s="55" t="s">
        <v>301</v>
      </c>
      <c r="D748" s="55"/>
    </row>
    <row r="749" spans="1:4">
      <c r="A749" s="96"/>
      <c r="B749" s="96"/>
      <c r="C749" s="55" t="s">
        <v>2254</v>
      </c>
      <c r="D749" s="55"/>
    </row>
    <row r="750" spans="1:4">
      <c r="A750" s="96"/>
      <c r="B750" s="96"/>
      <c r="C750" s="55" t="s">
        <v>30</v>
      </c>
      <c r="D750" s="55"/>
    </row>
    <row r="751" spans="1:4">
      <c r="A751" s="96"/>
      <c r="B751" s="96"/>
      <c r="C751" s="55" t="s">
        <v>2044</v>
      </c>
      <c r="D751" s="55"/>
    </row>
    <row r="752" spans="1:4">
      <c r="A752" s="96"/>
      <c r="B752" s="96"/>
      <c r="C752" s="55" t="s">
        <v>2045</v>
      </c>
      <c r="D752" s="55"/>
    </row>
    <row r="753" spans="1:4">
      <c r="A753" s="96"/>
      <c r="B753" s="96"/>
      <c r="C753" s="55" t="s">
        <v>2046</v>
      </c>
      <c r="D753" s="55"/>
    </row>
    <row r="754" spans="1:4">
      <c r="A754" s="96"/>
      <c r="B754" s="96"/>
      <c r="C754" s="55" t="s">
        <v>2047</v>
      </c>
      <c r="D754" s="55"/>
    </row>
    <row r="755" spans="1:4">
      <c r="A755" s="96"/>
      <c r="B755" s="96"/>
      <c r="C755" s="55" t="s">
        <v>2048</v>
      </c>
      <c r="D755" s="55"/>
    </row>
    <row r="756" spans="1:4">
      <c r="A756" s="96"/>
      <c r="B756" s="96"/>
      <c r="C756" s="55" t="s">
        <v>2049</v>
      </c>
      <c r="D756" s="55"/>
    </row>
    <row r="757" spans="1:4">
      <c r="A757" s="96"/>
      <c r="B757" s="96"/>
      <c r="C757" s="55" t="s">
        <v>2050</v>
      </c>
      <c r="D757" s="55"/>
    </row>
    <row r="758" spans="1:4">
      <c r="A758" s="96"/>
      <c r="B758" s="96"/>
      <c r="C758" s="55" t="s">
        <v>2052</v>
      </c>
      <c r="D758" s="55"/>
    </row>
    <row r="759" spans="1:4">
      <c r="A759" s="96"/>
      <c r="B759" s="96"/>
      <c r="C759" s="55" t="s">
        <v>2053</v>
      </c>
      <c r="D759" s="55"/>
    </row>
    <row r="760" spans="1:4">
      <c r="A760" s="96"/>
      <c r="B760" s="96"/>
      <c r="C760" s="55" t="s">
        <v>1681</v>
      </c>
      <c r="D760" s="55"/>
    </row>
    <row r="761" spans="1:4">
      <c r="A761" s="96"/>
      <c r="B761" s="96"/>
      <c r="C761" s="55" t="s">
        <v>2054</v>
      </c>
      <c r="D761" s="55"/>
    </row>
    <row r="762" spans="1:4">
      <c r="A762" s="96"/>
      <c r="B762" s="96"/>
      <c r="C762" s="55" t="s">
        <v>2055</v>
      </c>
      <c r="D762" s="55"/>
    </row>
    <row r="763" spans="1:4">
      <c r="A763" s="96"/>
      <c r="B763" s="96"/>
      <c r="C763" s="55" t="s">
        <v>2056</v>
      </c>
      <c r="D763" s="55"/>
    </row>
    <row r="764" spans="1:4">
      <c r="A764" s="96"/>
      <c r="B764" s="96"/>
      <c r="C764" s="55" t="s">
        <v>2057</v>
      </c>
      <c r="D764" s="55"/>
    </row>
    <row r="765" spans="1:4">
      <c r="A765" s="96"/>
      <c r="B765" s="96"/>
      <c r="C765" s="55" t="s">
        <v>2058</v>
      </c>
      <c r="D765" s="55"/>
    </row>
    <row r="766" spans="1:4">
      <c r="A766" s="96"/>
      <c r="B766" s="96"/>
      <c r="C766" s="55" t="s">
        <v>2059</v>
      </c>
      <c r="D766" s="55"/>
    </row>
    <row r="767" spans="1:4">
      <c r="A767" s="96"/>
      <c r="B767" s="96"/>
      <c r="C767" s="55" t="s">
        <v>80</v>
      </c>
      <c r="D767" s="55"/>
    </row>
    <row r="768" spans="1:4">
      <c r="A768" s="96"/>
      <c r="B768" s="96"/>
      <c r="C768" s="55" t="s">
        <v>2060</v>
      </c>
      <c r="D768" s="55"/>
    </row>
    <row r="769" spans="1:5">
      <c r="A769" s="96"/>
      <c r="B769" s="96"/>
      <c r="C769" s="55" t="s">
        <v>2061</v>
      </c>
      <c r="D769" s="55"/>
    </row>
    <row r="770" spans="1:5">
      <c r="A770" s="96"/>
      <c r="B770" s="96"/>
      <c r="C770" s="55" t="s">
        <v>2062</v>
      </c>
      <c r="D770" s="55"/>
    </row>
    <row r="771" spans="1:5">
      <c r="A771" s="96"/>
      <c r="B771" s="96"/>
      <c r="C771" s="55" t="s">
        <v>2063</v>
      </c>
      <c r="D771" s="55"/>
    </row>
    <row r="772" spans="1:5">
      <c r="A772" s="96"/>
      <c r="B772" s="96"/>
      <c r="C772" s="55" t="s">
        <v>2064</v>
      </c>
      <c r="D772" s="55"/>
    </row>
    <row r="773" spans="1:5">
      <c r="A773" s="96"/>
      <c r="B773" s="96"/>
      <c r="C773" s="55" t="s">
        <v>2065</v>
      </c>
      <c r="D773" s="55"/>
    </row>
    <row r="774" spans="1:5">
      <c r="A774" s="96"/>
      <c r="B774" s="96"/>
      <c r="C774" s="55" t="s">
        <v>2066</v>
      </c>
      <c r="D774" s="55"/>
    </row>
    <row r="775" spans="1:5">
      <c r="A775" s="96"/>
      <c r="B775" s="96"/>
      <c r="C775" s="55" t="s">
        <v>2067</v>
      </c>
      <c r="D775" s="55"/>
    </row>
    <row r="776" spans="1:5">
      <c r="A776" s="96"/>
      <c r="B776" s="96"/>
      <c r="C776" s="55" t="s">
        <v>956</v>
      </c>
      <c r="D776" s="55"/>
    </row>
    <row r="777" spans="1:5">
      <c r="A777" s="96"/>
      <c r="B777" s="96"/>
      <c r="C777" s="55" t="s">
        <v>2068</v>
      </c>
      <c r="D777" s="55"/>
    </row>
    <row r="778" spans="1:5">
      <c r="A778" s="96"/>
      <c r="B778" s="96"/>
      <c r="C778" s="55" t="s">
        <v>2069</v>
      </c>
      <c r="D778" s="55"/>
    </row>
    <row r="779" spans="1:5">
      <c r="A779" s="96"/>
      <c r="B779" s="96"/>
      <c r="C779" s="55" t="s">
        <v>2070</v>
      </c>
      <c r="D779" s="55"/>
    </row>
    <row r="780" spans="1:5">
      <c r="A780" s="96"/>
      <c r="B780" s="96"/>
      <c r="C780" s="55" t="s">
        <v>2071</v>
      </c>
      <c r="D780" s="55"/>
    </row>
    <row r="781" spans="1:5">
      <c r="A781" s="96"/>
      <c r="B781" s="96"/>
      <c r="C781" s="55" t="s">
        <v>968</v>
      </c>
      <c r="D781" s="55"/>
    </row>
    <row r="782" spans="1:5">
      <c r="A782" s="96"/>
      <c r="B782" s="96"/>
      <c r="C782" s="55" t="s">
        <v>2072</v>
      </c>
      <c r="D782" s="55"/>
      <c r="E782" s="15" t="s">
        <v>2051</v>
      </c>
    </row>
    <row r="783" spans="1:5">
      <c r="A783" s="96"/>
      <c r="B783" s="96"/>
      <c r="C783" s="55" t="s">
        <v>2073</v>
      </c>
      <c r="D783" s="55"/>
      <c r="E783" s="15" t="s">
        <v>2051</v>
      </c>
    </row>
    <row r="784" spans="1:5">
      <c r="A784" s="96"/>
      <c r="B784" s="96"/>
      <c r="C784" s="55" t="s">
        <v>2076</v>
      </c>
      <c r="D784" s="55"/>
      <c r="E784" s="15" t="s">
        <v>2051</v>
      </c>
    </row>
    <row r="785" spans="1:5">
      <c r="A785" s="96"/>
      <c r="B785" s="96"/>
      <c r="C785" s="55" t="s">
        <v>1476</v>
      </c>
      <c r="D785" s="55"/>
    </row>
    <row r="786" spans="1:5">
      <c r="A786" s="96"/>
      <c r="B786" s="96"/>
      <c r="C786" s="55" t="s">
        <v>2077</v>
      </c>
      <c r="D786" s="55"/>
    </row>
    <row r="787" spans="1:5">
      <c r="A787" s="96"/>
      <c r="B787" s="96"/>
      <c r="C787" s="55" t="s">
        <v>2078</v>
      </c>
      <c r="D787" s="55"/>
    </row>
    <row r="788" spans="1:5">
      <c r="A788" s="96"/>
      <c r="B788" s="96"/>
      <c r="C788" s="55" t="s">
        <v>2079</v>
      </c>
      <c r="D788" s="55"/>
    </row>
    <row r="789" spans="1:5">
      <c r="A789" s="96"/>
      <c r="B789" s="96"/>
      <c r="C789" s="55" t="s">
        <v>2080</v>
      </c>
      <c r="D789" s="55"/>
    </row>
    <row r="790" spans="1:5">
      <c r="A790" s="96"/>
      <c r="B790" s="96"/>
      <c r="C790" s="55" t="s">
        <v>2081</v>
      </c>
      <c r="D790" s="55"/>
      <c r="E790" s="15" t="s">
        <v>2051</v>
      </c>
    </row>
    <row r="791" spans="1:5">
      <c r="A791" s="96"/>
      <c r="B791" s="96"/>
      <c r="C791" s="55" t="s">
        <v>2082</v>
      </c>
      <c r="D791" s="55"/>
    </row>
    <row r="792" spans="1:5">
      <c r="A792" s="96"/>
      <c r="B792" s="96"/>
      <c r="C792" s="55" t="s">
        <v>2083</v>
      </c>
      <c r="D792" s="55"/>
    </row>
    <row r="793" spans="1:5">
      <c r="A793" s="96"/>
      <c r="B793" s="96"/>
      <c r="C793" s="55" t="s">
        <v>2084</v>
      </c>
      <c r="D793" s="55"/>
    </row>
    <row r="794" spans="1:5">
      <c r="A794" s="96"/>
      <c r="B794" s="96"/>
      <c r="C794" s="55" t="s">
        <v>2624</v>
      </c>
      <c r="D794" s="55"/>
    </row>
    <row r="795" spans="1:5">
      <c r="A795" s="96"/>
      <c r="B795" s="96"/>
      <c r="C795" s="55" t="s">
        <v>1767</v>
      </c>
      <c r="D795" s="55"/>
    </row>
    <row r="796" spans="1:5">
      <c r="A796" s="96"/>
      <c r="B796" s="96"/>
      <c r="C796" s="55" t="s">
        <v>2085</v>
      </c>
      <c r="D796" s="55"/>
    </row>
    <row r="797" spans="1:5">
      <c r="A797" s="96"/>
      <c r="B797" s="96"/>
      <c r="C797" s="55" t="s">
        <v>2086</v>
      </c>
      <c r="D797" s="55"/>
    </row>
    <row r="798" spans="1:5">
      <c r="A798" s="96"/>
      <c r="B798" s="96"/>
      <c r="C798" s="55" t="s">
        <v>2087</v>
      </c>
      <c r="D798" s="55"/>
    </row>
    <row r="799" spans="1:5">
      <c r="A799" s="96"/>
      <c r="B799" s="96"/>
      <c r="C799" s="55" t="s">
        <v>2088</v>
      </c>
      <c r="D799" s="55"/>
    </row>
    <row r="800" spans="1:5">
      <c r="A800" s="96"/>
      <c r="B800" s="96"/>
      <c r="C800" s="55" t="s">
        <v>2089</v>
      </c>
      <c r="D800" s="55"/>
    </row>
    <row r="801" spans="1:5">
      <c r="A801" s="96"/>
      <c r="B801" s="96"/>
      <c r="C801" s="55" t="s">
        <v>2090</v>
      </c>
      <c r="D801" s="55"/>
    </row>
    <row r="802" spans="1:5">
      <c r="A802" s="96"/>
      <c r="B802" s="96"/>
      <c r="C802" s="55" t="s">
        <v>2091</v>
      </c>
      <c r="D802" s="55"/>
    </row>
    <row r="803" spans="1:5">
      <c r="A803" s="96"/>
      <c r="B803" s="96"/>
      <c r="C803" s="55" t="s">
        <v>2092</v>
      </c>
      <c r="D803" s="55"/>
    </row>
    <row r="804" spans="1:5">
      <c r="A804" s="96"/>
      <c r="B804" s="96"/>
      <c r="C804" s="55" t="s">
        <v>2093</v>
      </c>
      <c r="D804" s="55"/>
    </row>
    <row r="805" spans="1:5">
      <c r="A805" s="96"/>
      <c r="B805" s="96"/>
      <c r="C805" s="55" t="s">
        <v>2094</v>
      </c>
      <c r="D805" s="55"/>
    </row>
    <row r="806" spans="1:5">
      <c r="A806" s="96"/>
      <c r="B806" s="96"/>
      <c r="C806" s="55" t="s">
        <v>2095</v>
      </c>
      <c r="D806" s="55"/>
    </row>
    <row r="807" spans="1:5">
      <c r="A807" s="96"/>
      <c r="B807" s="96"/>
      <c r="C807" s="55" t="s">
        <v>2096</v>
      </c>
      <c r="D807" s="55"/>
    </row>
    <row r="808" spans="1:5">
      <c r="A808" s="96"/>
      <c r="B808" s="96"/>
      <c r="C808" s="55" t="s">
        <v>2098</v>
      </c>
      <c r="D808" s="55"/>
    </row>
    <row r="809" spans="1:5">
      <c r="A809" s="96"/>
      <c r="B809" s="96"/>
      <c r="C809" s="55" t="s">
        <v>2097</v>
      </c>
      <c r="D809" s="55"/>
      <c r="E809" s="15" t="s">
        <v>2051</v>
      </c>
    </row>
    <row r="810" spans="1:5">
      <c r="A810" s="96"/>
      <c r="B810" s="96"/>
      <c r="C810" s="55" t="s">
        <v>1179</v>
      </c>
      <c r="D810" s="55"/>
    </row>
    <row r="811" spans="1:5">
      <c r="A811" s="96"/>
      <c r="B811" s="96"/>
      <c r="C811" s="55" t="s">
        <v>2099</v>
      </c>
      <c r="D811" s="55"/>
    </row>
    <row r="812" spans="1:5">
      <c r="A812" s="96"/>
      <c r="B812" s="96"/>
      <c r="C812" s="55" t="s">
        <v>2100</v>
      </c>
      <c r="D812" s="55"/>
    </row>
    <row r="813" spans="1:5">
      <c r="A813" s="96"/>
      <c r="B813" s="96"/>
      <c r="C813" s="55" t="s">
        <v>2101</v>
      </c>
      <c r="D813" s="55"/>
    </row>
    <row r="814" spans="1:5">
      <c r="A814" s="96"/>
      <c r="B814" s="96"/>
      <c r="C814" s="55" t="s">
        <v>1748</v>
      </c>
      <c r="D814" s="55"/>
    </row>
    <row r="815" spans="1:5">
      <c r="A815" s="96"/>
      <c r="B815" s="96"/>
      <c r="C815" s="55" t="s">
        <v>2102</v>
      </c>
      <c r="D815" s="55"/>
    </row>
    <row r="816" spans="1:5">
      <c r="A816" s="96"/>
      <c r="B816" s="96"/>
      <c r="C816" s="55" t="s">
        <v>2103</v>
      </c>
      <c r="D816" s="55"/>
    </row>
    <row r="817" spans="1:4">
      <c r="A817" s="96"/>
      <c r="B817" s="96"/>
      <c r="C817" s="55" t="s">
        <v>2104</v>
      </c>
      <c r="D817" s="55"/>
    </row>
    <row r="818" spans="1:4">
      <c r="A818" s="96"/>
      <c r="B818" s="96"/>
      <c r="C818" s="55" t="s">
        <v>2105</v>
      </c>
      <c r="D818" s="55"/>
    </row>
    <row r="819" spans="1:4">
      <c r="A819" s="96"/>
      <c r="B819" s="96"/>
      <c r="C819" s="55" t="s">
        <v>2106</v>
      </c>
      <c r="D819" s="55"/>
    </row>
    <row r="820" spans="1:4">
      <c r="A820" s="96"/>
      <c r="B820" s="96"/>
      <c r="C820" s="55" t="s">
        <v>2107</v>
      </c>
      <c r="D820" s="55"/>
    </row>
    <row r="821" spans="1:4">
      <c r="A821" s="96"/>
      <c r="B821" s="96"/>
      <c r="C821" s="55" t="s">
        <v>2108</v>
      </c>
      <c r="D821" s="55"/>
    </row>
    <row r="822" spans="1:4">
      <c r="A822" s="96"/>
      <c r="B822" s="96"/>
      <c r="C822" s="55" t="s">
        <v>2109</v>
      </c>
      <c r="D822" s="55"/>
    </row>
    <row r="823" spans="1:4">
      <c r="A823" s="96"/>
      <c r="B823" s="96"/>
      <c r="C823" s="55" t="s">
        <v>2110</v>
      </c>
      <c r="D823" s="55"/>
    </row>
    <row r="824" spans="1:4">
      <c r="A824" s="96"/>
      <c r="B824" s="96"/>
      <c r="C824" s="55" t="s">
        <v>2111</v>
      </c>
      <c r="D824" s="55"/>
    </row>
    <row r="825" spans="1:4">
      <c r="A825" s="96"/>
      <c r="B825" s="96"/>
      <c r="C825" s="55" t="s">
        <v>2112</v>
      </c>
      <c r="D825" s="55"/>
    </row>
    <row r="826" spans="1:4">
      <c r="A826" s="96"/>
      <c r="B826" s="96"/>
      <c r="C826" s="55" t="s">
        <v>803</v>
      </c>
      <c r="D826" s="55"/>
    </row>
    <row r="827" spans="1:4">
      <c r="A827" s="96"/>
      <c r="B827" s="96"/>
      <c r="C827" s="55" t="s">
        <v>2113</v>
      </c>
      <c r="D827" s="55"/>
    </row>
    <row r="828" spans="1:4">
      <c r="A828" s="96"/>
      <c r="B828" s="96"/>
      <c r="C828" s="55" t="s">
        <v>2114</v>
      </c>
      <c r="D828" s="55"/>
    </row>
    <row r="829" spans="1:4">
      <c r="A829" s="96"/>
      <c r="B829" s="96"/>
      <c r="C829" s="55" t="s">
        <v>2115</v>
      </c>
      <c r="D829" s="55"/>
    </row>
    <row r="830" spans="1:4">
      <c r="A830" s="96"/>
      <c r="B830" s="96"/>
      <c r="C830" s="55" t="s">
        <v>2116</v>
      </c>
      <c r="D830" s="55"/>
    </row>
    <row r="831" spans="1:4">
      <c r="A831" s="96"/>
      <c r="B831" s="96"/>
      <c r="C831" s="55" t="s">
        <v>2625</v>
      </c>
      <c r="D831" s="129" t="s">
        <v>2626</v>
      </c>
    </row>
    <row r="832" spans="1:4">
      <c r="A832" s="96"/>
      <c r="B832" s="96"/>
      <c r="C832" s="55" t="s">
        <v>2627</v>
      </c>
      <c r="D832" s="129" t="s">
        <v>2125</v>
      </c>
    </row>
    <row r="833" spans="1:4">
      <c r="A833" s="96"/>
      <c r="B833" s="96"/>
      <c r="C833" s="55" t="s">
        <v>2628</v>
      </c>
      <c r="D833" s="129" t="s">
        <v>2125</v>
      </c>
    </row>
    <row r="834" spans="1:4" ht="15">
      <c r="A834" s="96"/>
      <c r="B834" s="96"/>
      <c r="C834" s="55" t="s">
        <v>2629</v>
      </c>
      <c r="D834" s="127"/>
    </row>
    <row r="835" spans="1:4">
      <c r="A835" s="96"/>
      <c r="B835" s="96"/>
      <c r="C835" s="55" t="s">
        <v>138</v>
      </c>
      <c r="D835" s="55"/>
    </row>
    <row r="836" spans="1:4">
      <c r="A836" s="96"/>
      <c r="B836" s="96"/>
      <c r="C836" s="55" t="s">
        <v>2119</v>
      </c>
      <c r="D836" s="55"/>
    </row>
    <row r="837" spans="1:4">
      <c r="A837" s="96"/>
      <c r="B837" s="96"/>
      <c r="C837" s="55" t="s">
        <v>2120</v>
      </c>
      <c r="D837" s="55"/>
    </row>
    <row r="838" spans="1:4">
      <c r="A838" s="96"/>
      <c r="B838" s="96"/>
      <c r="C838" s="55" t="s">
        <v>2117</v>
      </c>
      <c r="D838" s="55"/>
    </row>
    <row r="839" spans="1:4">
      <c r="A839" s="96"/>
      <c r="B839" s="96"/>
      <c r="C839" s="55" t="s">
        <v>1341</v>
      </c>
      <c r="D839" s="55"/>
    </row>
    <row r="840" spans="1:4">
      <c r="A840" s="96"/>
      <c r="B840" s="96"/>
      <c r="C840" s="55" t="s">
        <v>2118</v>
      </c>
      <c r="D840" s="55"/>
    </row>
    <row r="841" spans="1:4">
      <c r="A841" s="96"/>
      <c r="B841" s="96"/>
      <c r="C841" s="55" t="s">
        <v>2121</v>
      </c>
      <c r="D841" s="55"/>
    </row>
    <row r="842" spans="1:4">
      <c r="A842" s="96"/>
      <c r="B842" s="96"/>
      <c r="C842" s="55" t="s">
        <v>2630</v>
      </c>
      <c r="D842" s="55"/>
    </row>
    <row r="843" spans="1:4">
      <c r="A843" s="96"/>
      <c r="B843" s="96"/>
      <c r="C843" s="55" t="s">
        <v>2631</v>
      </c>
      <c r="D843" s="55"/>
    </row>
    <row r="844" spans="1:4">
      <c r="A844" s="96"/>
      <c r="B844" s="96"/>
      <c r="C844" s="55" t="s">
        <v>2632</v>
      </c>
      <c r="D844" s="55"/>
    </row>
    <row r="845" spans="1:4">
      <c r="A845" s="96"/>
      <c r="B845" s="96"/>
      <c r="C845" s="55" t="s">
        <v>2633</v>
      </c>
      <c r="D845" s="55"/>
    </row>
    <row r="846" spans="1:4">
      <c r="A846" s="96"/>
      <c r="B846" s="96"/>
      <c r="C846" s="55" t="s">
        <v>2634</v>
      </c>
      <c r="D846" s="55"/>
    </row>
    <row r="847" spans="1:4">
      <c r="A847" s="96"/>
      <c r="B847" s="96"/>
      <c r="C847" s="55" t="s">
        <v>2635</v>
      </c>
      <c r="D847" s="55"/>
    </row>
    <row r="848" spans="1:4">
      <c r="A848" s="96"/>
      <c r="B848" s="96"/>
      <c r="C848" s="55" t="s">
        <v>2636</v>
      </c>
      <c r="D848" s="55"/>
    </row>
    <row r="849" spans="1:4">
      <c r="A849" s="96"/>
      <c r="B849" s="96"/>
      <c r="C849" s="55" t="s">
        <v>2637</v>
      </c>
      <c r="D849" s="55"/>
    </row>
    <row r="850" spans="1:4">
      <c r="A850" s="96"/>
      <c r="B850" s="96"/>
      <c r="C850" s="55" t="s">
        <v>730</v>
      </c>
      <c r="D850" s="55"/>
    </row>
    <row r="851" spans="1:4">
      <c r="A851" s="69" t="s">
        <v>1935</v>
      </c>
      <c r="B851" s="69"/>
      <c r="C851" s="58" t="s">
        <v>1590</v>
      </c>
      <c r="D851" s="58"/>
    </row>
    <row r="852" spans="1:4">
      <c r="A852" s="70"/>
      <c r="B852" s="70"/>
      <c r="C852" s="58" t="s">
        <v>125</v>
      </c>
      <c r="D852" s="58"/>
    </row>
    <row r="853" spans="1:4">
      <c r="A853" s="96" t="s">
        <v>2638</v>
      </c>
      <c r="B853" s="96" t="s">
        <v>5</v>
      </c>
      <c r="C853" s="55" t="s">
        <v>2639</v>
      </c>
      <c r="D853" s="55"/>
    </row>
    <row r="854" spans="1:4">
      <c r="A854" s="96"/>
      <c r="B854" s="96"/>
      <c r="C854" s="55" t="s">
        <v>2640</v>
      </c>
      <c r="D854" s="55"/>
    </row>
    <row r="855" spans="1:4">
      <c r="A855" s="96"/>
      <c r="B855" s="96"/>
      <c r="C855" s="55" t="s">
        <v>2641</v>
      </c>
      <c r="D855" s="55"/>
    </row>
    <row r="856" spans="1:4">
      <c r="A856" s="96"/>
      <c r="B856" s="96"/>
      <c r="C856" s="55" t="s">
        <v>2642</v>
      </c>
      <c r="D856" s="55"/>
    </row>
    <row r="857" spans="1:4">
      <c r="A857" s="96"/>
      <c r="B857" s="96"/>
      <c r="C857" s="55" t="s">
        <v>2643</v>
      </c>
      <c r="D857" s="55"/>
    </row>
    <row r="858" spans="1:4">
      <c r="A858" s="96"/>
      <c r="B858" s="96"/>
      <c r="C858" s="55" t="s">
        <v>2644</v>
      </c>
      <c r="D858" s="55"/>
    </row>
    <row r="859" spans="1:4">
      <c r="A859" s="96"/>
      <c r="B859" s="96"/>
      <c r="C859" s="55" t="s">
        <v>2645</v>
      </c>
      <c r="D859" s="55"/>
    </row>
    <row r="860" spans="1:4">
      <c r="A860" s="96"/>
      <c r="B860" s="96"/>
      <c r="C860" s="55" t="s">
        <v>2646</v>
      </c>
      <c r="D860" s="55"/>
    </row>
    <row r="861" spans="1:4">
      <c r="A861" s="96"/>
      <c r="B861" s="96"/>
      <c r="C861" s="55" t="s">
        <v>2647</v>
      </c>
      <c r="D861" s="55"/>
    </row>
    <row r="862" spans="1:4">
      <c r="A862" s="69" t="s">
        <v>2648</v>
      </c>
      <c r="B862" s="69" t="s">
        <v>5</v>
      </c>
      <c r="C862" s="58" t="s">
        <v>29</v>
      </c>
      <c r="D862" s="58"/>
    </row>
    <row r="863" spans="1:4">
      <c r="A863" s="70"/>
      <c r="B863" s="70"/>
      <c r="C863" s="58" t="s">
        <v>2649</v>
      </c>
      <c r="D863" s="58"/>
    </row>
    <row r="864" spans="1:4">
      <c r="A864" s="70"/>
      <c r="B864" s="70"/>
      <c r="C864" s="58" t="s">
        <v>42</v>
      </c>
      <c r="D864" s="58"/>
    </row>
    <row r="865" spans="1:4">
      <c r="A865" s="70"/>
      <c r="B865" s="70"/>
      <c r="C865" s="58" t="s">
        <v>94</v>
      </c>
      <c r="D865" s="58"/>
    </row>
    <row r="866" spans="1:4">
      <c r="A866" s="70"/>
      <c r="B866" s="70"/>
      <c r="C866" s="58" t="s">
        <v>2650</v>
      </c>
      <c r="D866" s="58"/>
    </row>
    <row r="867" spans="1:4">
      <c r="A867" s="70"/>
      <c r="B867" s="70"/>
      <c r="C867" s="58" t="s">
        <v>2651</v>
      </c>
      <c r="D867" s="58"/>
    </row>
    <row r="868" spans="1:4">
      <c r="A868" s="70"/>
      <c r="B868" s="70"/>
      <c r="C868" s="58" t="s">
        <v>73</v>
      </c>
      <c r="D868" s="58"/>
    </row>
    <row r="869" spans="1:4">
      <c r="A869" s="70"/>
      <c r="B869" s="70"/>
      <c r="C869" s="58" t="s">
        <v>78</v>
      </c>
      <c r="D869" s="58"/>
    </row>
    <row r="870" spans="1:4">
      <c r="A870" s="96" t="s">
        <v>2652</v>
      </c>
      <c r="B870" s="96" t="s">
        <v>5</v>
      </c>
      <c r="C870" s="55" t="s">
        <v>29</v>
      </c>
      <c r="D870" s="55"/>
    </row>
    <row r="871" spans="1:4">
      <c r="A871" s="96"/>
      <c r="B871" s="96"/>
      <c r="C871" s="55" t="s">
        <v>42</v>
      </c>
      <c r="D871" s="55"/>
    </row>
    <row r="872" spans="1:4">
      <c r="A872" s="96"/>
      <c r="B872" s="96"/>
      <c r="C872" s="55" t="s">
        <v>2650</v>
      </c>
      <c r="D872" s="55"/>
    </row>
    <row r="873" spans="1:4">
      <c r="A873" s="96"/>
      <c r="B873" s="96"/>
      <c r="C873" s="55" t="s">
        <v>730</v>
      </c>
      <c r="D873" s="55"/>
    </row>
    <row r="874" spans="1:4">
      <c r="A874" s="69" t="s">
        <v>2653</v>
      </c>
      <c r="B874" s="69" t="s">
        <v>5</v>
      </c>
      <c r="C874" s="58" t="s">
        <v>122</v>
      </c>
      <c r="D874" s="58"/>
    </row>
    <row r="875" spans="1:4">
      <c r="A875" s="70"/>
      <c r="B875" s="70"/>
      <c r="C875" s="58" t="s">
        <v>132</v>
      </c>
      <c r="D875" s="58"/>
    </row>
    <row r="876" spans="1:4">
      <c r="A876" s="70"/>
      <c r="B876" s="70"/>
      <c r="C876" s="58" t="s">
        <v>410</v>
      </c>
      <c r="D876" s="58"/>
    </row>
    <row r="877" spans="1:4">
      <c r="A877" s="70"/>
      <c r="B877" s="70"/>
      <c r="C877" s="58" t="s">
        <v>1995</v>
      </c>
      <c r="D877" s="58"/>
    </row>
    <row r="878" spans="1:4">
      <c r="A878" s="70"/>
      <c r="B878" s="70"/>
      <c r="C878" s="58" t="s">
        <v>176</v>
      </c>
      <c r="D878" s="58"/>
    </row>
    <row r="879" spans="1:4">
      <c r="A879" s="70"/>
      <c r="B879" s="70"/>
      <c r="C879" s="58" t="s">
        <v>2654</v>
      </c>
      <c r="D879" s="58"/>
    </row>
    <row r="880" spans="1:4">
      <c r="A880" s="70"/>
      <c r="B880" s="70"/>
      <c r="C880" s="58" t="s">
        <v>2655</v>
      </c>
      <c r="D880" s="58"/>
    </row>
    <row r="881" spans="1:5">
      <c r="A881" s="70"/>
      <c r="B881" s="70"/>
      <c r="C881" s="58" t="s">
        <v>2656</v>
      </c>
      <c r="D881" s="58"/>
    </row>
    <row r="882" spans="1:5">
      <c r="A882" s="70"/>
      <c r="B882" s="70"/>
      <c r="C882" s="58" t="s">
        <v>2657</v>
      </c>
      <c r="D882" s="58" t="s">
        <v>2657</v>
      </c>
      <c r="E882" s="15" t="s">
        <v>2051</v>
      </c>
    </row>
    <row r="883" spans="1:5">
      <c r="A883" s="71"/>
      <c r="B883" s="71"/>
      <c r="C883" s="58" t="s">
        <v>730</v>
      </c>
      <c r="D883" s="58"/>
    </row>
    <row r="884" spans="1:5">
      <c r="A884" s="85" t="s">
        <v>2658</v>
      </c>
      <c r="B884" s="85" t="s">
        <v>5</v>
      </c>
      <c r="C884" s="55" t="s">
        <v>920</v>
      </c>
      <c r="D884" s="55"/>
    </row>
    <row r="885" spans="1:5">
      <c r="A885" s="86"/>
      <c r="B885" s="86"/>
      <c r="C885" s="55" t="s">
        <v>2659</v>
      </c>
      <c r="D885" s="55"/>
    </row>
    <row r="886" spans="1:5">
      <c r="A886" s="86"/>
      <c r="B886" s="86"/>
      <c r="C886" s="55" t="s">
        <v>2660</v>
      </c>
      <c r="D886" s="55"/>
    </row>
    <row r="887" spans="1:5">
      <c r="A887" s="86"/>
      <c r="B887" s="86"/>
      <c r="C887" s="55" t="s">
        <v>2661</v>
      </c>
      <c r="D887" s="55"/>
    </row>
    <row r="888" spans="1:5">
      <c r="A888" s="86"/>
      <c r="B888" s="86"/>
      <c r="C888" s="55" t="s">
        <v>2662</v>
      </c>
      <c r="D888" s="55"/>
    </row>
    <row r="889" spans="1:5">
      <c r="A889" s="86"/>
      <c r="B889" s="86"/>
      <c r="C889" s="55" t="s">
        <v>2663</v>
      </c>
      <c r="D889" s="55" t="s">
        <v>2664</v>
      </c>
    </row>
    <row r="890" spans="1:5">
      <c r="A890" s="86"/>
      <c r="B890" s="86"/>
      <c r="C890" s="55" t="s">
        <v>2665</v>
      </c>
      <c r="D890" s="55"/>
    </row>
    <row r="891" spans="1:5">
      <c r="A891" s="69" t="s">
        <v>2247</v>
      </c>
      <c r="B891" s="69" t="s">
        <v>5</v>
      </c>
      <c r="C891" s="58" t="s">
        <v>1323</v>
      </c>
      <c r="D891" s="58"/>
    </row>
    <row r="892" spans="1:5">
      <c r="A892" s="70"/>
      <c r="B892" s="70"/>
      <c r="C892" s="58" t="s">
        <v>1327</v>
      </c>
      <c r="D892" s="58"/>
    </row>
    <row r="893" spans="1:5">
      <c r="A893" s="70"/>
      <c r="B893" s="70"/>
      <c r="C893" s="58" t="s">
        <v>1307</v>
      </c>
      <c r="D893" s="58"/>
    </row>
    <row r="894" spans="1:5">
      <c r="A894" s="70"/>
      <c r="B894" s="70"/>
      <c r="C894" s="58" t="s">
        <v>1313</v>
      </c>
      <c r="D894" s="58"/>
    </row>
    <row r="895" spans="1:5">
      <c r="A895" s="70"/>
      <c r="B895" s="70"/>
      <c r="C895" s="58" t="s">
        <v>2666</v>
      </c>
      <c r="D895" s="58"/>
    </row>
    <row r="896" spans="1:5">
      <c r="A896" s="70"/>
      <c r="B896" s="70"/>
      <c r="C896" s="58" t="s">
        <v>730</v>
      </c>
      <c r="D896" s="58"/>
    </row>
    <row r="897" spans="1:4">
      <c r="A897" s="85" t="s">
        <v>2667</v>
      </c>
      <c r="B897" s="85" t="s">
        <v>5</v>
      </c>
      <c r="C897" s="55" t="s">
        <v>2668</v>
      </c>
      <c r="D897" s="55"/>
    </row>
    <row r="898" spans="1:4">
      <c r="A898" s="86"/>
      <c r="B898" s="86"/>
      <c r="C898" s="55" t="s">
        <v>2669</v>
      </c>
      <c r="D898" s="55"/>
    </row>
    <row r="899" spans="1:4">
      <c r="A899" s="86"/>
      <c r="B899" s="86"/>
      <c r="C899" s="55" t="s">
        <v>920</v>
      </c>
      <c r="D899" s="55"/>
    </row>
    <row r="900" spans="1:4">
      <c r="A900" s="86"/>
      <c r="B900" s="86"/>
      <c r="C900" s="55" t="s">
        <v>730</v>
      </c>
      <c r="D900" s="55"/>
    </row>
    <row r="901" spans="1:4">
      <c r="A901" s="69" t="s">
        <v>2670</v>
      </c>
      <c r="B901" s="69" t="s">
        <v>5</v>
      </c>
      <c r="C901" s="58" t="s">
        <v>2671</v>
      </c>
      <c r="D901" s="58"/>
    </row>
    <row r="902" spans="1:4">
      <c r="A902" s="70"/>
      <c r="B902" s="70"/>
      <c r="C902" s="58" t="s">
        <v>2672</v>
      </c>
      <c r="D902" s="58"/>
    </row>
    <row r="903" spans="1:4">
      <c r="A903" s="70"/>
      <c r="B903" s="70"/>
      <c r="C903" s="58" t="s">
        <v>1942</v>
      </c>
      <c r="D903" s="58"/>
    </row>
    <row r="904" spans="1:4">
      <c r="A904" s="70"/>
      <c r="B904" s="70"/>
      <c r="C904" s="58" t="s">
        <v>2673</v>
      </c>
      <c r="D904" s="58"/>
    </row>
    <row r="905" spans="1:4">
      <c r="A905" s="70"/>
      <c r="B905" s="70"/>
      <c r="C905" s="58" t="s">
        <v>2674</v>
      </c>
      <c r="D905" s="58"/>
    </row>
    <row r="906" spans="1:4">
      <c r="A906" s="95" t="s">
        <v>2675</v>
      </c>
      <c r="B906" s="95" t="s">
        <v>5</v>
      </c>
      <c r="C906" s="61" t="s">
        <v>2676</v>
      </c>
      <c r="D906" s="61"/>
    </row>
    <row r="907" spans="1:4">
      <c r="A907" s="96"/>
      <c r="B907" s="96"/>
      <c r="C907" s="61" t="s">
        <v>2677</v>
      </c>
      <c r="D907" s="61"/>
    </row>
    <row r="908" spans="1:4">
      <c r="A908" s="96"/>
      <c r="B908" s="96"/>
      <c r="C908" s="55" t="s">
        <v>2678</v>
      </c>
      <c r="D908" s="55"/>
    </row>
    <row r="909" spans="1:4">
      <c r="A909" s="96"/>
      <c r="B909" s="96"/>
      <c r="C909" s="55" t="s">
        <v>2679</v>
      </c>
      <c r="D909" s="55"/>
    </row>
    <row r="910" spans="1:4">
      <c r="A910" s="96"/>
      <c r="B910" s="96"/>
      <c r="C910" s="55" t="s">
        <v>2680</v>
      </c>
      <c r="D910" s="55"/>
    </row>
    <row r="911" spans="1:4">
      <c r="A911" s="96"/>
      <c r="B911" s="96"/>
      <c r="C911" s="55" t="s">
        <v>2681</v>
      </c>
      <c r="D911" s="55"/>
    </row>
    <row r="912" spans="1:4">
      <c r="A912" s="91" t="s">
        <v>2682</v>
      </c>
      <c r="B912" s="91" t="s">
        <v>5</v>
      </c>
      <c r="C912" s="63" t="s">
        <v>29</v>
      </c>
      <c r="D912" s="63"/>
    </row>
    <row r="913" spans="1:5">
      <c r="A913" s="73"/>
      <c r="B913" s="73"/>
      <c r="C913" s="63" t="s">
        <v>2649</v>
      </c>
      <c r="D913" s="63"/>
    </row>
    <row r="914" spans="1:5">
      <c r="A914" s="73"/>
      <c r="B914" s="73"/>
      <c r="C914" s="58" t="s">
        <v>42</v>
      </c>
      <c r="D914" s="58"/>
    </row>
    <row r="915" spans="1:5">
      <c r="A915" s="73"/>
      <c r="B915" s="73"/>
      <c r="C915" s="58" t="s">
        <v>94</v>
      </c>
      <c r="D915" s="58"/>
    </row>
    <row r="916" spans="1:5">
      <c r="A916" s="73"/>
      <c r="B916" s="73"/>
      <c r="C916" s="58" t="s">
        <v>2650</v>
      </c>
      <c r="D916" s="58"/>
    </row>
    <row r="917" spans="1:5">
      <c r="A917" s="73"/>
      <c r="B917" s="73"/>
      <c r="C917" s="58" t="s">
        <v>2651</v>
      </c>
      <c r="D917" s="58"/>
    </row>
    <row r="918" spans="1:5">
      <c r="A918" s="73"/>
      <c r="B918" s="73"/>
      <c r="C918" s="63" t="s">
        <v>73</v>
      </c>
      <c r="D918" s="63"/>
    </row>
    <row r="919" spans="1:5">
      <c r="A919" s="73"/>
      <c r="B919" s="73"/>
      <c r="C919" s="63" t="s">
        <v>78</v>
      </c>
      <c r="D919" s="63"/>
    </row>
    <row r="920" spans="1:5" ht="15">
      <c r="A920" s="95" t="s">
        <v>2683</v>
      </c>
      <c r="B920" s="95" t="s">
        <v>5</v>
      </c>
      <c r="C920" s="61" t="s">
        <v>2684</v>
      </c>
      <c r="D920" s="61"/>
      <c r="E920" s="62"/>
    </row>
    <row r="921" spans="1:5" ht="15">
      <c r="A921" s="96"/>
      <c r="B921" s="96"/>
      <c r="C921" s="61" t="s">
        <v>2685</v>
      </c>
      <c r="D921" s="61"/>
      <c r="E921" s="62"/>
    </row>
    <row r="922" spans="1:5" ht="15">
      <c r="A922" s="96"/>
      <c r="B922" s="96"/>
      <c r="C922" s="55" t="s">
        <v>2686</v>
      </c>
      <c r="D922" s="55"/>
      <c r="E922" s="62"/>
    </row>
    <row r="923" spans="1:5" ht="15">
      <c r="A923" s="96"/>
      <c r="B923" s="96"/>
      <c r="C923" s="55" t="s">
        <v>2687</v>
      </c>
      <c r="D923" s="55"/>
      <c r="E923" s="62"/>
    </row>
    <row r="924" spans="1:5" ht="15">
      <c r="A924" s="96"/>
      <c r="B924" s="96"/>
      <c r="C924" s="55" t="s">
        <v>2688</v>
      </c>
      <c r="D924" s="55"/>
      <c r="E924" s="62"/>
    </row>
    <row r="925" spans="1:5">
      <c r="A925" s="96"/>
      <c r="B925" s="96"/>
      <c r="C925" s="55" t="s">
        <v>730</v>
      </c>
      <c r="D925" s="55"/>
    </row>
    <row r="926" spans="1:5">
      <c r="A926" s="91" t="s">
        <v>2689</v>
      </c>
      <c r="B926" s="91" t="s">
        <v>5</v>
      </c>
      <c r="C926" s="58" t="s">
        <v>2690</v>
      </c>
      <c r="D926" s="58"/>
    </row>
    <row r="927" spans="1:5">
      <c r="A927" s="73"/>
      <c r="B927" s="73"/>
      <c r="C927" s="58" t="s">
        <v>2691</v>
      </c>
      <c r="D927" s="58"/>
    </row>
    <row r="928" spans="1:5">
      <c r="A928" s="73"/>
      <c r="B928" s="73"/>
      <c r="C928" s="58" t="s">
        <v>2692</v>
      </c>
      <c r="D928" s="58"/>
    </row>
    <row r="929" spans="1:5">
      <c r="A929" s="92" t="s">
        <v>2693</v>
      </c>
      <c r="B929" s="92" t="s">
        <v>5</v>
      </c>
      <c r="C929" s="61" t="s">
        <v>2694</v>
      </c>
      <c r="D929" s="61"/>
    </row>
    <row r="930" spans="1:5">
      <c r="A930" s="93"/>
      <c r="B930" s="93"/>
      <c r="C930" s="61" t="s">
        <v>132</v>
      </c>
      <c r="D930" s="61"/>
    </row>
    <row r="931" spans="1:5">
      <c r="A931" s="93"/>
      <c r="B931" s="93"/>
      <c r="C931" s="55" t="s">
        <v>122</v>
      </c>
      <c r="D931" s="55"/>
    </row>
    <row r="932" spans="1:5">
      <c r="A932" s="93"/>
      <c r="B932" s="93"/>
      <c r="C932" s="55" t="s">
        <v>410</v>
      </c>
      <c r="D932" s="55"/>
    </row>
    <row r="933" spans="1:5">
      <c r="A933" s="93"/>
      <c r="B933" s="93"/>
      <c r="C933" s="55" t="s">
        <v>730</v>
      </c>
      <c r="D933" s="55"/>
    </row>
    <row r="934" spans="1:5">
      <c r="A934" s="99" t="s">
        <v>2695</v>
      </c>
      <c r="B934" s="99" t="s">
        <v>5</v>
      </c>
      <c r="C934" s="63" t="s">
        <v>122</v>
      </c>
      <c r="D934" s="63"/>
    </row>
    <row r="935" spans="1:5">
      <c r="A935" s="100"/>
      <c r="B935" s="100"/>
      <c r="C935" s="63" t="s">
        <v>132</v>
      </c>
      <c r="D935" s="63"/>
    </row>
    <row r="936" spans="1:5">
      <c r="A936" s="100"/>
      <c r="B936" s="100"/>
      <c r="C936" s="58" t="s">
        <v>410</v>
      </c>
      <c r="D936" s="58"/>
    </row>
    <row r="937" spans="1:5">
      <c r="A937" s="100"/>
      <c r="B937" s="100"/>
      <c r="C937" s="58" t="s">
        <v>1995</v>
      </c>
      <c r="D937" s="58"/>
    </row>
    <row r="938" spans="1:5">
      <c r="A938" s="100"/>
      <c r="B938" s="100"/>
      <c r="C938" s="58" t="s">
        <v>2696</v>
      </c>
      <c r="D938" s="58"/>
    </row>
    <row r="939" spans="1:5">
      <c r="A939" s="100"/>
      <c r="B939" s="100"/>
      <c r="C939" s="63" t="s">
        <v>2696</v>
      </c>
      <c r="D939" s="63"/>
    </row>
    <row r="940" spans="1:5">
      <c r="A940" s="100"/>
      <c r="B940" s="100"/>
      <c r="C940" s="63" t="s">
        <v>2654</v>
      </c>
      <c r="D940" s="63"/>
    </row>
    <row r="941" spans="1:5">
      <c r="A941" s="100"/>
      <c r="B941" s="100"/>
      <c r="C941" s="58" t="s">
        <v>2655</v>
      </c>
      <c r="D941" s="58"/>
    </row>
    <row r="942" spans="1:5">
      <c r="A942" s="100"/>
      <c r="B942" s="100"/>
      <c r="C942" s="63" t="s">
        <v>2656</v>
      </c>
      <c r="D942" s="63"/>
    </row>
    <row r="943" spans="1:5">
      <c r="A943" s="100"/>
      <c r="B943" s="100"/>
      <c r="C943" s="63" t="s">
        <v>2694</v>
      </c>
      <c r="D943" s="63"/>
    </row>
    <row r="944" spans="1:5">
      <c r="A944" s="100"/>
      <c r="B944" s="100"/>
      <c r="C944" s="58" t="s">
        <v>2697</v>
      </c>
      <c r="D944" s="58" t="s">
        <v>2697</v>
      </c>
      <c r="E944" s="15" t="s">
        <v>2051</v>
      </c>
    </row>
    <row r="945" spans="1:4">
      <c r="A945" s="125"/>
      <c r="B945" s="125"/>
      <c r="C945" s="58" t="s">
        <v>730</v>
      </c>
      <c r="D945" s="58"/>
    </row>
    <row r="946" spans="1:4" ht="14.25" customHeight="1">
      <c r="A946" s="92" t="s">
        <v>2698</v>
      </c>
      <c r="B946" s="92" t="s">
        <v>5</v>
      </c>
      <c r="C946" s="61" t="s">
        <v>2699</v>
      </c>
      <c r="D946" s="61"/>
    </row>
    <row r="947" spans="1:4">
      <c r="A947" s="93"/>
      <c r="B947" s="93"/>
      <c r="C947" s="61" t="s">
        <v>2700</v>
      </c>
      <c r="D947" s="61"/>
    </row>
    <row r="948" spans="1:4">
      <c r="A948" s="93"/>
      <c r="B948" s="93"/>
      <c r="C948" s="55" t="s">
        <v>2701</v>
      </c>
      <c r="D948" s="55"/>
    </row>
    <row r="949" spans="1:4">
      <c r="A949" s="93"/>
      <c r="B949" s="93"/>
      <c r="C949" s="55" t="s">
        <v>2702</v>
      </c>
      <c r="D949" s="55"/>
    </row>
    <row r="950" spans="1:4">
      <c r="A950" s="93"/>
      <c r="B950" s="93"/>
      <c r="C950" s="55" t="s">
        <v>2703</v>
      </c>
      <c r="D950" s="55"/>
    </row>
    <row r="951" spans="1:4">
      <c r="A951" s="93"/>
      <c r="B951" s="93"/>
      <c r="C951" s="61" t="s">
        <v>1595</v>
      </c>
      <c r="D951" s="61"/>
    </row>
    <row r="952" spans="1:4">
      <c r="A952" s="93"/>
      <c r="B952" s="93"/>
      <c r="C952" s="61" t="s">
        <v>2694</v>
      </c>
      <c r="D952" s="61"/>
    </row>
    <row r="953" spans="1:4">
      <c r="A953" s="93"/>
      <c r="B953" s="93"/>
      <c r="C953" s="55" t="s">
        <v>2704</v>
      </c>
      <c r="D953" s="55" t="s">
        <v>2705</v>
      </c>
    </row>
    <row r="954" spans="1:4">
      <c r="A954" s="93"/>
      <c r="B954" s="93"/>
      <c r="C954" s="55" t="s">
        <v>2663</v>
      </c>
      <c r="D954" s="55" t="s">
        <v>2664</v>
      </c>
    </row>
    <row r="955" spans="1:4">
      <c r="A955" s="93"/>
      <c r="B955" s="93"/>
      <c r="C955" s="55" t="s">
        <v>730</v>
      </c>
      <c r="D955" s="55"/>
    </row>
    <row r="956" spans="1:4">
      <c r="A956" s="99" t="s">
        <v>2488</v>
      </c>
      <c r="B956" s="99" t="s">
        <v>5</v>
      </c>
      <c r="C956" s="58" t="s">
        <v>2706</v>
      </c>
      <c r="D956" s="58"/>
    </row>
    <row r="957" spans="1:4">
      <c r="A957" s="100"/>
      <c r="B957" s="100"/>
      <c r="C957" s="58" t="s">
        <v>1670</v>
      </c>
      <c r="D957" s="58"/>
    </row>
    <row r="958" spans="1:4">
      <c r="A958" s="100"/>
      <c r="B958" s="100"/>
      <c r="C958" s="58" t="s">
        <v>2707</v>
      </c>
      <c r="D958" s="58"/>
    </row>
    <row r="959" spans="1:4">
      <c r="A959" s="100"/>
      <c r="B959" s="100"/>
      <c r="C959" s="58" t="s">
        <v>1700</v>
      </c>
      <c r="D959" s="58"/>
    </row>
    <row r="960" spans="1:4">
      <c r="A960" s="100"/>
      <c r="B960" s="100"/>
      <c r="C960" s="58" t="s">
        <v>1663</v>
      </c>
      <c r="D960" s="58"/>
    </row>
    <row r="961" spans="1:5">
      <c r="A961" s="100"/>
      <c r="B961" s="100"/>
      <c r="C961" s="58" t="s">
        <v>1724</v>
      </c>
      <c r="D961" s="58"/>
    </row>
    <row r="962" spans="1:5">
      <c r="A962" s="100"/>
      <c r="B962" s="100"/>
      <c r="C962" s="58" t="s">
        <v>2708</v>
      </c>
      <c r="D962" s="58"/>
    </row>
    <row r="963" spans="1:5">
      <c r="A963" s="100"/>
      <c r="B963" s="100"/>
      <c r="C963" s="58" t="s">
        <v>2561</v>
      </c>
      <c r="D963" s="58"/>
      <c r="E963" s="15" t="s">
        <v>2051</v>
      </c>
    </row>
    <row r="964" spans="1:5">
      <c r="A964" s="101" t="s">
        <v>2709</v>
      </c>
      <c r="B964" s="92" t="s">
        <v>5</v>
      </c>
      <c r="C964" s="55" t="s">
        <v>2671</v>
      </c>
      <c r="D964" s="55"/>
    </row>
    <row r="965" spans="1:5">
      <c r="A965" s="102"/>
      <c r="B965" s="93"/>
      <c r="C965" s="55" t="s">
        <v>2672</v>
      </c>
      <c r="D965" s="55"/>
    </row>
    <row r="966" spans="1:5">
      <c r="A966" s="102"/>
      <c r="B966" s="93"/>
      <c r="C966" s="55" t="s">
        <v>1942</v>
      </c>
      <c r="D966" s="55"/>
    </row>
    <row r="967" spans="1:5">
      <c r="A967" s="102"/>
      <c r="B967" s="93"/>
      <c r="C967" s="55" t="s">
        <v>2673</v>
      </c>
      <c r="D967" s="55"/>
    </row>
    <row r="968" spans="1:5">
      <c r="A968" s="102"/>
      <c r="B968" s="93"/>
      <c r="C968" s="55" t="s">
        <v>2674</v>
      </c>
      <c r="D968" s="55"/>
    </row>
    <row r="969" spans="1:5">
      <c r="A969" s="102"/>
      <c r="B969" s="93"/>
      <c r="C969" s="55" t="s">
        <v>2710</v>
      </c>
      <c r="D969" s="55"/>
      <c r="E969" s="15" t="s">
        <v>2051</v>
      </c>
    </row>
    <row r="970" spans="1:5">
      <c r="A970" s="103" t="s">
        <v>2711</v>
      </c>
      <c r="B970" s="99" t="s">
        <v>5</v>
      </c>
      <c r="C970" s="58" t="s">
        <v>2712</v>
      </c>
      <c r="D970" s="58"/>
    </row>
    <row r="971" spans="1:5">
      <c r="A971" s="104"/>
      <c r="B971" s="100"/>
      <c r="C971" s="58" t="s">
        <v>2713</v>
      </c>
      <c r="D971" s="58"/>
    </row>
    <row r="972" spans="1:5">
      <c r="A972" s="104"/>
      <c r="B972" s="100"/>
      <c r="C972" s="58" t="s">
        <v>2714</v>
      </c>
      <c r="D972" s="58"/>
    </row>
    <row r="973" spans="1:5">
      <c r="A973" s="104"/>
      <c r="B973" s="100"/>
      <c r="C973" s="58" t="s">
        <v>2715</v>
      </c>
      <c r="D973" s="58"/>
    </row>
    <row r="974" spans="1:5">
      <c r="A974" s="104"/>
      <c r="B974" s="100"/>
      <c r="C974" s="58" t="s">
        <v>1992</v>
      </c>
      <c r="D974" s="58"/>
    </row>
    <row r="975" spans="1:5">
      <c r="A975" s="104"/>
      <c r="B975" s="100"/>
      <c r="C975" s="58" t="s">
        <v>2716</v>
      </c>
      <c r="D975" s="58"/>
    </row>
    <row r="976" spans="1:5">
      <c r="A976" s="126"/>
      <c r="B976" s="125"/>
      <c r="C976" s="58" t="s">
        <v>730</v>
      </c>
      <c r="D976" s="58"/>
    </row>
    <row r="977" spans="1:5">
      <c r="A977" s="92" t="s">
        <v>2717</v>
      </c>
      <c r="B977" s="92" t="s">
        <v>5</v>
      </c>
      <c r="C977" s="55" t="s">
        <v>2718</v>
      </c>
      <c r="D977" s="55"/>
      <c r="E977" s="15" t="s">
        <v>2719</v>
      </c>
    </row>
    <row r="978" spans="1:5">
      <c r="A978" s="93"/>
      <c r="B978" s="93"/>
      <c r="C978" s="55" t="s">
        <v>2720</v>
      </c>
      <c r="D978" s="55"/>
    </row>
    <row r="979" spans="1:5">
      <c r="A979" s="93"/>
      <c r="B979" s="93"/>
      <c r="C979" s="55" t="s">
        <v>2721</v>
      </c>
      <c r="D979" s="55"/>
    </row>
    <row r="980" spans="1:5">
      <c r="A980" s="93"/>
      <c r="B980" s="93"/>
      <c r="C980" s="55" t="s">
        <v>1940</v>
      </c>
      <c r="D980" s="55"/>
    </row>
    <row r="981" spans="1:5">
      <c r="A981" s="93"/>
      <c r="B981" s="93"/>
      <c r="C981" s="55" t="s">
        <v>2722</v>
      </c>
      <c r="D981" s="55"/>
    </row>
    <row r="982" spans="1:5">
      <c r="A982" s="93"/>
      <c r="B982" s="93"/>
      <c r="C982" s="55" t="s">
        <v>2723</v>
      </c>
      <c r="D982" s="55"/>
    </row>
    <row r="983" spans="1:5">
      <c r="A983" s="93"/>
      <c r="B983" s="93"/>
      <c r="C983" s="55" t="s">
        <v>2724</v>
      </c>
      <c r="D983" s="55"/>
    </row>
    <row r="984" spans="1:5">
      <c r="A984" s="93"/>
      <c r="B984" s="93"/>
      <c r="C984" s="55" t="s">
        <v>2725</v>
      </c>
      <c r="D984" s="55"/>
    </row>
    <row r="985" spans="1:5">
      <c r="A985" s="93"/>
      <c r="B985" s="93"/>
      <c r="C985" s="55" t="s">
        <v>2726</v>
      </c>
      <c r="D985" s="55" t="s">
        <v>2727</v>
      </c>
      <c r="E985" s="15" t="s">
        <v>2051</v>
      </c>
    </row>
    <row r="986" spans="1:5">
      <c r="A986" s="103" t="s">
        <v>2728</v>
      </c>
      <c r="B986" s="99" t="s">
        <v>5</v>
      </c>
      <c r="C986" s="58" t="s">
        <v>2676</v>
      </c>
      <c r="D986" s="58"/>
    </row>
    <row r="987" spans="1:5">
      <c r="A987" s="104"/>
      <c r="B987" s="100"/>
      <c r="C987" s="58" t="s">
        <v>2677</v>
      </c>
      <c r="D987" s="58"/>
    </row>
    <row r="988" spans="1:5">
      <c r="A988" s="104"/>
      <c r="B988" s="100"/>
      <c r="C988" s="58" t="s">
        <v>2729</v>
      </c>
      <c r="D988" s="58"/>
    </row>
    <row r="989" spans="1:5">
      <c r="A989" s="104"/>
      <c r="B989" s="100"/>
      <c r="C989" s="58" t="s">
        <v>2730</v>
      </c>
      <c r="D989" s="58"/>
    </row>
    <row r="990" spans="1:5">
      <c r="A990" s="104"/>
      <c r="B990" s="100"/>
      <c r="C990" s="58" t="s">
        <v>2731</v>
      </c>
      <c r="D990" s="58"/>
    </row>
    <row r="991" spans="1:5">
      <c r="A991" s="104"/>
      <c r="B991" s="100"/>
      <c r="C991" s="58" t="s">
        <v>2732</v>
      </c>
      <c r="D991" s="58"/>
    </row>
    <row r="992" spans="1:5">
      <c r="A992" s="92" t="s">
        <v>2733</v>
      </c>
      <c r="B992" s="92" t="s">
        <v>5</v>
      </c>
      <c r="C992" s="55" t="s">
        <v>132</v>
      </c>
      <c r="D992" s="55"/>
    </row>
    <row r="993" spans="1:5">
      <c r="A993" s="93"/>
      <c r="B993" s="93"/>
      <c r="C993" s="55" t="s">
        <v>122</v>
      </c>
      <c r="D993" s="55"/>
    </row>
    <row r="994" spans="1:5">
      <c r="A994" s="93"/>
      <c r="B994" s="93"/>
      <c r="C994" s="55" t="s">
        <v>78</v>
      </c>
      <c r="D994" s="55"/>
    </row>
    <row r="995" spans="1:5">
      <c r="A995" s="93"/>
      <c r="B995" s="93"/>
      <c r="C995" s="55" t="s">
        <v>410</v>
      </c>
      <c r="D995" s="55"/>
    </row>
    <row r="996" spans="1:5">
      <c r="A996" s="93"/>
      <c r="B996" s="93"/>
      <c r="C996" s="55" t="s">
        <v>2734</v>
      </c>
      <c r="D996" s="55" t="s">
        <v>2735</v>
      </c>
    </row>
    <row r="997" spans="1:5">
      <c r="A997" s="93"/>
      <c r="B997" s="93"/>
      <c r="C997" s="55" t="s">
        <v>730</v>
      </c>
      <c r="D997" s="55"/>
    </row>
    <row r="998" spans="1:5">
      <c r="A998" s="99" t="s">
        <v>2736</v>
      </c>
      <c r="B998" s="99" t="s">
        <v>5</v>
      </c>
      <c r="C998" s="58" t="s">
        <v>2737</v>
      </c>
      <c r="D998" s="58"/>
      <c r="E998" s="15" t="s">
        <v>2719</v>
      </c>
    </row>
    <row r="999" spans="1:5">
      <c r="A999" s="100"/>
      <c r="B999" s="100"/>
      <c r="C999" s="58" t="s">
        <v>2014</v>
      </c>
      <c r="D999" s="58"/>
    </row>
    <row r="1000" spans="1:5">
      <c r="A1000" s="92" t="s">
        <v>2738</v>
      </c>
      <c r="B1000" s="92" t="s">
        <v>5</v>
      </c>
      <c r="C1000" s="55" t="s">
        <v>2739</v>
      </c>
      <c r="D1000" s="55"/>
    </row>
    <row r="1001" spans="1:5">
      <c r="A1001" s="93"/>
      <c r="B1001" s="93"/>
      <c r="C1001" s="55" t="s">
        <v>2740</v>
      </c>
      <c r="D1001" s="55"/>
    </row>
    <row r="1002" spans="1:5">
      <c r="A1002" s="93"/>
      <c r="B1002" s="93"/>
      <c r="C1002" s="55" t="s">
        <v>2741</v>
      </c>
      <c r="D1002" s="55"/>
    </row>
    <row r="1003" spans="1:5">
      <c r="A1003" s="93"/>
      <c r="B1003" s="93"/>
      <c r="C1003" s="55" t="s">
        <v>2742</v>
      </c>
      <c r="D1003" s="55"/>
      <c r="E1003" s="15" t="s">
        <v>2051</v>
      </c>
    </row>
    <row r="1004" spans="1:5">
      <c r="A1004" s="93"/>
      <c r="B1004" s="93"/>
      <c r="C1004" s="55" t="s">
        <v>2743</v>
      </c>
      <c r="D1004" s="55"/>
    </row>
    <row r="1005" spans="1:5">
      <c r="A1005" s="93"/>
      <c r="B1005" s="93"/>
      <c r="C1005" s="55" t="s">
        <v>2744</v>
      </c>
      <c r="D1005" s="55"/>
    </row>
    <row r="1006" spans="1:5">
      <c r="A1006" s="93"/>
      <c r="B1006" s="93"/>
      <c r="C1006" s="55" t="s">
        <v>2745</v>
      </c>
      <c r="D1006" s="55"/>
      <c r="E1006" s="15" t="s">
        <v>2051</v>
      </c>
    </row>
    <row r="1007" spans="1:5">
      <c r="A1007" s="93"/>
      <c r="B1007" s="93"/>
      <c r="C1007" s="55" t="s">
        <v>2746</v>
      </c>
      <c r="D1007" s="55"/>
    </row>
    <row r="1008" spans="1:5">
      <c r="A1008" s="93"/>
      <c r="B1008" s="93"/>
      <c r="C1008" s="55" t="s">
        <v>2747</v>
      </c>
      <c r="D1008" s="55"/>
    </row>
    <row r="1009" spans="1:4">
      <c r="A1009" s="93"/>
      <c r="B1009" s="93"/>
      <c r="C1009" s="55" t="s">
        <v>2748</v>
      </c>
      <c r="D1009" s="55"/>
    </row>
    <row r="1010" spans="1:4">
      <c r="A1010" s="93"/>
      <c r="B1010" s="93"/>
      <c r="C1010" s="55" t="s">
        <v>2749</v>
      </c>
      <c r="D1010" s="55"/>
    </row>
    <row r="1011" spans="1:4">
      <c r="A1011" s="93"/>
      <c r="B1011" s="93"/>
      <c r="C1011" s="55" t="s">
        <v>2750</v>
      </c>
      <c r="D1011" s="55"/>
    </row>
    <row r="1012" spans="1:4">
      <c r="A1012" s="93"/>
      <c r="B1012" s="93"/>
      <c r="C1012" s="55" t="s">
        <v>2751</v>
      </c>
      <c r="D1012" s="55"/>
    </row>
    <row r="1013" spans="1:4">
      <c r="A1013" s="93"/>
      <c r="B1013" s="93"/>
      <c r="C1013" s="55" t="s">
        <v>2752</v>
      </c>
      <c r="D1013" s="55"/>
    </row>
    <row r="1014" spans="1:4">
      <c r="A1014" s="93"/>
      <c r="B1014" s="93"/>
      <c r="C1014" s="55" t="s">
        <v>2753</v>
      </c>
      <c r="D1014" s="55"/>
    </row>
    <row r="1015" spans="1:4">
      <c r="A1015" s="93"/>
      <c r="B1015" s="93"/>
      <c r="C1015" s="55" t="s">
        <v>2022</v>
      </c>
      <c r="D1015" s="55"/>
    </row>
    <row r="1016" spans="1:4">
      <c r="A1016" s="93"/>
      <c r="B1016" s="93"/>
      <c r="C1016" s="55" t="s">
        <v>2754</v>
      </c>
      <c r="D1016" s="55"/>
    </row>
    <row r="1017" spans="1:4">
      <c r="A1017" s="93"/>
      <c r="B1017" s="93"/>
      <c r="C1017" s="55" t="s">
        <v>2025</v>
      </c>
      <c r="D1017" s="55"/>
    </row>
    <row r="1018" spans="1:4">
      <c r="A1018" s="93"/>
      <c r="B1018" s="93"/>
      <c r="C1018" s="55" t="s">
        <v>2755</v>
      </c>
      <c r="D1018" s="55"/>
    </row>
    <row r="1019" spans="1:4">
      <c r="A1019" s="93"/>
      <c r="B1019" s="93"/>
      <c r="C1019" s="55" t="s">
        <v>2756</v>
      </c>
      <c r="D1019" s="55"/>
    </row>
    <row r="1020" spans="1:4">
      <c r="A1020" s="93"/>
      <c r="B1020" s="93"/>
      <c r="C1020" s="55" t="s">
        <v>2757</v>
      </c>
      <c r="D1020" s="55"/>
    </row>
    <row r="1021" spans="1:4">
      <c r="A1021" s="93"/>
      <c r="B1021" s="93"/>
      <c r="C1021" s="55" t="s">
        <v>2758</v>
      </c>
      <c r="D1021" s="55"/>
    </row>
    <row r="1022" spans="1:4">
      <c r="A1022" s="93"/>
      <c r="B1022" s="93"/>
      <c r="C1022" s="55" t="s">
        <v>2759</v>
      </c>
      <c r="D1022" s="55"/>
    </row>
    <row r="1023" spans="1:4">
      <c r="A1023" s="93"/>
      <c r="B1023" s="93"/>
      <c r="C1023" s="55" t="s">
        <v>2760</v>
      </c>
      <c r="D1023" s="55"/>
    </row>
    <row r="1024" spans="1:4">
      <c r="A1024" s="93"/>
      <c r="B1024" s="93"/>
      <c r="C1024" s="55" t="s">
        <v>2761</v>
      </c>
      <c r="D1024" s="55"/>
    </row>
    <row r="1025" spans="1:5">
      <c r="A1025" s="93"/>
      <c r="B1025" s="93"/>
      <c r="C1025" s="55" t="s">
        <v>2762</v>
      </c>
      <c r="D1025" s="55"/>
    </row>
    <row r="1026" spans="1:5">
      <c r="A1026" s="93"/>
      <c r="B1026" s="93"/>
      <c r="C1026" s="55" t="s">
        <v>2763</v>
      </c>
      <c r="D1026" s="55"/>
    </row>
    <row r="1027" spans="1:5">
      <c r="A1027" s="93"/>
      <c r="B1027" s="93"/>
      <c r="C1027" s="55" t="s">
        <v>2764</v>
      </c>
      <c r="D1027" s="55"/>
    </row>
    <row r="1028" spans="1:5">
      <c r="A1028" s="93"/>
      <c r="B1028" s="93"/>
      <c r="C1028" s="55" t="s">
        <v>2765</v>
      </c>
      <c r="D1028" s="55"/>
    </row>
    <row r="1029" spans="1:5">
      <c r="A1029" s="93"/>
      <c r="B1029" s="93"/>
      <c r="C1029" s="55" t="s">
        <v>2766</v>
      </c>
      <c r="D1029" s="55"/>
    </row>
    <row r="1030" spans="1:5">
      <c r="A1030" s="93"/>
      <c r="B1030" s="93"/>
      <c r="C1030" s="55" t="s">
        <v>2767</v>
      </c>
      <c r="D1030" s="55"/>
    </row>
    <row r="1031" spans="1:5">
      <c r="A1031" s="93"/>
      <c r="B1031" s="93"/>
      <c r="C1031" s="135" t="s">
        <v>2768</v>
      </c>
      <c r="D1031" s="55"/>
      <c r="E1031" s="15" t="s">
        <v>2051</v>
      </c>
    </row>
    <row r="1032" spans="1:5">
      <c r="A1032" s="93"/>
      <c r="B1032" s="93"/>
      <c r="C1032" s="55" t="s">
        <v>2769</v>
      </c>
      <c r="D1032" s="55"/>
    </row>
    <row r="1033" spans="1:5">
      <c r="A1033" s="93"/>
      <c r="B1033" s="93"/>
      <c r="C1033" s="55" t="s">
        <v>730</v>
      </c>
      <c r="D1033" s="55"/>
    </row>
    <row r="1034" spans="1:5">
      <c r="A1034" s="69" t="s">
        <v>2770</v>
      </c>
      <c r="B1034" s="69" t="s">
        <v>5</v>
      </c>
      <c r="C1034" s="58" t="s">
        <v>2771</v>
      </c>
      <c r="D1034" s="58"/>
      <c r="E1034" s="15" t="s">
        <v>2719</v>
      </c>
    </row>
    <row r="1035" spans="1:5">
      <c r="A1035" s="70"/>
      <c r="B1035" s="70"/>
      <c r="C1035" s="58" t="s">
        <v>2772</v>
      </c>
      <c r="D1035" s="58"/>
    </row>
    <row r="1036" spans="1:5">
      <c r="A1036" s="70"/>
      <c r="B1036" s="70"/>
      <c r="C1036" s="58" t="s">
        <v>730</v>
      </c>
      <c r="D1036" s="58"/>
    </row>
    <row r="1037" spans="1:5">
      <c r="A1037" s="92" t="s">
        <v>2773</v>
      </c>
      <c r="B1037" s="92" t="s">
        <v>5</v>
      </c>
      <c r="C1037" s="55" t="s">
        <v>2774</v>
      </c>
      <c r="D1037" s="55"/>
    </row>
    <row r="1038" spans="1:5">
      <c r="A1038" s="93"/>
      <c r="B1038" s="93"/>
      <c r="C1038" s="55" t="s">
        <v>2775</v>
      </c>
      <c r="D1038" s="55" t="s">
        <v>2776</v>
      </c>
    </row>
    <row r="1039" spans="1:5">
      <c r="A1039" s="93"/>
      <c r="B1039" s="93"/>
      <c r="C1039" s="55" t="s">
        <v>2777</v>
      </c>
      <c r="D1039" s="55" t="s">
        <v>2778</v>
      </c>
    </row>
    <row r="1040" spans="1:5">
      <c r="A1040" s="93"/>
      <c r="B1040" s="93"/>
      <c r="C1040" s="55" t="s">
        <v>2779</v>
      </c>
      <c r="D1040" s="55" t="s">
        <v>2780</v>
      </c>
    </row>
    <row r="1044" spans="4:4">
      <c r="D1044" s="57"/>
    </row>
    <row r="1045" spans="4:4">
      <c r="D1045" s="57"/>
    </row>
    <row r="1046" spans="4:4">
      <c r="D1046" s="57"/>
    </row>
    <row r="1047" spans="4:4">
      <c r="D1047" s="57"/>
    </row>
    <row r="1065" spans="1:4">
      <c r="D1065" s="32"/>
    </row>
    <row r="1070" spans="1:4">
      <c r="A1070" s="32"/>
    </row>
    <row r="1072" spans="1:4">
      <c r="C1072" s="15"/>
    </row>
    <row r="1073" spans="1:5" s="9" customFormat="1">
      <c r="B1073" s="15"/>
      <c r="C1073" s="15"/>
      <c r="E1073" s="15"/>
    </row>
    <row r="1074" spans="1:5" s="9" customFormat="1">
      <c r="A1074" s="44"/>
      <c r="B1074" s="15"/>
      <c r="C1074" s="15"/>
      <c r="E1074" s="15"/>
    </row>
    <row r="1075" spans="1:5" s="9" customFormat="1">
      <c r="B1075" s="15"/>
      <c r="C1075" s="57"/>
      <c r="E1075" s="15"/>
    </row>
    <row r="1076" spans="1:5" s="9" customFormat="1">
      <c r="B1076" s="15"/>
      <c r="C1076" s="57" t="s">
        <v>118</v>
      </c>
      <c r="E1076" s="15"/>
    </row>
    <row r="1077" spans="1:5" s="9" customFormat="1">
      <c r="B1077" s="15"/>
      <c r="C1077" s="57" t="s">
        <v>105</v>
      </c>
      <c r="E1077" s="15"/>
    </row>
    <row r="1078" spans="1:5" s="9" customFormat="1">
      <c r="B1078" s="15"/>
      <c r="C1078" s="57" t="s">
        <v>439</v>
      </c>
      <c r="E1078" s="15"/>
    </row>
    <row r="1079" spans="1:5" s="9" customFormat="1">
      <c r="B1079" s="15"/>
      <c r="C1079" s="57" t="s">
        <v>727</v>
      </c>
      <c r="E1079" s="15"/>
    </row>
    <row r="1080" spans="1:5" s="9" customFormat="1">
      <c r="B1080" s="15"/>
      <c r="C1080" s="57"/>
      <c r="E1080" s="15"/>
    </row>
    <row r="1081" spans="1:5" s="9" customFormat="1">
      <c r="B1081" s="15"/>
      <c r="C1081" s="57" t="s">
        <v>118</v>
      </c>
      <c r="E1081" s="15"/>
    </row>
    <row r="1082" spans="1:5" s="9" customFormat="1">
      <c r="B1082" s="15"/>
      <c r="C1082" s="57" t="s">
        <v>105</v>
      </c>
      <c r="E1082" s="15"/>
    </row>
    <row r="1083" spans="1:5" s="9" customFormat="1">
      <c r="B1083" s="15"/>
      <c r="C1083" s="57" t="s">
        <v>439</v>
      </c>
      <c r="E1083" s="15"/>
    </row>
    <row r="1084" spans="1:5" s="9" customFormat="1">
      <c r="B1084" s="15"/>
      <c r="C1084" s="57" t="s">
        <v>727</v>
      </c>
      <c r="E1084" s="15"/>
    </row>
    <row r="1085" spans="1:5" s="9" customFormat="1">
      <c r="B1085" s="15"/>
      <c r="C1085" s="57" t="s">
        <v>269</v>
      </c>
      <c r="E1085" s="15"/>
    </row>
    <row r="1086" spans="1:5" s="9" customFormat="1">
      <c r="B1086" s="15"/>
      <c r="C1086" s="57"/>
      <c r="E1086" s="15"/>
    </row>
    <row r="1087" spans="1:5" s="9" customFormat="1">
      <c r="A1087" s="32"/>
      <c r="B1087" s="15"/>
      <c r="C1087" s="57" t="s">
        <v>118</v>
      </c>
      <c r="E1087" s="15"/>
    </row>
    <row r="1088" spans="1:5" s="9" customFormat="1">
      <c r="B1088" s="15"/>
      <c r="C1088" s="57" t="s">
        <v>105</v>
      </c>
      <c r="E1088" s="15"/>
    </row>
    <row r="1089" spans="2:5" s="9" customFormat="1">
      <c r="B1089" s="15"/>
      <c r="C1089" s="57" t="s">
        <v>727</v>
      </c>
      <c r="E1089" s="15"/>
    </row>
    <row r="1090" spans="2:5" s="9" customFormat="1">
      <c r="B1090" s="15"/>
      <c r="C1090" s="57"/>
      <c r="E1090" s="15"/>
    </row>
    <row r="1091" spans="2:5" s="9" customFormat="1">
      <c r="B1091" s="15"/>
      <c r="C1091" s="57" t="s">
        <v>1531</v>
      </c>
      <c r="E1091" s="15"/>
    </row>
    <row r="1092" spans="2:5" s="9" customFormat="1">
      <c r="B1092" s="15"/>
      <c r="C1092" s="57" t="s">
        <v>730</v>
      </c>
      <c r="E1092" s="15"/>
    </row>
    <row r="1093" spans="2:5" s="9" customFormat="1">
      <c r="B1093" s="15"/>
      <c r="C1093" s="57"/>
      <c r="E1093" s="15"/>
    </row>
    <row r="1094" spans="2:5" s="9" customFormat="1">
      <c r="B1094" s="15"/>
      <c r="C1094" s="57" t="s">
        <v>152</v>
      </c>
      <c r="E1094" s="15"/>
    </row>
    <row r="1095" spans="2:5" s="9" customFormat="1">
      <c r="B1095" s="15"/>
      <c r="C1095" s="57" t="s">
        <v>2462</v>
      </c>
      <c r="E1095" s="15"/>
    </row>
    <row r="1096" spans="2:5" s="9" customFormat="1">
      <c r="B1096" s="15"/>
      <c r="C1096" s="57" t="s">
        <v>2463</v>
      </c>
      <c r="E1096" s="15"/>
    </row>
    <row r="1097" spans="2:5" s="9" customFormat="1">
      <c r="B1097" s="15"/>
      <c r="C1097" s="57" t="s">
        <v>2466</v>
      </c>
      <c r="E1097" s="15"/>
    </row>
    <row r="1098" spans="2:5" s="9" customFormat="1">
      <c r="B1098" s="15"/>
      <c r="C1098" s="57" t="s">
        <v>2467</v>
      </c>
      <c r="E1098" s="15"/>
    </row>
    <row r="1099" spans="2:5" s="9" customFormat="1">
      <c r="B1099" s="15"/>
      <c r="C1099" s="57" t="s">
        <v>1942</v>
      </c>
      <c r="E1099" s="15"/>
    </row>
    <row r="1100" spans="2:5" s="9" customFormat="1">
      <c r="B1100" s="15"/>
      <c r="C1100" s="57" t="s">
        <v>1513</v>
      </c>
      <c r="E1100" s="15"/>
    </row>
    <row r="1101" spans="2:5" s="9" customFormat="1">
      <c r="B1101" s="15"/>
      <c r="C1101" s="57" t="s">
        <v>2468</v>
      </c>
      <c r="E1101" s="15"/>
    </row>
    <row r="1102" spans="2:5" s="9" customFormat="1">
      <c r="B1102" s="15"/>
      <c r="C1102" s="57" t="s">
        <v>2469</v>
      </c>
      <c r="E1102" s="15"/>
    </row>
    <row r="1103" spans="2:5" s="9" customFormat="1">
      <c r="B1103" s="15"/>
      <c r="C1103" s="57" t="s">
        <v>2471</v>
      </c>
      <c r="E1103" s="15"/>
    </row>
    <row r="1104" spans="2:5" s="9" customFormat="1">
      <c r="B1104" s="15"/>
      <c r="C1104" s="57" t="s">
        <v>2254</v>
      </c>
      <c r="E1104" s="15"/>
    </row>
    <row r="1105" spans="2:5" s="9" customFormat="1">
      <c r="B1105" s="15"/>
      <c r="C1105" s="57" t="s">
        <v>730</v>
      </c>
      <c r="E1105" s="15"/>
    </row>
    <row r="1106" spans="2:5" s="9" customFormat="1">
      <c r="B1106" s="15"/>
      <c r="C1106" s="57"/>
      <c r="E1106" s="15"/>
    </row>
    <row r="1107" spans="2:5" s="9" customFormat="1">
      <c r="B1107" s="15"/>
      <c r="C1107" s="57"/>
      <c r="E1107" s="15"/>
    </row>
    <row r="1108" spans="2:5">
      <c r="C1108" s="57" t="s">
        <v>1573</v>
      </c>
    </row>
    <row r="1109" spans="2:5" s="9" customFormat="1">
      <c r="B1109" s="15"/>
      <c r="C1109" s="57" t="s">
        <v>1628</v>
      </c>
      <c r="E1109" s="15"/>
    </row>
    <row r="1110" spans="2:5" s="9" customFormat="1">
      <c r="B1110" s="15"/>
      <c r="C1110" s="57" t="s">
        <v>1609</v>
      </c>
      <c r="E1110" s="15"/>
    </row>
    <row r="1111" spans="2:5" s="9" customFormat="1">
      <c r="B1111" s="15"/>
      <c r="C1111" s="57" t="s">
        <v>730</v>
      </c>
      <c r="E1111" s="15"/>
    </row>
    <row r="1112" spans="2:5" s="9" customFormat="1">
      <c r="B1112" s="15"/>
      <c r="C1112" s="57"/>
      <c r="E1112" s="15"/>
    </row>
    <row r="1113" spans="2:5" s="9" customFormat="1">
      <c r="B1113" s="15"/>
      <c r="C1113" s="57" t="s">
        <v>121</v>
      </c>
      <c r="E1113" s="15"/>
    </row>
    <row r="1114" spans="2:5" s="9" customFormat="1">
      <c r="B1114" s="15"/>
      <c r="C1114" s="57" t="s">
        <v>2139</v>
      </c>
      <c r="E1114" s="15"/>
    </row>
    <row r="1115" spans="2:5" s="9" customFormat="1">
      <c r="B1115" s="15"/>
      <c r="C1115" s="57" t="s">
        <v>33</v>
      </c>
      <c r="E1115" s="15"/>
    </row>
    <row r="1116" spans="2:5" s="9" customFormat="1">
      <c r="B1116" s="15"/>
      <c r="C1116" s="57" t="s">
        <v>730</v>
      </c>
      <c r="E1116" s="15"/>
    </row>
    <row r="1117" spans="2:5" s="9" customFormat="1">
      <c r="B1117" s="15"/>
      <c r="C1117" s="57"/>
      <c r="E1117" s="15"/>
    </row>
    <row r="1118" spans="2:5" s="9" customFormat="1">
      <c r="B1118" s="15"/>
      <c r="C1118" s="57" t="s">
        <v>123</v>
      </c>
      <c r="E1118" s="15"/>
    </row>
    <row r="1119" spans="2:5" s="9" customFormat="1">
      <c r="B1119" s="15"/>
      <c r="C1119" s="57" t="s">
        <v>2781</v>
      </c>
      <c r="E1119" s="15"/>
    </row>
    <row r="1120" spans="2:5" s="9" customFormat="1">
      <c r="B1120" s="15"/>
      <c r="C1120" s="57"/>
      <c r="E1120" s="15"/>
    </row>
    <row r="1121" spans="2:5">
      <c r="C1121" s="57" t="s">
        <v>123</v>
      </c>
    </row>
    <row r="1122" spans="2:5" s="9" customFormat="1">
      <c r="B1122" s="15"/>
      <c r="C1122" s="57" t="s">
        <v>2142</v>
      </c>
      <c r="E1122" s="15"/>
    </row>
    <row r="1123" spans="2:5" s="9" customFormat="1">
      <c r="B1123" s="15"/>
      <c r="C1123" s="57" t="s">
        <v>2144</v>
      </c>
      <c r="E1123" s="15"/>
    </row>
    <row r="1124" spans="2:5" s="9" customFormat="1">
      <c r="B1124" s="15"/>
      <c r="C1124" s="57" t="s">
        <v>2146</v>
      </c>
      <c r="E1124" s="15"/>
    </row>
    <row r="1125" spans="2:5">
      <c r="C1125" s="57" t="s">
        <v>2151</v>
      </c>
    </row>
    <row r="1126" spans="2:5">
      <c r="C1126" s="57" t="s">
        <v>730</v>
      </c>
    </row>
    <row r="1129" spans="2:5">
      <c r="C1129" s="57" t="s">
        <v>1578</v>
      </c>
    </row>
    <row r="1130" spans="2:5">
      <c r="C1130" s="57" t="s">
        <v>2232</v>
      </c>
    </row>
    <row r="1131" spans="2:5">
      <c r="C1131" s="57" t="s">
        <v>1105</v>
      </c>
    </row>
    <row r="1132" spans="2:5">
      <c r="C1132" s="57" t="s">
        <v>152</v>
      </c>
    </row>
    <row r="1133" spans="2:5">
      <c r="C1133" s="57" t="s">
        <v>228</v>
      </c>
    </row>
    <row r="1134" spans="2:5">
      <c r="C1134" s="57" t="s">
        <v>242</v>
      </c>
    </row>
    <row r="1135" spans="2:5">
      <c r="C1135" s="57" t="s">
        <v>1619</v>
      </c>
    </row>
    <row r="1136" spans="2:5">
      <c r="C1136" s="57" t="s">
        <v>159</v>
      </c>
    </row>
    <row r="1137" spans="3:3">
      <c r="C1137" s="57" t="s">
        <v>945</v>
      </c>
    </row>
    <row r="1138" spans="3:3">
      <c r="C1138" s="57" t="s">
        <v>124</v>
      </c>
    </row>
    <row r="1139" spans="3:3">
      <c r="C1139" s="57" t="s">
        <v>316</v>
      </c>
    </row>
    <row r="1140" spans="3:3">
      <c r="C1140" s="57" t="s">
        <v>1601</v>
      </c>
    </row>
    <row r="1141" spans="3:3">
      <c r="C1141" s="57" t="s">
        <v>2235</v>
      </c>
    </row>
    <row r="1142" spans="3:3">
      <c r="C1142" s="57" t="s">
        <v>209</v>
      </c>
    </row>
    <row r="1143" spans="3:3">
      <c r="C1143" s="57" t="s">
        <v>2236</v>
      </c>
    </row>
    <row r="1144" spans="3:3">
      <c r="C1144" s="57" t="s">
        <v>377</v>
      </c>
    </row>
    <row r="1145" spans="3:3">
      <c r="C1145" s="57" t="s">
        <v>1164</v>
      </c>
    </row>
    <row r="1146" spans="3:3">
      <c r="C1146" s="57" t="s">
        <v>144</v>
      </c>
    </row>
    <row r="1147" spans="3:3">
      <c r="C1147" s="57" t="s">
        <v>1040</v>
      </c>
    </row>
    <row r="1148" spans="3:3">
      <c r="C1148" s="57" t="s">
        <v>2239</v>
      </c>
    </row>
    <row r="1149" spans="3:3">
      <c r="C1149" s="57" t="s">
        <v>2240</v>
      </c>
    </row>
    <row r="1150" spans="3:3">
      <c r="C1150" s="57" t="s">
        <v>177</v>
      </c>
    </row>
    <row r="1151" spans="3:3">
      <c r="C1151" s="57" t="s">
        <v>695</v>
      </c>
    </row>
    <row r="1152" spans="3:3">
      <c r="C1152" s="57" t="s">
        <v>724</v>
      </c>
    </row>
    <row r="1153" spans="3:3">
      <c r="C1153" s="57" t="s">
        <v>171</v>
      </c>
    </row>
    <row r="1154" spans="3:3">
      <c r="C1154" s="57" t="s">
        <v>139</v>
      </c>
    </row>
    <row r="1155" spans="3:3">
      <c r="C1155" s="57" t="s">
        <v>2241</v>
      </c>
    </row>
    <row r="1156" spans="3:3">
      <c r="C1156" s="57" t="s">
        <v>754</v>
      </c>
    </row>
    <row r="1157" spans="3:3">
      <c r="C1157" s="57" t="s">
        <v>2242</v>
      </c>
    </row>
    <row r="1158" spans="3:3">
      <c r="C1158" s="57" t="s">
        <v>2243</v>
      </c>
    </row>
    <row r="1159" spans="3:3">
      <c r="C1159" s="57" t="s">
        <v>2244</v>
      </c>
    </row>
    <row r="1160" spans="3:3">
      <c r="C1160" s="57" t="s">
        <v>2245</v>
      </c>
    </row>
    <row r="1161" spans="3:3">
      <c r="C1161" s="57" t="s">
        <v>2246</v>
      </c>
    </row>
    <row r="1162" spans="3:3">
      <c r="C1162" s="57" t="s">
        <v>2247</v>
      </c>
    </row>
    <row r="1163" spans="3:3" ht="14.45" customHeight="1">
      <c r="C1163" s="57" t="s">
        <v>2248</v>
      </c>
    </row>
    <row r="1164" spans="3:3">
      <c r="C1164" s="57" t="s">
        <v>421</v>
      </c>
    </row>
    <row r="1165" spans="3:3">
      <c r="C1165" s="57" t="s">
        <v>662</v>
      </c>
    </row>
    <row r="1166" spans="3:3">
      <c r="C1166" s="57" t="s">
        <v>184</v>
      </c>
    </row>
    <row r="1167" spans="3:3">
      <c r="C1167" s="57" t="s">
        <v>1007</v>
      </c>
    </row>
    <row r="1168" spans="3:3">
      <c r="C1168" s="57" t="s">
        <v>1099</v>
      </c>
    </row>
    <row r="1169" spans="3:3">
      <c r="C1169" s="57" t="s">
        <v>301</v>
      </c>
    </row>
    <row r="1170" spans="3:3">
      <c r="C1170" s="57" t="s">
        <v>730</v>
      </c>
    </row>
    <row r="1171" spans="3:3">
      <c r="C1171" s="57" t="s">
        <v>2255</v>
      </c>
    </row>
    <row r="1172" spans="3:3">
      <c r="C1172" s="57" t="s">
        <v>2256</v>
      </c>
    </row>
    <row r="1173" spans="3:3">
      <c r="C1173" s="57" t="s">
        <v>2257</v>
      </c>
    </row>
    <row r="1174" spans="3:3">
      <c r="C1174" s="57" t="s">
        <v>2258</v>
      </c>
    </row>
    <row r="1175" spans="3:3">
      <c r="C1175" s="57" t="s">
        <v>2259</v>
      </c>
    </row>
    <row r="1176" spans="3:3">
      <c r="C1176" s="57" t="s">
        <v>2260</v>
      </c>
    </row>
    <row r="1177" spans="3:3">
      <c r="C1177" s="57" t="s">
        <v>2261</v>
      </c>
    </row>
    <row r="1178" spans="3:3">
      <c r="C1178" s="57" t="s">
        <v>2262</v>
      </c>
    </row>
    <row r="1179" spans="3:3">
      <c r="C1179" s="57" t="s">
        <v>2263</v>
      </c>
    </row>
    <row r="1180" spans="3:3">
      <c r="C1180" s="57" t="s">
        <v>2264</v>
      </c>
    </row>
    <row r="1181" spans="3:3">
      <c r="C1181" s="57" t="s">
        <v>2265</v>
      </c>
    </row>
    <row r="1182" spans="3:3">
      <c r="C1182" s="57" t="s">
        <v>1226</v>
      </c>
    </row>
    <row r="1183" spans="3:3">
      <c r="C1183" s="57" t="s">
        <v>2266</v>
      </c>
    </row>
    <row r="1184" spans="3:3">
      <c r="C1184" s="57" t="s">
        <v>2267</v>
      </c>
    </row>
    <row r="1185" spans="3:3">
      <c r="C1185" s="57" t="s">
        <v>1258</v>
      </c>
    </row>
    <row r="1186" spans="3:3">
      <c r="C1186" s="57" t="s">
        <v>2268</v>
      </c>
    </row>
    <row r="1187" spans="3:3">
      <c r="C1187" s="57" t="s">
        <v>2269</v>
      </c>
    </row>
    <row r="1188" spans="3:3">
      <c r="C1188" s="57" t="s">
        <v>2270</v>
      </c>
    </row>
    <row r="1189" spans="3:3">
      <c r="C1189" s="57" t="s">
        <v>2272</v>
      </c>
    </row>
    <row r="1190" spans="3:3">
      <c r="C1190" s="57" t="s">
        <v>2274</v>
      </c>
    </row>
    <row r="1191" spans="3:3">
      <c r="C1191" s="57" t="s">
        <v>1268</v>
      </c>
    </row>
    <row r="1192" spans="3:3">
      <c r="C1192" s="134" t="s">
        <v>2276</v>
      </c>
    </row>
    <row r="1193" spans="3:3">
      <c r="C1193" s="57" t="s">
        <v>2278</v>
      </c>
    </row>
    <row r="1194" spans="3:3">
      <c r="C1194" s="57" t="s">
        <v>2279</v>
      </c>
    </row>
    <row r="1195" spans="3:3">
      <c r="C1195" s="57" t="s">
        <v>2280</v>
      </c>
    </row>
    <row r="1196" spans="3:3">
      <c r="C1196" s="57" t="s">
        <v>1181</v>
      </c>
    </row>
    <row r="1197" spans="3:3">
      <c r="C1197" s="57" t="s">
        <v>2281</v>
      </c>
    </row>
    <row r="1198" spans="3:3">
      <c r="C1198" s="57" t="s">
        <v>1252</v>
      </c>
    </row>
    <row r="1199" spans="3:3">
      <c r="C1199" s="57" t="s">
        <v>2282</v>
      </c>
    </row>
    <row r="1200" spans="3:3">
      <c r="C1200" s="57" t="s">
        <v>2283</v>
      </c>
    </row>
    <row r="1201" spans="3:3">
      <c r="C1201" s="57" t="s">
        <v>2285</v>
      </c>
    </row>
    <row r="1202" spans="3:3">
      <c r="C1202" s="57" t="s">
        <v>2286</v>
      </c>
    </row>
    <row r="1203" spans="3:3">
      <c r="C1203" s="57" t="s">
        <v>2288</v>
      </c>
    </row>
    <row r="1204" spans="3:3">
      <c r="C1204" s="57" t="s">
        <v>1231</v>
      </c>
    </row>
    <row r="1205" spans="3:3">
      <c r="C1205" s="57" t="s">
        <v>2289</v>
      </c>
    </row>
    <row r="1206" spans="3:3">
      <c r="C1206" s="57" t="s">
        <v>2290</v>
      </c>
    </row>
    <row r="1207" spans="3:3">
      <c r="C1207" s="57" t="s">
        <v>2291</v>
      </c>
    </row>
    <row r="1208" spans="3:3">
      <c r="C1208" s="57" t="s">
        <v>1299</v>
      </c>
    </row>
    <row r="1209" spans="3:3">
      <c r="C1209" s="57" t="s">
        <v>2293</v>
      </c>
    </row>
    <row r="1210" spans="3:3">
      <c r="C1210" s="57" t="s">
        <v>2294</v>
      </c>
    </row>
    <row r="1211" spans="3:3">
      <c r="C1211" s="57" t="s">
        <v>2295</v>
      </c>
    </row>
    <row r="1212" spans="3:3">
      <c r="C1212" s="57" t="s">
        <v>1190</v>
      </c>
    </row>
    <row r="1213" spans="3:3">
      <c r="C1213" s="57" t="s">
        <v>2296</v>
      </c>
    </row>
    <row r="1214" spans="3:3">
      <c r="C1214" s="57" t="s">
        <v>1209</v>
      </c>
    </row>
    <row r="1215" spans="3:3">
      <c r="C1215" s="57" t="s">
        <v>1216</v>
      </c>
    </row>
    <row r="1216" spans="3:3">
      <c r="C1216" s="57" t="s">
        <v>1195</v>
      </c>
    </row>
    <row r="1217" spans="3:3">
      <c r="C1217" s="57" t="s">
        <v>2298</v>
      </c>
    </row>
    <row r="1218" spans="3:3">
      <c r="C1218" s="57" t="s">
        <v>2299</v>
      </c>
    </row>
    <row r="1219" spans="3:3">
      <c r="C1219" s="57" t="s">
        <v>2300</v>
      </c>
    </row>
    <row r="1220" spans="3:3">
      <c r="C1220" s="57" t="s">
        <v>2301</v>
      </c>
    </row>
    <row r="1221" spans="3:3">
      <c r="C1221" s="57" t="s">
        <v>1221</v>
      </c>
    </row>
    <row r="1222" spans="3:3">
      <c r="C1222" s="57" t="s">
        <v>2302</v>
      </c>
    </row>
    <row r="1223" spans="3:3">
      <c r="C1223" s="57" t="s">
        <v>1634</v>
      </c>
    </row>
    <row r="1224" spans="3:3">
      <c r="C1224" s="57" t="s">
        <v>2303</v>
      </c>
    </row>
    <row r="1225" spans="3:3">
      <c r="C1225" s="57" t="s">
        <v>1174</v>
      </c>
    </row>
    <row r="1226" spans="3:3">
      <c r="C1226" s="57" t="s">
        <v>1200</v>
      </c>
    </row>
    <row r="1227" spans="3:3">
      <c r="C1227" s="57" t="s">
        <v>2304</v>
      </c>
    </row>
    <row r="1228" spans="3:3">
      <c r="C1228" s="57" t="s">
        <v>2305</v>
      </c>
    </row>
    <row r="1229" spans="3:3">
      <c r="C1229" s="57" t="s">
        <v>2306</v>
      </c>
    </row>
    <row r="1230" spans="3:3">
      <c r="C1230" s="57" t="s">
        <v>2307</v>
      </c>
    </row>
    <row r="1231" spans="3:3">
      <c r="C1231" s="57" t="s">
        <v>2308</v>
      </c>
    </row>
    <row r="1232" spans="3:3">
      <c r="C1232" s="57" t="s">
        <v>2309</v>
      </c>
    </row>
    <row r="1233" spans="3:3">
      <c r="C1233" s="57" t="s">
        <v>1607</v>
      </c>
    </row>
    <row r="1234" spans="3:3">
      <c r="C1234" s="57" t="s">
        <v>1242</v>
      </c>
    </row>
    <row r="1235" spans="3:3">
      <c r="C1235" s="57" t="s">
        <v>2310</v>
      </c>
    </row>
    <row r="1236" spans="3:3">
      <c r="C1236" s="57" t="s">
        <v>2311</v>
      </c>
    </row>
    <row r="1237" spans="3:3">
      <c r="C1237" s="57" t="s">
        <v>2313</v>
      </c>
    </row>
    <row r="1238" spans="3:3">
      <c r="C1238" s="57" t="s">
        <v>2314</v>
      </c>
    </row>
    <row r="1239" spans="3:3">
      <c r="C1239" s="57" t="s">
        <v>2315</v>
      </c>
    </row>
    <row r="1240" spans="3:3">
      <c r="C1240" s="57" t="s">
        <v>2316</v>
      </c>
    </row>
    <row r="1241" spans="3:3">
      <c r="C1241" s="57" t="s">
        <v>2317</v>
      </c>
    </row>
    <row r="1242" spans="3:3">
      <c r="C1242" s="57" t="s">
        <v>2318</v>
      </c>
    </row>
    <row r="1243" spans="3:3">
      <c r="C1243" s="57" t="s">
        <v>2319</v>
      </c>
    </row>
    <row r="1244" spans="3:3">
      <c r="C1244" s="57" t="s">
        <v>2320</v>
      </c>
    </row>
    <row r="1245" spans="3:3">
      <c r="C1245" s="57" t="s">
        <v>1212</v>
      </c>
    </row>
    <row r="1248" spans="3:3">
      <c r="C1248" s="57" t="s">
        <v>1529</v>
      </c>
    </row>
    <row r="1249" spans="3:3">
      <c r="C1249" s="57" t="s">
        <v>2142</v>
      </c>
    </row>
    <row r="1250" spans="3:3">
      <c r="C1250" s="57" t="s">
        <v>2144</v>
      </c>
    </row>
    <row r="1251" spans="3:3">
      <c r="C1251" s="57" t="s">
        <v>2147</v>
      </c>
    </row>
    <row r="1252" spans="3:3">
      <c r="C1252" s="57" t="s">
        <v>2149</v>
      </c>
    </row>
    <row r="1253" spans="3:3">
      <c r="C1253" s="57" t="s">
        <v>730</v>
      </c>
    </row>
    <row r="1255" spans="3:3">
      <c r="C1255" s="57" t="s">
        <v>1529</v>
      </c>
    </row>
    <row r="1256" spans="3:3">
      <c r="C1256" s="57" t="s">
        <v>2146</v>
      </c>
    </row>
    <row r="1257" spans="3:3">
      <c r="C1257" s="57" t="s">
        <v>2151</v>
      </c>
    </row>
    <row r="1258" spans="3:3">
      <c r="C1258" s="57" t="s">
        <v>2142</v>
      </c>
    </row>
    <row r="1259" spans="3:3">
      <c r="C1259" s="57" t="s">
        <v>730</v>
      </c>
    </row>
    <row r="1261" spans="3:3">
      <c r="C1261" s="57" t="s">
        <v>123</v>
      </c>
    </row>
    <row r="1262" spans="3:3">
      <c r="C1262" s="57" t="s">
        <v>2142</v>
      </c>
    </row>
    <row r="1263" spans="3:3">
      <c r="C1263" s="57" t="s">
        <v>2149</v>
      </c>
    </row>
    <row r="1264" spans="3:3">
      <c r="C1264" s="57" t="s">
        <v>2147</v>
      </c>
    </row>
    <row r="1265" spans="3:3">
      <c r="C1265" s="57" t="s">
        <v>730</v>
      </c>
    </row>
    <row r="1267" spans="3:3">
      <c r="C1267" s="57" t="s">
        <v>1529</v>
      </c>
    </row>
    <row r="1268" spans="3:3">
      <c r="C1268" s="57" t="s">
        <v>2142</v>
      </c>
    </row>
    <row r="1269" spans="3:3">
      <c r="C1269" s="57" t="s">
        <v>730</v>
      </c>
    </row>
    <row r="1272" spans="3:3">
      <c r="C1272" s="57" t="s">
        <v>123</v>
      </c>
    </row>
    <row r="1273" spans="3:3">
      <c r="C1273" s="57" t="s">
        <v>2142</v>
      </c>
    </row>
    <row r="1274" spans="3:3">
      <c r="C1274" s="57" t="s">
        <v>2144</v>
      </c>
    </row>
    <row r="1275" spans="3:3">
      <c r="C1275" s="57" t="s">
        <v>2146</v>
      </c>
    </row>
    <row r="1276" spans="3:3">
      <c r="C1276" s="57" t="s">
        <v>2147</v>
      </c>
    </row>
    <row r="1277" spans="3:3">
      <c r="C1277" s="57" t="s">
        <v>2148</v>
      </c>
    </row>
    <row r="1278" spans="3:3">
      <c r="C1278" s="57" t="s">
        <v>2149</v>
      </c>
    </row>
    <row r="1279" spans="3:3">
      <c r="C1279" s="57" t="s">
        <v>2150</v>
      </c>
    </row>
    <row r="1280" spans="3:3">
      <c r="C1280" s="57" t="s">
        <v>2151</v>
      </c>
    </row>
    <row r="1281" spans="3:3">
      <c r="C1281" s="57" t="s">
        <v>730</v>
      </c>
    </row>
    <row r="1283" spans="3:3">
      <c r="C1283" s="57" t="s">
        <v>31</v>
      </c>
    </row>
    <row r="1284" spans="3:3">
      <c r="C1284" s="57" t="s">
        <v>2154</v>
      </c>
    </row>
    <row r="1285" spans="3:3">
      <c r="C1285" s="57" t="s">
        <v>1180</v>
      </c>
    </row>
    <row r="1286" spans="3:3">
      <c r="C1286" s="57" t="s">
        <v>1173</v>
      </c>
    </row>
    <row r="1287" spans="3:3">
      <c r="C1287" s="57" t="s">
        <v>2158</v>
      </c>
    </row>
    <row r="1288" spans="3:3">
      <c r="C1288" s="57" t="s">
        <v>2160</v>
      </c>
    </row>
    <row r="1289" spans="3:3">
      <c r="C1289" s="57" t="s">
        <v>2162</v>
      </c>
    </row>
    <row r="1290" spans="3:3">
      <c r="C1290" s="57" t="s">
        <v>2164</v>
      </c>
    </row>
    <row r="1291" spans="3:3">
      <c r="C1291" s="57" t="s">
        <v>2166</v>
      </c>
    </row>
    <row r="1292" spans="3:3">
      <c r="C1292" s="57" t="s">
        <v>2168</v>
      </c>
    </row>
    <row r="1293" spans="3:3">
      <c r="C1293" s="57" t="s">
        <v>1381</v>
      </c>
    </row>
    <row r="1294" spans="3:3">
      <c r="C1294" s="57" t="s">
        <v>2171</v>
      </c>
    </row>
    <row r="1295" spans="3:3">
      <c r="C1295" s="57" t="s">
        <v>1458</v>
      </c>
    </row>
    <row r="1296" spans="3:3">
      <c r="C1296" s="57" t="s">
        <v>2174</v>
      </c>
    </row>
    <row r="1297" spans="3:3">
      <c r="C1297" s="57" t="s">
        <v>2176</v>
      </c>
    </row>
    <row r="1298" spans="3:3">
      <c r="C1298" s="57" t="s">
        <v>2178</v>
      </c>
    </row>
    <row r="1299" spans="3:3">
      <c r="C1299" s="57" t="s">
        <v>2180</v>
      </c>
    </row>
    <row r="1300" spans="3:3">
      <c r="C1300" s="57" t="s">
        <v>2182</v>
      </c>
    </row>
    <row r="1301" spans="3:3">
      <c r="C1301" s="57" t="s">
        <v>2184</v>
      </c>
    </row>
    <row r="1302" spans="3:3">
      <c r="C1302" s="57" t="s">
        <v>2186</v>
      </c>
    </row>
    <row r="1303" spans="3:3">
      <c r="C1303" s="57" t="s">
        <v>1251</v>
      </c>
    </row>
    <row r="1304" spans="3:3">
      <c r="C1304" s="57" t="s">
        <v>2189</v>
      </c>
    </row>
    <row r="1305" spans="3:3">
      <c r="C1305" s="57" t="s">
        <v>2191</v>
      </c>
    </row>
    <row r="1306" spans="3:3">
      <c r="C1306" s="57" t="s">
        <v>2193</v>
      </c>
    </row>
    <row r="1307" spans="3:3">
      <c r="C1307" s="57" t="s">
        <v>2195</v>
      </c>
    </row>
    <row r="1308" spans="3:3">
      <c r="C1308" s="57" t="s">
        <v>2197</v>
      </c>
    </row>
    <row r="1309" spans="3:3">
      <c r="C1309" s="57" t="s">
        <v>2199</v>
      </c>
    </row>
    <row r="1310" spans="3:3">
      <c r="C1310" s="57" t="s">
        <v>2201</v>
      </c>
    </row>
    <row r="1311" spans="3:3">
      <c r="C1311" s="57" t="s">
        <v>1298</v>
      </c>
    </row>
    <row r="1312" spans="3:3">
      <c r="C1312" s="57" t="s">
        <v>2204</v>
      </c>
    </row>
    <row r="1313" spans="3:3">
      <c r="C1313" s="57" t="s">
        <v>2206</v>
      </c>
    </row>
    <row r="1314" spans="3:3">
      <c r="C1314" s="57" t="s">
        <v>2208</v>
      </c>
    </row>
    <row r="1315" spans="3:3">
      <c r="C1315" s="57" t="s">
        <v>730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2" customWidth="1"/>
    <col min="2" max="2" width="48.75" style="62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11" t="s">
        <v>2914</v>
      </c>
      <c r="B1" s="112" t="s">
        <v>2915</v>
      </c>
      <c r="C1" s="112" t="s">
        <v>2916</v>
      </c>
      <c r="D1" s="113" t="s">
        <v>2917</v>
      </c>
    </row>
    <row r="2" spans="1:4" ht="15.75" hidden="1" outlineLevel="1">
      <c r="A2" s="39" t="s">
        <v>2638</v>
      </c>
      <c r="B2" s="40" t="s">
        <v>0</v>
      </c>
      <c r="C2" s="39">
        <v>5.0999999999999996</v>
      </c>
      <c r="D2" s="115"/>
    </row>
    <row r="3" spans="1:4" ht="15.75" hidden="1" outlineLevel="1">
      <c r="A3" s="39" t="s">
        <v>2638</v>
      </c>
      <c r="B3" s="40" t="s">
        <v>1</v>
      </c>
      <c r="C3" s="39">
        <v>5.2</v>
      </c>
      <c r="D3" s="115"/>
    </row>
    <row r="4" spans="1:4" ht="15.75" hidden="1" outlineLevel="1">
      <c r="A4" s="39" t="s">
        <v>2638</v>
      </c>
      <c r="B4" s="40" t="s">
        <v>1999</v>
      </c>
      <c r="C4" s="39">
        <v>5.4</v>
      </c>
      <c r="D4" s="115"/>
    </row>
    <row r="5" spans="1:4" ht="15.75" hidden="1" outlineLevel="1">
      <c r="A5" s="39" t="s">
        <v>2638</v>
      </c>
      <c r="B5" s="40" t="s">
        <v>2000</v>
      </c>
      <c r="C5" s="39">
        <v>5.7</v>
      </c>
      <c r="D5" s="115"/>
    </row>
    <row r="6" spans="1:4" ht="15.75" hidden="1" outlineLevel="1">
      <c r="A6" s="39" t="s">
        <v>2638</v>
      </c>
      <c r="B6" s="40" t="s">
        <v>2001</v>
      </c>
      <c r="C6" s="39">
        <v>5.1100000000000003</v>
      </c>
      <c r="D6" s="115"/>
    </row>
    <row r="7" spans="1:4" ht="15.75" hidden="1" outlineLevel="1">
      <c r="A7" s="39" t="s">
        <v>2638</v>
      </c>
      <c r="B7" s="40" t="s">
        <v>5</v>
      </c>
      <c r="C7" s="39">
        <v>5.26</v>
      </c>
      <c r="D7" s="115"/>
    </row>
    <row r="8" spans="1:4" ht="15.75" hidden="1" outlineLevel="1">
      <c r="A8" s="39" t="s">
        <v>2638</v>
      </c>
      <c r="B8" s="40" t="s">
        <v>6</v>
      </c>
      <c r="C8" s="39">
        <v>5.27</v>
      </c>
      <c r="D8" s="115"/>
    </row>
    <row r="9" spans="1:4" ht="15.75" hidden="1" outlineLevel="1">
      <c r="A9" s="39" t="s">
        <v>2638</v>
      </c>
      <c r="B9" s="40" t="s">
        <v>109</v>
      </c>
      <c r="C9" s="39">
        <v>5.36</v>
      </c>
      <c r="D9" s="115"/>
    </row>
    <row r="10" spans="1:4" ht="15.75" hidden="1" outlineLevel="1">
      <c r="A10" s="39" t="s">
        <v>2638</v>
      </c>
      <c r="B10" s="40" t="s">
        <v>2003</v>
      </c>
      <c r="C10" s="41">
        <v>5.5</v>
      </c>
      <c r="D10" s="115"/>
    </row>
    <row r="11" spans="1:4" ht="15.75" hidden="1" outlineLevel="1">
      <c r="A11" s="39" t="s">
        <v>2638</v>
      </c>
      <c r="B11" s="40" t="s">
        <v>10</v>
      </c>
      <c r="C11" s="39">
        <v>5.51</v>
      </c>
      <c r="D11" s="115"/>
    </row>
    <row r="12" spans="1:4" ht="15.75" hidden="1" outlineLevel="1">
      <c r="A12" s="39" t="s">
        <v>2638</v>
      </c>
      <c r="B12" s="40" t="s">
        <v>11</v>
      </c>
      <c r="C12" s="39">
        <v>5.53</v>
      </c>
      <c r="D12" s="115"/>
    </row>
    <row r="13" spans="1:4" ht="15.75" hidden="1" outlineLevel="1">
      <c r="A13" s="39" t="s">
        <v>2638</v>
      </c>
      <c r="B13" s="40" t="s">
        <v>2004</v>
      </c>
      <c r="C13" s="39">
        <v>5.59</v>
      </c>
      <c r="D13" s="115"/>
    </row>
    <row r="14" spans="1:4" ht="15.75" hidden="1" outlineLevel="1">
      <c r="A14" s="39" t="s">
        <v>2638</v>
      </c>
      <c r="B14" s="40" t="s">
        <v>18</v>
      </c>
      <c r="C14" s="39">
        <v>5.54</v>
      </c>
      <c r="D14" s="115"/>
    </row>
    <row r="15" spans="1:4" ht="15.75" hidden="1" outlineLevel="1">
      <c r="A15" s="39" t="s">
        <v>2638</v>
      </c>
      <c r="B15" s="40" t="s">
        <v>14</v>
      </c>
      <c r="C15" s="41">
        <v>5.7</v>
      </c>
      <c r="D15" s="114" t="s">
        <v>2918</v>
      </c>
    </row>
    <row r="16" spans="1:4" ht="15.75" hidden="1" outlineLevel="1">
      <c r="A16" s="39" t="s">
        <v>2638</v>
      </c>
      <c r="B16" s="40" t="s">
        <v>20</v>
      </c>
      <c r="C16" s="39">
        <v>5.63</v>
      </c>
      <c r="D16" s="115"/>
    </row>
    <row r="17" spans="1:4" ht="15.75" hidden="1" outlineLevel="1">
      <c r="A17" s="39" t="s">
        <v>2638</v>
      </c>
      <c r="B17" s="40" t="s">
        <v>24</v>
      </c>
      <c r="C17" s="39">
        <v>5.47</v>
      </c>
      <c r="D17" s="115"/>
    </row>
    <row r="18" spans="1:4" ht="15.75" hidden="1" outlineLevel="1">
      <c r="A18" s="39" t="s">
        <v>2638</v>
      </c>
      <c r="B18" s="40" t="s">
        <v>25</v>
      </c>
      <c r="C18" s="39">
        <v>5.48</v>
      </c>
      <c r="D18" s="115"/>
    </row>
    <row r="19" spans="1:4" ht="15.75">
      <c r="A19" s="45" t="s">
        <v>2638</v>
      </c>
      <c r="B19" s="40"/>
      <c r="C19" s="39"/>
      <c r="D19" s="115"/>
    </row>
    <row r="20" spans="1:4" ht="15.75" hidden="1" outlineLevel="1">
      <c r="A20" s="39" t="s">
        <v>2648</v>
      </c>
      <c r="B20" s="40" t="s">
        <v>0</v>
      </c>
      <c r="C20" s="39">
        <v>5.0999999999999996</v>
      </c>
      <c r="D20" s="115"/>
    </row>
    <row r="21" spans="1:4" ht="15.75" hidden="1" outlineLevel="1">
      <c r="A21" s="39" t="s">
        <v>2648</v>
      </c>
      <c r="B21" s="40" t="s">
        <v>1</v>
      </c>
      <c r="C21" s="39">
        <v>5.2</v>
      </c>
      <c r="D21" s="115"/>
    </row>
    <row r="22" spans="1:4" ht="15.75" hidden="1" outlineLevel="1">
      <c r="A22" s="39" t="s">
        <v>2648</v>
      </c>
      <c r="B22" s="40" t="s">
        <v>2</v>
      </c>
      <c r="C22" s="39">
        <v>5.3</v>
      </c>
      <c r="D22" s="115"/>
    </row>
    <row r="23" spans="1:4" ht="15.75" hidden="1" outlineLevel="1">
      <c r="A23" s="39" t="s">
        <v>2648</v>
      </c>
      <c r="B23" s="40" t="s">
        <v>1466</v>
      </c>
      <c r="C23" s="39">
        <v>5.14</v>
      </c>
      <c r="D23" s="115"/>
    </row>
    <row r="24" spans="1:4" ht="15.75" hidden="1" outlineLevel="1">
      <c r="A24" s="39" t="s">
        <v>2648</v>
      </c>
      <c r="B24" s="40" t="s">
        <v>4</v>
      </c>
      <c r="C24" s="39">
        <v>5.19</v>
      </c>
      <c r="D24" s="115"/>
    </row>
    <row r="25" spans="1:4" ht="15.75" hidden="1" outlineLevel="1">
      <c r="A25" s="39" t="s">
        <v>2648</v>
      </c>
      <c r="B25" s="40" t="s">
        <v>5</v>
      </c>
      <c r="C25" s="39">
        <v>5.26</v>
      </c>
      <c r="D25" s="115"/>
    </row>
    <row r="26" spans="1:4" ht="15.75" hidden="1" outlineLevel="1">
      <c r="A26" s="39" t="s">
        <v>2648</v>
      </c>
      <c r="B26" s="40" t="s">
        <v>6</v>
      </c>
      <c r="C26" s="39">
        <v>5.27</v>
      </c>
      <c r="D26" s="115"/>
    </row>
    <row r="27" spans="1:4" ht="15.75" hidden="1" outlineLevel="1">
      <c r="A27" s="39" t="s">
        <v>2648</v>
      </c>
      <c r="B27" s="40" t="s">
        <v>7</v>
      </c>
      <c r="C27" s="39">
        <v>5.28</v>
      </c>
      <c r="D27" s="115"/>
    </row>
    <row r="28" spans="1:4" ht="15.75" hidden="1" outlineLevel="1">
      <c r="A28" s="39" t="s">
        <v>2648</v>
      </c>
      <c r="B28" s="40" t="s">
        <v>8</v>
      </c>
      <c r="C28" s="41">
        <v>5.3</v>
      </c>
      <c r="D28" s="115"/>
    </row>
    <row r="29" spans="1:4" ht="15.75" hidden="1" outlineLevel="1">
      <c r="A29" s="39" t="s">
        <v>2648</v>
      </c>
      <c r="B29" s="40" t="s">
        <v>9</v>
      </c>
      <c r="C29" s="39">
        <v>5.49</v>
      </c>
      <c r="D29" s="115"/>
    </row>
    <row r="30" spans="1:4" ht="15.75" hidden="1" outlineLevel="1">
      <c r="A30" s="39" t="s">
        <v>2648</v>
      </c>
      <c r="B30" s="40" t="s">
        <v>10</v>
      </c>
      <c r="C30" s="39">
        <v>5.51</v>
      </c>
      <c r="D30" s="115"/>
    </row>
    <row r="31" spans="1:4" ht="15.75" hidden="1" outlineLevel="1">
      <c r="A31" s="39" t="s">
        <v>2648</v>
      </c>
      <c r="B31" s="40" t="s">
        <v>11</v>
      </c>
      <c r="C31" s="39">
        <v>5.53</v>
      </c>
      <c r="D31" s="115"/>
    </row>
    <row r="32" spans="1:4" ht="15.75" hidden="1" outlineLevel="1">
      <c r="A32" s="39" t="s">
        <v>2648</v>
      </c>
      <c r="B32" s="40" t="s">
        <v>12</v>
      </c>
      <c r="C32" s="39">
        <v>5.69</v>
      </c>
      <c r="D32" s="115"/>
    </row>
    <row r="33" spans="1:4" ht="15.75" hidden="1" outlineLevel="1">
      <c r="A33" s="39" t="s">
        <v>2648</v>
      </c>
      <c r="B33" s="40" t="s">
        <v>13</v>
      </c>
      <c r="C33" s="39">
        <v>5.75</v>
      </c>
      <c r="D33" s="115"/>
    </row>
    <row r="34" spans="1:4" ht="15.75" hidden="1" outlineLevel="1">
      <c r="A34" s="39" t="s">
        <v>2648</v>
      </c>
      <c r="B34" s="40" t="s">
        <v>14</v>
      </c>
      <c r="C34" s="41">
        <v>5.7</v>
      </c>
      <c r="D34" s="115"/>
    </row>
    <row r="35" spans="1:4" ht="15.75" hidden="1" outlineLevel="1">
      <c r="A35" s="39" t="s">
        <v>2648</v>
      </c>
      <c r="B35" s="40" t="s">
        <v>15</v>
      </c>
      <c r="C35" s="39">
        <v>5.74</v>
      </c>
      <c r="D35" s="115"/>
    </row>
    <row r="36" spans="1:4" ht="15.75" hidden="1" outlineLevel="1">
      <c r="A36" s="39" t="s">
        <v>2648</v>
      </c>
      <c r="B36" s="40" t="s">
        <v>16</v>
      </c>
      <c r="C36" s="39">
        <v>5.62</v>
      </c>
      <c r="D36" s="115"/>
    </row>
    <row r="37" spans="1:4" ht="15.75" hidden="1" outlineLevel="1">
      <c r="A37" s="39" t="s">
        <v>2648</v>
      </c>
      <c r="B37" s="40" t="s">
        <v>17</v>
      </c>
      <c r="C37" s="39">
        <v>5.58</v>
      </c>
      <c r="D37" s="115"/>
    </row>
    <row r="38" spans="1:4" ht="15.75" hidden="1" outlineLevel="1">
      <c r="A38" s="39" t="s">
        <v>2648</v>
      </c>
      <c r="B38" s="40" t="s">
        <v>18</v>
      </c>
      <c r="C38" s="39">
        <v>5.54</v>
      </c>
      <c r="D38" s="115"/>
    </row>
    <row r="39" spans="1:4" ht="15.75" hidden="1" outlineLevel="1">
      <c r="A39" s="39" t="s">
        <v>2648</v>
      </c>
      <c r="B39" s="40" t="s">
        <v>19</v>
      </c>
      <c r="C39" s="39">
        <v>5.55</v>
      </c>
      <c r="D39" s="115"/>
    </row>
    <row r="40" spans="1:4" ht="15.75" hidden="1" outlineLevel="1">
      <c r="A40" s="39" t="s">
        <v>2648</v>
      </c>
      <c r="B40" s="40" t="s">
        <v>20</v>
      </c>
      <c r="C40" s="39">
        <v>5.63</v>
      </c>
      <c r="D40" s="115"/>
    </row>
    <row r="41" spans="1:4" ht="15.75" hidden="1" outlineLevel="1">
      <c r="A41" s="39" t="s">
        <v>2648</v>
      </c>
      <c r="B41" s="40" t="s">
        <v>21</v>
      </c>
      <c r="C41" s="39">
        <v>5.65</v>
      </c>
      <c r="D41" s="115"/>
    </row>
    <row r="42" spans="1:4" ht="15.75" hidden="1" outlineLevel="1">
      <c r="A42" s="39" t="s">
        <v>2648</v>
      </c>
      <c r="B42" s="40" t="s">
        <v>22</v>
      </c>
      <c r="C42" s="39">
        <v>5.68</v>
      </c>
      <c r="D42" s="115"/>
    </row>
    <row r="43" spans="1:4" ht="15.75" hidden="1" outlineLevel="1">
      <c r="A43" s="39" t="s">
        <v>2648</v>
      </c>
      <c r="B43" s="40" t="s">
        <v>23</v>
      </c>
      <c r="C43" s="39">
        <v>5.45</v>
      </c>
      <c r="D43" s="115"/>
    </row>
    <row r="44" spans="1:4" ht="15.75" hidden="1" outlineLevel="1">
      <c r="A44" s="39" t="s">
        <v>2648</v>
      </c>
      <c r="B44" s="40" t="s">
        <v>24</v>
      </c>
      <c r="C44" s="39">
        <v>5.47</v>
      </c>
      <c r="D44" s="115"/>
    </row>
    <row r="45" spans="1:4" ht="15.75" hidden="1" outlineLevel="1">
      <c r="A45" s="39" t="s">
        <v>2648</v>
      </c>
      <c r="B45" s="40" t="s">
        <v>25</v>
      </c>
      <c r="C45" s="39">
        <v>5.48</v>
      </c>
      <c r="D45" s="115"/>
    </row>
    <row r="46" spans="1:4" ht="15.75">
      <c r="A46" s="45" t="s">
        <v>2648</v>
      </c>
      <c r="B46" s="40"/>
      <c r="C46" s="39"/>
      <c r="D46" s="115"/>
    </row>
    <row r="47" spans="1:4" ht="15.75" hidden="1" outlineLevel="1">
      <c r="A47" s="39" t="s">
        <v>2652</v>
      </c>
      <c r="B47" s="40" t="s">
        <v>0</v>
      </c>
      <c r="C47" s="39">
        <v>5.0999999999999996</v>
      </c>
      <c r="D47" s="115"/>
    </row>
    <row r="48" spans="1:4" ht="15.75" hidden="1" outlineLevel="1">
      <c r="A48" s="39" t="s">
        <v>2652</v>
      </c>
      <c r="B48" s="40" t="s">
        <v>1</v>
      </c>
      <c r="C48" s="39">
        <v>5.2</v>
      </c>
      <c r="D48" s="115"/>
    </row>
    <row r="49" spans="1:4" ht="15.75" hidden="1" outlineLevel="1">
      <c r="A49" s="39" t="s">
        <v>2652</v>
      </c>
      <c r="B49" s="40" t="s">
        <v>2</v>
      </c>
      <c r="C49" s="39">
        <v>5.3</v>
      </c>
      <c r="D49" s="115"/>
    </row>
    <row r="50" spans="1:4" ht="15.75" hidden="1" outlineLevel="1">
      <c r="A50" s="39" t="s">
        <v>2652</v>
      </c>
      <c r="B50" s="40" t="s">
        <v>105</v>
      </c>
      <c r="C50" s="39">
        <v>5.6</v>
      </c>
      <c r="D50" s="115"/>
    </row>
    <row r="51" spans="1:4" ht="15.75" hidden="1" outlineLevel="1">
      <c r="A51" s="39" t="s">
        <v>2652</v>
      </c>
      <c r="B51" s="40" t="s">
        <v>2919</v>
      </c>
      <c r="C51" s="41">
        <v>5.0999999999999996</v>
      </c>
      <c r="D51" s="115"/>
    </row>
    <row r="52" spans="1:4" ht="15.75" hidden="1" outlineLevel="1">
      <c r="A52" s="39" t="s">
        <v>2652</v>
      </c>
      <c r="B52" s="40" t="s">
        <v>1466</v>
      </c>
      <c r="C52" s="39">
        <v>5.14</v>
      </c>
      <c r="D52" s="115"/>
    </row>
    <row r="53" spans="1:4" ht="15.75" hidden="1" outlineLevel="1">
      <c r="A53" s="39" t="s">
        <v>2652</v>
      </c>
      <c r="B53" s="40" t="s">
        <v>4</v>
      </c>
      <c r="C53" s="39">
        <v>5.19</v>
      </c>
      <c r="D53" s="115"/>
    </row>
    <row r="54" spans="1:4" ht="15.75" hidden="1" outlineLevel="1">
      <c r="A54" s="39" t="s">
        <v>2652</v>
      </c>
      <c r="B54" s="40" t="s">
        <v>107</v>
      </c>
      <c r="C54" s="39">
        <v>5.24</v>
      </c>
      <c r="D54" s="115"/>
    </row>
    <row r="55" spans="1:4" ht="15.75" hidden="1" outlineLevel="1">
      <c r="A55" s="39" t="s">
        <v>2652</v>
      </c>
      <c r="B55" s="40" t="s">
        <v>5</v>
      </c>
      <c r="C55" s="39">
        <v>5.26</v>
      </c>
      <c r="D55" s="115"/>
    </row>
    <row r="56" spans="1:4" ht="15.75" hidden="1" outlineLevel="1">
      <c r="A56" s="39" t="s">
        <v>2652</v>
      </c>
      <c r="B56" s="40" t="s">
        <v>6</v>
      </c>
      <c r="C56" s="39">
        <v>5.27</v>
      </c>
      <c r="D56" s="115"/>
    </row>
    <row r="57" spans="1:4" ht="15.75" hidden="1" outlineLevel="1">
      <c r="A57" s="39" t="s">
        <v>2652</v>
      </c>
      <c r="B57" s="40" t="s">
        <v>7</v>
      </c>
      <c r="C57" s="39">
        <v>5.28</v>
      </c>
      <c r="D57" s="115"/>
    </row>
    <row r="58" spans="1:4" ht="15.75" hidden="1" outlineLevel="1">
      <c r="A58" s="39" t="s">
        <v>2652</v>
      </c>
      <c r="B58" s="40" t="s">
        <v>8</v>
      </c>
      <c r="C58" s="41">
        <v>5.3</v>
      </c>
      <c r="D58" s="115"/>
    </row>
    <row r="59" spans="1:4" ht="15.75" hidden="1" outlineLevel="1">
      <c r="A59" s="39" t="s">
        <v>2652</v>
      </c>
      <c r="B59" s="40" t="s">
        <v>108</v>
      </c>
      <c r="C59" s="39">
        <v>5.31</v>
      </c>
      <c r="D59" s="115"/>
    </row>
    <row r="60" spans="1:4" ht="15.75" hidden="1" outlineLevel="1">
      <c r="A60" s="39" t="s">
        <v>2652</v>
      </c>
      <c r="B60" s="40" t="s">
        <v>109</v>
      </c>
      <c r="C60" s="39">
        <v>5.36</v>
      </c>
      <c r="D60" s="115"/>
    </row>
    <row r="61" spans="1:4" ht="15.75" hidden="1" outlineLevel="1">
      <c r="A61" s="39" t="s">
        <v>2652</v>
      </c>
      <c r="B61" s="40" t="s">
        <v>9</v>
      </c>
      <c r="C61" s="39">
        <v>5.49</v>
      </c>
      <c r="D61" s="115"/>
    </row>
    <row r="62" spans="1:4" ht="15.75" hidden="1" outlineLevel="1">
      <c r="A62" s="39" t="s">
        <v>2652</v>
      </c>
      <c r="B62" s="40" t="s">
        <v>10</v>
      </c>
      <c r="C62" s="39">
        <v>5.51</v>
      </c>
      <c r="D62" s="115"/>
    </row>
    <row r="63" spans="1:4" ht="15.75" hidden="1" outlineLevel="1">
      <c r="A63" s="39" t="s">
        <v>2652</v>
      </c>
      <c r="B63" s="40" t="s">
        <v>2920</v>
      </c>
      <c r="C63" s="39">
        <v>5.52</v>
      </c>
      <c r="D63" s="115"/>
    </row>
    <row r="64" spans="1:4" ht="15.75" hidden="1" outlineLevel="1">
      <c r="A64" s="39" t="s">
        <v>2652</v>
      </c>
      <c r="B64" s="40" t="s">
        <v>11</v>
      </c>
      <c r="C64" s="39">
        <v>5.53</v>
      </c>
      <c r="D64" s="115"/>
    </row>
    <row r="65" spans="1:4" ht="15.75" hidden="1" outlineLevel="1">
      <c r="A65" s="39" t="s">
        <v>2652</v>
      </c>
      <c r="B65" s="40" t="s">
        <v>12</v>
      </c>
      <c r="C65" s="39">
        <v>5.69</v>
      </c>
      <c r="D65" s="115"/>
    </row>
    <row r="66" spans="1:4" ht="15.75" hidden="1" outlineLevel="1">
      <c r="A66" s="39" t="s">
        <v>2652</v>
      </c>
      <c r="B66" s="40" t="s">
        <v>111</v>
      </c>
      <c r="C66" s="41">
        <v>5.72</v>
      </c>
      <c r="D66" s="115"/>
    </row>
    <row r="67" spans="1:4" ht="15.75" hidden="1" outlineLevel="1">
      <c r="A67" s="39" t="s">
        <v>2652</v>
      </c>
      <c r="B67" s="40" t="s">
        <v>13</v>
      </c>
      <c r="C67" s="39">
        <v>5.75</v>
      </c>
      <c r="D67" s="115"/>
    </row>
    <row r="68" spans="1:4" ht="15.75" hidden="1" outlineLevel="1">
      <c r="A68" s="39" t="s">
        <v>2652</v>
      </c>
      <c r="B68" s="40" t="s">
        <v>14</v>
      </c>
      <c r="C68" s="41">
        <v>5.7</v>
      </c>
      <c r="D68" s="115"/>
    </row>
    <row r="69" spans="1:4" ht="15.75" hidden="1" outlineLevel="1">
      <c r="A69" s="39" t="s">
        <v>2652</v>
      </c>
      <c r="B69" s="40" t="s">
        <v>15</v>
      </c>
      <c r="C69" s="39">
        <v>5.74</v>
      </c>
      <c r="D69" s="115"/>
    </row>
    <row r="70" spans="1:4" ht="15.75" hidden="1" outlineLevel="1">
      <c r="A70" s="39" t="s">
        <v>2652</v>
      </c>
      <c r="B70" s="40" t="s">
        <v>112</v>
      </c>
      <c r="C70" s="39">
        <v>5.76</v>
      </c>
      <c r="D70" s="115"/>
    </row>
    <row r="71" spans="1:4" ht="15.75" hidden="1" outlineLevel="1">
      <c r="A71" s="39" t="s">
        <v>2652</v>
      </c>
      <c r="B71" s="40" t="s">
        <v>113</v>
      </c>
      <c r="C71" s="39">
        <v>5.89</v>
      </c>
      <c r="D71" s="114" t="s">
        <v>2918</v>
      </c>
    </row>
    <row r="72" spans="1:4" ht="15.75" hidden="1" outlineLevel="1">
      <c r="A72" s="39" t="s">
        <v>2652</v>
      </c>
      <c r="B72" s="40" t="s">
        <v>17</v>
      </c>
      <c r="C72" s="39">
        <v>5.58</v>
      </c>
      <c r="D72" s="115"/>
    </row>
    <row r="73" spans="1:4" ht="15.75" hidden="1" outlineLevel="1">
      <c r="A73" s="39" t="s">
        <v>2652</v>
      </c>
      <c r="B73" s="40" t="s">
        <v>16</v>
      </c>
      <c r="C73" s="39">
        <v>5.62</v>
      </c>
      <c r="D73" s="115"/>
    </row>
    <row r="74" spans="1:4" ht="15.75" hidden="1" outlineLevel="1">
      <c r="A74" s="39" t="s">
        <v>2652</v>
      </c>
      <c r="B74" s="40" t="s">
        <v>18</v>
      </c>
      <c r="C74" s="39">
        <v>5.54</v>
      </c>
      <c r="D74" s="115"/>
    </row>
    <row r="75" spans="1:4" ht="15.75" hidden="1" outlineLevel="1">
      <c r="A75" s="39" t="s">
        <v>2652</v>
      </c>
      <c r="B75" s="40" t="s">
        <v>19</v>
      </c>
      <c r="C75" s="39">
        <v>5.55</v>
      </c>
      <c r="D75" s="115"/>
    </row>
    <row r="76" spans="1:4" ht="15.75" hidden="1" outlineLevel="1">
      <c r="A76" s="39" t="s">
        <v>2652</v>
      </c>
      <c r="B76" s="40" t="s">
        <v>20</v>
      </c>
      <c r="C76" s="39">
        <v>5.63</v>
      </c>
      <c r="D76" s="115"/>
    </row>
    <row r="77" spans="1:4" ht="15.75" hidden="1" outlineLevel="1">
      <c r="A77" s="39" t="s">
        <v>2652</v>
      </c>
      <c r="B77" s="40" t="s">
        <v>21</v>
      </c>
      <c r="C77" s="39">
        <v>5.65</v>
      </c>
      <c r="D77" s="115"/>
    </row>
    <row r="78" spans="1:4" ht="15.75" hidden="1" outlineLevel="1">
      <c r="A78" s="39" t="s">
        <v>2652</v>
      </c>
      <c r="B78" s="40" t="s">
        <v>114</v>
      </c>
      <c r="C78" s="39">
        <v>5.66</v>
      </c>
      <c r="D78" s="115"/>
    </row>
    <row r="79" spans="1:4" ht="15.75" hidden="1" outlineLevel="1">
      <c r="A79" s="39" t="s">
        <v>2652</v>
      </c>
      <c r="B79" s="40" t="s">
        <v>22</v>
      </c>
      <c r="C79" s="39">
        <v>5.68</v>
      </c>
      <c r="D79" s="115"/>
    </row>
    <row r="80" spans="1:4" ht="15.75" hidden="1" outlineLevel="1">
      <c r="A80" s="39" t="s">
        <v>2652</v>
      </c>
      <c r="B80" s="40" t="s">
        <v>23</v>
      </c>
      <c r="C80" s="39">
        <v>5.45</v>
      </c>
      <c r="D80" s="115"/>
    </row>
    <row r="81" spans="1:4" ht="15.75" hidden="1" outlineLevel="1">
      <c r="A81" s="39" t="s">
        <v>2652</v>
      </c>
      <c r="B81" s="40" t="s">
        <v>24</v>
      </c>
      <c r="C81" s="39">
        <v>5.47</v>
      </c>
      <c r="D81" s="115"/>
    </row>
    <row r="82" spans="1:4" ht="15.75" hidden="1" outlineLevel="1">
      <c r="A82" s="39" t="s">
        <v>2652</v>
      </c>
      <c r="B82" s="40" t="s">
        <v>25</v>
      </c>
      <c r="C82" s="39">
        <v>5.48</v>
      </c>
      <c r="D82" s="115"/>
    </row>
    <row r="83" spans="1:4" ht="15.75">
      <c r="A83" s="45" t="s">
        <v>2652</v>
      </c>
      <c r="B83" s="40"/>
      <c r="C83" s="39"/>
      <c r="D83" s="115"/>
    </row>
    <row r="84" spans="1:4" ht="15.75" hidden="1" outlineLevel="1">
      <c r="A84" s="39" t="s">
        <v>2653</v>
      </c>
      <c r="B84" s="40" t="s">
        <v>0</v>
      </c>
      <c r="C84" s="39">
        <v>5.0999999999999996</v>
      </c>
      <c r="D84" s="115"/>
    </row>
    <row r="85" spans="1:4" ht="15.75" hidden="1" outlineLevel="1">
      <c r="A85" s="39" t="s">
        <v>2653</v>
      </c>
      <c r="B85" s="40" t="s">
        <v>1</v>
      </c>
      <c r="C85" s="39">
        <v>5.2</v>
      </c>
      <c r="D85" s="115"/>
    </row>
    <row r="86" spans="1:4" ht="15.75" hidden="1" outlineLevel="1">
      <c r="A86" s="39" t="s">
        <v>2653</v>
      </c>
      <c r="B86" s="40" t="s">
        <v>2</v>
      </c>
      <c r="C86" s="39">
        <v>5.3</v>
      </c>
      <c r="D86" s="115"/>
    </row>
    <row r="87" spans="1:4" ht="15.75" hidden="1" outlineLevel="1">
      <c r="A87" s="39" t="s">
        <v>2653</v>
      </c>
      <c r="B87" s="40" t="s">
        <v>105</v>
      </c>
      <c r="C87" s="39">
        <v>5.6</v>
      </c>
      <c r="D87" s="115"/>
    </row>
    <row r="88" spans="1:4" ht="15.75" hidden="1" outlineLevel="1">
      <c r="A88" s="39" t="s">
        <v>2653</v>
      </c>
      <c r="B88" s="40" t="s">
        <v>2919</v>
      </c>
      <c r="C88" s="41">
        <v>5.0999999999999996</v>
      </c>
      <c r="D88" s="115"/>
    </row>
    <row r="89" spans="1:4" ht="15.75" hidden="1" outlineLevel="1">
      <c r="A89" s="39" t="s">
        <v>2653</v>
      </c>
      <c r="B89" s="40" t="s">
        <v>1466</v>
      </c>
      <c r="C89" s="39">
        <v>5.14</v>
      </c>
      <c r="D89" s="115"/>
    </row>
    <row r="90" spans="1:4" ht="15.75" hidden="1" outlineLevel="1">
      <c r="A90" s="39" t="s">
        <v>2653</v>
      </c>
      <c r="B90" s="40" t="s">
        <v>4</v>
      </c>
      <c r="C90" s="39">
        <v>5.19</v>
      </c>
      <c r="D90" s="115"/>
    </row>
    <row r="91" spans="1:4" ht="15.75" hidden="1" outlineLevel="1">
      <c r="A91" s="39" t="s">
        <v>2653</v>
      </c>
      <c r="B91" s="40" t="s">
        <v>107</v>
      </c>
      <c r="C91" s="39">
        <v>5.24</v>
      </c>
      <c r="D91" s="115"/>
    </row>
    <row r="92" spans="1:4" ht="15.75" hidden="1" outlineLevel="1">
      <c r="A92" s="39" t="s">
        <v>2653</v>
      </c>
      <c r="B92" s="40" t="s">
        <v>5</v>
      </c>
      <c r="C92" s="39">
        <v>5.26</v>
      </c>
      <c r="D92" s="115"/>
    </row>
    <row r="93" spans="1:4" ht="15.75" hidden="1" outlineLevel="1">
      <c r="A93" s="39" t="s">
        <v>2653</v>
      </c>
      <c r="B93" s="40" t="s">
        <v>6</v>
      </c>
      <c r="C93" s="39">
        <v>5.27</v>
      </c>
      <c r="D93" s="115"/>
    </row>
    <row r="94" spans="1:4" ht="15.75" hidden="1" outlineLevel="1">
      <c r="A94" s="39" t="s">
        <v>2653</v>
      </c>
      <c r="B94" s="40" t="s">
        <v>7</v>
      </c>
      <c r="C94" s="39">
        <v>5.28</v>
      </c>
      <c r="D94" s="115"/>
    </row>
    <row r="95" spans="1:4" ht="15.75" hidden="1" outlineLevel="1">
      <c r="A95" s="39" t="s">
        <v>2653</v>
      </c>
      <c r="B95" s="40" t="s">
        <v>115</v>
      </c>
      <c r="C95" s="39">
        <v>5.29</v>
      </c>
      <c r="D95" s="115"/>
    </row>
    <row r="96" spans="1:4" ht="15.75" hidden="1" outlineLevel="1">
      <c r="A96" s="39" t="s">
        <v>2653</v>
      </c>
      <c r="B96" s="40" t="s">
        <v>8</v>
      </c>
      <c r="C96" s="41">
        <v>5.3</v>
      </c>
      <c r="D96" s="115"/>
    </row>
    <row r="97" spans="1:4" ht="15.75" hidden="1" outlineLevel="1">
      <c r="A97" s="39" t="s">
        <v>2653</v>
      </c>
      <c r="B97" s="40" t="s">
        <v>108</v>
      </c>
      <c r="C97" s="39">
        <v>5.31</v>
      </c>
      <c r="D97" s="115"/>
    </row>
    <row r="98" spans="1:4" ht="15.75" hidden="1" outlineLevel="1">
      <c r="A98" s="39" t="s">
        <v>2653</v>
      </c>
      <c r="B98" s="40" t="s">
        <v>109</v>
      </c>
      <c r="C98" s="39">
        <v>5.36</v>
      </c>
      <c r="D98" s="115"/>
    </row>
    <row r="99" spans="1:4" ht="15.75" hidden="1" outlineLevel="1">
      <c r="A99" s="39" t="s">
        <v>2653</v>
      </c>
      <c r="B99" s="40" t="s">
        <v>9</v>
      </c>
      <c r="C99" s="39">
        <v>5.49</v>
      </c>
      <c r="D99" s="115"/>
    </row>
    <row r="100" spans="1:4" ht="15.75" hidden="1" outlineLevel="1">
      <c r="A100" s="39" t="s">
        <v>2653</v>
      </c>
      <c r="B100" s="40" t="s">
        <v>10</v>
      </c>
      <c r="C100" s="39">
        <v>5.51</v>
      </c>
      <c r="D100" s="115"/>
    </row>
    <row r="101" spans="1:4" ht="15.75" hidden="1" outlineLevel="1">
      <c r="A101" s="39" t="s">
        <v>2653</v>
      </c>
      <c r="B101" s="40" t="s">
        <v>2920</v>
      </c>
      <c r="C101" s="39">
        <v>5.52</v>
      </c>
      <c r="D101" s="115"/>
    </row>
    <row r="102" spans="1:4" ht="15.75" hidden="1" outlineLevel="1">
      <c r="A102" s="39" t="s">
        <v>2653</v>
      </c>
      <c r="B102" s="40" t="s">
        <v>11</v>
      </c>
      <c r="C102" s="39">
        <v>5.53</v>
      </c>
      <c r="D102" s="115"/>
    </row>
    <row r="103" spans="1:4" ht="15.75" hidden="1" outlineLevel="1">
      <c r="A103" s="39" t="s">
        <v>2653</v>
      </c>
      <c r="B103" s="40" t="s">
        <v>12</v>
      </c>
      <c r="C103" s="39">
        <v>5.69</v>
      </c>
      <c r="D103" s="115"/>
    </row>
    <row r="104" spans="1:4" ht="15.75" hidden="1" outlineLevel="1">
      <c r="A104" s="39" t="s">
        <v>2653</v>
      </c>
      <c r="B104" s="40" t="s">
        <v>13</v>
      </c>
      <c r="C104" s="39">
        <v>5.75</v>
      </c>
      <c r="D104" s="115"/>
    </row>
    <row r="105" spans="1:4" ht="15.75" hidden="1" outlineLevel="1">
      <c r="A105" s="39" t="s">
        <v>2653</v>
      </c>
      <c r="B105" s="40" t="s">
        <v>14</v>
      </c>
      <c r="C105" s="41">
        <v>5.7</v>
      </c>
      <c r="D105" s="115"/>
    </row>
    <row r="106" spans="1:4" ht="15.75" hidden="1" outlineLevel="1">
      <c r="A106" s="39" t="s">
        <v>2653</v>
      </c>
      <c r="B106" s="40" t="s">
        <v>15</v>
      </c>
      <c r="C106" s="39">
        <v>5.74</v>
      </c>
      <c r="D106" s="115"/>
    </row>
    <row r="107" spans="1:4" ht="15.75" hidden="1" outlineLevel="1">
      <c r="A107" s="39" t="s">
        <v>2653</v>
      </c>
      <c r="B107" s="40" t="s">
        <v>112</v>
      </c>
      <c r="C107" s="39">
        <v>5.76</v>
      </c>
      <c r="D107" s="115"/>
    </row>
    <row r="108" spans="1:4" ht="15.75" hidden="1" outlineLevel="1">
      <c r="A108" s="39" t="s">
        <v>2653</v>
      </c>
      <c r="B108" s="40" t="s">
        <v>113</v>
      </c>
      <c r="C108" s="39">
        <v>5.89</v>
      </c>
      <c r="D108" s="114" t="s">
        <v>2918</v>
      </c>
    </row>
    <row r="109" spans="1:4" ht="15.75" hidden="1" outlineLevel="1">
      <c r="A109" s="39" t="s">
        <v>2653</v>
      </c>
      <c r="B109" s="40" t="s">
        <v>17</v>
      </c>
      <c r="C109" s="39">
        <v>5.58</v>
      </c>
      <c r="D109" s="115"/>
    </row>
    <row r="110" spans="1:4" ht="15.75" hidden="1" outlineLevel="1">
      <c r="A110" s="39" t="s">
        <v>2653</v>
      </c>
      <c r="B110" s="40" t="s">
        <v>16</v>
      </c>
      <c r="C110" s="39">
        <v>5.62</v>
      </c>
      <c r="D110" s="115"/>
    </row>
    <row r="111" spans="1:4" ht="15.75" hidden="1" outlineLevel="1">
      <c r="A111" s="39" t="s">
        <v>2653</v>
      </c>
      <c r="B111" s="40" t="s">
        <v>18</v>
      </c>
      <c r="C111" s="39">
        <v>5.54</v>
      </c>
      <c r="D111" s="115"/>
    </row>
    <row r="112" spans="1:4" ht="15.75" hidden="1" outlineLevel="1">
      <c r="A112" s="39" t="s">
        <v>2653</v>
      </c>
      <c r="B112" s="40" t="s">
        <v>19</v>
      </c>
      <c r="C112" s="39">
        <v>5.55</v>
      </c>
      <c r="D112" s="115"/>
    </row>
    <row r="113" spans="1:4" ht="15.75" hidden="1" outlineLevel="1">
      <c r="A113" s="39" t="s">
        <v>2653</v>
      </c>
      <c r="B113" s="40" t="s">
        <v>21</v>
      </c>
      <c r="C113" s="39">
        <v>5.65</v>
      </c>
      <c r="D113" s="115"/>
    </row>
    <row r="114" spans="1:4" ht="15.75" hidden="1" outlineLevel="1">
      <c r="A114" s="39" t="s">
        <v>2653</v>
      </c>
      <c r="B114" s="40" t="s">
        <v>114</v>
      </c>
      <c r="C114" s="39">
        <v>5.66</v>
      </c>
      <c r="D114" s="115"/>
    </row>
    <row r="115" spans="1:4" ht="15.75" hidden="1" outlineLevel="1">
      <c r="A115" s="39" t="s">
        <v>2653</v>
      </c>
      <c r="B115" s="40" t="s">
        <v>22</v>
      </c>
      <c r="C115" s="39">
        <v>5.68</v>
      </c>
      <c r="D115" s="115"/>
    </row>
    <row r="116" spans="1:4" ht="15.75" hidden="1" outlineLevel="1">
      <c r="A116" s="39" t="s">
        <v>2653</v>
      </c>
      <c r="B116" s="40" t="s">
        <v>23</v>
      </c>
      <c r="C116" s="39">
        <v>5.45</v>
      </c>
      <c r="D116" s="115"/>
    </row>
    <row r="117" spans="1:4" ht="15.75" hidden="1" outlineLevel="1">
      <c r="A117" s="39" t="s">
        <v>2653</v>
      </c>
      <c r="B117" s="40" t="s">
        <v>24</v>
      </c>
      <c r="C117" s="39">
        <v>5.47</v>
      </c>
      <c r="D117" s="115"/>
    </row>
    <row r="118" spans="1:4" ht="15.75" hidden="1" outlineLevel="1">
      <c r="A118" s="39" t="s">
        <v>2653</v>
      </c>
      <c r="B118" s="40" t="s">
        <v>25</v>
      </c>
      <c r="C118" s="39">
        <v>5.48</v>
      </c>
      <c r="D118" s="115"/>
    </row>
    <row r="119" spans="1:4" ht="15.75">
      <c r="A119" s="45" t="s">
        <v>2653</v>
      </c>
      <c r="B119" s="40"/>
      <c r="C119" s="39"/>
      <c r="D119" s="115"/>
    </row>
    <row r="120" spans="1:4" ht="15.75" hidden="1" outlineLevel="1">
      <c r="A120" s="39" t="s">
        <v>2921</v>
      </c>
      <c r="B120" s="40" t="s">
        <v>0</v>
      </c>
      <c r="C120" s="39">
        <v>5.0999999999999996</v>
      </c>
      <c r="D120" s="115"/>
    </row>
    <row r="121" spans="1:4" ht="15.75" hidden="1" outlineLevel="1">
      <c r="A121" s="39" t="s">
        <v>2921</v>
      </c>
      <c r="B121" s="40" t="s">
        <v>1</v>
      </c>
      <c r="C121" s="39">
        <v>5.2</v>
      </c>
      <c r="D121" s="115"/>
    </row>
    <row r="122" spans="1:4" ht="15.75" hidden="1" outlineLevel="1">
      <c r="A122" s="39" t="s">
        <v>2921</v>
      </c>
      <c r="B122" s="40" t="s">
        <v>2</v>
      </c>
      <c r="C122" s="39">
        <v>5.3</v>
      </c>
      <c r="D122" s="115"/>
    </row>
    <row r="123" spans="1:4" ht="15.75" hidden="1" outlineLevel="1">
      <c r="A123" s="39" t="s">
        <v>2921</v>
      </c>
      <c r="B123" s="40" t="s">
        <v>105</v>
      </c>
      <c r="C123" s="39">
        <v>5.6</v>
      </c>
      <c r="D123" s="115"/>
    </row>
    <row r="124" spans="1:4" ht="15.75" hidden="1" outlineLevel="1">
      <c r="A124" s="39" t="s">
        <v>2921</v>
      </c>
      <c r="B124" s="40" t="s">
        <v>2919</v>
      </c>
      <c r="C124" s="41">
        <v>5.0999999999999996</v>
      </c>
      <c r="D124" s="115"/>
    </row>
    <row r="125" spans="1:4" ht="15.75" hidden="1" outlineLevel="1">
      <c r="A125" s="39" t="s">
        <v>2921</v>
      </c>
      <c r="B125" s="40" t="s">
        <v>1466</v>
      </c>
      <c r="C125" s="39">
        <v>5.14</v>
      </c>
      <c r="D125" s="115"/>
    </row>
    <row r="126" spans="1:4" ht="15.75" hidden="1" outlineLevel="1">
      <c r="A126" s="39" t="s">
        <v>2921</v>
      </c>
      <c r="B126" s="40" t="s">
        <v>4</v>
      </c>
      <c r="C126" s="39">
        <v>5.19</v>
      </c>
      <c r="D126" s="115"/>
    </row>
    <row r="127" spans="1:4" ht="15.75" hidden="1" outlineLevel="1">
      <c r="A127" s="39" t="s">
        <v>2921</v>
      </c>
      <c r="B127" s="40" t="s">
        <v>107</v>
      </c>
      <c r="C127" s="39">
        <v>5.24</v>
      </c>
      <c r="D127" s="115"/>
    </row>
    <row r="128" spans="1:4" ht="15.75" hidden="1" outlineLevel="1">
      <c r="A128" s="39" t="s">
        <v>2921</v>
      </c>
      <c r="B128" s="40" t="s">
        <v>5</v>
      </c>
      <c r="C128" s="39">
        <v>5.26</v>
      </c>
      <c r="D128" s="115"/>
    </row>
    <row r="129" spans="1:4" ht="15.75" hidden="1" outlineLevel="1">
      <c r="A129" s="39" t="s">
        <v>2921</v>
      </c>
      <c r="B129" s="40" t="s">
        <v>6</v>
      </c>
      <c r="C129" s="39">
        <v>5.27</v>
      </c>
      <c r="D129" s="115"/>
    </row>
    <row r="130" spans="1:4" ht="15.75" hidden="1" outlineLevel="1">
      <c r="A130" s="39" t="s">
        <v>2921</v>
      </c>
      <c r="B130" s="40" t="s">
        <v>7</v>
      </c>
      <c r="C130" s="39">
        <v>5.28</v>
      </c>
      <c r="D130" s="115"/>
    </row>
    <row r="131" spans="1:4" ht="15.75" hidden="1" outlineLevel="1">
      <c r="A131" s="39" t="s">
        <v>2921</v>
      </c>
      <c r="B131" s="40" t="s">
        <v>115</v>
      </c>
      <c r="C131" s="39">
        <v>5.29</v>
      </c>
      <c r="D131" s="115"/>
    </row>
    <row r="132" spans="1:4" ht="15.75" hidden="1" outlineLevel="1">
      <c r="A132" s="39" t="s">
        <v>2921</v>
      </c>
      <c r="B132" s="40" t="s">
        <v>8</v>
      </c>
      <c r="C132" s="41">
        <v>5.3</v>
      </c>
      <c r="D132" s="115"/>
    </row>
    <row r="133" spans="1:4" ht="15.75" hidden="1" outlineLevel="1">
      <c r="A133" s="39" t="s">
        <v>2921</v>
      </c>
      <c r="B133" s="40" t="s">
        <v>108</v>
      </c>
      <c r="C133" s="39">
        <v>5.31</v>
      </c>
      <c r="D133" s="115"/>
    </row>
    <row r="134" spans="1:4" ht="15.75" hidden="1" outlineLevel="1">
      <c r="A134" s="39" t="s">
        <v>2921</v>
      </c>
      <c r="B134" s="40" t="s">
        <v>109</v>
      </c>
      <c r="C134" s="39">
        <v>5.36</v>
      </c>
      <c r="D134" s="115"/>
    </row>
    <row r="135" spans="1:4" ht="15.75" hidden="1" outlineLevel="1">
      <c r="A135" s="39" t="s">
        <v>2921</v>
      </c>
      <c r="B135" s="40" t="s">
        <v>11</v>
      </c>
      <c r="C135" s="39">
        <v>5.53</v>
      </c>
      <c r="D135" s="115"/>
    </row>
    <row r="136" spans="1:4" ht="15.75" hidden="1" outlineLevel="1">
      <c r="A136" s="39" t="s">
        <v>2921</v>
      </c>
      <c r="B136" s="40" t="s">
        <v>17</v>
      </c>
      <c r="C136" s="39">
        <v>5.58</v>
      </c>
      <c r="D136" s="115"/>
    </row>
    <row r="137" spans="1:4" ht="15.75" hidden="1" outlineLevel="1">
      <c r="A137" s="39" t="s">
        <v>2921</v>
      </c>
      <c r="B137" s="40" t="s">
        <v>16</v>
      </c>
      <c r="C137" s="39">
        <v>5.62</v>
      </c>
      <c r="D137" s="115"/>
    </row>
    <row r="138" spans="1:4" ht="15.75" hidden="1" outlineLevel="1">
      <c r="A138" s="39" t="s">
        <v>2921</v>
      </c>
      <c r="B138" s="40" t="s">
        <v>18</v>
      </c>
      <c r="C138" s="39">
        <v>5.54</v>
      </c>
      <c r="D138" s="115"/>
    </row>
    <row r="139" spans="1:4" ht="15.75" hidden="1" outlineLevel="1">
      <c r="A139" s="39" t="s">
        <v>2921</v>
      </c>
      <c r="B139" s="40" t="s">
        <v>19</v>
      </c>
      <c r="C139" s="39">
        <v>5.55</v>
      </c>
      <c r="D139" s="115"/>
    </row>
    <row r="140" spans="1:4" ht="15.75" hidden="1" outlineLevel="1">
      <c r="A140" s="39" t="s">
        <v>2921</v>
      </c>
      <c r="B140" s="40" t="s">
        <v>20</v>
      </c>
      <c r="C140" s="39">
        <v>5.63</v>
      </c>
      <c r="D140" s="115"/>
    </row>
    <row r="141" spans="1:4" ht="15.75" hidden="1" outlineLevel="1">
      <c r="A141" s="39" t="s">
        <v>2921</v>
      </c>
      <c r="B141" s="40" t="s">
        <v>23</v>
      </c>
      <c r="C141" s="39">
        <v>5.45</v>
      </c>
      <c r="D141" s="115"/>
    </row>
    <row r="142" spans="1:4" ht="15.75" hidden="1" outlineLevel="1">
      <c r="A142" s="39" t="s">
        <v>2921</v>
      </c>
      <c r="B142" s="40" t="s">
        <v>24</v>
      </c>
      <c r="C142" s="39">
        <v>5.47</v>
      </c>
      <c r="D142" s="115"/>
    </row>
    <row r="143" spans="1:4" ht="15.75" hidden="1" outlineLevel="1">
      <c r="A143" s="39" t="s">
        <v>2921</v>
      </c>
      <c r="B143" s="40" t="s">
        <v>25</v>
      </c>
      <c r="C143" s="39">
        <v>5.48</v>
      </c>
      <c r="D143" s="115"/>
    </row>
    <row r="144" spans="1:4" ht="15.75">
      <c r="A144" s="45" t="s">
        <v>2921</v>
      </c>
      <c r="B144" s="40"/>
      <c r="C144" s="39"/>
      <c r="D144" s="115"/>
    </row>
    <row r="145" spans="1:4" ht="15.75" hidden="1" outlineLevel="1">
      <c r="A145" s="39" t="s">
        <v>2247</v>
      </c>
      <c r="B145" s="40" t="s">
        <v>0</v>
      </c>
      <c r="C145" s="39">
        <v>5.0999999999999996</v>
      </c>
      <c r="D145" s="115"/>
    </row>
    <row r="146" spans="1:4" ht="15.75" hidden="1" outlineLevel="1">
      <c r="A146" s="39" t="s">
        <v>2247</v>
      </c>
      <c r="B146" s="40" t="s">
        <v>1</v>
      </c>
      <c r="C146" s="39">
        <v>5.2</v>
      </c>
      <c r="D146" s="115"/>
    </row>
    <row r="147" spans="1:4" ht="15.75" hidden="1" outlineLevel="1">
      <c r="A147" s="39" t="s">
        <v>2247</v>
      </c>
      <c r="B147" s="40" t="s">
        <v>2</v>
      </c>
      <c r="C147" s="39">
        <v>5.3</v>
      </c>
      <c r="D147" s="115"/>
    </row>
    <row r="148" spans="1:4" ht="15.75" hidden="1" outlineLevel="1">
      <c r="A148" s="39" t="s">
        <v>2247</v>
      </c>
      <c r="B148" s="40" t="s">
        <v>105</v>
      </c>
      <c r="C148" s="39">
        <v>5.6</v>
      </c>
      <c r="D148" s="115"/>
    </row>
    <row r="149" spans="1:4" ht="15.75" hidden="1" outlineLevel="1">
      <c r="A149" s="39" t="s">
        <v>2247</v>
      </c>
      <c r="B149" s="40" t="s">
        <v>2919</v>
      </c>
      <c r="C149" s="41">
        <v>5.0999999999999996</v>
      </c>
      <c r="D149" s="115"/>
    </row>
    <row r="150" spans="1:4" ht="15.75" hidden="1" outlineLevel="1">
      <c r="A150" s="39" t="s">
        <v>2247</v>
      </c>
      <c r="B150" s="40" t="s">
        <v>1466</v>
      </c>
      <c r="C150" s="39">
        <v>5.14</v>
      </c>
      <c r="D150" s="115"/>
    </row>
    <row r="151" spans="1:4" ht="15.75" hidden="1" outlineLevel="1">
      <c r="A151" s="39" t="s">
        <v>2247</v>
      </c>
      <c r="B151" s="40" t="s">
        <v>4</v>
      </c>
      <c r="C151" s="39">
        <v>5.19</v>
      </c>
      <c r="D151" s="115"/>
    </row>
    <row r="152" spans="1:4" ht="15.75" hidden="1" outlineLevel="1">
      <c r="A152" s="39" t="s">
        <v>2247</v>
      </c>
      <c r="B152" s="40" t="s">
        <v>107</v>
      </c>
      <c r="C152" s="39">
        <v>5.24</v>
      </c>
      <c r="D152" s="115"/>
    </row>
    <row r="153" spans="1:4" ht="15.75" hidden="1" outlineLevel="1">
      <c r="A153" s="39" t="s">
        <v>2247</v>
      </c>
      <c r="B153" s="40" t="s">
        <v>5</v>
      </c>
      <c r="C153" s="39">
        <v>5.26</v>
      </c>
      <c r="D153" s="115"/>
    </row>
    <row r="154" spans="1:4" ht="15.75" hidden="1" outlineLevel="1">
      <c r="A154" s="39" t="s">
        <v>2247</v>
      </c>
      <c r="B154" s="40" t="s">
        <v>6</v>
      </c>
      <c r="C154" s="39">
        <v>5.27</v>
      </c>
      <c r="D154" s="115"/>
    </row>
    <row r="155" spans="1:4" ht="15.75" hidden="1" outlineLevel="1">
      <c r="A155" s="39" t="s">
        <v>2247</v>
      </c>
      <c r="B155" s="40" t="s">
        <v>7</v>
      </c>
      <c r="C155" s="39">
        <v>5.28</v>
      </c>
      <c r="D155" s="115"/>
    </row>
    <row r="156" spans="1:4" ht="15.75" hidden="1" outlineLevel="1">
      <c r="A156" s="39" t="s">
        <v>2247</v>
      </c>
      <c r="B156" s="40" t="s">
        <v>8</v>
      </c>
      <c r="C156" s="41">
        <v>5.3</v>
      </c>
      <c r="D156" s="115"/>
    </row>
    <row r="157" spans="1:4" ht="15.75" hidden="1" outlineLevel="1">
      <c r="A157" s="39" t="s">
        <v>2247</v>
      </c>
      <c r="B157" s="40" t="s">
        <v>1302</v>
      </c>
      <c r="C157" s="39">
        <v>5.32</v>
      </c>
      <c r="D157" s="115"/>
    </row>
    <row r="158" spans="1:4" ht="15.75" hidden="1" outlineLevel="1">
      <c r="A158" s="39" t="s">
        <v>2247</v>
      </c>
      <c r="B158" s="40" t="s">
        <v>109</v>
      </c>
      <c r="C158" s="39">
        <v>5.36</v>
      </c>
      <c r="D158" s="115"/>
    </row>
    <row r="159" spans="1:4" ht="15.75" hidden="1" outlineLevel="1">
      <c r="A159" s="39" t="s">
        <v>2247</v>
      </c>
      <c r="B159" s="40" t="s">
        <v>11</v>
      </c>
      <c r="C159" s="39">
        <v>5.53</v>
      </c>
      <c r="D159" s="115"/>
    </row>
    <row r="160" spans="1:4" ht="15.75" hidden="1" outlineLevel="1">
      <c r="A160" s="39" t="s">
        <v>2247</v>
      </c>
      <c r="B160" s="40" t="s">
        <v>17</v>
      </c>
      <c r="C160" s="39">
        <v>5.58</v>
      </c>
      <c r="D160" s="115"/>
    </row>
    <row r="161" spans="1:4" ht="15.75" hidden="1" outlineLevel="1">
      <c r="A161" s="39" t="s">
        <v>2247</v>
      </c>
      <c r="B161" s="40" t="s">
        <v>18</v>
      </c>
      <c r="C161" s="39">
        <v>5.54</v>
      </c>
      <c r="D161" s="115"/>
    </row>
    <row r="162" spans="1:4" ht="15.75" hidden="1" outlineLevel="1">
      <c r="A162" s="39" t="s">
        <v>2247</v>
      </c>
      <c r="B162" s="40" t="s">
        <v>19</v>
      </c>
      <c r="C162" s="39">
        <v>5.55</v>
      </c>
      <c r="D162" s="115"/>
    </row>
    <row r="163" spans="1:4" ht="15.75" hidden="1" outlineLevel="1">
      <c r="A163" s="39" t="s">
        <v>2247</v>
      </c>
      <c r="B163" s="40" t="s">
        <v>16</v>
      </c>
      <c r="C163" s="39">
        <v>5.62</v>
      </c>
      <c r="D163" s="115"/>
    </row>
    <row r="164" spans="1:4" ht="15.75" hidden="1" outlineLevel="1">
      <c r="A164" s="39" t="s">
        <v>2247</v>
      </c>
      <c r="B164" s="40" t="s">
        <v>20</v>
      </c>
      <c r="C164" s="39">
        <v>5.63</v>
      </c>
      <c r="D164" s="115"/>
    </row>
    <row r="165" spans="1:4" ht="15.75" hidden="1" outlineLevel="1">
      <c r="A165" s="39" t="s">
        <v>2247</v>
      </c>
      <c r="B165" s="40" t="s">
        <v>23</v>
      </c>
      <c r="C165" s="39">
        <v>5.45</v>
      </c>
      <c r="D165" s="115"/>
    </row>
    <row r="166" spans="1:4" ht="15.75" hidden="1" outlineLevel="1">
      <c r="A166" s="39" t="s">
        <v>2247</v>
      </c>
      <c r="B166" s="40" t="s">
        <v>24</v>
      </c>
      <c r="C166" s="39">
        <v>5.47</v>
      </c>
      <c r="D166" s="115"/>
    </row>
    <row r="167" spans="1:4" ht="15.75" hidden="1" outlineLevel="1">
      <c r="A167" s="39" t="s">
        <v>2247</v>
      </c>
      <c r="B167" s="40" t="s">
        <v>25</v>
      </c>
      <c r="C167" s="39">
        <v>5.48</v>
      </c>
      <c r="D167" s="115"/>
    </row>
    <row r="168" spans="1:4" ht="15.75">
      <c r="A168" s="45" t="s">
        <v>2247</v>
      </c>
      <c r="B168" s="40"/>
      <c r="C168" s="39"/>
      <c r="D168" s="115"/>
    </row>
    <row r="169" spans="1:4" ht="15.75" hidden="1" outlineLevel="1">
      <c r="A169" s="39" t="s">
        <v>2667</v>
      </c>
      <c r="B169" s="40" t="s">
        <v>0</v>
      </c>
      <c r="C169" s="39">
        <v>5.0999999999999996</v>
      </c>
      <c r="D169" s="115"/>
    </row>
    <row r="170" spans="1:4" ht="15.75" hidden="1" outlineLevel="1">
      <c r="A170" s="39" t="s">
        <v>2667</v>
      </c>
      <c r="B170" s="40" t="s">
        <v>1</v>
      </c>
      <c r="C170" s="39">
        <v>5.2</v>
      </c>
      <c r="D170" s="115"/>
    </row>
    <row r="171" spans="1:4" ht="15.75" hidden="1" outlineLevel="1">
      <c r="A171" s="39" t="s">
        <v>2667</v>
      </c>
      <c r="B171" s="40" t="s">
        <v>2</v>
      </c>
      <c r="C171" s="39">
        <v>5.3</v>
      </c>
      <c r="D171" s="115"/>
    </row>
    <row r="172" spans="1:4" ht="15.75" hidden="1" outlineLevel="1">
      <c r="A172" s="39" t="s">
        <v>2667</v>
      </c>
      <c r="B172" s="40" t="s">
        <v>105</v>
      </c>
      <c r="C172" s="39">
        <v>5.6</v>
      </c>
      <c r="D172" s="115"/>
    </row>
    <row r="173" spans="1:4" ht="15.75" hidden="1" outlineLevel="1">
      <c r="A173" s="39" t="s">
        <v>2667</v>
      </c>
      <c r="B173" s="40" t="s">
        <v>2919</v>
      </c>
      <c r="C173" s="41">
        <v>5.0999999999999996</v>
      </c>
      <c r="D173" s="115"/>
    </row>
    <row r="174" spans="1:4" ht="15.75" hidden="1" outlineLevel="1">
      <c r="A174" s="39" t="s">
        <v>2667</v>
      </c>
      <c r="B174" s="40" t="s">
        <v>1466</v>
      </c>
      <c r="C174" s="39">
        <v>5.14</v>
      </c>
      <c r="D174" s="115"/>
    </row>
    <row r="175" spans="1:4" ht="15.75" hidden="1" outlineLevel="1">
      <c r="A175" s="39" t="s">
        <v>2667</v>
      </c>
      <c r="B175" s="40" t="s">
        <v>4</v>
      </c>
      <c r="C175" s="39">
        <v>5.19</v>
      </c>
      <c r="D175" s="115"/>
    </row>
    <row r="176" spans="1:4" ht="15.75" hidden="1" outlineLevel="1">
      <c r="A176" s="39" t="s">
        <v>2667</v>
      </c>
      <c r="B176" s="40" t="s">
        <v>107</v>
      </c>
      <c r="C176" s="39">
        <v>5.24</v>
      </c>
      <c r="D176" s="115"/>
    </row>
    <row r="177" spans="1:4" ht="15.75" hidden="1" outlineLevel="1">
      <c r="A177" s="39" t="s">
        <v>2667</v>
      </c>
      <c r="B177" s="40" t="s">
        <v>5</v>
      </c>
      <c r="C177" s="39">
        <v>5.26</v>
      </c>
      <c r="D177" s="115"/>
    </row>
    <row r="178" spans="1:4" ht="15.75" hidden="1" outlineLevel="1">
      <c r="A178" s="39" t="s">
        <v>2667</v>
      </c>
      <c r="B178" s="40" t="s">
        <v>6</v>
      </c>
      <c r="C178" s="39">
        <v>5.27</v>
      </c>
      <c r="D178" s="115"/>
    </row>
    <row r="179" spans="1:4" ht="15.75" hidden="1" outlineLevel="1">
      <c r="A179" s="39" t="s">
        <v>2667</v>
      </c>
      <c r="B179" s="40" t="s">
        <v>7</v>
      </c>
      <c r="C179" s="39">
        <v>5.28</v>
      </c>
      <c r="D179" s="115"/>
    </row>
    <row r="180" spans="1:4" ht="15.75" hidden="1" outlineLevel="1">
      <c r="A180" s="39" t="s">
        <v>2667</v>
      </c>
      <c r="B180" s="40" t="s">
        <v>115</v>
      </c>
      <c r="C180" s="39">
        <v>5.29</v>
      </c>
      <c r="D180" s="115"/>
    </row>
    <row r="181" spans="1:4" ht="15.75" hidden="1" outlineLevel="1">
      <c r="A181" s="39" t="s">
        <v>2667</v>
      </c>
      <c r="B181" s="40" t="s">
        <v>8</v>
      </c>
      <c r="C181" s="41">
        <v>5.3</v>
      </c>
      <c r="D181" s="115"/>
    </row>
    <row r="182" spans="1:4" ht="15.75" hidden="1" outlineLevel="1">
      <c r="A182" s="39" t="s">
        <v>2667</v>
      </c>
      <c r="B182" s="40" t="s">
        <v>1302</v>
      </c>
      <c r="C182" s="39">
        <v>5.32</v>
      </c>
      <c r="D182" s="115"/>
    </row>
    <row r="183" spans="1:4" ht="15.75" hidden="1" outlineLevel="1">
      <c r="A183" s="39" t="s">
        <v>2667</v>
      </c>
      <c r="B183" s="40" t="s">
        <v>109</v>
      </c>
      <c r="C183" s="39">
        <v>5.36</v>
      </c>
      <c r="D183" s="115"/>
    </row>
    <row r="184" spans="1:4" ht="15.75" hidden="1" outlineLevel="1">
      <c r="A184" s="39" t="s">
        <v>2667</v>
      </c>
      <c r="B184" s="40" t="s">
        <v>11</v>
      </c>
      <c r="C184" s="39">
        <v>5.53</v>
      </c>
      <c r="D184" s="115"/>
    </row>
    <row r="185" spans="1:4" ht="15.75" hidden="1" outlineLevel="1">
      <c r="A185" s="39" t="s">
        <v>2667</v>
      </c>
      <c r="B185" s="40" t="s">
        <v>17</v>
      </c>
      <c r="C185" s="39">
        <v>5.58</v>
      </c>
      <c r="D185" s="115"/>
    </row>
    <row r="186" spans="1:4" ht="15.75" hidden="1" outlineLevel="1">
      <c r="A186" s="39" t="s">
        <v>2667</v>
      </c>
      <c r="B186" s="40" t="s">
        <v>18</v>
      </c>
      <c r="C186" s="39">
        <v>5.54</v>
      </c>
      <c r="D186" s="115"/>
    </row>
    <row r="187" spans="1:4" ht="15.75" hidden="1" outlineLevel="1">
      <c r="A187" s="39" t="s">
        <v>2667</v>
      </c>
      <c r="B187" s="40" t="s">
        <v>19</v>
      </c>
      <c r="C187" s="39">
        <v>5.55</v>
      </c>
      <c r="D187" s="115"/>
    </row>
    <row r="188" spans="1:4" ht="15.75" hidden="1" outlineLevel="1">
      <c r="A188" s="39" t="s">
        <v>2667</v>
      </c>
      <c r="B188" s="40" t="s">
        <v>20</v>
      </c>
      <c r="C188" s="39">
        <v>5.63</v>
      </c>
      <c r="D188" s="115"/>
    </row>
    <row r="189" spans="1:4" ht="15.75" hidden="1" outlineLevel="1">
      <c r="A189" s="39" t="s">
        <v>2667</v>
      </c>
      <c r="B189" s="40" t="s">
        <v>23</v>
      </c>
      <c r="C189" s="39">
        <v>5.45</v>
      </c>
      <c r="D189" s="115"/>
    </row>
    <row r="190" spans="1:4" ht="15.75" hidden="1" outlineLevel="1">
      <c r="A190" s="39" t="s">
        <v>2667</v>
      </c>
      <c r="B190" s="40" t="s">
        <v>24</v>
      </c>
      <c r="C190" s="39">
        <v>5.47</v>
      </c>
      <c r="D190" s="115"/>
    </row>
    <row r="191" spans="1:4" ht="15.75" hidden="1" outlineLevel="1">
      <c r="A191" s="39" t="s">
        <v>2667</v>
      </c>
      <c r="B191" s="40" t="s">
        <v>25</v>
      </c>
      <c r="C191" s="39">
        <v>5.48</v>
      </c>
      <c r="D191" s="115"/>
    </row>
    <row r="192" spans="1:4" ht="15.75">
      <c r="A192" s="45" t="s">
        <v>2667</v>
      </c>
      <c r="B192" s="40"/>
      <c r="C192" s="39"/>
      <c r="D192" s="115"/>
    </row>
    <row r="193" spans="1:4" ht="15.75" hidden="1" outlineLevel="1">
      <c r="A193" s="39" t="s">
        <v>2922</v>
      </c>
      <c r="B193" s="40" t="s">
        <v>0</v>
      </c>
      <c r="C193" s="39">
        <v>5.0999999999999996</v>
      </c>
      <c r="D193" s="115"/>
    </row>
    <row r="194" spans="1:4" ht="15.75" hidden="1" outlineLevel="1">
      <c r="A194" s="39" t="s">
        <v>2922</v>
      </c>
      <c r="B194" s="40" t="s">
        <v>1</v>
      </c>
      <c r="C194" s="39">
        <v>5.2</v>
      </c>
      <c r="D194" s="115"/>
    </row>
    <row r="195" spans="1:4" ht="15.75" hidden="1" outlineLevel="1">
      <c r="A195" s="39" t="s">
        <v>2922</v>
      </c>
      <c r="B195" s="40" t="s">
        <v>2</v>
      </c>
      <c r="C195" s="39">
        <v>5.3</v>
      </c>
      <c r="D195" s="115"/>
    </row>
    <row r="196" spans="1:4" ht="15.75" hidden="1" outlineLevel="1">
      <c r="A196" s="39" t="s">
        <v>2922</v>
      </c>
      <c r="B196" s="40" t="s">
        <v>105</v>
      </c>
      <c r="C196" s="39">
        <v>5.6</v>
      </c>
      <c r="D196" s="115"/>
    </row>
    <row r="197" spans="1:4" ht="15.75" hidden="1" outlineLevel="1">
      <c r="A197" s="39" t="s">
        <v>2922</v>
      </c>
      <c r="B197" s="40" t="s">
        <v>2919</v>
      </c>
      <c r="C197" s="41">
        <v>5.0999999999999996</v>
      </c>
      <c r="D197" s="115"/>
    </row>
    <row r="198" spans="1:4" ht="15.75" hidden="1" outlineLevel="1">
      <c r="A198" s="39" t="s">
        <v>2922</v>
      </c>
      <c r="B198" s="40" t="s">
        <v>1466</v>
      </c>
      <c r="C198" s="39">
        <v>5.14</v>
      </c>
      <c r="D198" s="115"/>
    </row>
    <row r="199" spans="1:4" ht="15.75" hidden="1" outlineLevel="1">
      <c r="A199" s="39" t="s">
        <v>2922</v>
      </c>
      <c r="B199" s="40" t="s">
        <v>4</v>
      </c>
      <c r="C199" s="39">
        <v>5.19</v>
      </c>
      <c r="D199" s="115"/>
    </row>
    <row r="200" spans="1:4" ht="15.75" hidden="1" outlineLevel="1">
      <c r="A200" s="39" t="s">
        <v>2922</v>
      </c>
      <c r="B200" s="40" t="s">
        <v>107</v>
      </c>
      <c r="C200" s="39">
        <v>5.24</v>
      </c>
      <c r="D200" s="115"/>
    </row>
    <row r="201" spans="1:4" ht="15.75" hidden="1" outlineLevel="1">
      <c r="A201" s="39" t="s">
        <v>2922</v>
      </c>
      <c r="B201" s="40" t="s">
        <v>6</v>
      </c>
      <c r="C201" s="39">
        <v>5.27</v>
      </c>
      <c r="D201" s="115"/>
    </row>
    <row r="202" spans="1:4" ht="15.75" hidden="1" outlineLevel="1">
      <c r="A202" s="39" t="s">
        <v>2922</v>
      </c>
      <c r="B202" s="40" t="s">
        <v>7</v>
      </c>
      <c r="C202" s="39">
        <v>5.28</v>
      </c>
      <c r="D202" s="115"/>
    </row>
    <row r="203" spans="1:4" ht="15.75" hidden="1" outlineLevel="1">
      <c r="A203" s="39" t="s">
        <v>2922</v>
      </c>
      <c r="B203" s="40" t="s">
        <v>115</v>
      </c>
      <c r="C203" s="39">
        <v>5.29</v>
      </c>
      <c r="D203" s="115"/>
    </row>
    <row r="204" spans="1:4" ht="15.75" hidden="1" outlineLevel="1">
      <c r="A204" s="39" t="s">
        <v>2922</v>
      </c>
      <c r="B204" s="40" t="s">
        <v>8</v>
      </c>
      <c r="C204" s="41">
        <v>5.3</v>
      </c>
      <c r="D204" s="115"/>
    </row>
    <row r="205" spans="1:4" ht="15.75" hidden="1" outlineLevel="1">
      <c r="A205" s="39" t="s">
        <v>2922</v>
      </c>
      <c r="B205" s="40" t="s">
        <v>1488</v>
      </c>
      <c r="C205" s="39">
        <v>5.34</v>
      </c>
      <c r="D205" s="115"/>
    </row>
    <row r="206" spans="1:4" ht="15.75" hidden="1" outlineLevel="1">
      <c r="A206" s="39" t="s">
        <v>2922</v>
      </c>
      <c r="B206" s="40" t="s">
        <v>108</v>
      </c>
      <c r="C206" s="39">
        <v>5.31</v>
      </c>
      <c r="D206" s="115"/>
    </row>
    <row r="207" spans="1:4" ht="15.75" hidden="1" outlineLevel="1">
      <c r="A207" s="39" t="s">
        <v>2922</v>
      </c>
      <c r="B207" s="40" t="s">
        <v>1489</v>
      </c>
      <c r="C207" s="39">
        <v>5.101</v>
      </c>
      <c r="D207" s="115"/>
    </row>
    <row r="208" spans="1:4" ht="15.75" hidden="1" outlineLevel="1">
      <c r="A208" s="39" t="s">
        <v>2922</v>
      </c>
      <c r="B208" s="40" t="s">
        <v>109</v>
      </c>
      <c r="C208" s="39">
        <v>5.36</v>
      </c>
      <c r="D208" s="115"/>
    </row>
    <row r="209" spans="1:4" ht="15.75" hidden="1" outlineLevel="1">
      <c r="A209" s="39" t="s">
        <v>2922</v>
      </c>
      <c r="B209" s="40" t="s">
        <v>11</v>
      </c>
      <c r="C209" s="39">
        <v>5.53</v>
      </c>
      <c r="D209" s="115"/>
    </row>
    <row r="210" spans="1:4" ht="15.75" hidden="1" outlineLevel="1">
      <c r="A210" s="39" t="s">
        <v>2922</v>
      </c>
      <c r="B210" s="40" t="s">
        <v>1490</v>
      </c>
      <c r="C210" s="39">
        <v>5.1020000000000003</v>
      </c>
      <c r="D210" s="115"/>
    </row>
    <row r="211" spans="1:4" ht="15.75" hidden="1" outlineLevel="1">
      <c r="A211" s="39" t="s">
        <v>2922</v>
      </c>
      <c r="B211" s="40" t="s">
        <v>1491</v>
      </c>
      <c r="C211" s="42">
        <v>5.0999999999999996</v>
      </c>
      <c r="D211" s="115"/>
    </row>
    <row r="212" spans="1:4" ht="15.75" hidden="1" outlineLevel="1">
      <c r="A212" s="39" t="s">
        <v>2922</v>
      </c>
      <c r="B212" s="40" t="s">
        <v>17</v>
      </c>
      <c r="C212" s="39">
        <v>5.58</v>
      </c>
      <c r="D212" s="115"/>
    </row>
    <row r="213" spans="1:4" ht="15.75" hidden="1" outlineLevel="1">
      <c r="A213" s="39" t="s">
        <v>2922</v>
      </c>
      <c r="B213" s="40" t="s">
        <v>18</v>
      </c>
      <c r="C213" s="39">
        <v>5.54</v>
      </c>
      <c r="D213" s="115"/>
    </row>
    <row r="214" spans="1:4" ht="15.75" hidden="1" outlineLevel="1">
      <c r="A214" s="39" t="s">
        <v>2922</v>
      </c>
      <c r="B214" s="40" t="s">
        <v>19</v>
      </c>
      <c r="C214" s="39">
        <v>5.55</v>
      </c>
      <c r="D214" s="115"/>
    </row>
    <row r="215" spans="1:4" ht="15.75" hidden="1" outlineLevel="1">
      <c r="A215" s="39" t="s">
        <v>2922</v>
      </c>
      <c r="B215" s="40" t="s">
        <v>20</v>
      </c>
      <c r="C215" s="39">
        <v>5.63</v>
      </c>
      <c r="D215" s="115"/>
    </row>
    <row r="216" spans="1:4" ht="15.75" hidden="1" outlineLevel="1">
      <c r="A216" s="39" t="s">
        <v>2922</v>
      </c>
      <c r="B216" s="40" t="s">
        <v>24</v>
      </c>
      <c r="C216" s="39">
        <v>5.47</v>
      </c>
      <c r="D216" s="115"/>
    </row>
    <row r="217" spans="1:4" ht="15.75" hidden="1" outlineLevel="1">
      <c r="A217" s="39" t="s">
        <v>2922</v>
      </c>
      <c r="B217" s="40" t="s">
        <v>25</v>
      </c>
      <c r="C217" s="39">
        <v>5.48</v>
      </c>
      <c r="D217" s="115"/>
    </row>
    <row r="218" spans="1:4" ht="15.75">
      <c r="A218" s="45" t="s">
        <v>2922</v>
      </c>
      <c r="B218" s="40"/>
      <c r="C218" s="39"/>
      <c r="D218" s="115"/>
    </row>
    <row r="219" spans="1:4" ht="15.75" hidden="1" outlineLevel="1">
      <c r="A219" s="39" t="s">
        <v>2670</v>
      </c>
      <c r="B219" s="40" t="s">
        <v>0</v>
      </c>
      <c r="C219" s="39">
        <v>5.0999999999999996</v>
      </c>
      <c r="D219" s="115"/>
    </row>
    <row r="220" spans="1:4" ht="15.75" hidden="1" outlineLevel="1">
      <c r="A220" s="39" t="s">
        <v>2670</v>
      </c>
      <c r="B220" s="40" t="s">
        <v>1</v>
      </c>
      <c r="C220" s="39">
        <v>5.2</v>
      </c>
      <c r="D220" s="115"/>
    </row>
    <row r="221" spans="1:4" ht="15.75" hidden="1" outlineLevel="1">
      <c r="A221" s="39" t="s">
        <v>2670</v>
      </c>
      <c r="B221" s="40" t="s">
        <v>2</v>
      </c>
      <c r="C221" s="39">
        <v>5.3</v>
      </c>
      <c r="D221" s="115"/>
    </row>
    <row r="222" spans="1:4" ht="15.75" hidden="1" outlineLevel="1">
      <c r="A222" s="39" t="s">
        <v>2670</v>
      </c>
      <c r="B222" s="40" t="s">
        <v>105</v>
      </c>
      <c r="C222" s="39">
        <v>5.6</v>
      </c>
      <c r="D222" s="115"/>
    </row>
    <row r="223" spans="1:4" ht="15.75" hidden="1" outlineLevel="1">
      <c r="A223" s="39" t="s">
        <v>2670</v>
      </c>
      <c r="B223" s="40" t="s">
        <v>2919</v>
      </c>
      <c r="C223" s="41">
        <v>5.0999999999999996</v>
      </c>
      <c r="D223" s="115"/>
    </row>
    <row r="224" spans="1:4" ht="15.75" hidden="1" outlineLevel="1">
      <c r="A224" s="39" t="s">
        <v>2670</v>
      </c>
      <c r="B224" s="40" t="s">
        <v>1466</v>
      </c>
      <c r="C224" s="39">
        <v>5.14</v>
      </c>
      <c r="D224" s="115"/>
    </row>
    <row r="225" spans="1:4" ht="15.75" hidden="1" outlineLevel="1">
      <c r="A225" s="39" t="s">
        <v>2670</v>
      </c>
      <c r="B225" s="40" t="s">
        <v>4</v>
      </c>
      <c r="C225" s="39">
        <v>5.19</v>
      </c>
      <c r="D225" s="115"/>
    </row>
    <row r="226" spans="1:4" ht="15.75" hidden="1" outlineLevel="1">
      <c r="A226" s="39" t="s">
        <v>2670</v>
      </c>
      <c r="B226" s="40" t="s">
        <v>107</v>
      </c>
      <c r="C226" s="39">
        <v>5.24</v>
      </c>
      <c r="D226" s="115"/>
    </row>
    <row r="227" spans="1:4" ht="15.75" hidden="1" outlineLevel="1">
      <c r="A227" s="39" t="s">
        <v>2670</v>
      </c>
      <c r="B227" s="40" t="s">
        <v>5</v>
      </c>
      <c r="C227" s="39">
        <v>5.26</v>
      </c>
      <c r="D227" s="115"/>
    </row>
    <row r="228" spans="1:4" ht="15.75" hidden="1" outlineLevel="1">
      <c r="A228" s="39" t="s">
        <v>2670</v>
      </c>
      <c r="B228" s="40" t="s">
        <v>6</v>
      </c>
      <c r="C228" s="39">
        <v>5.27</v>
      </c>
      <c r="D228" s="115"/>
    </row>
    <row r="229" spans="1:4" ht="15.75" hidden="1" outlineLevel="1">
      <c r="A229" s="39" t="s">
        <v>2670</v>
      </c>
      <c r="B229" s="40" t="s">
        <v>7</v>
      </c>
      <c r="C229" s="39">
        <v>5.28</v>
      </c>
      <c r="D229" s="115"/>
    </row>
    <row r="230" spans="1:4" ht="15.75" hidden="1" outlineLevel="1">
      <c r="A230" s="39" t="s">
        <v>2670</v>
      </c>
      <c r="B230" s="40" t="s">
        <v>115</v>
      </c>
      <c r="C230" s="39">
        <v>5.29</v>
      </c>
      <c r="D230" s="115"/>
    </row>
    <row r="231" spans="1:4" ht="15.75" hidden="1" outlineLevel="1">
      <c r="A231" s="39" t="s">
        <v>2670</v>
      </c>
      <c r="B231" s="40" t="s">
        <v>8</v>
      </c>
      <c r="C231" s="41">
        <v>5.3</v>
      </c>
      <c r="D231" s="115"/>
    </row>
    <row r="232" spans="1:4" ht="15.75" hidden="1" outlineLevel="1">
      <c r="A232" s="39" t="s">
        <v>2670</v>
      </c>
      <c r="B232" s="40" t="s">
        <v>108</v>
      </c>
      <c r="C232" s="39">
        <v>5.31</v>
      </c>
      <c r="D232" s="115"/>
    </row>
    <row r="233" spans="1:4" ht="15.75" hidden="1" outlineLevel="1">
      <c r="A233" s="39" t="s">
        <v>2670</v>
      </c>
      <c r="B233" s="40" t="s">
        <v>1501</v>
      </c>
      <c r="C233" s="39">
        <v>5.33</v>
      </c>
      <c r="D233" s="115"/>
    </row>
    <row r="234" spans="1:4" ht="15.75" hidden="1" outlineLevel="1">
      <c r="A234" s="39" t="s">
        <v>2670</v>
      </c>
      <c r="B234" s="40" t="s">
        <v>1489</v>
      </c>
      <c r="C234" s="39">
        <v>5.101</v>
      </c>
      <c r="D234" s="115"/>
    </row>
    <row r="235" spans="1:4" ht="15.75" hidden="1" outlineLevel="1">
      <c r="A235" s="39" t="s">
        <v>2670</v>
      </c>
      <c r="B235" s="40" t="s">
        <v>109</v>
      </c>
      <c r="C235" s="39">
        <v>5.36</v>
      </c>
      <c r="D235" s="115"/>
    </row>
    <row r="236" spans="1:4" ht="15.75" hidden="1" outlineLevel="1">
      <c r="A236" s="39" t="s">
        <v>2670</v>
      </c>
      <c r="B236" s="40" t="s">
        <v>11</v>
      </c>
      <c r="C236" s="39">
        <v>5.53</v>
      </c>
      <c r="D236" s="115"/>
    </row>
    <row r="237" spans="1:4" ht="15.75" hidden="1" outlineLevel="1">
      <c r="A237" s="39" t="s">
        <v>2670</v>
      </c>
      <c r="B237" s="40" t="s">
        <v>1490</v>
      </c>
      <c r="C237" s="39">
        <v>5.1020000000000003</v>
      </c>
      <c r="D237" s="115"/>
    </row>
    <row r="238" spans="1:4" ht="15.75" hidden="1" outlineLevel="1">
      <c r="A238" s="39" t="s">
        <v>2670</v>
      </c>
      <c r="B238" s="40" t="s">
        <v>17</v>
      </c>
      <c r="C238" s="39">
        <v>5.58</v>
      </c>
      <c r="D238" s="115"/>
    </row>
    <row r="239" spans="1:4" ht="15.75" hidden="1" outlineLevel="1">
      <c r="A239" s="39" t="s">
        <v>2670</v>
      </c>
      <c r="B239" s="40" t="s">
        <v>18</v>
      </c>
      <c r="C239" s="39">
        <v>5.54</v>
      </c>
      <c r="D239" s="115"/>
    </row>
    <row r="240" spans="1:4" ht="15.75" hidden="1" outlineLevel="1">
      <c r="A240" s="39" t="s">
        <v>2670</v>
      </c>
      <c r="B240" s="40" t="s">
        <v>19</v>
      </c>
      <c r="C240" s="39">
        <v>5.55</v>
      </c>
      <c r="D240" s="115"/>
    </row>
    <row r="241" spans="1:4" ht="15.75" hidden="1" outlineLevel="1">
      <c r="A241" s="39" t="s">
        <v>2670</v>
      </c>
      <c r="B241" s="40" t="s">
        <v>20</v>
      </c>
      <c r="C241" s="39">
        <v>5.63</v>
      </c>
      <c r="D241" s="115"/>
    </row>
    <row r="242" spans="1:4" ht="15.75" hidden="1" outlineLevel="1">
      <c r="A242" s="39" t="s">
        <v>2670</v>
      </c>
      <c r="B242" s="40" t="s">
        <v>24</v>
      </c>
      <c r="C242" s="39">
        <v>5.47</v>
      </c>
      <c r="D242" s="115"/>
    </row>
    <row r="243" spans="1:4" ht="15.75" hidden="1" outlineLevel="1">
      <c r="A243" s="39" t="s">
        <v>2670</v>
      </c>
      <c r="B243" s="40" t="s">
        <v>25</v>
      </c>
      <c r="C243" s="39">
        <v>5.48</v>
      </c>
      <c r="D243" s="115"/>
    </row>
    <row r="244" spans="1:4" ht="15.75">
      <c r="A244" s="45" t="s">
        <v>2670</v>
      </c>
      <c r="B244" s="40"/>
      <c r="C244" s="39"/>
      <c r="D244" s="115"/>
    </row>
    <row r="245" spans="1:4" ht="15.75" hidden="1" outlineLevel="1">
      <c r="A245" s="39" t="s">
        <v>2923</v>
      </c>
      <c r="B245" s="40" t="s">
        <v>0</v>
      </c>
      <c r="C245" s="39">
        <v>5.0999999999999996</v>
      </c>
      <c r="D245" s="115"/>
    </row>
    <row r="246" spans="1:4" ht="15.75" hidden="1" outlineLevel="1">
      <c r="A246" s="39" t="s">
        <v>2923</v>
      </c>
      <c r="B246" s="40" t="s">
        <v>1</v>
      </c>
      <c r="C246" s="39">
        <v>5.2</v>
      </c>
      <c r="D246" s="115"/>
    </row>
    <row r="247" spans="1:4" ht="15.75" hidden="1" outlineLevel="1">
      <c r="A247" s="39" t="s">
        <v>2923</v>
      </c>
      <c r="B247" s="40" t="s">
        <v>2</v>
      </c>
      <c r="C247" s="39">
        <v>5.3</v>
      </c>
      <c r="D247" s="115"/>
    </row>
    <row r="248" spans="1:4" ht="15.75" hidden="1" outlineLevel="1">
      <c r="A248" s="39" t="s">
        <v>2923</v>
      </c>
      <c r="B248" s="40" t="s">
        <v>105</v>
      </c>
      <c r="C248" s="39">
        <v>5.6</v>
      </c>
      <c r="D248" s="115"/>
    </row>
    <row r="249" spans="1:4" ht="15.75" hidden="1" outlineLevel="1">
      <c r="A249" s="39" t="s">
        <v>2923</v>
      </c>
      <c r="B249" s="40" t="s">
        <v>2919</v>
      </c>
      <c r="C249" s="41">
        <v>5.0999999999999996</v>
      </c>
      <c r="D249" s="115"/>
    </row>
    <row r="250" spans="1:4" ht="15.75" hidden="1" outlineLevel="1">
      <c r="A250" s="39" t="s">
        <v>2923</v>
      </c>
      <c r="B250" s="40" t="s">
        <v>1466</v>
      </c>
      <c r="C250" s="39">
        <v>5.14</v>
      </c>
      <c r="D250" s="115"/>
    </row>
    <row r="251" spans="1:4" ht="15.75" hidden="1" outlineLevel="1">
      <c r="A251" s="39" t="s">
        <v>2923</v>
      </c>
      <c r="B251" s="40" t="s">
        <v>4</v>
      </c>
      <c r="C251" s="39">
        <v>5.19</v>
      </c>
      <c r="D251" s="115"/>
    </row>
    <row r="252" spans="1:4" ht="15.75" hidden="1" outlineLevel="1">
      <c r="A252" s="39" t="s">
        <v>2923</v>
      </c>
      <c r="B252" s="40" t="s">
        <v>107</v>
      </c>
      <c r="C252" s="39">
        <v>5.24</v>
      </c>
      <c r="D252" s="115"/>
    </row>
    <row r="253" spans="1:4" ht="15.75" hidden="1" outlineLevel="1">
      <c r="A253" s="39" t="s">
        <v>2923</v>
      </c>
      <c r="B253" s="40" t="s">
        <v>6</v>
      </c>
      <c r="C253" s="39">
        <v>5.27</v>
      </c>
      <c r="D253" s="115"/>
    </row>
    <row r="254" spans="1:4" ht="15.75" hidden="1" outlineLevel="1">
      <c r="A254" s="39" t="s">
        <v>2923</v>
      </c>
      <c r="B254" s="40" t="s">
        <v>7</v>
      </c>
      <c r="C254" s="39">
        <v>5.28</v>
      </c>
      <c r="D254" s="115"/>
    </row>
    <row r="255" spans="1:4" ht="15.75" hidden="1" outlineLevel="1">
      <c r="A255" s="39" t="s">
        <v>2923</v>
      </c>
      <c r="B255" s="40" t="s">
        <v>8</v>
      </c>
      <c r="C255" s="41">
        <v>5.3</v>
      </c>
      <c r="D255" s="115"/>
    </row>
    <row r="256" spans="1:4" ht="15.75" hidden="1" outlineLevel="1">
      <c r="A256" s="39" t="s">
        <v>2923</v>
      </c>
      <c r="B256" s="40" t="s">
        <v>1501</v>
      </c>
      <c r="C256" s="39">
        <v>5.33</v>
      </c>
      <c r="D256" s="115"/>
    </row>
    <row r="257" spans="1:4" ht="15.75" hidden="1" outlineLevel="1">
      <c r="A257" s="39" t="s">
        <v>2923</v>
      </c>
      <c r="B257" s="40" t="s">
        <v>109</v>
      </c>
      <c r="C257" s="39">
        <v>5.36</v>
      </c>
      <c r="D257" s="115"/>
    </row>
    <row r="258" spans="1:4" ht="15.75" hidden="1" outlineLevel="1">
      <c r="A258" s="39" t="s">
        <v>2923</v>
      </c>
      <c r="B258" s="40" t="s">
        <v>11</v>
      </c>
      <c r="C258" s="39">
        <v>5.53</v>
      </c>
      <c r="D258" s="115"/>
    </row>
    <row r="259" spans="1:4" ht="15.75" hidden="1" outlineLevel="1">
      <c r="A259" s="39" t="s">
        <v>2923</v>
      </c>
      <c r="B259" s="40" t="s">
        <v>17</v>
      </c>
      <c r="C259" s="39">
        <v>5.58</v>
      </c>
      <c r="D259" s="115"/>
    </row>
    <row r="260" spans="1:4" ht="15.75" hidden="1" outlineLevel="1">
      <c r="A260" s="39" t="s">
        <v>2923</v>
      </c>
      <c r="B260" s="40" t="s">
        <v>18</v>
      </c>
      <c r="C260" s="39">
        <v>5.54</v>
      </c>
      <c r="D260" s="115"/>
    </row>
    <row r="261" spans="1:4" ht="15.75" hidden="1" outlineLevel="1">
      <c r="A261" s="39" t="s">
        <v>2923</v>
      </c>
      <c r="B261" s="40" t="s">
        <v>19</v>
      </c>
      <c r="C261" s="39">
        <v>5.55</v>
      </c>
      <c r="D261" s="115"/>
    </row>
    <row r="262" spans="1:4" ht="15.75" hidden="1" outlineLevel="1">
      <c r="A262" s="39" t="s">
        <v>2923</v>
      </c>
      <c r="B262" s="40" t="s">
        <v>20</v>
      </c>
      <c r="C262" s="39">
        <v>5.63</v>
      </c>
      <c r="D262" s="115"/>
    </row>
    <row r="263" spans="1:4" ht="15.75" hidden="1" outlineLevel="1">
      <c r="A263" s="39" t="s">
        <v>2923</v>
      </c>
      <c r="B263" s="40" t="s">
        <v>24</v>
      </c>
      <c r="C263" s="39">
        <v>5.47</v>
      </c>
      <c r="D263" s="115"/>
    </row>
    <row r="264" spans="1:4" ht="15.75" hidden="1" outlineLevel="1">
      <c r="A264" s="39" t="s">
        <v>2923</v>
      </c>
      <c r="B264" s="40" t="s">
        <v>25</v>
      </c>
      <c r="C264" s="39">
        <v>5.48</v>
      </c>
      <c r="D264" s="115"/>
    </row>
    <row r="265" spans="1:4" ht="15.75">
      <c r="A265" s="45" t="s">
        <v>2923</v>
      </c>
      <c r="B265" s="40"/>
      <c r="C265" s="39"/>
      <c r="D265" s="115"/>
    </row>
    <row r="266" spans="1:4" ht="15.75" hidden="1" outlineLevel="1">
      <c r="A266" s="39" t="s">
        <v>2675</v>
      </c>
      <c r="B266" s="40" t="s">
        <v>0</v>
      </c>
      <c r="C266" s="39">
        <v>5.0999999999999996</v>
      </c>
      <c r="D266" s="115"/>
    </row>
    <row r="267" spans="1:4" ht="15.75" hidden="1" outlineLevel="1">
      <c r="A267" s="39" t="s">
        <v>2675</v>
      </c>
      <c r="B267" s="40" t="s">
        <v>1</v>
      </c>
      <c r="C267" s="39">
        <v>5.2</v>
      </c>
      <c r="D267" s="115"/>
    </row>
    <row r="268" spans="1:4" ht="15.75" hidden="1" outlineLevel="1">
      <c r="A268" s="39" t="s">
        <v>2675</v>
      </c>
      <c r="B268" s="40" t="s">
        <v>2</v>
      </c>
      <c r="C268" s="39">
        <v>5.3</v>
      </c>
      <c r="D268" s="115"/>
    </row>
    <row r="269" spans="1:4" ht="15.75" hidden="1" outlineLevel="1">
      <c r="A269" s="39" t="s">
        <v>2675</v>
      </c>
      <c r="B269" s="40" t="s">
        <v>105</v>
      </c>
      <c r="C269" s="39">
        <v>5.6</v>
      </c>
      <c r="D269" s="115"/>
    </row>
    <row r="270" spans="1:4" ht="15.75" hidden="1" outlineLevel="1">
      <c r="A270" s="39" t="s">
        <v>2675</v>
      </c>
      <c r="B270" s="40" t="s">
        <v>2919</v>
      </c>
      <c r="C270" s="41">
        <v>5.0999999999999996</v>
      </c>
      <c r="D270" s="115"/>
    </row>
    <row r="271" spans="1:4" ht="15.75" hidden="1" outlineLevel="1">
      <c r="A271" s="39" t="s">
        <v>2675</v>
      </c>
      <c r="B271" s="40" t="s">
        <v>1466</v>
      </c>
      <c r="C271" s="39">
        <v>5.14</v>
      </c>
      <c r="D271" s="115"/>
    </row>
    <row r="272" spans="1:4" ht="15.75" hidden="1" outlineLevel="1">
      <c r="A272" s="39" t="s">
        <v>2675</v>
      </c>
      <c r="B272" s="40" t="s">
        <v>4</v>
      </c>
      <c r="C272" s="39">
        <v>5.19</v>
      </c>
      <c r="D272" s="115"/>
    </row>
    <row r="273" spans="1:4" ht="15.75" hidden="1" outlineLevel="1">
      <c r="A273" s="39" t="s">
        <v>2675</v>
      </c>
      <c r="B273" s="40" t="s">
        <v>107</v>
      </c>
      <c r="C273" s="39">
        <v>5.24</v>
      </c>
      <c r="D273" s="115"/>
    </row>
    <row r="274" spans="1:4" ht="15.75" hidden="1" outlineLevel="1">
      <c r="A274" s="39" t="s">
        <v>2675</v>
      </c>
      <c r="B274" s="40" t="s">
        <v>5</v>
      </c>
      <c r="C274" s="39">
        <v>5.26</v>
      </c>
      <c r="D274" s="115"/>
    </row>
    <row r="275" spans="1:4" ht="15.75" hidden="1" outlineLevel="1">
      <c r="A275" s="39" t="s">
        <v>2675</v>
      </c>
      <c r="B275" s="40" t="s">
        <v>6</v>
      </c>
      <c r="C275" s="39">
        <v>5.27</v>
      </c>
      <c r="D275" s="115"/>
    </row>
    <row r="276" spans="1:4" ht="15.75" hidden="1" outlineLevel="1">
      <c r="A276" s="39" t="s">
        <v>2675</v>
      </c>
      <c r="B276" s="40" t="s">
        <v>7</v>
      </c>
      <c r="C276" s="39">
        <v>5.28</v>
      </c>
      <c r="D276" s="115"/>
    </row>
    <row r="277" spans="1:4" ht="15.75" hidden="1" outlineLevel="1">
      <c r="A277" s="39" t="s">
        <v>2675</v>
      </c>
      <c r="B277" s="40" t="s">
        <v>115</v>
      </c>
      <c r="C277" s="39">
        <v>5.29</v>
      </c>
      <c r="D277" s="115"/>
    </row>
    <row r="278" spans="1:4" ht="15.75" hidden="1" outlineLevel="1">
      <c r="A278" s="39" t="s">
        <v>2675</v>
      </c>
      <c r="B278" s="40" t="s">
        <v>8</v>
      </c>
      <c r="C278" s="41">
        <v>5.3</v>
      </c>
      <c r="D278" s="115"/>
    </row>
    <row r="279" spans="1:4" ht="15.75" hidden="1" outlineLevel="1">
      <c r="A279" s="39" t="s">
        <v>2675</v>
      </c>
      <c r="B279" s="40" t="s">
        <v>1501</v>
      </c>
      <c r="C279" s="39">
        <v>5.33</v>
      </c>
      <c r="D279" s="115"/>
    </row>
    <row r="280" spans="1:4" ht="15.75" hidden="1" outlineLevel="1">
      <c r="A280" s="39" t="s">
        <v>2675</v>
      </c>
      <c r="B280" s="40" t="s">
        <v>109</v>
      </c>
      <c r="C280" s="39">
        <v>5.36</v>
      </c>
      <c r="D280" s="115"/>
    </row>
    <row r="281" spans="1:4" ht="15.75" hidden="1" outlineLevel="1">
      <c r="A281" s="39" t="s">
        <v>2675</v>
      </c>
      <c r="B281" s="40" t="s">
        <v>12</v>
      </c>
      <c r="C281" s="39">
        <v>5.69</v>
      </c>
      <c r="D281" s="115"/>
    </row>
    <row r="282" spans="1:4" ht="15.75" hidden="1" outlineLevel="1">
      <c r="A282" s="39" t="s">
        <v>2675</v>
      </c>
      <c r="B282" s="40" t="s">
        <v>14</v>
      </c>
      <c r="C282" s="41">
        <v>5.7</v>
      </c>
      <c r="D282" s="115"/>
    </row>
    <row r="283" spans="1:4" ht="15.75" hidden="1" outlineLevel="1">
      <c r="A283" s="39" t="s">
        <v>2675</v>
      </c>
      <c r="B283" s="40" t="s">
        <v>15</v>
      </c>
      <c r="C283" s="39">
        <v>5.74</v>
      </c>
      <c r="D283" s="115"/>
    </row>
    <row r="284" spans="1:4" ht="15.75" hidden="1" outlineLevel="1">
      <c r="A284" s="39" t="s">
        <v>2675</v>
      </c>
      <c r="B284" s="40" t="s">
        <v>9</v>
      </c>
      <c r="C284" s="39">
        <v>5.49</v>
      </c>
      <c r="D284" s="115"/>
    </row>
    <row r="285" spans="1:4" ht="15.75" hidden="1" outlineLevel="1">
      <c r="A285" s="39" t="s">
        <v>2675</v>
      </c>
      <c r="B285" s="40" t="s">
        <v>10</v>
      </c>
      <c r="C285" s="39">
        <v>5.51</v>
      </c>
      <c r="D285" s="115"/>
    </row>
    <row r="286" spans="1:4" ht="15.75" hidden="1" outlineLevel="1">
      <c r="A286" s="39" t="s">
        <v>2675</v>
      </c>
      <c r="B286" s="40" t="s">
        <v>2920</v>
      </c>
      <c r="C286" s="39">
        <v>5.52</v>
      </c>
      <c r="D286" s="115"/>
    </row>
    <row r="287" spans="1:4" ht="15.75" hidden="1" outlineLevel="1">
      <c r="A287" s="39" t="s">
        <v>2675</v>
      </c>
      <c r="B287" s="40" t="s">
        <v>11</v>
      </c>
      <c r="C287" s="39">
        <v>5.53</v>
      </c>
      <c r="D287" s="115"/>
    </row>
    <row r="288" spans="1:4" ht="15.75" hidden="1" outlineLevel="1">
      <c r="A288" s="39" t="s">
        <v>2675</v>
      </c>
      <c r="B288" s="40" t="s">
        <v>17</v>
      </c>
      <c r="C288" s="39">
        <v>5.58</v>
      </c>
      <c r="D288" s="115"/>
    </row>
    <row r="289" spans="1:4" ht="15.75" hidden="1" outlineLevel="1">
      <c r="A289" s="39" t="s">
        <v>2675</v>
      </c>
      <c r="B289" s="40" t="s">
        <v>18</v>
      </c>
      <c r="C289" s="39">
        <v>5.54</v>
      </c>
      <c r="D289" s="115"/>
    </row>
    <row r="290" spans="1:4" ht="15.75" hidden="1" outlineLevel="1">
      <c r="A290" s="39" t="s">
        <v>2675</v>
      </c>
      <c r="B290" s="40" t="s">
        <v>19</v>
      </c>
      <c r="C290" s="39">
        <v>5.55</v>
      </c>
      <c r="D290" s="115"/>
    </row>
    <row r="291" spans="1:4" ht="15.75" hidden="1" outlineLevel="1">
      <c r="A291" s="39" t="s">
        <v>2675</v>
      </c>
      <c r="B291" s="40" t="s">
        <v>20</v>
      </c>
      <c r="C291" s="39">
        <v>5.63</v>
      </c>
      <c r="D291" s="115"/>
    </row>
    <row r="292" spans="1:4" ht="15.75" hidden="1" outlineLevel="1">
      <c r="A292" s="39" t="s">
        <v>2675</v>
      </c>
      <c r="B292" s="40" t="s">
        <v>24</v>
      </c>
      <c r="C292" s="39">
        <v>5.47</v>
      </c>
      <c r="D292" s="115"/>
    </row>
    <row r="293" spans="1:4" ht="15.75" hidden="1" outlineLevel="1">
      <c r="A293" s="39" t="s">
        <v>2675</v>
      </c>
      <c r="B293" s="40" t="s">
        <v>25</v>
      </c>
      <c r="C293" s="39">
        <v>5.48</v>
      </c>
      <c r="D293" s="115"/>
    </row>
    <row r="294" spans="1:4" ht="15.75">
      <c r="A294" s="45" t="s">
        <v>2675</v>
      </c>
      <c r="B294" s="40"/>
      <c r="C294" s="39"/>
      <c r="D294" s="115"/>
    </row>
    <row r="295" spans="1:4" ht="31.5" hidden="1" outlineLevel="1">
      <c r="A295" s="39" t="s">
        <v>2682</v>
      </c>
      <c r="B295" s="40" t="s">
        <v>0</v>
      </c>
      <c r="C295" s="39">
        <v>5.0999999999999996</v>
      </c>
      <c r="D295" s="115"/>
    </row>
    <row r="296" spans="1:4" ht="31.5" hidden="1" outlineLevel="1">
      <c r="A296" s="39" t="s">
        <v>2682</v>
      </c>
      <c r="B296" s="40" t="s">
        <v>1</v>
      </c>
      <c r="C296" s="39">
        <v>5.2</v>
      </c>
      <c r="D296" s="115"/>
    </row>
    <row r="297" spans="1:4" ht="31.5" hidden="1" outlineLevel="1">
      <c r="A297" s="39" t="s">
        <v>2682</v>
      </c>
      <c r="B297" s="40" t="s">
        <v>2</v>
      </c>
      <c r="C297" s="39">
        <v>5.3</v>
      </c>
      <c r="D297" s="115"/>
    </row>
    <row r="298" spans="1:4" ht="31.5" hidden="1" outlineLevel="1">
      <c r="A298" s="39" t="s">
        <v>2682</v>
      </c>
      <c r="B298" s="40" t="s">
        <v>1466</v>
      </c>
      <c r="C298" s="39">
        <v>5.14</v>
      </c>
      <c r="D298" s="115"/>
    </row>
    <row r="299" spans="1:4" ht="31.5" hidden="1" outlineLevel="1">
      <c r="A299" s="39" t="s">
        <v>2682</v>
      </c>
      <c r="B299" s="40" t="s">
        <v>4</v>
      </c>
      <c r="C299" s="39">
        <v>5.19</v>
      </c>
      <c r="D299" s="115"/>
    </row>
    <row r="300" spans="1:4" ht="31.5" hidden="1" outlineLevel="1">
      <c r="A300" s="39" t="s">
        <v>2682</v>
      </c>
      <c r="B300" s="40" t="s">
        <v>107</v>
      </c>
      <c r="C300" s="39">
        <v>5.24</v>
      </c>
      <c r="D300" s="115"/>
    </row>
    <row r="301" spans="1:4" ht="31.5" hidden="1" outlineLevel="1">
      <c r="A301" s="39" t="s">
        <v>2682</v>
      </c>
      <c r="B301" s="40" t="s">
        <v>5</v>
      </c>
      <c r="C301" s="39">
        <v>5.26</v>
      </c>
      <c r="D301" s="115"/>
    </row>
    <row r="302" spans="1:4" ht="31.5" hidden="1" outlineLevel="1">
      <c r="A302" s="39" t="s">
        <v>2682</v>
      </c>
      <c r="B302" s="40" t="s">
        <v>6</v>
      </c>
      <c r="C302" s="39">
        <v>5.27</v>
      </c>
      <c r="D302" s="115"/>
    </row>
    <row r="303" spans="1:4" ht="31.5" hidden="1" outlineLevel="1">
      <c r="A303" s="39" t="s">
        <v>2682</v>
      </c>
      <c r="B303" s="40" t="s">
        <v>7</v>
      </c>
      <c r="C303" s="39">
        <v>5.28</v>
      </c>
      <c r="D303" s="115"/>
    </row>
    <row r="304" spans="1:4" ht="31.5" hidden="1" outlineLevel="1">
      <c r="A304" s="39" t="s">
        <v>2682</v>
      </c>
      <c r="B304" s="40" t="s">
        <v>1514</v>
      </c>
      <c r="C304" s="39">
        <v>5.37</v>
      </c>
      <c r="D304" s="115"/>
    </row>
    <row r="305" spans="1:4" ht="31.5" hidden="1" outlineLevel="1">
      <c r="A305" s="39" t="s">
        <v>2682</v>
      </c>
      <c r="B305" s="40" t="s">
        <v>9</v>
      </c>
      <c r="C305" s="39">
        <v>5.49</v>
      </c>
      <c r="D305" s="115"/>
    </row>
    <row r="306" spans="1:4" ht="31.5" hidden="1" outlineLevel="1">
      <c r="A306" s="39" t="s">
        <v>2682</v>
      </c>
      <c r="B306" s="40" t="s">
        <v>10</v>
      </c>
      <c r="C306" s="39">
        <v>5.51</v>
      </c>
      <c r="D306" s="115"/>
    </row>
    <row r="307" spans="1:4" ht="31.5" hidden="1" outlineLevel="1">
      <c r="A307" s="39" t="s">
        <v>2682</v>
      </c>
      <c r="B307" s="40" t="s">
        <v>11</v>
      </c>
      <c r="C307" s="39">
        <v>5.53</v>
      </c>
      <c r="D307" s="115"/>
    </row>
    <row r="308" spans="1:4" ht="31.5" hidden="1" outlineLevel="1">
      <c r="A308" s="39" t="s">
        <v>2682</v>
      </c>
      <c r="B308" s="40" t="s">
        <v>12</v>
      </c>
      <c r="C308" s="39">
        <v>5.69</v>
      </c>
      <c r="D308" s="115"/>
    </row>
    <row r="309" spans="1:4" ht="31.5" hidden="1" outlineLevel="1">
      <c r="A309" s="39" t="s">
        <v>2682</v>
      </c>
      <c r="B309" s="40" t="s">
        <v>13</v>
      </c>
      <c r="C309" s="39">
        <v>5.75</v>
      </c>
      <c r="D309" s="115"/>
    </row>
    <row r="310" spans="1:4" ht="31.5" hidden="1" outlineLevel="1">
      <c r="A310" s="39" t="s">
        <v>2682</v>
      </c>
      <c r="B310" s="40" t="s">
        <v>14</v>
      </c>
      <c r="C310" s="41">
        <v>5.7</v>
      </c>
      <c r="D310" s="115"/>
    </row>
    <row r="311" spans="1:4" ht="31.5" hidden="1" outlineLevel="1">
      <c r="A311" s="39" t="s">
        <v>2682</v>
      </c>
      <c r="B311" s="40" t="s">
        <v>15</v>
      </c>
      <c r="C311" s="39">
        <v>5.74</v>
      </c>
      <c r="D311" s="115"/>
    </row>
    <row r="312" spans="1:4" ht="31.5" hidden="1" outlineLevel="1">
      <c r="A312" s="39" t="s">
        <v>2682</v>
      </c>
      <c r="B312" s="40" t="s">
        <v>17</v>
      </c>
      <c r="C312" s="39">
        <v>5.58</v>
      </c>
      <c r="D312" s="115"/>
    </row>
    <row r="313" spans="1:4" ht="31.5" hidden="1" outlineLevel="1">
      <c r="A313" s="39" t="s">
        <v>2682</v>
      </c>
      <c r="B313" s="40" t="s">
        <v>18</v>
      </c>
      <c r="C313" s="39">
        <v>5.54</v>
      </c>
      <c r="D313" s="115"/>
    </row>
    <row r="314" spans="1:4" ht="31.5" hidden="1" outlineLevel="1">
      <c r="A314" s="39" t="s">
        <v>2682</v>
      </c>
      <c r="B314" s="40" t="s">
        <v>19</v>
      </c>
      <c r="C314" s="39">
        <v>5.55</v>
      </c>
      <c r="D314" s="115"/>
    </row>
    <row r="315" spans="1:4" ht="31.5" hidden="1" outlineLevel="1">
      <c r="A315" s="39" t="s">
        <v>2682</v>
      </c>
      <c r="B315" s="40" t="s">
        <v>20</v>
      </c>
      <c r="C315" s="39">
        <v>5.63</v>
      </c>
      <c r="D315" s="115"/>
    </row>
    <row r="316" spans="1:4" ht="31.5" hidden="1" outlineLevel="1">
      <c r="A316" s="39" t="s">
        <v>2682</v>
      </c>
      <c r="B316" s="40" t="s">
        <v>21</v>
      </c>
      <c r="C316" s="39">
        <v>5.65</v>
      </c>
      <c r="D316" s="115"/>
    </row>
    <row r="317" spans="1:4" ht="31.5" hidden="1" outlineLevel="1">
      <c r="A317" s="39" t="s">
        <v>2682</v>
      </c>
      <c r="B317" s="40" t="s">
        <v>22</v>
      </c>
      <c r="C317" s="39">
        <v>5.68</v>
      </c>
      <c r="D317" s="115"/>
    </row>
    <row r="318" spans="1:4" ht="31.5" hidden="1" outlineLevel="1">
      <c r="A318" s="39" t="s">
        <v>2682</v>
      </c>
      <c r="B318" s="40" t="s">
        <v>24</v>
      </c>
      <c r="C318" s="39">
        <v>5.47</v>
      </c>
      <c r="D318" s="115"/>
    </row>
    <row r="319" spans="1:4" ht="31.5" hidden="1" outlineLevel="1">
      <c r="A319" s="39" t="s">
        <v>2682</v>
      </c>
      <c r="B319" s="40" t="s">
        <v>25</v>
      </c>
      <c r="C319" s="39">
        <v>5.48</v>
      </c>
      <c r="D319" s="115"/>
    </row>
    <row r="320" spans="1:4" ht="31.5">
      <c r="A320" s="45" t="s">
        <v>2682</v>
      </c>
      <c r="B320" s="40"/>
      <c r="C320" s="39"/>
      <c r="D320" s="115"/>
    </row>
    <row r="321" spans="1:4" ht="31.5" hidden="1" outlineLevel="1">
      <c r="A321" s="39" t="s">
        <v>2683</v>
      </c>
      <c r="B321" s="40" t="s">
        <v>0</v>
      </c>
      <c r="C321" s="39">
        <v>5.0999999999999996</v>
      </c>
      <c r="D321" s="115"/>
    </row>
    <row r="322" spans="1:4" ht="31.5" hidden="1" outlineLevel="1">
      <c r="A322" s="39" t="s">
        <v>2683</v>
      </c>
      <c r="B322" s="40" t="s">
        <v>1</v>
      </c>
      <c r="C322" s="39">
        <v>5.2</v>
      </c>
      <c r="D322" s="115"/>
    </row>
    <row r="323" spans="1:4" ht="31.5" hidden="1" outlineLevel="1">
      <c r="A323" s="39" t="s">
        <v>2683</v>
      </c>
      <c r="B323" s="40" t="s">
        <v>5</v>
      </c>
      <c r="C323" s="39">
        <v>5.26</v>
      </c>
      <c r="D323" s="115"/>
    </row>
    <row r="324" spans="1:4" ht="31.5" hidden="1" outlineLevel="1">
      <c r="A324" s="39" t="s">
        <v>2683</v>
      </c>
      <c r="B324" s="40" t="s">
        <v>1466</v>
      </c>
      <c r="C324" s="39">
        <v>5.14</v>
      </c>
      <c r="D324" s="115"/>
    </row>
    <row r="325" spans="1:4" ht="31.5" hidden="1" outlineLevel="1">
      <c r="A325" s="39" t="s">
        <v>2683</v>
      </c>
      <c r="B325" s="40" t="s">
        <v>4</v>
      </c>
      <c r="C325" s="39">
        <v>5.19</v>
      </c>
      <c r="D325" s="115"/>
    </row>
    <row r="326" spans="1:4" ht="31.5" hidden="1" outlineLevel="1">
      <c r="A326" s="39" t="s">
        <v>2683</v>
      </c>
      <c r="B326" s="40" t="s">
        <v>1514</v>
      </c>
      <c r="C326" s="39">
        <v>5.37</v>
      </c>
      <c r="D326" s="115"/>
    </row>
    <row r="327" spans="1:4" ht="31.5" hidden="1" outlineLevel="1">
      <c r="A327" s="39" t="s">
        <v>2683</v>
      </c>
      <c r="B327" s="40" t="s">
        <v>12</v>
      </c>
      <c r="C327" s="39">
        <v>5.69</v>
      </c>
      <c r="D327" s="115"/>
    </row>
    <row r="328" spans="1:4" ht="31.5" hidden="1" outlineLevel="1">
      <c r="A328" s="39" t="s">
        <v>2683</v>
      </c>
      <c r="B328" s="40" t="s">
        <v>1515</v>
      </c>
      <c r="C328" s="41">
        <v>5.8</v>
      </c>
      <c r="D328" s="115"/>
    </row>
    <row r="329" spans="1:4" ht="31.5" hidden="1" outlineLevel="1">
      <c r="A329" s="39" t="s">
        <v>2683</v>
      </c>
      <c r="B329" s="40" t="s">
        <v>13</v>
      </c>
      <c r="C329" s="39">
        <v>5.75</v>
      </c>
      <c r="D329" s="115"/>
    </row>
    <row r="330" spans="1:4" ht="31.5" hidden="1" outlineLevel="1">
      <c r="A330" s="39" t="s">
        <v>2683</v>
      </c>
      <c r="B330" s="40" t="s">
        <v>14</v>
      </c>
      <c r="C330" s="41">
        <v>5.7</v>
      </c>
      <c r="D330" s="115"/>
    </row>
    <row r="331" spans="1:4" ht="31.5" hidden="1" outlineLevel="1">
      <c r="A331" s="39" t="s">
        <v>2683</v>
      </c>
      <c r="B331" s="40" t="s">
        <v>15</v>
      </c>
      <c r="C331" s="39">
        <v>5.74</v>
      </c>
      <c r="D331" s="115"/>
    </row>
    <row r="332" spans="1:4" ht="31.5" hidden="1" outlineLevel="1">
      <c r="A332" s="39" t="s">
        <v>2683</v>
      </c>
      <c r="B332" s="40" t="s">
        <v>17</v>
      </c>
      <c r="C332" s="39">
        <v>5.58</v>
      </c>
      <c r="D332" s="115"/>
    </row>
    <row r="333" spans="1:4" ht="31.5" hidden="1" outlineLevel="1">
      <c r="A333" s="39" t="s">
        <v>2683</v>
      </c>
      <c r="B333" s="40" t="s">
        <v>19</v>
      </c>
      <c r="C333" s="39">
        <v>5.55</v>
      </c>
      <c r="D333" s="115"/>
    </row>
    <row r="334" spans="1:4" ht="31.5" hidden="1" outlineLevel="1">
      <c r="A334" s="39" t="s">
        <v>2683</v>
      </c>
      <c r="B334" s="40" t="s">
        <v>20</v>
      </c>
      <c r="C334" s="39">
        <v>5.63</v>
      </c>
      <c r="D334" s="115"/>
    </row>
    <row r="335" spans="1:4" ht="31.5" hidden="1" outlineLevel="1">
      <c r="A335" s="39" t="s">
        <v>2683</v>
      </c>
      <c r="B335" s="40" t="s">
        <v>21</v>
      </c>
      <c r="C335" s="39">
        <v>5.65</v>
      </c>
      <c r="D335" s="115"/>
    </row>
    <row r="336" spans="1:4" ht="31.5" hidden="1" outlineLevel="1">
      <c r="A336" s="39" t="s">
        <v>2683</v>
      </c>
      <c r="B336" s="40" t="s">
        <v>22</v>
      </c>
      <c r="C336" s="39">
        <v>5.68</v>
      </c>
      <c r="D336" s="115"/>
    </row>
    <row r="337" spans="1:4" ht="31.5" hidden="1" outlineLevel="1">
      <c r="A337" s="39" t="s">
        <v>2683</v>
      </c>
      <c r="B337" s="40" t="s">
        <v>24</v>
      </c>
      <c r="C337" s="39">
        <v>5.47</v>
      </c>
      <c r="D337" s="115"/>
    </row>
    <row r="338" spans="1:4" ht="31.5" hidden="1" outlineLevel="1">
      <c r="A338" s="39" t="s">
        <v>2683</v>
      </c>
      <c r="B338" s="40" t="s">
        <v>25</v>
      </c>
      <c r="C338" s="39">
        <v>5.48</v>
      </c>
      <c r="D338" s="115"/>
    </row>
    <row r="339" spans="1:4" ht="31.5">
      <c r="A339" s="45" t="s">
        <v>2683</v>
      </c>
      <c r="B339" s="40"/>
      <c r="C339" s="39"/>
      <c r="D339" s="115"/>
    </row>
    <row r="340" spans="1:4" ht="31.5" hidden="1" outlineLevel="1">
      <c r="A340" s="39" t="s">
        <v>2689</v>
      </c>
      <c r="B340" s="40" t="s">
        <v>1516</v>
      </c>
      <c r="C340" s="39">
        <v>5.0999999999999996</v>
      </c>
      <c r="D340" s="115"/>
    </row>
    <row r="341" spans="1:4" ht="31.5" hidden="1" outlineLevel="1">
      <c r="A341" s="39" t="s">
        <v>2689</v>
      </c>
      <c r="B341" s="40" t="s">
        <v>1</v>
      </c>
      <c r="C341" s="39">
        <v>5.2</v>
      </c>
      <c r="D341" s="115"/>
    </row>
    <row r="342" spans="1:4" ht="31.5" hidden="1" outlineLevel="1">
      <c r="A342" s="39" t="s">
        <v>2689</v>
      </c>
      <c r="B342" s="40" t="s">
        <v>5</v>
      </c>
      <c r="C342" s="39">
        <v>5.26</v>
      </c>
      <c r="D342" s="115"/>
    </row>
    <row r="343" spans="1:4" ht="31.5" hidden="1" outlineLevel="1">
      <c r="A343" s="39" t="s">
        <v>2689</v>
      </c>
      <c r="B343" s="40" t="s">
        <v>1517</v>
      </c>
      <c r="C343" s="39">
        <v>5.38</v>
      </c>
      <c r="D343" s="115"/>
    </row>
    <row r="344" spans="1:4" ht="31.5" hidden="1" outlineLevel="1">
      <c r="A344" s="39" t="s">
        <v>2689</v>
      </c>
      <c r="B344" s="40" t="s">
        <v>1518</v>
      </c>
      <c r="C344" s="39">
        <v>5.39</v>
      </c>
      <c r="D344" s="115"/>
    </row>
    <row r="345" spans="1:4" ht="31.5" hidden="1" outlineLevel="1">
      <c r="A345" s="39" t="s">
        <v>2689</v>
      </c>
      <c r="B345" s="40" t="s">
        <v>1519</v>
      </c>
      <c r="C345" s="41">
        <v>5.6</v>
      </c>
      <c r="D345" s="115"/>
    </row>
    <row r="346" spans="1:4" ht="31.5" hidden="1" outlineLevel="1">
      <c r="A346" s="39" t="s">
        <v>2689</v>
      </c>
      <c r="B346" s="40" t="s">
        <v>25</v>
      </c>
      <c r="C346" s="39">
        <v>5.48</v>
      </c>
      <c r="D346" s="115"/>
    </row>
    <row r="347" spans="1:4" ht="31.5">
      <c r="A347" s="45" t="s">
        <v>2689</v>
      </c>
      <c r="B347" s="40"/>
      <c r="C347" s="39"/>
      <c r="D347" s="115"/>
    </row>
    <row r="348" spans="1:4" ht="31.5" hidden="1" outlineLevel="1">
      <c r="A348" s="39" t="s">
        <v>2693</v>
      </c>
      <c r="B348" s="40" t="s">
        <v>0</v>
      </c>
      <c r="C348" s="39">
        <v>5.0999999999999996</v>
      </c>
      <c r="D348" s="115"/>
    </row>
    <row r="349" spans="1:4" ht="31.5" hidden="1" outlineLevel="1">
      <c r="A349" s="39" t="s">
        <v>2693</v>
      </c>
      <c r="B349" s="40" t="s">
        <v>1</v>
      </c>
      <c r="C349" s="39">
        <v>5.2</v>
      </c>
      <c r="D349" s="115"/>
    </row>
    <row r="350" spans="1:4" ht="31.5" hidden="1" outlineLevel="1">
      <c r="A350" s="39" t="s">
        <v>2693</v>
      </c>
      <c r="B350" s="40" t="s">
        <v>2</v>
      </c>
      <c r="C350" s="39">
        <v>5.3</v>
      </c>
      <c r="D350" s="115"/>
    </row>
    <row r="351" spans="1:4" ht="31.5" hidden="1" outlineLevel="1">
      <c r="A351" s="39" t="s">
        <v>2693</v>
      </c>
      <c r="B351" s="40" t="s">
        <v>105</v>
      </c>
      <c r="C351" s="39">
        <v>5.6</v>
      </c>
      <c r="D351" s="115"/>
    </row>
    <row r="352" spans="1:4" ht="31.5" hidden="1" outlineLevel="1">
      <c r="A352" s="39" t="s">
        <v>2693</v>
      </c>
      <c r="B352" s="40" t="s">
        <v>2919</v>
      </c>
      <c r="C352" s="41">
        <v>5.0999999999999996</v>
      </c>
      <c r="D352" s="115"/>
    </row>
    <row r="353" spans="1:4" ht="31.5" hidden="1" outlineLevel="1">
      <c r="A353" s="39" t="s">
        <v>2693</v>
      </c>
      <c r="B353" s="40" t="s">
        <v>1466</v>
      </c>
      <c r="C353" s="39">
        <v>5.14</v>
      </c>
      <c r="D353" s="115"/>
    </row>
    <row r="354" spans="1:4" ht="31.5" hidden="1" outlineLevel="1">
      <c r="A354" s="39" t="s">
        <v>2693</v>
      </c>
      <c r="B354" s="40" t="s">
        <v>4</v>
      </c>
      <c r="C354" s="39">
        <v>5.19</v>
      </c>
      <c r="D354" s="115"/>
    </row>
    <row r="355" spans="1:4" ht="31.5" hidden="1" outlineLevel="1">
      <c r="A355" s="39" t="s">
        <v>2693</v>
      </c>
      <c r="B355" s="40" t="s">
        <v>107</v>
      </c>
      <c r="C355" s="39">
        <v>5.24</v>
      </c>
      <c r="D355" s="115"/>
    </row>
    <row r="356" spans="1:4" ht="31.5" hidden="1" outlineLevel="1">
      <c r="A356" s="39" t="s">
        <v>2693</v>
      </c>
      <c r="B356" s="40" t="s">
        <v>5</v>
      </c>
      <c r="C356" s="39">
        <v>5.26</v>
      </c>
      <c r="D356" s="115"/>
    </row>
    <row r="357" spans="1:4" ht="31.5" hidden="1" outlineLevel="1">
      <c r="A357" s="39" t="s">
        <v>2693</v>
      </c>
      <c r="B357" s="40" t="s">
        <v>6</v>
      </c>
      <c r="C357" s="39">
        <v>5.27</v>
      </c>
      <c r="D357" s="115"/>
    </row>
    <row r="358" spans="1:4" ht="31.5" hidden="1" outlineLevel="1">
      <c r="A358" s="39" t="s">
        <v>2693</v>
      </c>
      <c r="B358" s="40" t="s">
        <v>7</v>
      </c>
      <c r="C358" s="39">
        <v>5.28</v>
      </c>
      <c r="D358" s="115"/>
    </row>
    <row r="359" spans="1:4" ht="31.5" hidden="1" outlineLevel="1">
      <c r="A359" s="39" t="s">
        <v>2693</v>
      </c>
      <c r="B359" s="40" t="s">
        <v>108</v>
      </c>
      <c r="C359" s="39">
        <v>5.31</v>
      </c>
      <c r="D359" s="115"/>
    </row>
    <row r="360" spans="1:4" ht="31.5" hidden="1" outlineLevel="1">
      <c r="A360" s="39" t="s">
        <v>2693</v>
      </c>
      <c r="B360" s="40" t="s">
        <v>109</v>
      </c>
      <c r="C360" s="39">
        <v>5.36</v>
      </c>
      <c r="D360" s="115"/>
    </row>
    <row r="361" spans="1:4" ht="31.5" hidden="1" outlineLevel="1">
      <c r="A361" s="39" t="s">
        <v>2693</v>
      </c>
      <c r="B361" s="40" t="s">
        <v>1514</v>
      </c>
      <c r="C361" s="39">
        <v>5.37</v>
      </c>
      <c r="D361" s="115"/>
    </row>
    <row r="362" spans="1:4" ht="31.5" hidden="1" outlineLevel="1">
      <c r="A362" s="39" t="s">
        <v>2693</v>
      </c>
      <c r="B362" s="40" t="s">
        <v>9</v>
      </c>
      <c r="C362" s="39">
        <v>5.49</v>
      </c>
      <c r="D362" s="115"/>
    </row>
    <row r="363" spans="1:4" ht="31.5" hidden="1" outlineLevel="1">
      <c r="A363" s="39" t="s">
        <v>2693</v>
      </c>
      <c r="B363" s="40" t="s">
        <v>10</v>
      </c>
      <c r="C363" s="39">
        <v>5.51</v>
      </c>
      <c r="D363" s="115"/>
    </row>
    <row r="364" spans="1:4" ht="31.5" hidden="1" outlineLevel="1">
      <c r="A364" s="39" t="s">
        <v>2693</v>
      </c>
      <c r="B364" s="40" t="s">
        <v>2920</v>
      </c>
      <c r="C364" s="39">
        <v>5.52</v>
      </c>
      <c r="D364" s="115"/>
    </row>
    <row r="365" spans="1:4" ht="31.5" hidden="1" outlineLevel="1">
      <c r="A365" s="39" t="s">
        <v>2693</v>
      </c>
      <c r="B365" s="40" t="s">
        <v>11</v>
      </c>
      <c r="C365" s="39">
        <v>5.53</v>
      </c>
      <c r="D365" s="115"/>
    </row>
    <row r="366" spans="1:4" ht="31.5" hidden="1" outlineLevel="1">
      <c r="A366" s="39" t="s">
        <v>2693</v>
      </c>
      <c r="B366" s="40" t="s">
        <v>12</v>
      </c>
      <c r="C366" s="39">
        <v>5.69</v>
      </c>
      <c r="D366" s="115"/>
    </row>
    <row r="367" spans="1:4" ht="31.5" hidden="1" outlineLevel="1">
      <c r="A367" s="39" t="s">
        <v>2693</v>
      </c>
      <c r="B367" s="40" t="s">
        <v>1515</v>
      </c>
      <c r="C367" s="41">
        <v>5.8</v>
      </c>
      <c r="D367" s="115"/>
    </row>
    <row r="368" spans="1:4" ht="31.5" hidden="1" outlineLevel="1">
      <c r="A368" s="39" t="s">
        <v>2693</v>
      </c>
      <c r="B368" s="40" t="s">
        <v>111</v>
      </c>
      <c r="C368" s="41">
        <v>5.72</v>
      </c>
      <c r="D368" s="115"/>
    </row>
    <row r="369" spans="1:4" ht="31.5" hidden="1" outlineLevel="1">
      <c r="A369" s="39" t="s">
        <v>2693</v>
      </c>
      <c r="B369" s="40" t="s">
        <v>13</v>
      </c>
      <c r="C369" s="39">
        <v>5.75</v>
      </c>
      <c r="D369" s="115"/>
    </row>
    <row r="370" spans="1:4" ht="31.5" hidden="1" outlineLevel="1">
      <c r="A370" s="39" t="s">
        <v>2693</v>
      </c>
      <c r="B370" s="40" t="s">
        <v>14</v>
      </c>
      <c r="C370" s="41">
        <v>5.7</v>
      </c>
      <c r="D370" s="115"/>
    </row>
    <row r="371" spans="1:4" ht="31.5" hidden="1" outlineLevel="1">
      <c r="A371" s="39" t="s">
        <v>2693</v>
      </c>
      <c r="B371" s="40" t="s">
        <v>15</v>
      </c>
      <c r="C371" s="39">
        <v>5.74</v>
      </c>
      <c r="D371" s="115"/>
    </row>
    <row r="372" spans="1:4" ht="31.5" hidden="1" outlineLevel="1">
      <c r="A372" s="39" t="s">
        <v>2693</v>
      </c>
      <c r="B372" s="40" t="s">
        <v>112</v>
      </c>
      <c r="C372" s="39">
        <v>5.76</v>
      </c>
      <c r="D372" s="115"/>
    </row>
    <row r="373" spans="1:4" ht="31.5" hidden="1" outlineLevel="1">
      <c r="A373" s="39" t="s">
        <v>2693</v>
      </c>
      <c r="B373" s="40" t="s">
        <v>113</v>
      </c>
      <c r="C373" s="39">
        <v>5.89</v>
      </c>
      <c r="D373" s="114" t="s">
        <v>2918</v>
      </c>
    </row>
    <row r="374" spans="1:4" ht="31.5" hidden="1" outlineLevel="1">
      <c r="A374" s="39" t="s">
        <v>2693</v>
      </c>
      <c r="B374" s="40" t="s">
        <v>1520</v>
      </c>
      <c r="C374" s="39">
        <v>5.109</v>
      </c>
      <c r="D374" s="114"/>
    </row>
    <row r="375" spans="1:4" ht="31.5" hidden="1" outlineLevel="1">
      <c r="A375" s="39" t="s">
        <v>2693</v>
      </c>
      <c r="B375" s="40" t="s">
        <v>1521</v>
      </c>
      <c r="C375" s="39">
        <v>5.1109999999999998</v>
      </c>
      <c r="D375" s="115"/>
    </row>
    <row r="376" spans="1:4" ht="31.5" hidden="1" outlineLevel="1">
      <c r="A376" s="39" t="s">
        <v>2693</v>
      </c>
      <c r="B376" s="40" t="s">
        <v>1523</v>
      </c>
      <c r="C376" s="39">
        <v>5.1120000000000001</v>
      </c>
      <c r="D376" s="115"/>
    </row>
    <row r="377" spans="1:4" ht="31.5" hidden="1" outlineLevel="1">
      <c r="A377" s="39" t="s">
        <v>2693</v>
      </c>
      <c r="B377" s="43" t="s">
        <v>2924</v>
      </c>
      <c r="C377" s="39">
        <v>5.1130000000000004</v>
      </c>
      <c r="D377" s="115"/>
    </row>
    <row r="378" spans="1:4" ht="31.5" hidden="1" outlineLevel="1">
      <c r="A378" s="39" t="s">
        <v>2693</v>
      </c>
      <c r="B378" s="40" t="s">
        <v>17</v>
      </c>
      <c r="C378" s="39">
        <v>5.58</v>
      </c>
      <c r="D378" s="115"/>
    </row>
    <row r="379" spans="1:4" ht="31.5" hidden="1" outlineLevel="1">
      <c r="A379" s="39" t="s">
        <v>2693</v>
      </c>
      <c r="B379" s="40" t="s">
        <v>18</v>
      </c>
      <c r="C379" s="39">
        <v>5.54</v>
      </c>
      <c r="D379" s="115"/>
    </row>
    <row r="380" spans="1:4" ht="31.5" hidden="1" outlineLevel="1">
      <c r="A380" s="39" t="s">
        <v>2693</v>
      </c>
      <c r="B380" s="40" t="s">
        <v>19</v>
      </c>
      <c r="C380" s="39">
        <v>5.55</v>
      </c>
      <c r="D380" s="115"/>
    </row>
    <row r="381" spans="1:4" ht="31.5" hidden="1" outlineLevel="1">
      <c r="A381" s="39" t="s">
        <v>2693</v>
      </c>
      <c r="B381" s="40" t="s">
        <v>20</v>
      </c>
      <c r="C381" s="39">
        <v>5.63</v>
      </c>
      <c r="D381" s="115"/>
    </row>
    <row r="382" spans="1:4" ht="31.5" hidden="1" outlineLevel="1">
      <c r="A382" s="39" t="s">
        <v>2693</v>
      </c>
      <c r="B382" s="40" t="s">
        <v>21</v>
      </c>
      <c r="C382" s="39">
        <v>5.65</v>
      </c>
      <c r="D382" s="115"/>
    </row>
    <row r="383" spans="1:4" ht="31.5" hidden="1" outlineLevel="1">
      <c r="A383" s="39" t="s">
        <v>2693</v>
      </c>
      <c r="B383" s="40" t="s">
        <v>114</v>
      </c>
      <c r="C383" s="39">
        <v>5.66</v>
      </c>
      <c r="D383" s="115"/>
    </row>
    <row r="384" spans="1:4" ht="31.5" hidden="1" outlineLevel="1">
      <c r="A384" s="39" t="s">
        <v>2693</v>
      </c>
      <c r="B384" s="40" t="s">
        <v>22</v>
      </c>
      <c r="C384" s="39">
        <v>5.68</v>
      </c>
      <c r="D384" s="115"/>
    </row>
    <row r="385" spans="1:4" ht="31.5" hidden="1" outlineLevel="1">
      <c r="A385" s="39" t="s">
        <v>2693</v>
      </c>
      <c r="B385" s="40" t="s">
        <v>24</v>
      </c>
      <c r="C385" s="39">
        <v>5.47</v>
      </c>
      <c r="D385" s="115"/>
    </row>
    <row r="386" spans="1:4" ht="31.5" hidden="1" outlineLevel="1">
      <c r="A386" s="39" t="s">
        <v>2693</v>
      </c>
      <c r="B386" s="40" t="s">
        <v>25</v>
      </c>
      <c r="C386" s="39">
        <v>5.48</v>
      </c>
      <c r="D386" s="115"/>
    </row>
    <row r="387" spans="1:4" ht="31.5">
      <c r="A387" s="45" t="s">
        <v>2693</v>
      </c>
      <c r="B387" s="40"/>
      <c r="C387" s="39"/>
      <c r="D387" s="115"/>
    </row>
    <row r="388" spans="1:4" ht="15.75" hidden="1" outlineLevel="1">
      <c r="A388" s="39" t="s">
        <v>2695</v>
      </c>
      <c r="B388" s="40" t="s">
        <v>0</v>
      </c>
      <c r="C388" s="39">
        <v>5.0999999999999996</v>
      </c>
      <c r="D388" s="115"/>
    </row>
    <row r="389" spans="1:4" ht="15.75" hidden="1" outlineLevel="1">
      <c r="A389" s="39" t="s">
        <v>2695</v>
      </c>
      <c r="B389" s="40" t="s">
        <v>1</v>
      </c>
      <c r="C389" s="39">
        <v>5.2</v>
      </c>
      <c r="D389" s="115"/>
    </row>
    <row r="390" spans="1:4" ht="15.75" hidden="1" outlineLevel="1">
      <c r="A390" s="39" t="s">
        <v>2695</v>
      </c>
      <c r="B390" s="40" t="s">
        <v>2</v>
      </c>
      <c r="C390" s="39">
        <v>5.3</v>
      </c>
      <c r="D390" s="115"/>
    </row>
    <row r="391" spans="1:4" ht="15.75" hidden="1" outlineLevel="1">
      <c r="A391" s="39" t="s">
        <v>2695</v>
      </c>
      <c r="B391" s="40" t="s">
        <v>105</v>
      </c>
      <c r="C391" s="39">
        <v>5.6</v>
      </c>
      <c r="D391" s="115"/>
    </row>
    <row r="392" spans="1:4" ht="15.75" hidden="1" outlineLevel="1">
      <c r="A392" s="39" t="s">
        <v>2695</v>
      </c>
      <c r="B392" s="40" t="s">
        <v>2919</v>
      </c>
      <c r="C392" s="41">
        <v>5.0999999999999996</v>
      </c>
      <c r="D392" s="115"/>
    </row>
    <row r="393" spans="1:4" ht="15.75" hidden="1" outlineLevel="1">
      <c r="A393" s="39" t="s">
        <v>2695</v>
      </c>
      <c r="B393" s="40" t="s">
        <v>1466</v>
      </c>
      <c r="C393" s="39">
        <v>5.14</v>
      </c>
      <c r="D393" s="115"/>
    </row>
    <row r="394" spans="1:4" ht="15.75" hidden="1" outlineLevel="1">
      <c r="A394" s="39" t="s">
        <v>2695</v>
      </c>
      <c r="B394" s="40" t="s">
        <v>4</v>
      </c>
      <c r="C394" s="39">
        <v>5.19</v>
      </c>
      <c r="D394" s="115"/>
    </row>
    <row r="395" spans="1:4" ht="15.75" hidden="1" outlineLevel="1">
      <c r="A395" s="39" t="s">
        <v>2695</v>
      </c>
      <c r="B395" s="40" t="s">
        <v>107</v>
      </c>
      <c r="C395" s="39">
        <v>5.24</v>
      </c>
      <c r="D395" s="115"/>
    </row>
    <row r="396" spans="1:4" ht="15.75" hidden="1" outlineLevel="1">
      <c r="A396" s="39" t="s">
        <v>2695</v>
      </c>
      <c r="B396" s="40" t="s">
        <v>5</v>
      </c>
      <c r="C396" s="39">
        <v>5.26</v>
      </c>
      <c r="D396" s="115"/>
    </row>
    <row r="397" spans="1:4" ht="15.75" hidden="1" outlineLevel="1">
      <c r="A397" s="39" t="s">
        <v>2695</v>
      </c>
      <c r="B397" s="40" t="s">
        <v>6</v>
      </c>
      <c r="C397" s="39">
        <v>5.27</v>
      </c>
      <c r="D397" s="115"/>
    </row>
    <row r="398" spans="1:4" ht="15.75" hidden="1" outlineLevel="1">
      <c r="A398" s="39" t="s">
        <v>2695</v>
      </c>
      <c r="B398" s="40" t="s">
        <v>7</v>
      </c>
      <c r="C398" s="39">
        <v>5.28</v>
      </c>
      <c r="D398" s="115"/>
    </row>
    <row r="399" spans="1:4" ht="15.75" hidden="1" outlineLevel="1">
      <c r="A399" s="39" t="s">
        <v>2695</v>
      </c>
      <c r="B399" s="40" t="s">
        <v>115</v>
      </c>
      <c r="C399" s="39">
        <v>5.29</v>
      </c>
      <c r="D399" s="115"/>
    </row>
    <row r="400" spans="1:4" ht="15.75" hidden="1" outlineLevel="1">
      <c r="A400" s="39" t="s">
        <v>2695</v>
      </c>
      <c r="B400" s="40" t="s">
        <v>108</v>
      </c>
      <c r="C400" s="39">
        <v>5.31</v>
      </c>
      <c r="D400" s="115"/>
    </row>
    <row r="401" spans="1:4" ht="15.75" hidden="1" outlineLevel="1">
      <c r="A401" s="39" t="s">
        <v>2695</v>
      </c>
      <c r="B401" s="40" t="s">
        <v>109</v>
      </c>
      <c r="C401" s="39">
        <v>5.36</v>
      </c>
      <c r="D401" s="115"/>
    </row>
    <row r="402" spans="1:4" ht="15.75" hidden="1" outlineLevel="1">
      <c r="A402" s="39" t="s">
        <v>2695</v>
      </c>
      <c r="B402" s="40" t="s">
        <v>1514</v>
      </c>
      <c r="C402" s="39">
        <v>5.37</v>
      </c>
      <c r="D402" s="115"/>
    </row>
    <row r="403" spans="1:4" ht="15.75" hidden="1" outlineLevel="1">
      <c r="A403" s="39" t="s">
        <v>2695</v>
      </c>
      <c r="B403" s="40" t="s">
        <v>9</v>
      </c>
      <c r="C403" s="39">
        <v>5.49</v>
      </c>
      <c r="D403" s="115"/>
    </row>
    <row r="404" spans="1:4" ht="15.75" hidden="1" outlineLevel="1">
      <c r="A404" s="39" t="s">
        <v>2695</v>
      </c>
      <c r="B404" s="40" t="s">
        <v>10</v>
      </c>
      <c r="C404" s="39">
        <v>5.51</v>
      </c>
      <c r="D404" s="115"/>
    </row>
    <row r="405" spans="1:4" ht="15.75" hidden="1" outlineLevel="1">
      <c r="A405" s="39" t="s">
        <v>2695</v>
      </c>
      <c r="B405" s="40" t="s">
        <v>2920</v>
      </c>
      <c r="C405" s="39">
        <v>5.52</v>
      </c>
      <c r="D405" s="115"/>
    </row>
    <row r="406" spans="1:4" ht="15.75" hidden="1" outlineLevel="1">
      <c r="A406" s="39" t="s">
        <v>2695</v>
      </c>
      <c r="B406" s="40" t="s">
        <v>11</v>
      </c>
      <c r="C406" s="39">
        <v>5.53</v>
      </c>
      <c r="D406" s="115"/>
    </row>
    <row r="407" spans="1:4" ht="15.75" hidden="1" outlineLevel="1">
      <c r="A407" s="39" t="s">
        <v>2695</v>
      </c>
      <c r="B407" s="40" t="s">
        <v>12</v>
      </c>
      <c r="C407" s="39">
        <v>5.69</v>
      </c>
      <c r="D407" s="115"/>
    </row>
    <row r="408" spans="1:4" ht="15.75" hidden="1" outlineLevel="1">
      <c r="A408" s="39" t="s">
        <v>2695</v>
      </c>
      <c r="B408" s="40" t="s">
        <v>13</v>
      </c>
      <c r="C408" s="39">
        <v>5.75</v>
      </c>
      <c r="D408" s="115"/>
    </row>
    <row r="409" spans="1:4" ht="15.75" hidden="1" outlineLevel="1">
      <c r="A409" s="39" t="s">
        <v>2695</v>
      </c>
      <c r="B409" s="40" t="s">
        <v>15</v>
      </c>
      <c r="C409" s="39">
        <v>5.74</v>
      </c>
      <c r="D409" s="115"/>
    </row>
    <row r="410" spans="1:4" ht="15.75" hidden="1" outlineLevel="1">
      <c r="A410" s="39" t="s">
        <v>2695</v>
      </c>
      <c r="B410" s="40" t="s">
        <v>14</v>
      </c>
      <c r="C410" s="41">
        <v>5.7</v>
      </c>
      <c r="D410" s="115"/>
    </row>
    <row r="411" spans="1:4" ht="15.75" hidden="1" outlineLevel="1">
      <c r="A411" s="39" t="s">
        <v>2695</v>
      </c>
      <c r="B411" s="40" t="s">
        <v>112</v>
      </c>
      <c r="C411" s="39">
        <v>5.76</v>
      </c>
      <c r="D411" s="115"/>
    </row>
    <row r="412" spans="1:4" ht="15.75" hidden="1" outlineLevel="1">
      <c r="A412" s="39" t="s">
        <v>2695</v>
      </c>
      <c r="B412" s="40" t="s">
        <v>113</v>
      </c>
      <c r="C412" s="39">
        <v>5.89</v>
      </c>
      <c r="D412" s="114" t="s">
        <v>2918</v>
      </c>
    </row>
    <row r="413" spans="1:4" ht="15.75" hidden="1" outlineLevel="1">
      <c r="A413" s="39" t="s">
        <v>2695</v>
      </c>
      <c r="B413" s="40" t="s">
        <v>1520</v>
      </c>
      <c r="C413" s="39">
        <v>5.109</v>
      </c>
      <c r="D413" s="115"/>
    </row>
    <row r="414" spans="1:4" ht="15.75" hidden="1" outlineLevel="1">
      <c r="A414" s="39" t="s">
        <v>2695</v>
      </c>
      <c r="B414" s="40" t="s">
        <v>1521</v>
      </c>
      <c r="C414" s="39">
        <v>5.1109999999999998</v>
      </c>
      <c r="D414" s="115"/>
    </row>
    <row r="415" spans="1:4" ht="15.75" hidden="1" outlineLevel="1">
      <c r="A415" s="39" t="s">
        <v>2695</v>
      </c>
      <c r="B415" s="40" t="s">
        <v>1523</v>
      </c>
      <c r="C415" s="39">
        <v>5.1120000000000001</v>
      </c>
      <c r="D415" s="115"/>
    </row>
    <row r="416" spans="1:4" ht="15.75" hidden="1" outlineLevel="1">
      <c r="A416" s="39" t="s">
        <v>2695</v>
      </c>
      <c r="B416" s="43" t="s">
        <v>2924</v>
      </c>
      <c r="C416" s="39">
        <v>5.1130000000000004</v>
      </c>
      <c r="D416" s="115"/>
    </row>
    <row r="417" spans="1:4" ht="15.75" hidden="1" outlineLevel="1">
      <c r="A417" s="39" t="s">
        <v>2695</v>
      </c>
      <c r="B417" s="40" t="s">
        <v>17</v>
      </c>
      <c r="C417" s="39">
        <v>5.58</v>
      </c>
      <c r="D417" s="115"/>
    </row>
    <row r="418" spans="1:4" ht="15.75" hidden="1" outlineLevel="1">
      <c r="A418" s="39" t="s">
        <v>2695</v>
      </c>
      <c r="B418" s="40" t="s">
        <v>18</v>
      </c>
      <c r="C418" s="39">
        <v>5.54</v>
      </c>
      <c r="D418" s="115"/>
    </row>
    <row r="419" spans="1:4" ht="15.75" hidden="1" outlineLevel="1">
      <c r="A419" s="39" t="s">
        <v>2695</v>
      </c>
      <c r="B419" s="40" t="s">
        <v>19</v>
      </c>
      <c r="C419" s="39">
        <v>5.55</v>
      </c>
      <c r="D419" s="115"/>
    </row>
    <row r="420" spans="1:4" ht="15.75" hidden="1" outlineLevel="1">
      <c r="A420" s="39" t="s">
        <v>2695</v>
      </c>
      <c r="B420" s="40" t="s">
        <v>20</v>
      </c>
      <c r="C420" s="39">
        <v>5.63</v>
      </c>
      <c r="D420" s="115"/>
    </row>
    <row r="421" spans="1:4" ht="15.75" hidden="1" outlineLevel="1">
      <c r="A421" s="39" t="s">
        <v>2695</v>
      </c>
      <c r="B421" s="40" t="s">
        <v>21</v>
      </c>
      <c r="C421" s="39">
        <v>5.65</v>
      </c>
      <c r="D421" s="115"/>
    </row>
    <row r="422" spans="1:4" ht="15.75" hidden="1" outlineLevel="1">
      <c r="A422" s="39" t="s">
        <v>2695</v>
      </c>
      <c r="B422" s="40" t="s">
        <v>114</v>
      </c>
      <c r="C422" s="39">
        <v>5.66</v>
      </c>
      <c r="D422" s="115"/>
    </row>
    <row r="423" spans="1:4" ht="15.75" hidden="1" outlineLevel="1">
      <c r="A423" s="39" t="s">
        <v>2695</v>
      </c>
      <c r="B423" s="40" t="s">
        <v>22</v>
      </c>
      <c r="C423" s="39">
        <v>5.68</v>
      </c>
      <c r="D423" s="115"/>
    </row>
    <row r="424" spans="1:4" ht="15.75" hidden="1" outlineLevel="1">
      <c r="A424" s="39" t="s">
        <v>2695</v>
      </c>
      <c r="B424" s="40" t="s">
        <v>24</v>
      </c>
      <c r="C424" s="39">
        <v>5.47</v>
      </c>
      <c r="D424" s="115"/>
    </row>
    <row r="425" spans="1:4" ht="15.75" hidden="1" outlineLevel="1">
      <c r="A425" s="39" t="s">
        <v>2695</v>
      </c>
      <c r="B425" s="40" t="s">
        <v>25</v>
      </c>
      <c r="C425" s="39">
        <v>5.48</v>
      </c>
      <c r="D425" s="115"/>
    </row>
    <row r="426" spans="1:4" ht="15.75">
      <c r="A426" s="45" t="s">
        <v>2695</v>
      </c>
      <c r="B426" s="40"/>
      <c r="C426" s="39"/>
      <c r="D426" s="115"/>
    </row>
    <row r="427" spans="1:4" ht="15.75" outlineLevel="1">
      <c r="A427" s="39" t="s">
        <v>2925</v>
      </c>
      <c r="B427" s="40" t="s">
        <v>0</v>
      </c>
      <c r="C427" s="39">
        <v>5.0999999999999996</v>
      </c>
      <c r="D427" s="115"/>
    </row>
    <row r="428" spans="1:4" ht="15.75" outlineLevel="1">
      <c r="A428" s="39" t="s">
        <v>2925</v>
      </c>
      <c r="B428" s="40" t="s">
        <v>1</v>
      </c>
      <c r="C428" s="39">
        <v>5.2</v>
      </c>
      <c r="D428" s="115"/>
    </row>
    <row r="429" spans="1:4" ht="15.75" outlineLevel="1">
      <c r="A429" s="39" t="s">
        <v>2925</v>
      </c>
      <c r="B429" s="40" t="s">
        <v>2</v>
      </c>
      <c r="C429" s="39">
        <v>5.3</v>
      </c>
      <c r="D429" s="115"/>
    </row>
    <row r="430" spans="1:4" ht="15.75" outlineLevel="1">
      <c r="A430" s="39" t="s">
        <v>2925</v>
      </c>
      <c r="B430" s="40" t="s">
        <v>105</v>
      </c>
      <c r="C430" s="39">
        <v>5.6</v>
      </c>
      <c r="D430" s="115"/>
    </row>
    <row r="431" spans="1:4" ht="15.75" outlineLevel="1">
      <c r="A431" s="39" t="s">
        <v>2925</v>
      </c>
      <c r="B431" s="40" t="s">
        <v>2919</v>
      </c>
      <c r="C431" s="41">
        <v>5.0999999999999996</v>
      </c>
      <c r="D431" s="115"/>
    </row>
    <row r="432" spans="1:4" ht="15.75" outlineLevel="1">
      <c r="A432" s="39" t="s">
        <v>2925</v>
      </c>
      <c r="B432" s="40" t="s">
        <v>1466</v>
      </c>
      <c r="C432" s="39">
        <v>5.14</v>
      </c>
      <c r="D432" s="115"/>
    </row>
    <row r="433" spans="1:4" ht="15.75" outlineLevel="1">
      <c r="A433" s="39" t="s">
        <v>2925</v>
      </c>
      <c r="B433" s="40" t="s">
        <v>4</v>
      </c>
      <c r="C433" s="39">
        <v>5.19</v>
      </c>
      <c r="D433" s="115"/>
    </row>
    <row r="434" spans="1:4" ht="15.75" outlineLevel="1">
      <c r="A434" s="39" t="s">
        <v>2925</v>
      </c>
      <c r="B434" s="40" t="s">
        <v>107</v>
      </c>
      <c r="C434" s="39">
        <v>5.24</v>
      </c>
      <c r="D434" s="115"/>
    </row>
    <row r="435" spans="1:4" ht="15.75" outlineLevel="1">
      <c r="A435" s="39" t="s">
        <v>2925</v>
      </c>
      <c r="B435" s="40" t="s">
        <v>5</v>
      </c>
      <c r="C435" s="39">
        <v>5.26</v>
      </c>
      <c r="D435" s="115"/>
    </row>
    <row r="436" spans="1:4" ht="15.75" outlineLevel="1">
      <c r="A436" s="39" t="s">
        <v>2925</v>
      </c>
      <c r="B436" s="40" t="s">
        <v>6</v>
      </c>
      <c r="C436" s="39">
        <v>5.27</v>
      </c>
      <c r="D436" s="115"/>
    </row>
    <row r="437" spans="1:4" ht="15.75" outlineLevel="1">
      <c r="A437" s="39" t="s">
        <v>2925</v>
      </c>
      <c r="B437" s="40" t="s">
        <v>7</v>
      </c>
      <c r="C437" s="39">
        <v>5.28</v>
      </c>
      <c r="D437" s="115"/>
    </row>
    <row r="438" spans="1:4" ht="15.75" outlineLevel="1">
      <c r="A438" s="39" t="s">
        <v>2925</v>
      </c>
      <c r="B438" s="40" t="s">
        <v>115</v>
      </c>
      <c r="C438" s="39">
        <v>5.29</v>
      </c>
      <c r="D438" s="115"/>
    </row>
    <row r="439" spans="1:4" ht="15.75" outlineLevel="1">
      <c r="A439" s="39" t="s">
        <v>2925</v>
      </c>
      <c r="B439" s="40" t="s">
        <v>108</v>
      </c>
      <c r="C439" s="39">
        <v>5.31</v>
      </c>
      <c r="D439" s="115"/>
    </row>
    <row r="440" spans="1:4" ht="15.75" outlineLevel="1">
      <c r="A440" s="39" t="s">
        <v>2925</v>
      </c>
      <c r="B440" s="40" t="s">
        <v>109</v>
      </c>
      <c r="C440" s="39">
        <v>5.36</v>
      </c>
      <c r="D440" s="115"/>
    </row>
    <row r="441" spans="1:4" ht="15.75" outlineLevel="1">
      <c r="A441" s="39" t="s">
        <v>2925</v>
      </c>
      <c r="B441" s="40" t="s">
        <v>1514</v>
      </c>
      <c r="C441" s="39">
        <v>5.37</v>
      </c>
      <c r="D441" s="115"/>
    </row>
    <row r="442" spans="1:4" ht="15.75" outlineLevel="1">
      <c r="A442" s="39" t="s">
        <v>2925</v>
      </c>
      <c r="B442" s="40" t="s">
        <v>11</v>
      </c>
      <c r="C442" s="39">
        <v>5.53</v>
      </c>
      <c r="D442" s="115"/>
    </row>
    <row r="443" spans="1:4" ht="15.75" outlineLevel="1">
      <c r="A443" s="39" t="s">
        <v>2925</v>
      </c>
      <c r="B443" s="40" t="s">
        <v>1520</v>
      </c>
      <c r="C443" s="39">
        <v>5.109</v>
      </c>
      <c r="D443" s="115"/>
    </row>
    <row r="444" spans="1:4" ht="15.75" outlineLevel="1">
      <c r="A444" s="39" t="s">
        <v>2925</v>
      </c>
      <c r="B444" s="40" t="s">
        <v>1521</v>
      </c>
      <c r="C444" s="39">
        <v>5.1109999999999998</v>
      </c>
      <c r="D444" s="115"/>
    </row>
    <row r="445" spans="1:4" ht="15.75" outlineLevel="1">
      <c r="A445" s="39" t="s">
        <v>2925</v>
      </c>
      <c r="B445" s="40" t="s">
        <v>1523</v>
      </c>
      <c r="C445" s="39">
        <v>5.1120000000000001</v>
      </c>
      <c r="D445" s="115"/>
    </row>
    <row r="446" spans="1:4" ht="15.75" outlineLevel="1">
      <c r="A446" s="39" t="s">
        <v>2925</v>
      </c>
      <c r="B446" s="43" t="s">
        <v>2924</v>
      </c>
      <c r="C446" s="39">
        <v>5.1130000000000004</v>
      </c>
      <c r="D446" s="115"/>
    </row>
    <row r="447" spans="1:4" ht="15.75" outlineLevel="1">
      <c r="A447" s="39" t="s">
        <v>2925</v>
      </c>
      <c r="B447" s="40" t="s">
        <v>17</v>
      </c>
      <c r="C447" s="39">
        <v>5.58</v>
      </c>
      <c r="D447" s="115"/>
    </row>
    <row r="448" spans="1:4" ht="15.75" outlineLevel="1">
      <c r="A448" s="39" t="s">
        <v>2925</v>
      </c>
      <c r="B448" s="40" t="s">
        <v>18</v>
      </c>
      <c r="C448" s="39">
        <v>5.54</v>
      </c>
      <c r="D448" s="115"/>
    </row>
    <row r="449" spans="1:4" ht="15.75" outlineLevel="1">
      <c r="A449" s="39" t="s">
        <v>2925</v>
      </c>
      <c r="B449" s="40" t="s">
        <v>19</v>
      </c>
      <c r="C449" s="39">
        <v>5.55</v>
      </c>
      <c r="D449" s="115"/>
    </row>
    <row r="450" spans="1:4" ht="15.75" outlineLevel="1">
      <c r="A450" s="39" t="s">
        <v>2925</v>
      </c>
      <c r="B450" s="40" t="s">
        <v>20</v>
      </c>
      <c r="C450" s="39">
        <v>5.63</v>
      </c>
      <c r="D450" s="115"/>
    </row>
    <row r="451" spans="1:4" ht="15.75" outlineLevel="1">
      <c r="A451" s="39" t="s">
        <v>2925</v>
      </c>
      <c r="B451" s="40" t="s">
        <v>24</v>
      </c>
      <c r="C451" s="39">
        <v>5.47</v>
      </c>
      <c r="D451" s="115"/>
    </row>
    <row r="452" spans="1:4" ht="15.75" outlineLevel="1">
      <c r="A452" s="39" t="s">
        <v>2925</v>
      </c>
      <c r="B452" s="40" t="s">
        <v>25</v>
      </c>
      <c r="C452" s="39">
        <v>5.48</v>
      </c>
      <c r="D452" s="115"/>
    </row>
    <row r="453" spans="1:4" ht="31.5">
      <c r="A453" s="45" t="s">
        <v>2925</v>
      </c>
      <c r="B453" s="40"/>
      <c r="C453" s="39"/>
      <c r="D453" s="115"/>
    </row>
    <row r="454" spans="1:4" ht="15.75" outlineLevel="1">
      <c r="A454" s="39" t="s">
        <v>2488</v>
      </c>
      <c r="B454" s="40" t="s">
        <v>0</v>
      </c>
      <c r="C454" s="39">
        <v>5.0999999999999996</v>
      </c>
      <c r="D454" s="115"/>
    </row>
    <row r="455" spans="1:4" ht="15.75" outlineLevel="1">
      <c r="A455" s="39" t="s">
        <v>2488</v>
      </c>
      <c r="B455" s="40" t="s">
        <v>1</v>
      </c>
      <c r="C455" s="39">
        <v>5.2</v>
      </c>
      <c r="D455" s="115"/>
    </row>
    <row r="456" spans="1:4" ht="15.75" outlineLevel="1">
      <c r="A456" s="39" t="s">
        <v>2488</v>
      </c>
      <c r="B456" s="40" t="s">
        <v>1650</v>
      </c>
      <c r="C456" s="39">
        <v>5.5</v>
      </c>
      <c r="D456" s="115"/>
    </row>
    <row r="457" spans="1:4" ht="15.75" outlineLevel="1">
      <c r="A457" s="39" t="s">
        <v>2488</v>
      </c>
      <c r="B457" s="40" t="s">
        <v>1651</v>
      </c>
      <c r="C457" s="39">
        <v>5.8</v>
      </c>
      <c r="D457" s="114" t="s">
        <v>2918</v>
      </c>
    </row>
    <row r="458" spans="1:4" ht="15.75" outlineLevel="1">
      <c r="A458" s="39" t="s">
        <v>2488</v>
      </c>
      <c r="B458" s="40" t="s">
        <v>1652</v>
      </c>
      <c r="C458" s="39">
        <v>5.12</v>
      </c>
      <c r="D458" s="114" t="s">
        <v>2918</v>
      </c>
    </row>
    <row r="459" spans="1:4" ht="15.75" outlineLevel="1">
      <c r="A459" s="39" t="s">
        <v>2488</v>
      </c>
      <c r="B459" s="40" t="s">
        <v>1653</v>
      </c>
      <c r="C459" s="39">
        <v>5.15</v>
      </c>
      <c r="D459" s="115"/>
    </row>
    <row r="460" spans="1:4" ht="15.75" outlineLevel="1">
      <c r="A460" s="39" t="s">
        <v>2488</v>
      </c>
      <c r="B460" s="40" t="s">
        <v>1654</v>
      </c>
      <c r="C460" s="41">
        <v>5.2</v>
      </c>
      <c r="D460" s="114"/>
    </row>
    <row r="461" spans="1:4" ht="15.75" outlineLevel="1">
      <c r="A461" s="39" t="s">
        <v>2488</v>
      </c>
      <c r="B461" s="40" t="s">
        <v>1655</v>
      </c>
      <c r="C461" s="39">
        <v>5.25</v>
      </c>
      <c r="D461" s="115"/>
    </row>
    <row r="462" spans="1:4" ht="15.75" outlineLevel="1">
      <c r="A462" s="39" t="s">
        <v>2488</v>
      </c>
      <c r="B462" s="40" t="s">
        <v>5</v>
      </c>
      <c r="C462" s="39">
        <v>5.26</v>
      </c>
      <c r="D462" s="115"/>
    </row>
    <row r="463" spans="1:4" ht="15.75" outlineLevel="1">
      <c r="A463" s="39" t="s">
        <v>2488</v>
      </c>
      <c r="B463" s="40" t="s">
        <v>1656</v>
      </c>
      <c r="C463" s="39">
        <v>5.1139999999999999</v>
      </c>
      <c r="D463" s="114" t="s">
        <v>2918</v>
      </c>
    </row>
    <row r="464" spans="1:4" ht="15.75" outlineLevel="1">
      <c r="A464" s="39" t="s">
        <v>2488</v>
      </c>
      <c r="B464" s="40" t="s">
        <v>6</v>
      </c>
      <c r="C464" s="39">
        <v>5.27</v>
      </c>
      <c r="D464" s="115"/>
    </row>
    <row r="465" spans="1:4" ht="15.75" outlineLevel="1">
      <c r="A465" s="39" t="s">
        <v>2488</v>
      </c>
      <c r="B465" s="40" t="s">
        <v>1657</v>
      </c>
      <c r="C465" s="39">
        <v>5.1150000000000002</v>
      </c>
      <c r="D465" s="114" t="s">
        <v>2918</v>
      </c>
    </row>
    <row r="466" spans="1:4" ht="15.75" outlineLevel="1">
      <c r="A466" s="39" t="s">
        <v>2488</v>
      </c>
      <c r="B466" s="40" t="s">
        <v>1658</v>
      </c>
      <c r="C466" s="39">
        <v>5.1159999999999997</v>
      </c>
      <c r="D466" s="114" t="s">
        <v>2918</v>
      </c>
    </row>
    <row r="467" spans="1:4" ht="15.75" outlineLevel="1">
      <c r="A467" s="39" t="s">
        <v>2488</v>
      </c>
      <c r="B467" s="40" t="s">
        <v>7</v>
      </c>
      <c r="C467" s="39">
        <v>5.28</v>
      </c>
      <c r="D467" s="115"/>
    </row>
    <row r="468" spans="1:4" ht="15.75" outlineLevel="1">
      <c r="A468" s="39" t="s">
        <v>2488</v>
      </c>
      <c r="B468" s="40" t="s">
        <v>109</v>
      </c>
      <c r="C468" s="39">
        <v>5.36</v>
      </c>
      <c r="D468" s="115"/>
    </row>
    <row r="469" spans="1:4" ht="15.75" outlineLevel="1">
      <c r="A469" s="39" t="s">
        <v>2488</v>
      </c>
      <c r="B469" s="40" t="s">
        <v>1514</v>
      </c>
      <c r="C469" s="39">
        <v>5.37</v>
      </c>
      <c r="D469" s="115"/>
    </row>
    <row r="470" spans="1:4" ht="15.75" outlineLevel="1">
      <c r="A470" s="39" t="s">
        <v>2488</v>
      </c>
      <c r="B470" s="40" t="s">
        <v>11</v>
      </c>
      <c r="C470" s="39">
        <v>5.53</v>
      </c>
      <c r="D470" s="115"/>
    </row>
    <row r="471" spans="1:4" ht="15.75" outlineLevel="1">
      <c r="A471" s="39" t="s">
        <v>2488</v>
      </c>
      <c r="B471" s="40" t="s">
        <v>1520</v>
      </c>
      <c r="C471" s="39">
        <v>5.109</v>
      </c>
      <c r="D471" s="115"/>
    </row>
    <row r="472" spans="1:4" ht="15.75" outlineLevel="1">
      <c r="A472" s="39" t="s">
        <v>2488</v>
      </c>
      <c r="B472" s="40" t="s">
        <v>1521</v>
      </c>
      <c r="C472" s="39">
        <v>5.1109999999999998</v>
      </c>
      <c r="D472" s="115"/>
    </row>
    <row r="473" spans="1:4" ht="15.75" outlineLevel="1">
      <c r="A473" s="39" t="s">
        <v>2488</v>
      </c>
      <c r="B473" s="40" t="s">
        <v>1523</v>
      </c>
      <c r="C473" s="39">
        <v>5.1120000000000001</v>
      </c>
      <c r="D473" s="115"/>
    </row>
    <row r="474" spans="1:4" ht="15.75" outlineLevel="1">
      <c r="A474" s="39" t="s">
        <v>2488</v>
      </c>
      <c r="B474" s="40" t="s">
        <v>18</v>
      </c>
      <c r="C474" s="39">
        <v>5.54</v>
      </c>
      <c r="D474" s="115"/>
    </row>
    <row r="475" spans="1:4" ht="15.75" outlineLevel="1">
      <c r="A475" s="39" t="s">
        <v>2488</v>
      </c>
      <c r="B475" s="40" t="s">
        <v>1659</v>
      </c>
      <c r="C475" s="39">
        <v>5.61</v>
      </c>
      <c r="D475" s="115"/>
    </row>
    <row r="476" spans="1:4" ht="15.75" outlineLevel="1">
      <c r="A476" s="39" t="s">
        <v>2488</v>
      </c>
      <c r="B476" s="40" t="s">
        <v>20</v>
      </c>
      <c r="C476" s="39">
        <v>5.63</v>
      </c>
      <c r="D476" s="115"/>
    </row>
    <row r="477" spans="1:4" ht="15.75" outlineLevel="1">
      <c r="A477" s="39" t="s">
        <v>2488</v>
      </c>
      <c r="B477" s="40" t="s">
        <v>1660</v>
      </c>
      <c r="C477" s="39">
        <v>5.46</v>
      </c>
      <c r="D477" s="115"/>
    </row>
    <row r="478" spans="1:4" ht="15.75" outlineLevel="1">
      <c r="A478" s="39" t="s">
        <v>2488</v>
      </c>
      <c r="B478" s="40" t="s">
        <v>24</v>
      </c>
      <c r="C478" s="39">
        <v>5.47</v>
      </c>
      <c r="D478" s="115"/>
    </row>
    <row r="479" spans="1:4" ht="15.75" outlineLevel="1">
      <c r="A479" s="39" t="s">
        <v>2488</v>
      </c>
      <c r="B479" s="40" t="s">
        <v>25</v>
      </c>
      <c r="C479" s="39">
        <v>5.48</v>
      </c>
      <c r="D479" s="115"/>
    </row>
    <row r="480" spans="1:4" ht="15.75">
      <c r="A480" s="45" t="s">
        <v>2488</v>
      </c>
      <c r="B480" s="40"/>
      <c r="C480" s="39"/>
      <c r="D480" s="115"/>
    </row>
    <row r="481" spans="1:4" ht="15.75" hidden="1" outlineLevel="1">
      <c r="A481" s="39" t="s">
        <v>2926</v>
      </c>
      <c r="B481" s="40" t="s">
        <v>0</v>
      </c>
      <c r="C481" s="39">
        <v>5.0999999999999996</v>
      </c>
      <c r="D481" s="115"/>
    </row>
    <row r="482" spans="1:4" ht="15.75" hidden="1" outlineLevel="1">
      <c r="A482" s="39" t="s">
        <v>2926</v>
      </c>
      <c r="B482" s="40" t="s">
        <v>1</v>
      </c>
      <c r="C482" s="39">
        <v>5.2</v>
      </c>
      <c r="D482" s="115"/>
    </row>
    <row r="483" spans="1:4" ht="15.75" hidden="1" outlineLevel="1">
      <c r="A483" s="39" t="s">
        <v>2926</v>
      </c>
      <c r="B483" s="40" t="s">
        <v>2</v>
      </c>
      <c r="C483" s="39">
        <v>5.3</v>
      </c>
      <c r="D483" s="115"/>
    </row>
    <row r="484" spans="1:4" ht="15.75" hidden="1" outlineLevel="1">
      <c r="A484" s="39" t="s">
        <v>2926</v>
      </c>
      <c r="B484" s="40" t="s">
        <v>105</v>
      </c>
      <c r="C484" s="39">
        <v>5.6</v>
      </c>
      <c r="D484" s="115"/>
    </row>
    <row r="485" spans="1:4" ht="15.75" hidden="1" outlineLevel="1">
      <c r="A485" s="39" t="s">
        <v>2926</v>
      </c>
      <c r="B485" s="40" t="s">
        <v>2919</v>
      </c>
      <c r="C485" s="41">
        <v>5.0999999999999996</v>
      </c>
      <c r="D485" s="115"/>
    </row>
    <row r="486" spans="1:4" ht="15.75" hidden="1" outlineLevel="1">
      <c r="A486" s="39" t="s">
        <v>2926</v>
      </c>
      <c r="B486" s="40" t="s">
        <v>1466</v>
      </c>
      <c r="C486" s="39">
        <v>5.14</v>
      </c>
      <c r="D486" s="115"/>
    </row>
    <row r="487" spans="1:4" ht="15.75" hidden="1" outlineLevel="1">
      <c r="A487" s="39" t="s">
        <v>2926</v>
      </c>
      <c r="B487" s="40" t="s">
        <v>4</v>
      </c>
      <c r="C487" s="39">
        <v>5.19</v>
      </c>
      <c r="D487" s="115"/>
    </row>
    <row r="488" spans="1:4" ht="15.75" hidden="1" outlineLevel="1">
      <c r="A488" s="39" t="s">
        <v>2926</v>
      </c>
      <c r="B488" s="40" t="s">
        <v>107</v>
      </c>
      <c r="C488" s="39">
        <v>5.24</v>
      </c>
      <c r="D488" s="115"/>
    </row>
    <row r="489" spans="1:4" ht="15.75" hidden="1" outlineLevel="1">
      <c r="A489" s="39" t="s">
        <v>2926</v>
      </c>
      <c r="B489" s="40" t="s">
        <v>6</v>
      </c>
      <c r="C489" s="39">
        <v>5.27</v>
      </c>
      <c r="D489" s="115"/>
    </row>
    <row r="490" spans="1:4" ht="15.75" hidden="1" outlineLevel="1">
      <c r="A490" s="39" t="s">
        <v>2926</v>
      </c>
      <c r="B490" s="40" t="s">
        <v>7</v>
      </c>
      <c r="C490" s="39">
        <v>5.28</v>
      </c>
      <c r="D490" s="115"/>
    </row>
    <row r="491" spans="1:4" ht="15.75" hidden="1" outlineLevel="1">
      <c r="A491" s="39" t="s">
        <v>2926</v>
      </c>
      <c r="B491" s="40" t="s">
        <v>115</v>
      </c>
      <c r="C491" s="39">
        <v>5.29</v>
      </c>
      <c r="D491" s="115"/>
    </row>
    <row r="492" spans="1:4" ht="15.75" hidden="1" outlineLevel="1">
      <c r="A492" s="39" t="s">
        <v>2926</v>
      </c>
      <c r="B492" s="40" t="s">
        <v>1488</v>
      </c>
      <c r="C492" s="39">
        <v>5.34</v>
      </c>
      <c r="D492" s="115"/>
    </row>
    <row r="493" spans="1:4" ht="15.75" hidden="1" outlineLevel="1">
      <c r="A493" s="39" t="s">
        <v>2926</v>
      </c>
      <c r="B493" s="40" t="s">
        <v>108</v>
      </c>
      <c r="C493" s="39">
        <v>5.31</v>
      </c>
      <c r="D493" s="115"/>
    </row>
    <row r="494" spans="1:4" ht="15.75" hidden="1" outlineLevel="1">
      <c r="A494" s="39" t="s">
        <v>2926</v>
      </c>
      <c r="B494" s="40" t="s">
        <v>1489</v>
      </c>
      <c r="C494" s="39">
        <v>5.101</v>
      </c>
      <c r="D494" s="115"/>
    </row>
    <row r="495" spans="1:4" ht="15.75" hidden="1" outlineLevel="1">
      <c r="A495" s="39" t="s">
        <v>2926</v>
      </c>
      <c r="B495" s="40" t="s">
        <v>109</v>
      </c>
      <c r="C495" s="39">
        <v>5.36</v>
      </c>
      <c r="D495" s="115"/>
    </row>
    <row r="496" spans="1:4" ht="15.75" hidden="1" outlineLevel="1">
      <c r="A496" s="39" t="s">
        <v>2926</v>
      </c>
      <c r="B496" s="40" t="s">
        <v>1514</v>
      </c>
      <c r="C496" s="39">
        <v>5.37</v>
      </c>
      <c r="D496" s="115"/>
    </row>
    <row r="497" spans="1:4" ht="15.75" hidden="1" outlineLevel="1">
      <c r="A497" s="39" t="s">
        <v>2926</v>
      </c>
      <c r="B497" s="40" t="s">
        <v>11</v>
      </c>
      <c r="C497" s="39">
        <v>5.53</v>
      </c>
      <c r="D497" s="115"/>
    </row>
    <row r="498" spans="1:4" ht="15.75" hidden="1" outlineLevel="1">
      <c r="A498" s="39" t="s">
        <v>2926</v>
      </c>
      <c r="B498" s="40" t="s">
        <v>1520</v>
      </c>
      <c r="C498" s="39">
        <v>5.109</v>
      </c>
      <c r="D498" s="115"/>
    </row>
    <row r="499" spans="1:4" ht="15.75" hidden="1" outlineLevel="1">
      <c r="A499" s="39" t="s">
        <v>2926</v>
      </c>
      <c r="B499" s="40" t="s">
        <v>1521</v>
      </c>
      <c r="C499" s="39">
        <v>5.1109999999999998</v>
      </c>
      <c r="D499" s="115"/>
    </row>
    <row r="500" spans="1:4" ht="15.75" hidden="1" outlineLevel="1">
      <c r="A500" s="39" t="s">
        <v>2926</v>
      </c>
      <c r="B500" s="40" t="s">
        <v>1523</v>
      </c>
      <c r="C500" s="39">
        <v>5.1120000000000001</v>
      </c>
      <c r="D500" s="115"/>
    </row>
    <row r="501" spans="1:4" ht="15.75" hidden="1" outlineLevel="1">
      <c r="A501" s="39" t="s">
        <v>2926</v>
      </c>
      <c r="B501" s="40" t="s">
        <v>1490</v>
      </c>
      <c r="C501" s="39">
        <v>5.1020000000000003</v>
      </c>
      <c r="D501" s="115"/>
    </row>
    <row r="502" spans="1:4" ht="15.75" hidden="1" outlineLevel="1">
      <c r="A502" s="39" t="s">
        <v>2926</v>
      </c>
      <c r="B502" s="40" t="s">
        <v>1491</v>
      </c>
      <c r="C502" s="42">
        <v>5.0999999999999996</v>
      </c>
      <c r="D502" s="115"/>
    </row>
    <row r="503" spans="1:4" ht="15.75" hidden="1" outlineLevel="1">
      <c r="A503" s="39" t="s">
        <v>2926</v>
      </c>
      <c r="B503" s="40" t="s">
        <v>17</v>
      </c>
      <c r="C503" s="39">
        <v>5.58</v>
      </c>
      <c r="D503" s="115"/>
    </row>
    <row r="504" spans="1:4" ht="15.75" hidden="1" outlineLevel="1">
      <c r="A504" s="39" t="s">
        <v>2926</v>
      </c>
      <c r="B504" s="40" t="s">
        <v>19</v>
      </c>
      <c r="C504" s="39">
        <v>5.55</v>
      </c>
      <c r="D504" s="115"/>
    </row>
    <row r="505" spans="1:4" ht="15.75" hidden="1" outlineLevel="1">
      <c r="A505" s="39" t="s">
        <v>2926</v>
      </c>
      <c r="B505" s="40" t="s">
        <v>18</v>
      </c>
      <c r="C505" s="39">
        <v>5.54</v>
      </c>
      <c r="D505" s="115"/>
    </row>
    <row r="506" spans="1:4" ht="15.75" hidden="1" outlineLevel="1">
      <c r="A506" s="39" t="s">
        <v>2926</v>
      </c>
      <c r="B506" s="40" t="s">
        <v>20</v>
      </c>
      <c r="C506" s="39">
        <v>5.63</v>
      </c>
      <c r="D506" s="115"/>
    </row>
    <row r="507" spans="1:4" ht="15.75" hidden="1" outlineLevel="1">
      <c r="A507" s="39" t="s">
        <v>2926</v>
      </c>
      <c r="B507" s="40" t="s">
        <v>24</v>
      </c>
      <c r="C507" s="39">
        <v>5.47</v>
      </c>
      <c r="D507" s="115"/>
    </row>
    <row r="508" spans="1:4" ht="15.75" hidden="1" outlineLevel="1">
      <c r="A508" s="39" t="s">
        <v>2926</v>
      </c>
      <c r="B508" s="40" t="s">
        <v>25</v>
      </c>
      <c r="C508" s="39">
        <v>5.48</v>
      </c>
      <c r="D508" s="115"/>
    </row>
    <row r="509" spans="1:4" ht="15.75">
      <c r="A509" s="45" t="s">
        <v>2926</v>
      </c>
      <c r="B509" s="40"/>
      <c r="C509" s="39"/>
      <c r="D509" s="115"/>
    </row>
    <row r="510" spans="1:4" ht="15.75" hidden="1" outlineLevel="1">
      <c r="A510" s="39" t="s">
        <v>2709</v>
      </c>
      <c r="B510" s="40" t="s">
        <v>0</v>
      </c>
      <c r="C510" s="39">
        <v>5.0999999999999996</v>
      </c>
      <c r="D510" s="115"/>
    </row>
    <row r="511" spans="1:4" ht="15.75" hidden="1" outlineLevel="1">
      <c r="A511" s="39" t="s">
        <v>2709</v>
      </c>
      <c r="B511" s="40" t="s">
        <v>1</v>
      </c>
      <c r="C511" s="39">
        <v>5.2</v>
      </c>
      <c r="D511" s="115"/>
    </row>
    <row r="512" spans="1:4" ht="15.75" hidden="1" outlineLevel="1">
      <c r="A512" s="39" t="s">
        <v>2709</v>
      </c>
      <c r="B512" s="40" t="s">
        <v>2</v>
      </c>
      <c r="C512" s="39">
        <v>5.3</v>
      </c>
      <c r="D512" s="115"/>
    </row>
    <row r="513" spans="1:4" ht="15.75" hidden="1" outlineLevel="1">
      <c r="A513" s="39" t="s">
        <v>2709</v>
      </c>
      <c r="B513" s="40" t="s">
        <v>105</v>
      </c>
      <c r="C513" s="39">
        <v>5.6</v>
      </c>
      <c r="D513" s="115"/>
    </row>
    <row r="514" spans="1:4" ht="15.75" hidden="1" outlineLevel="1">
      <c r="A514" s="39" t="s">
        <v>2709</v>
      </c>
      <c r="B514" s="40" t="s">
        <v>2919</v>
      </c>
      <c r="C514" s="41">
        <v>5.0999999999999996</v>
      </c>
      <c r="D514" s="115"/>
    </row>
    <row r="515" spans="1:4" ht="15.75" hidden="1" outlineLevel="1">
      <c r="A515" s="39" t="s">
        <v>2709</v>
      </c>
      <c r="B515" s="40" t="s">
        <v>1466</v>
      </c>
      <c r="C515" s="39">
        <v>5.14</v>
      </c>
      <c r="D515" s="115"/>
    </row>
    <row r="516" spans="1:4" ht="15.75" hidden="1" outlineLevel="1">
      <c r="A516" s="39" t="s">
        <v>2709</v>
      </c>
      <c r="B516" s="40" t="s">
        <v>4</v>
      </c>
      <c r="C516" s="39">
        <v>5.19</v>
      </c>
      <c r="D516" s="115"/>
    </row>
    <row r="517" spans="1:4" ht="15.75" hidden="1" outlineLevel="1">
      <c r="A517" s="39" t="s">
        <v>2709</v>
      </c>
      <c r="B517" s="40" t="s">
        <v>107</v>
      </c>
      <c r="C517" s="39">
        <v>5.24</v>
      </c>
      <c r="D517" s="115"/>
    </row>
    <row r="518" spans="1:4" ht="15.75" hidden="1" outlineLevel="1">
      <c r="A518" s="39" t="s">
        <v>2709</v>
      </c>
      <c r="B518" s="40" t="s">
        <v>5</v>
      </c>
      <c r="C518" s="39">
        <v>5.26</v>
      </c>
      <c r="D518" s="115"/>
    </row>
    <row r="519" spans="1:4" ht="15.75" hidden="1" outlineLevel="1">
      <c r="A519" s="39" t="s">
        <v>2709</v>
      </c>
      <c r="B519" s="40" t="s">
        <v>6</v>
      </c>
      <c r="C519" s="39">
        <v>5.27</v>
      </c>
      <c r="D519" s="115"/>
    </row>
    <row r="520" spans="1:4" ht="15.75" hidden="1" outlineLevel="1">
      <c r="A520" s="39" t="s">
        <v>2709</v>
      </c>
      <c r="B520" s="40" t="s">
        <v>7</v>
      </c>
      <c r="C520" s="39">
        <v>5.28</v>
      </c>
      <c r="D520" s="115"/>
    </row>
    <row r="521" spans="1:4" ht="15.75" hidden="1" outlineLevel="1">
      <c r="A521" s="39" t="s">
        <v>2709</v>
      </c>
      <c r="B521" s="40" t="s">
        <v>108</v>
      </c>
      <c r="C521" s="39">
        <v>5.31</v>
      </c>
      <c r="D521" s="115"/>
    </row>
    <row r="522" spans="1:4" ht="15.75" hidden="1" outlineLevel="1">
      <c r="A522" s="39" t="s">
        <v>2709</v>
      </c>
      <c r="B522" s="40" t="s">
        <v>1501</v>
      </c>
      <c r="C522" s="39">
        <v>5.33</v>
      </c>
      <c r="D522" s="115"/>
    </row>
    <row r="523" spans="1:4" ht="15.75" hidden="1" outlineLevel="1">
      <c r="A523" s="39" t="s">
        <v>2709</v>
      </c>
      <c r="B523" s="40" t="s">
        <v>1489</v>
      </c>
      <c r="C523" s="39">
        <v>5.101</v>
      </c>
      <c r="D523" s="115"/>
    </row>
    <row r="524" spans="1:4" ht="15.75" hidden="1" outlineLevel="1">
      <c r="A524" s="39" t="s">
        <v>2709</v>
      </c>
      <c r="B524" s="40" t="s">
        <v>109</v>
      </c>
      <c r="C524" s="39">
        <v>5.36</v>
      </c>
      <c r="D524" s="115"/>
    </row>
    <row r="525" spans="1:4" ht="15.75" hidden="1" outlineLevel="1">
      <c r="A525" s="39" t="s">
        <v>2709</v>
      </c>
      <c r="B525" s="40" t="s">
        <v>1514</v>
      </c>
      <c r="C525" s="39">
        <v>5.37</v>
      </c>
      <c r="D525" s="115"/>
    </row>
    <row r="526" spans="1:4" ht="15.75" hidden="1" outlineLevel="1">
      <c r="A526" s="39" t="s">
        <v>2709</v>
      </c>
      <c r="B526" s="40" t="s">
        <v>11</v>
      </c>
      <c r="C526" s="39">
        <v>5.53</v>
      </c>
      <c r="D526" s="115"/>
    </row>
    <row r="527" spans="1:4" ht="15.75" hidden="1" outlineLevel="1">
      <c r="A527" s="39" t="s">
        <v>2709</v>
      </c>
      <c r="B527" s="40" t="s">
        <v>1520</v>
      </c>
      <c r="C527" s="39">
        <v>5.109</v>
      </c>
      <c r="D527" s="115"/>
    </row>
    <row r="528" spans="1:4" ht="15.75" hidden="1" outlineLevel="1">
      <c r="A528" s="39" t="s">
        <v>2709</v>
      </c>
      <c r="B528" s="40" t="s">
        <v>1521</v>
      </c>
      <c r="C528" s="39">
        <v>5.1109999999999998</v>
      </c>
      <c r="D528" s="115"/>
    </row>
    <row r="529" spans="1:4" ht="15.75" hidden="1" outlineLevel="1">
      <c r="A529" s="39" t="s">
        <v>2709</v>
      </c>
      <c r="B529" s="40" t="s">
        <v>1523</v>
      </c>
      <c r="C529" s="39">
        <v>5.1120000000000001</v>
      </c>
      <c r="D529" s="115"/>
    </row>
    <row r="530" spans="1:4" ht="15.75" hidden="1" outlineLevel="1">
      <c r="A530" s="39" t="s">
        <v>2709</v>
      </c>
      <c r="B530" s="40" t="s">
        <v>1490</v>
      </c>
      <c r="C530" s="39">
        <v>5.1020000000000003</v>
      </c>
      <c r="D530" s="115"/>
    </row>
    <row r="531" spans="1:4" ht="15.75" hidden="1" outlineLevel="1">
      <c r="A531" s="39" t="s">
        <v>2709</v>
      </c>
      <c r="B531" s="40" t="s">
        <v>1491</v>
      </c>
      <c r="C531" s="42">
        <v>5.0999999999999996</v>
      </c>
      <c r="D531" s="115"/>
    </row>
    <row r="532" spans="1:4" ht="15.75" hidden="1" outlineLevel="1">
      <c r="A532" s="39" t="s">
        <v>2709</v>
      </c>
      <c r="B532" s="40" t="s">
        <v>17</v>
      </c>
      <c r="C532" s="39">
        <v>5.58</v>
      </c>
      <c r="D532" s="115"/>
    </row>
    <row r="533" spans="1:4" ht="15.75" hidden="1" outlineLevel="1">
      <c r="A533" s="39" t="s">
        <v>2709</v>
      </c>
      <c r="B533" s="40" t="s">
        <v>19</v>
      </c>
      <c r="C533" s="39">
        <v>5.55</v>
      </c>
      <c r="D533" s="115"/>
    </row>
    <row r="534" spans="1:4" ht="15.75" hidden="1" outlineLevel="1">
      <c r="A534" s="39" t="s">
        <v>2709</v>
      </c>
      <c r="B534" s="40" t="s">
        <v>18</v>
      </c>
      <c r="C534" s="39">
        <v>5.54</v>
      </c>
      <c r="D534" s="115"/>
    </row>
    <row r="535" spans="1:4" ht="15.75" hidden="1" outlineLevel="1">
      <c r="A535" s="39" t="s">
        <v>2709</v>
      </c>
      <c r="B535" s="40" t="s">
        <v>20</v>
      </c>
      <c r="C535" s="39">
        <v>5.63</v>
      </c>
      <c r="D535" s="115"/>
    </row>
    <row r="536" spans="1:4" ht="15.75" hidden="1" outlineLevel="1">
      <c r="A536" s="39" t="s">
        <v>2709</v>
      </c>
      <c r="B536" s="40" t="s">
        <v>24</v>
      </c>
      <c r="C536" s="39">
        <v>5.47</v>
      </c>
      <c r="D536" s="115"/>
    </row>
    <row r="537" spans="1:4" ht="15.75" hidden="1" outlineLevel="1">
      <c r="A537" s="39" t="s">
        <v>2709</v>
      </c>
      <c r="B537" s="40" t="s">
        <v>25</v>
      </c>
      <c r="C537" s="39">
        <v>5.48</v>
      </c>
      <c r="D537" s="115"/>
    </row>
    <row r="538" spans="1:4" ht="15.75">
      <c r="A538" s="45" t="s">
        <v>2709</v>
      </c>
      <c r="B538" s="40"/>
      <c r="C538" s="39"/>
      <c r="D538" s="115"/>
    </row>
    <row r="539" spans="1:4" ht="15.75" hidden="1" outlineLevel="1">
      <c r="A539" s="39" t="s">
        <v>2717</v>
      </c>
      <c r="B539" s="40" t="s">
        <v>0</v>
      </c>
      <c r="C539" s="39">
        <v>5.0999999999999996</v>
      </c>
      <c r="D539" s="115"/>
    </row>
    <row r="540" spans="1:4" ht="15.75" hidden="1" outlineLevel="1">
      <c r="A540" s="39" t="s">
        <v>2717</v>
      </c>
      <c r="B540" s="40" t="s">
        <v>1</v>
      </c>
      <c r="C540" s="39">
        <v>5.2</v>
      </c>
      <c r="D540" s="115"/>
    </row>
    <row r="541" spans="1:4" ht="15.75" hidden="1" outlineLevel="1">
      <c r="A541" s="39" t="s">
        <v>2717</v>
      </c>
      <c r="B541" s="40" t="s">
        <v>5</v>
      </c>
      <c r="C541" s="39">
        <v>5.26</v>
      </c>
      <c r="D541" s="115"/>
    </row>
    <row r="542" spans="1:4" ht="15.75" hidden="1" outlineLevel="1">
      <c r="A542" s="39" t="s">
        <v>2717</v>
      </c>
      <c r="B542" s="40" t="s">
        <v>1909</v>
      </c>
      <c r="C542" s="39">
        <v>5.21</v>
      </c>
      <c r="D542" s="115"/>
    </row>
    <row r="543" spans="1:4" ht="15.75" hidden="1" outlineLevel="1">
      <c r="A543" s="39" t="s">
        <v>2717</v>
      </c>
      <c r="B543" s="40" t="s">
        <v>1910</v>
      </c>
      <c r="C543" s="39">
        <v>5.53</v>
      </c>
      <c r="D543" s="115"/>
    </row>
    <row r="544" spans="1:4" ht="15.75" hidden="1" outlineLevel="1">
      <c r="A544" s="39" t="s">
        <v>2717</v>
      </c>
      <c r="B544" s="40" t="s">
        <v>18</v>
      </c>
      <c r="C544" s="39">
        <v>5.54</v>
      </c>
      <c r="D544" s="115"/>
    </row>
    <row r="545" spans="1:4" ht="15.75" hidden="1" outlineLevel="1">
      <c r="A545" s="39" t="s">
        <v>2717</v>
      </c>
      <c r="B545" s="40" t="s">
        <v>1911</v>
      </c>
      <c r="C545" s="39">
        <v>5.58</v>
      </c>
      <c r="D545" s="115"/>
    </row>
    <row r="546" spans="1:4" ht="15.75" hidden="1" outlineLevel="1">
      <c r="A546" s="39" t="s">
        <v>2717</v>
      </c>
      <c r="B546" s="40" t="s">
        <v>1912</v>
      </c>
      <c r="C546" s="39">
        <v>5.1180000000000003</v>
      </c>
      <c r="D546" s="115"/>
    </row>
    <row r="547" spans="1:4" ht="15.75" hidden="1" outlineLevel="1">
      <c r="A547" s="39" t="s">
        <v>2717</v>
      </c>
      <c r="B547" s="43" t="s">
        <v>1913</v>
      </c>
      <c r="C547" s="39">
        <v>5.47</v>
      </c>
      <c r="D547" s="115"/>
    </row>
    <row r="548" spans="1:4" ht="15.75" hidden="1" outlineLevel="1">
      <c r="A548" s="39" t="s">
        <v>2717</v>
      </c>
      <c r="B548" s="40" t="s">
        <v>1914</v>
      </c>
      <c r="C548" s="39">
        <v>5.48</v>
      </c>
      <c r="D548" s="115"/>
    </row>
    <row r="549" spans="1:4" ht="15.75" hidden="1" outlineLevel="1">
      <c r="A549" s="39" t="s">
        <v>2717</v>
      </c>
      <c r="B549" s="40" t="s">
        <v>1915</v>
      </c>
      <c r="C549" s="39">
        <v>5.21</v>
      </c>
      <c r="D549" s="115"/>
    </row>
    <row r="550" spans="1:4" ht="15.75" hidden="1" outlineLevel="1">
      <c r="A550" s="39" t="s">
        <v>2717</v>
      </c>
      <c r="B550" s="40" t="s">
        <v>1916</v>
      </c>
      <c r="C550" s="39">
        <v>5.53</v>
      </c>
      <c r="D550" s="115"/>
    </row>
    <row r="551" spans="1:4" ht="15.75" hidden="1" outlineLevel="1">
      <c r="A551" s="39" t="s">
        <v>2717</v>
      </c>
      <c r="B551" s="40" t="s">
        <v>18</v>
      </c>
      <c r="C551" s="39">
        <v>5.54</v>
      </c>
      <c r="D551" s="115"/>
    </row>
    <row r="552" spans="1:4" ht="15.75" hidden="1" outlineLevel="1">
      <c r="A552" s="39" t="s">
        <v>2717</v>
      </c>
      <c r="B552" s="40" t="s">
        <v>1917</v>
      </c>
      <c r="C552" s="39">
        <v>5.58</v>
      </c>
      <c r="D552" s="115"/>
    </row>
    <row r="553" spans="1:4" ht="15.75" hidden="1" outlineLevel="1">
      <c r="A553" s="39" t="s">
        <v>2717</v>
      </c>
      <c r="B553" s="40" t="s">
        <v>1918</v>
      </c>
      <c r="C553" s="39">
        <v>5.1180000000000003</v>
      </c>
      <c r="D553" s="115"/>
    </row>
    <row r="554" spans="1:4" ht="15.75" hidden="1" outlineLevel="1">
      <c r="A554" s="39" t="s">
        <v>2717</v>
      </c>
      <c r="B554" s="40" t="s">
        <v>2927</v>
      </c>
      <c r="C554" s="39">
        <v>5.47</v>
      </c>
      <c r="D554" s="115"/>
    </row>
    <row r="555" spans="1:4" ht="15.75" hidden="1" outlineLevel="1">
      <c r="A555" s="39" t="s">
        <v>2717</v>
      </c>
      <c r="B555" s="40" t="s">
        <v>2928</v>
      </c>
      <c r="C555" s="39">
        <v>5.48</v>
      </c>
      <c r="D555" s="115"/>
    </row>
    <row r="556" spans="1:4" ht="15.75" hidden="1" outlineLevel="1">
      <c r="A556" s="39" t="s">
        <v>2717</v>
      </c>
      <c r="B556" s="40" t="s">
        <v>2929</v>
      </c>
      <c r="C556" s="39">
        <v>5.63</v>
      </c>
      <c r="D556" s="115"/>
    </row>
    <row r="557" spans="1:4" ht="15.75" hidden="1" outlineLevel="1">
      <c r="A557" s="39" t="s">
        <v>2717</v>
      </c>
      <c r="B557" s="40" t="s">
        <v>6</v>
      </c>
      <c r="C557" s="39">
        <v>5.27</v>
      </c>
      <c r="D557" s="115"/>
    </row>
    <row r="558" spans="1:4" ht="15.75" hidden="1" outlineLevel="1">
      <c r="A558" s="39" t="s">
        <v>2717</v>
      </c>
      <c r="B558" s="40" t="s">
        <v>7</v>
      </c>
      <c r="C558" s="39">
        <v>5.28</v>
      </c>
      <c r="D558" s="115"/>
    </row>
    <row r="559" spans="1:4" ht="15.75" hidden="1" outlineLevel="1">
      <c r="A559" s="39" t="s">
        <v>2717</v>
      </c>
      <c r="B559" s="40" t="s">
        <v>1922</v>
      </c>
      <c r="C559" s="39">
        <v>5.35</v>
      </c>
      <c r="D559" s="115"/>
    </row>
    <row r="560" spans="1:4" ht="15.75" hidden="1" outlineLevel="1">
      <c r="A560" s="39" t="s">
        <v>2717</v>
      </c>
      <c r="B560" s="40" t="s">
        <v>1923</v>
      </c>
      <c r="C560" s="39">
        <v>5.1189999999999998</v>
      </c>
      <c r="D560" s="115"/>
    </row>
    <row r="561" spans="1:4" ht="15.75" hidden="1" outlineLevel="1">
      <c r="A561" s="39" t="s">
        <v>2717</v>
      </c>
      <c r="B561" s="40" t="s">
        <v>1924</v>
      </c>
      <c r="C561" s="42">
        <v>5.12</v>
      </c>
      <c r="D561" s="115"/>
    </row>
    <row r="562" spans="1:4" ht="15.75" hidden="1" outlineLevel="1">
      <c r="A562" s="39" t="s">
        <v>2717</v>
      </c>
      <c r="B562" s="40" t="s">
        <v>1506</v>
      </c>
      <c r="C562" s="39">
        <v>5.1210000000000004</v>
      </c>
      <c r="D562" s="115"/>
    </row>
    <row r="563" spans="1:4" ht="15.75" hidden="1" outlineLevel="1">
      <c r="A563" s="39" t="s">
        <v>2717</v>
      </c>
      <c r="B563" s="40" t="s">
        <v>109</v>
      </c>
      <c r="C563" s="39">
        <v>5.36</v>
      </c>
      <c r="D563" s="115"/>
    </row>
    <row r="564" spans="1:4" ht="15.75" hidden="1" outlineLevel="1">
      <c r="A564" s="39" t="s">
        <v>2717</v>
      </c>
      <c r="B564" s="40" t="s">
        <v>1925</v>
      </c>
      <c r="C564" s="39">
        <v>5.1219999999999999</v>
      </c>
      <c r="D564" s="115"/>
    </row>
    <row r="565" spans="1:4" ht="15.75" hidden="1" outlineLevel="1">
      <c r="A565" s="39" t="s">
        <v>2717</v>
      </c>
      <c r="B565" s="40" t="s">
        <v>1926</v>
      </c>
      <c r="C565" s="39">
        <v>5.1230000000000002</v>
      </c>
      <c r="D565" s="115"/>
    </row>
    <row r="566" spans="1:4" ht="15.75" hidden="1" outlineLevel="1">
      <c r="A566" s="39" t="s">
        <v>2717</v>
      </c>
      <c r="B566" s="40" t="s">
        <v>1927</v>
      </c>
      <c r="C566" s="39">
        <v>5.1239999999999997</v>
      </c>
      <c r="D566" s="115"/>
    </row>
    <row r="567" spans="1:4" ht="15.75" hidden="1" outlineLevel="1">
      <c r="A567" s="39" t="s">
        <v>2717</v>
      </c>
      <c r="B567" s="40" t="s">
        <v>1928</v>
      </c>
      <c r="C567" s="39">
        <v>5.125</v>
      </c>
      <c r="D567" s="115"/>
    </row>
    <row r="568" spans="1:4" ht="15.75" hidden="1" outlineLevel="1">
      <c r="A568" s="39" t="s">
        <v>2717</v>
      </c>
      <c r="B568" s="40" t="s">
        <v>1929</v>
      </c>
      <c r="C568" s="39">
        <v>5.1260000000000003</v>
      </c>
      <c r="D568" s="115"/>
    </row>
    <row r="569" spans="1:4" ht="15.75" hidden="1" outlineLevel="1">
      <c r="A569" s="39" t="s">
        <v>2717</v>
      </c>
      <c r="B569" s="40" t="s">
        <v>1930</v>
      </c>
      <c r="C569" s="39">
        <v>5.1269999999999998</v>
      </c>
      <c r="D569" s="115"/>
    </row>
    <row r="570" spans="1:4" ht="15.75" hidden="1" outlineLevel="1">
      <c r="A570" s="39" t="s">
        <v>2717</v>
      </c>
      <c r="B570" s="40" t="s">
        <v>111</v>
      </c>
      <c r="C570" s="41">
        <v>5.72</v>
      </c>
      <c r="D570" s="115"/>
    </row>
    <row r="571" spans="1:4" ht="15.75" hidden="1" outlineLevel="1">
      <c r="A571" s="39" t="s">
        <v>2717</v>
      </c>
      <c r="B571" s="40" t="s">
        <v>1931</v>
      </c>
      <c r="C571" s="39">
        <v>5.1280000000000001</v>
      </c>
      <c r="D571" s="115"/>
    </row>
    <row r="572" spans="1:4" ht="15.75" hidden="1" outlineLevel="1">
      <c r="A572" s="39" t="s">
        <v>2717</v>
      </c>
      <c r="B572" s="40" t="s">
        <v>1932</v>
      </c>
      <c r="C572" s="39">
        <v>5.1289999999999996</v>
      </c>
      <c r="D572" s="114" t="s">
        <v>2918</v>
      </c>
    </row>
    <row r="573" spans="1:4" ht="15.75" hidden="1" outlineLevel="1">
      <c r="A573" s="39" t="s">
        <v>2717</v>
      </c>
      <c r="B573" s="40" t="s">
        <v>1933</v>
      </c>
      <c r="C573" s="39">
        <v>5.1310000000000002</v>
      </c>
      <c r="D573" s="115"/>
    </row>
    <row r="574" spans="1:4" ht="15.75" hidden="1" outlineLevel="1">
      <c r="A574" s="39" t="s">
        <v>2717</v>
      </c>
      <c r="B574" s="40" t="s">
        <v>1934</v>
      </c>
      <c r="C574" s="39">
        <v>5.1319999999999997</v>
      </c>
      <c r="D574" s="114" t="s">
        <v>2918</v>
      </c>
    </row>
    <row r="575" spans="1:4" ht="15.75" hidden="1" outlineLevel="1">
      <c r="A575" s="39" t="s">
        <v>2717</v>
      </c>
      <c r="B575" s="40" t="s">
        <v>1935</v>
      </c>
      <c r="C575" s="39">
        <v>5.133</v>
      </c>
      <c r="D575" s="114" t="s">
        <v>2918</v>
      </c>
    </row>
    <row r="576" spans="1:4" ht="15.75" hidden="1" outlineLevel="1">
      <c r="A576" s="39" t="s">
        <v>2717</v>
      </c>
      <c r="B576" s="40" t="s">
        <v>1936</v>
      </c>
      <c r="C576" s="39">
        <v>5.1340000000000003</v>
      </c>
      <c r="D576" s="114" t="s">
        <v>2918</v>
      </c>
    </row>
    <row r="577" spans="1:4" ht="15.75" hidden="1" outlineLevel="1">
      <c r="A577" s="39" t="s">
        <v>2717</v>
      </c>
      <c r="B577" s="40" t="s">
        <v>1937</v>
      </c>
      <c r="C577" s="42">
        <v>5.13</v>
      </c>
      <c r="D577" s="115"/>
    </row>
    <row r="578" spans="1:4" ht="15.75" hidden="1" outlineLevel="1">
      <c r="A578" s="39" t="s">
        <v>2717</v>
      </c>
      <c r="B578" s="40" t="s">
        <v>24</v>
      </c>
      <c r="C578" s="39">
        <v>5.47</v>
      </c>
      <c r="D578" s="115"/>
    </row>
    <row r="579" spans="1:4" ht="15.75" hidden="1" outlineLevel="1">
      <c r="A579" s="39" t="s">
        <v>2717</v>
      </c>
      <c r="B579" s="40" t="s">
        <v>25</v>
      </c>
      <c r="C579" s="39">
        <v>5.48</v>
      </c>
      <c r="D579" s="115"/>
    </row>
    <row r="580" spans="1:4" ht="15.75">
      <c r="A580" s="45" t="s">
        <v>2717</v>
      </c>
      <c r="B580" s="40"/>
      <c r="C580" s="39"/>
      <c r="D580" s="115"/>
    </row>
    <row r="581" spans="1:4" ht="15.75" hidden="1" outlineLevel="1">
      <c r="A581" s="39" t="s">
        <v>2711</v>
      </c>
      <c r="B581" s="40" t="s">
        <v>0</v>
      </c>
      <c r="C581" s="39">
        <v>5.0999999999999996</v>
      </c>
      <c r="D581" s="115"/>
    </row>
    <row r="582" spans="1:4" ht="15.75" hidden="1" outlineLevel="1">
      <c r="A582" s="39" t="s">
        <v>2711</v>
      </c>
      <c r="B582" s="40" t="s">
        <v>1</v>
      </c>
      <c r="C582" s="39">
        <v>5.2</v>
      </c>
      <c r="D582" s="115"/>
    </row>
    <row r="583" spans="1:4" ht="15.75" hidden="1" outlineLevel="1">
      <c r="A583" s="39" t="s">
        <v>2711</v>
      </c>
      <c r="B583" s="40" t="s">
        <v>1966</v>
      </c>
      <c r="C583" s="39">
        <v>5.9</v>
      </c>
      <c r="D583" s="114" t="s">
        <v>2918</v>
      </c>
    </row>
    <row r="584" spans="1:4" ht="15.75" hidden="1" outlineLevel="1">
      <c r="A584" s="39" t="s">
        <v>2711</v>
      </c>
      <c r="B584" s="40" t="s">
        <v>1967</v>
      </c>
      <c r="C584" s="39">
        <v>5.13</v>
      </c>
      <c r="D584" s="114" t="s">
        <v>2918</v>
      </c>
    </row>
    <row r="585" spans="1:4" ht="15.75" hidden="1" outlineLevel="1">
      <c r="A585" s="39" t="s">
        <v>2711</v>
      </c>
      <c r="B585" s="40" t="s">
        <v>1968</v>
      </c>
      <c r="C585" s="39">
        <v>5.16</v>
      </c>
      <c r="D585" s="114" t="s">
        <v>2918</v>
      </c>
    </row>
    <row r="586" spans="1:4" ht="15.75" hidden="1" outlineLevel="1">
      <c r="A586" s="39" t="s">
        <v>2711</v>
      </c>
      <c r="B586" s="40" t="s">
        <v>1969</v>
      </c>
      <c r="C586" s="39">
        <v>5.22</v>
      </c>
      <c r="D586" s="114"/>
    </row>
    <row r="587" spans="1:4" ht="15.75" hidden="1" outlineLevel="1">
      <c r="A587" s="39" t="s">
        <v>2711</v>
      </c>
      <c r="B587" s="40" t="s">
        <v>5</v>
      </c>
      <c r="C587" s="39">
        <v>5.26</v>
      </c>
      <c r="D587" s="115"/>
    </row>
    <row r="588" spans="1:4" ht="15.75" hidden="1" outlineLevel="1">
      <c r="A588" s="39" t="s">
        <v>2711</v>
      </c>
      <c r="B588" s="40" t="s">
        <v>1970</v>
      </c>
      <c r="C588" s="39">
        <v>5.77</v>
      </c>
      <c r="D588" s="115"/>
    </row>
    <row r="589" spans="1:4" ht="15.75" hidden="1" outlineLevel="1">
      <c r="A589" s="39" t="s">
        <v>2711</v>
      </c>
      <c r="B589" s="40" t="s">
        <v>6</v>
      </c>
      <c r="C589" s="39">
        <v>5.27</v>
      </c>
      <c r="D589" s="115"/>
    </row>
    <row r="590" spans="1:4" ht="15.75" hidden="1" outlineLevel="1">
      <c r="A590" s="39" t="s">
        <v>2711</v>
      </c>
      <c r="B590" s="40" t="s">
        <v>7</v>
      </c>
      <c r="C590" s="39">
        <v>5.28</v>
      </c>
      <c r="D590" s="114" t="s">
        <v>2918</v>
      </c>
    </row>
    <row r="591" spans="1:4" ht="15.75" hidden="1" outlineLevel="1">
      <c r="A591" s="39" t="s">
        <v>2711</v>
      </c>
      <c r="B591" s="40" t="s">
        <v>108</v>
      </c>
      <c r="C591" s="39">
        <v>5.31</v>
      </c>
      <c r="D591" s="115"/>
    </row>
    <row r="592" spans="1:4" ht="15.75" hidden="1" outlineLevel="1">
      <c r="A592" s="39" t="s">
        <v>2711</v>
      </c>
      <c r="B592" s="40" t="s">
        <v>109</v>
      </c>
      <c r="C592" s="39">
        <v>5.36</v>
      </c>
      <c r="D592" s="115"/>
    </row>
    <row r="593" spans="1:4" ht="15.75" hidden="1" outlineLevel="1">
      <c r="A593" s="39" t="s">
        <v>2711</v>
      </c>
      <c r="B593" s="40" t="s">
        <v>1971</v>
      </c>
      <c r="C593" s="39">
        <v>5.78</v>
      </c>
      <c r="D593" s="115"/>
    </row>
    <row r="594" spans="1:4" ht="15.75" hidden="1" outlineLevel="1">
      <c r="A594" s="39" t="s">
        <v>2711</v>
      </c>
      <c r="B594" s="40" t="s">
        <v>1972</v>
      </c>
      <c r="C594" s="39">
        <v>5.79</v>
      </c>
      <c r="D594" s="114" t="s">
        <v>2918</v>
      </c>
    </row>
    <row r="595" spans="1:4" ht="15.75" hidden="1" outlineLevel="1">
      <c r="A595" s="39" t="s">
        <v>2711</v>
      </c>
      <c r="B595" s="40" t="s">
        <v>1973</v>
      </c>
      <c r="C595" s="39">
        <v>5.41</v>
      </c>
      <c r="D595" s="115"/>
    </row>
    <row r="596" spans="1:4" ht="15.75" hidden="1" outlineLevel="1">
      <c r="A596" s="39" t="s">
        <v>2711</v>
      </c>
      <c r="B596" s="40" t="s">
        <v>9</v>
      </c>
      <c r="C596" s="39">
        <v>5.49</v>
      </c>
      <c r="D596" s="115"/>
    </row>
    <row r="597" spans="1:4" ht="15.75" hidden="1" outlineLevel="1">
      <c r="A597" s="39" t="s">
        <v>2711</v>
      </c>
      <c r="B597" s="40" t="s">
        <v>10</v>
      </c>
      <c r="C597" s="39">
        <v>5.51</v>
      </c>
      <c r="D597" s="115"/>
    </row>
    <row r="598" spans="1:4" ht="15.75" hidden="1" outlineLevel="1">
      <c r="A598" s="39" t="s">
        <v>2711</v>
      </c>
      <c r="B598" s="40" t="s">
        <v>2930</v>
      </c>
      <c r="C598" s="39">
        <v>5.52</v>
      </c>
      <c r="D598" s="115"/>
    </row>
    <row r="599" spans="1:4" ht="15.75" hidden="1" outlineLevel="1">
      <c r="A599" s="39" t="s">
        <v>2711</v>
      </c>
      <c r="B599" s="40" t="s">
        <v>11</v>
      </c>
      <c r="C599" s="39">
        <v>5.53</v>
      </c>
      <c r="D599" s="115"/>
    </row>
    <row r="600" spans="1:4" ht="15.75" hidden="1" outlineLevel="1">
      <c r="A600" s="39" t="s">
        <v>2711</v>
      </c>
      <c r="B600" s="40" t="s">
        <v>12</v>
      </c>
      <c r="C600" s="39">
        <v>5.69</v>
      </c>
      <c r="D600" s="115"/>
    </row>
    <row r="601" spans="1:4" ht="15.75" hidden="1" outlineLevel="1">
      <c r="A601" s="39" t="s">
        <v>2711</v>
      </c>
      <c r="B601" s="40" t="s">
        <v>1975</v>
      </c>
      <c r="C601" s="39">
        <v>5.71</v>
      </c>
      <c r="D601" s="115"/>
    </row>
    <row r="602" spans="1:4" ht="15.75" hidden="1" outlineLevel="1">
      <c r="A602" s="39" t="s">
        <v>2711</v>
      </c>
      <c r="B602" s="40" t="s">
        <v>14</v>
      </c>
      <c r="C602" s="41">
        <v>5.7</v>
      </c>
      <c r="D602" s="115"/>
    </row>
    <row r="603" spans="1:4" ht="15.75" hidden="1" outlineLevel="1">
      <c r="A603" s="39" t="s">
        <v>2711</v>
      </c>
      <c r="B603" s="40" t="s">
        <v>1515</v>
      </c>
      <c r="C603" s="41">
        <v>5.8</v>
      </c>
      <c r="D603" s="114" t="s">
        <v>2918</v>
      </c>
    </row>
    <row r="604" spans="1:4" ht="15.75" hidden="1" outlineLevel="1">
      <c r="A604" s="39" t="s">
        <v>2711</v>
      </c>
      <c r="B604" s="40" t="s">
        <v>111</v>
      </c>
      <c r="C604" s="41">
        <v>5.72</v>
      </c>
      <c r="D604" s="114" t="s">
        <v>2918</v>
      </c>
    </row>
    <row r="605" spans="1:4" ht="15.75" hidden="1" outlineLevel="1">
      <c r="A605" s="39" t="s">
        <v>2711</v>
      </c>
      <c r="B605" s="40" t="s">
        <v>1976</v>
      </c>
      <c r="C605" s="39">
        <v>5.73</v>
      </c>
      <c r="D605" s="114" t="s">
        <v>2918</v>
      </c>
    </row>
    <row r="606" spans="1:4" ht="15.75" hidden="1" outlineLevel="1">
      <c r="A606" s="39" t="s">
        <v>2711</v>
      </c>
      <c r="B606" s="40" t="s">
        <v>15</v>
      </c>
      <c r="C606" s="39">
        <v>5.74</v>
      </c>
      <c r="D606" s="115"/>
    </row>
    <row r="607" spans="1:4" ht="15.75" hidden="1" outlineLevel="1">
      <c r="A607" s="39" t="s">
        <v>2711</v>
      </c>
      <c r="B607" s="40" t="s">
        <v>13</v>
      </c>
      <c r="C607" s="39">
        <v>5.75</v>
      </c>
      <c r="D607" s="115"/>
    </row>
    <row r="608" spans="1:4" ht="15.75" hidden="1" outlineLevel="1">
      <c r="A608" s="39" t="s">
        <v>2711</v>
      </c>
      <c r="B608" s="40" t="s">
        <v>112</v>
      </c>
      <c r="C608" s="39">
        <v>5.76</v>
      </c>
      <c r="D608" s="115"/>
    </row>
    <row r="609" spans="1:4" ht="15.75" hidden="1" outlineLevel="1">
      <c r="A609" s="39" t="s">
        <v>2711</v>
      </c>
      <c r="B609" s="40" t="s">
        <v>1977</v>
      </c>
      <c r="C609" s="39">
        <v>5.81</v>
      </c>
      <c r="D609" s="114" t="s">
        <v>2918</v>
      </c>
    </row>
    <row r="610" spans="1:4" ht="15.75" hidden="1" outlineLevel="1">
      <c r="A610" s="39" t="s">
        <v>2711</v>
      </c>
      <c r="B610" s="40" t="s">
        <v>1978</v>
      </c>
      <c r="C610" s="39">
        <v>5.82</v>
      </c>
      <c r="D610" s="114" t="s">
        <v>2918</v>
      </c>
    </row>
    <row r="611" spans="1:4" ht="15.75" hidden="1" outlineLevel="1">
      <c r="A611" s="39" t="s">
        <v>2711</v>
      </c>
      <c r="B611" s="40" t="s">
        <v>1979</v>
      </c>
      <c r="C611" s="39">
        <v>5.83</v>
      </c>
      <c r="D611" s="114" t="s">
        <v>2918</v>
      </c>
    </row>
    <row r="612" spans="1:4" ht="15.75" hidden="1" outlineLevel="1">
      <c r="A612" s="39" t="s">
        <v>2711</v>
      </c>
      <c r="B612" s="40" t="s">
        <v>1980</v>
      </c>
      <c r="C612" s="39">
        <v>5.84</v>
      </c>
      <c r="D612" s="115"/>
    </row>
    <row r="613" spans="1:4" ht="15.75" hidden="1" outlineLevel="1">
      <c r="A613" s="39" t="s">
        <v>2711</v>
      </c>
      <c r="B613" s="40" t="s">
        <v>1981</v>
      </c>
      <c r="C613" s="39">
        <v>5.85</v>
      </c>
      <c r="D613" s="114" t="s">
        <v>2918</v>
      </c>
    </row>
    <row r="614" spans="1:4" ht="15.75" hidden="1" outlineLevel="1">
      <c r="A614" s="39" t="s">
        <v>2711</v>
      </c>
      <c r="B614" s="40" t="s">
        <v>1982</v>
      </c>
      <c r="C614" s="39">
        <v>5.86</v>
      </c>
      <c r="D614" s="114" t="s">
        <v>2918</v>
      </c>
    </row>
    <row r="615" spans="1:4" ht="15.75" hidden="1" outlineLevel="1">
      <c r="A615" s="39" t="s">
        <v>2711</v>
      </c>
      <c r="B615" s="40" t="s">
        <v>1983</v>
      </c>
      <c r="C615" s="39">
        <v>5.88</v>
      </c>
      <c r="D615" s="114" t="s">
        <v>2918</v>
      </c>
    </row>
    <row r="616" spans="1:4" ht="15.75" hidden="1" outlineLevel="1">
      <c r="A616" s="39" t="s">
        <v>2711</v>
      </c>
      <c r="B616" s="40" t="s">
        <v>1984</v>
      </c>
      <c r="C616" s="39">
        <v>5.87</v>
      </c>
      <c r="D616" s="115"/>
    </row>
    <row r="617" spans="1:4" ht="15.75" hidden="1" outlineLevel="1">
      <c r="A617" s="39" t="s">
        <v>2711</v>
      </c>
      <c r="B617" s="40" t="s">
        <v>1520</v>
      </c>
      <c r="C617" s="39">
        <v>5.109</v>
      </c>
      <c r="D617" s="115"/>
    </row>
    <row r="618" spans="1:4" ht="15.75" hidden="1" outlineLevel="1">
      <c r="A618" s="39" t="s">
        <v>2711</v>
      </c>
      <c r="B618" s="40" t="s">
        <v>1522</v>
      </c>
      <c r="C618" s="42">
        <v>5.1100000000000003</v>
      </c>
      <c r="D618" s="114" t="s">
        <v>2918</v>
      </c>
    </row>
    <row r="619" spans="1:4" ht="15.75" hidden="1" outlineLevel="1">
      <c r="A619" s="39" t="s">
        <v>2711</v>
      </c>
      <c r="B619" s="40" t="s">
        <v>1521</v>
      </c>
      <c r="C619" s="39">
        <v>5.1109999999999998</v>
      </c>
      <c r="D619" s="115"/>
    </row>
    <row r="620" spans="1:4" ht="15.75" hidden="1" outlineLevel="1">
      <c r="A620" s="39" t="s">
        <v>2711</v>
      </c>
      <c r="B620" s="40" t="s">
        <v>1523</v>
      </c>
      <c r="C620" s="39">
        <v>5.1120000000000001</v>
      </c>
      <c r="D620" s="115"/>
    </row>
    <row r="621" spans="1:4" ht="15.75" hidden="1" outlineLevel="1">
      <c r="A621" s="39" t="s">
        <v>2711</v>
      </c>
      <c r="B621" s="40" t="s">
        <v>2924</v>
      </c>
      <c r="C621" s="39">
        <v>5.1130000000000004</v>
      </c>
      <c r="D621" s="115"/>
    </row>
    <row r="622" spans="1:4" ht="15.75" hidden="1" outlineLevel="1">
      <c r="A622" s="39" t="s">
        <v>2711</v>
      </c>
      <c r="B622" s="40" t="s">
        <v>1985</v>
      </c>
      <c r="C622" s="39">
        <v>5.99</v>
      </c>
      <c r="D622" s="114" t="s">
        <v>2918</v>
      </c>
    </row>
    <row r="623" spans="1:4" ht="15.75" hidden="1" outlineLevel="1">
      <c r="A623" s="39" t="s">
        <v>2711</v>
      </c>
      <c r="B623" s="40" t="s">
        <v>1986</v>
      </c>
      <c r="C623" s="39">
        <v>5.58</v>
      </c>
      <c r="D623" s="114"/>
    </row>
    <row r="624" spans="1:4" ht="15.75" hidden="1" outlineLevel="1">
      <c r="A624" s="39" t="s">
        <v>2711</v>
      </c>
      <c r="B624" s="40" t="s">
        <v>18</v>
      </c>
      <c r="C624" s="39">
        <v>5.54</v>
      </c>
      <c r="D624" s="115"/>
    </row>
    <row r="625" spans="1:4" ht="15.75" hidden="1" outlineLevel="1">
      <c r="A625" s="39" t="s">
        <v>2711</v>
      </c>
      <c r="B625" s="40" t="s">
        <v>1987</v>
      </c>
      <c r="C625" s="39">
        <v>5.56</v>
      </c>
      <c r="D625" s="115"/>
    </row>
    <row r="626" spans="1:4" ht="15.75" hidden="1" outlineLevel="1">
      <c r="A626" s="39" t="s">
        <v>2711</v>
      </c>
      <c r="B626" s="40" t="s">
        <v>20</v>
      </c>
      <c r="C626" s="39">
        <v>5.63</v>
      </c>
      <c r="D626" s="115"/>
    </row>
    <row r="627" spans="1:4" ht="15.75" hidden="1" outlineLevel="1">
      <c r="A627" s="39" t="s">
        <v>2711</v>
      </c>
      <c r="B627" s="40" t="s">
        <v>1988</v>
      </c>
      <c r="C627" s="39">
        <v>5.64</v>
      </c>
      <c r="D627" s="115"/>
    </row>
    <row r="628" spans="1:4" ht="15.75" hidden="1" outlineLevel="1">
      <c r="A628" s="39" t="s">
        <v>2711</v>
      </c>
      <c r="B628" s="40" t="s">
        <v>21</v>
      </c>
      <c r="C628" s="39">
        <v>5.65</v>
      </c>
      <c r="D628" s="115"/>
    </row>
    <row r="629" spans="1:4" ht="15.75" hidden="1" outlineLevel="1">
      <c r="A629" s="39" t="s">
        <v>2711</v>
      </c>
      <c r="B629" s="40" t="s">
        <v>114</v>
      </c>
      <c r="C629" s="39">
        <v>5.66</v>
      </c>
      <c r="D629" s="115"/>
    </row>
    <row r="630" spans="1:4" ht="15.75" hidden="1" outlineLevel="1">
      <c r="A630" s="39" t="s">
        <v>2711</v>
      </c>
      <c r="B630" s="40" t="s">
        <v>113</v>
      </c>
      <c r="C630" s="39">
        <v>5.89</v>
      </c>
      <c r="D630" s="114" t="s">
        <v>2918</v>
      </c>
    </row>
    <row r="631" spans="1:4" ht="15.75" hidden="1" outlineLevel="1">
      <c r="A631" s="39" t="s">
        <v>2711</v>
      </c>
      <c r="B631" s="40" t="s">
        <v>22</v>
      </c>
      <c r="C631" s="39">
        <v>5.68</v>
      </c>
      <c r="D631" s="115"/>
    </row>
    <row r="632" spans="1:4" ht="15.75" hidden="1" outlineLevel="1">
      <c r="A632" s="39" t="s">
        <v>2711</v>
      </c>
      <c r="B632" s="40" t="s">
        <v>24</v>
      </c>
      <c r="C632" s="39">
        <v>5.47</v>
      </c>
      <c r="D632" s="115"/>
    </row>
    <row r="633" spans="1:4" ht="15.75" hidden="1" outlineLevel="1">
      <c r="A633" s="39" t="s">
        <v>2711</v>
      </c>
      <c r="B633" s="40" t="s">
        <v>25</v>
      </c>
      <c r="C633" s="39">
        <v>5.48</v>
      </c>
      <c r="D633" s="115"/>
    </row>
    <row r="634" spans="1:4" ht="15.75">
      <c r="A634" s="45" t="s">
        <v>2711</v>
      </c>
      <c r="B634" s="40"/>
      <c r="C634" s="39"/>
      <c r="D634" s="115"/>
    </row>
    <row r="635" spans="1:4" ht="15.75" hidden="1" outlineLevel="1">
      <c r="A635" s="39" t="s">
        <v>2728</v>
      </c>
      <c r="B635" s="40" t="s">
        <v>0</v>
      </c>
      <c r="C635" s="39">
        <v>5.0999999999999996</v>
      </c>
      <c r="D635" s="115"/>
    </row>
    <row r="636" spans="1:4" ht="15.75" hidden="1" outlineLevel="1">
      <c r="A636" s="39" t="s">
        <v>2728</v>
      </c>
      <c r="B636" s="40" t="s">
        <v>1</v>
      </c>
      <c r="C636" s="39">
        <v>5.2</v>
      </c>
      <c r="D636" s="115"/>
    </row>
    <row r="637" spans="1:4" ht="15.75" hidden="1" outlineLevel="1">
      <c r="A637" s="39" t="s">
        <v>2728</v>
      </c>
      <c r="B637" s="40" t="s">
        <v>2</v>
      </c>
      <c r="C637" s="39">
        <v>5.3</v>
      </c>
      <c r="D637" s="115"/>
    </row>
    <row r="638" spans="1:4" ht="15.75" hidden="1" outlineLevel="1">
      <c r="A638" s="39" t="s">
        <v>2728</v>
      </c>
      <c r="B638" s="40" t="s">
        <v>105</v>
      </c>
      <c r="C638" s="39">
        <v>5.6</v>
      </c>
      <c r="D638" s="115"/>
    </row>
    <row r="639" spans="1:4" ht="15.75" hidden="1" outlineLevel="1">
      <c r="A639" s="39" t="s">
        <v>2728</v>
      </c>
      <c r="B639" s="40" t="s">
        <v>2919</v>
      </c>
      <c r="C639" s="41">
        <v>5.0999999999999996</v>
      </c>
      <c r="D639" s="115"/>
    </row>
    <row r="640" spans="1:4" ht="15.75" hidden="1" outlineLevel="1">
      <c r="A640" s="39" t="s">
        <v>2728</v>
      </c>
      <c r="B640" s="40" t="s">
        <v>1466</v>
      </c>
      <c r="C640" s="39">
        <v>5.14</v>
      </c>
      <c r="D640" s="115"/>
    </row>
    <row r="641" spans="1:4" ht="15.75" hidden="1" outlineLevel="1">
      <c r="A641" s="39" t="s">
        <v>2728</v>
      </c>
      <c r="B641" s="40" t="s">
        <v>4</v>
      </c>
      <c r="C641" s="39">
        <v>5.19</v>
      </c>
      <c r="D641" s="115"/>
    </row>
    <row r="642" spans="1:4" ht="15.75" hidden="1" outlineLevel="1">
      <c r="A642" s="39" t="s">
        <v>2728</v>
      </c>
      <c r="B642" s="40" t="s">
        <v>107</v>
      </c>
      <c r="C642" s="39">
        <v>5.24</v>
      </c>
      <c r="D642" s="115"/>
    </row>
    <row r="643" spans="1:4" ht="15.75" hidden="1" outlineLevel="1">
      <c r="A643" s="39" t="s">
        <v>2728</v>
      </c>
      <c r="B643" s="40" t="s">
        <v>5</v>
      </c>
      <c r="C643" s="39">
        <v>5.26</v>
      </c>
      <c r="D643" s="115"/>
    </row>
    <row r="644" spans="1:4" ht="15.75" hidden="1" outlineLevel="1">
      <c r="A644" s="39" t="s">
        <v>2728</v>
      </c>
      <c r="B644" s="40" t="s">
        <v>6</v>
      </c>
      <c r="C644" s="39">
        <v>5.27</v>
      </c>
      <c r="D644" s="115"/>
    </row>
    <row r="645" spans="1:4" ht="15.75" hidden="1" outlineLevel="1">
      <c r="A645" s="39" t="s">
        <v>2728</v>
      </c>
      <c r="B645" s="40" t="s">
        <v>7</v>
      </c>
      <c r="C645" s="39">
        <v>5.28</v>
      </c>
      <c r="D645" s="115"/>
    </row>
    <row r="646" spans="1:4" ht="15.75" hidden="1" outlineLevel="1">
      <c r="A646" s="39" t="s">
        <v>2728</v>
      </c>
      <c r="B646" s="40" t="s">
        <v>109</v>
      </c>
      <c r="C646" s="39">
        <v>5.36</v>
      </c>
      <c r="D646" s="115"/>
    </row>
    <row r="647" spans="1:4" ht="15.75" hidden="1" outlineLevel="1">
      <c r="A647" s="39" t="s">
        <v>2728</v>
      </c>
      <c r="B647" s="40" t="s">
        <v>1501</v>
      </c>
      <c r="C647" s="39">
        <v>5.33</v>
      </c>
      <c r="D647" s="115"/>
    </row>
    <row r="648" spans="1:4" ht="15.75" hidden="1" outlineLevel="1">
      <c r="A648" s="39" t="s">
        <v>2728</v>
      </c>
      <c r="B648" s="40" t="s">
        <v>1514</v>
      </c>
      <c r="C648" s="39">
        <v>5.37</v>
      </c>
      <c r="D648" s="115"/>
    </row>
    <row r="649" spans="1:4" ht="15.75" hidden="1" outlineLevel="1">
      <c r="A649" s="39" t="s">
        <v>2728</v>
      </c>
      <c r="B649" s="40" t="s">
        <v>9</v>
      </c>
      <c r="C649" s="39">
        <v>5.49</v>
      </c>
      <c r="D649" s="115"/>
    </row>
    <row r="650" spans="1:4" ht="15.75" hidden="1" outlineLevel="1">
      <c r="A650" s="39" t="s">
        <v>2728</v>
      </c>
      <c r="B650" s="40" t="s">
        <v>10</v>
      </c>
      <c r="C650" s="39">
        <v>5.51</v>
      </c>
      <c r="D650" s="115"/>
    </row>
    <row r="651" spans="1:4" ht="15.75" hidden="1" outlineLevel="1">
      <c r="A651" s="39" t="s">
        <v>2728</v>
      </c>
      <c r="B651" s="40" t="s">
        <v>2920</v>
      </c>
      <c r="C651" s="39">
        <v>5.52</v>
      </c>
      <c r="D651" s="115"/>
    </row>
    <row r="652" spans="1:4" ht="15.75" hidden="1" outlineLevel="1">
      <c r="A652" s="39" t="s">
        <v>2728</v>
      </c>
      <c r="B652" s="40" t="s">
        <v>11</v>
      </c>
      <c r="C652" s="39">
        <v>5.53</v>
      </c>
      <c r="D652" s="115"/>
    </row>
    <row r="653" spans="1:4" ht="15.75" hidden="1" outlineLevel="1">
      <c r="A653" s="39" t="s">
        <v>2728</v>
      </c>
      <c r="B653" s="40" t="s">
        <v>12</v>
      </c>
      <c r="C653" s="39">
        <v>5.69</v>
      </c>
      <c r="D653" s="115"/>
    </row>
    <row r="654" spans="1:4" ht="15.75" hidden="1" outlineLevel="1">
      <c r="A654" s="39" t="s">
        <v>2728</v>
      </c>
      <c r="B654" s="40" t="s">
        <v>14</v>
      </c>
      <c r="C654" s="41">
        <v>5.7</v>
      </c>
      <c r="D654" s="115"/>
    </row>
    <row r="655" spans="1:4" ht="15.75" hidden="1" outlineLevel="1">
      <c r="A655" s="39" t="s">
        <v>2728</v>
      </c>
      <c r="B655" s="40" t="s">
        <v>15</v>
      </c>
      <c r="C655" s="39">
        <v>5.74</v>
      </c>
      <c r="D655" s="115"/>
    </row>
    <row r="656" spans="1:4" ht="15.75" hidden="1" outlineLevel="1">
      <c r="A656" s="39" t="s">
        <v>2728</v>
      </c>
      <c r="B656" s="40" t="s">
        <v>1520</v>
      </c>
      <c r="C656" s="39">
        <v>5.109</v>
      </c>
      <c r="D656" s="115"/>
    </row>
    <row r="657" spans="1:4" ht="15.75" hidden="1" outlineLevel="1">
      <c r="A657" s="39" t="s">
        <v>2728</v>
      </c>
      <c r="B657" s="40" t="s">
        <v>1521</v>
      </c>
      <c r="C657" s="39">
        <v>5.1109999999999998</v>
      </c>
      <c r="D657" s="115"/>
    </row>
    <row r="658" spans="1:4" ht="15.75" hidden="1" outlineLevel="1">
      <c r="A658" s="39" t="s">
        <v>2728</v>
      </c>
      <c r="B658" s="40" t="s">
        <v>1523</v>
      </c>
      <c r="C658" s="39">
        <v>5.1120000000000001</v>
      </c>
      <c r="D658" s="115"/>
    </row>
    <row r="659" spans="1:4" ht="15.75" hidden="1" outlineLevel="1">
      <c r="A659" s="39" t="s">
        <v>2728</v>
      </c>
      <c r="B659" s="40" t="s">
        <v>17</v>
      </c>
      <c r="C659" s="39">
        <v>5.58</v>
      </c>
      <c r="D659" s="115"/>
    </row>
    <row r="660" spans="1:4" ht="15.75" hidden="1" outlineLevel="1">
      <c r="A660" s="39" t="s">
        <v>2728</v>
      </c>
      <c r="B660" s="40" t="s">
        <v>18</v>
      </c>
      <c r="C660" s="39">
        <v>5.54</v>
      </c>
      <c r="D660" s="115"/>
    </row>
    <row r="661" spans="1:4" ht="15.75" hidden="1" outlineLevel="1">
      <c r="A661" s="39" t="s">
        <v>2728</v>
      </c>
      <c r="B661" s="40" t="s">
        <v>19</v>
      </c>
      <c r="C661" s="39">
        <v>5.55</v>
      </c>
      <c r="D661" s="115"/>
    </row>
    <row r="662" spans="1:4" ht="15.75" hidden="1" outlineLevel="1">
      <c r="A662" s="39" t="s">
        <v>2728</v>
      </c>
      <c r="B662" s="40" t="s">
        <v>20</v>
      </c>
      <c r="C662" s="39">
        <v>5.63</v>
      </c>
      <c r="D662" s="115"/>
    </row>
    <row r="663" spans="1:4" ht="15.75" hidden="1" outlineLevel="1">
      <c r="A663" s="39" t="s">
        <v>2728</v>
      </c>
      <c r="B663" s="40" t="s">
        <v>24</v>
      </c>
      <c r="C663" s="39">
        <v>5.47</v>
      </c>
      <c r="D663" s="115"/>
    </row>
    <row r="664" spans="1:4" ht="15.75" hidden="1" outlineLevel="1">
      <c r="A664" s="39" t="s">
        <v>2728</v>
      </c>
      <c r="B664" s="40" t="s">
        <v>25</v>
      </c>
      <c r="C664" s="39">
        <v>5.48</v>
      </c>
      <c r="D664" s="115"/>
    </row>
    <row r="665" spans="1:4" ht="15.75">
      <c r="A665" s="45" t="s">
        <v>2728</v>
      </c>
      <c r="B665" s="40"/>
      <c r="C665" s="39"/>
      <c r="D665" s="115"/>
    </row>
    <row r="666" spans="1:4" ht="15.75" hidden="1" outlineLevel="1">
      <c r="A666" s="39" t="s">
        <v>2733</v>
      </c>
      <c r="B666" s="40" t="s">
        <v>0</v>
      </c>
      <c r="C666" s="39">
        <v>5.0999999999999996</v>
      </c>
      <c r="D666" s="115"/>
    </row>
    <row r="667" spans="1:4" ht="15.75" hidden="1" outlineLevel="1">
      <c r="A667" s="39" t="s">
        <v>2733</v>
      </c>
      <c r="B667" s="40" t="s">
        <v>1</v>
      </c>
      <c r="C667" s="39">
        <v>5.2</v>
      </c>
      <c r="D667" s="115"/>
    </row>
    <row r="668" spans="1:4" ht="15.75" hidden="1" outlineLevel="1">
      <c r="A668" s="39" t="s">
        <v>2733</v>
      </c>
      <c r="B668" s="40" t="s">
        <v>1999</v>
      </c>
      <c r="C668" s="39">
        <v>5.4</v>
      </c>
      <c r="D668" s="115"/>
    </row>
    <row r="669" spans="1:4" ht="15.75" hidden="1" outlineLevel="1">
      <c r="A669" s="39" t="s">
        <v>2733</v>
      </c>
      <c r="B669" s="40" t="s">
        <v>2000</v>
      </c>
      <c r="C669" s="39">
        <v>5.7</v>
      </c>
      <c r="D669" s="115"/>
    </row>
    <row r="670" spans="1:4" ht="15.75" hidden="1" outlineLevel="1">
      <c r="A670" s="39" t="s">
        <v>2733</v>
      </c>
      <c r="B670" s="40" t="s">
        <v>2001</v>
      </c>
      <c r="C670" s="39">
        <v>5.1100000000000003</v>
      </c>
      <c r="D670" s="115"/>
    </row>
    <row r="671" spans="1:4" ht="15.75" hidden="1" outlineLevel="1">
      <c r="A671" s="39" t="s">
        <v>2733</v>
      </c>
      <c r="B671" s="40" t="s">
        <v>5</v>
      </c>
      <c r="C671" s="39">
        <v>5.26</v>
      </c>
      <c r="D671" s="115"/>
    </row>
    <row r="672" spans="1:4" ht="15.75" hidden="1" outlineLevel="1">
      <c r="A672" s="39" t="s">
        <v>2733</v>
      </c>
      <c r="B672" s="40" t="s">
        <v>2002</v>
      </c>
      <c r="C672" s="39">
        <v>5.43</v>
      </c>
      <c r="D672" s="115"/>
    </row>
    <row r="673" spans="1:4" ht="15.75" hidden="1" outlineLevel="1">
      <c r="A673" s="39" t="s">
        <v>2733</v>
      </c>
      <c r="B673" s="40" t="s">
        <v>6</v>
      </c>
      <c r="C673" s="39">
        <v>5.27</v>
      </c>
      <c r="D673" s="115"/>
    </row>
    <row r="674" spans="1:4" ht="15.75" hidden="1" outlineLevel="1">
      <c r="A674" s="39" t="s">
        <v>2733</v>
      </c>
      <c r="B674" s="40" t="s">
        <v>7</v>
      </c>
      <c r="C674" s="39">
        <v>5.28</v>
      </c>
      <c r="D674" s="115"/>
    </row>
    <row r="675" spans="1:4" ht="15.75" hidden="1" outlineLevel="1">
      <c r="A675" s="39" t="s">
        <v>2733</v>
      </c>
      <c r="B675" s="40" t="s">
        <v>109</v>
      </c>
      <c r="C675" s="39">
        <v>5.36</v>
      </c>
      <c r="D675" s="115"/>
    </row>
    <row r="676" spans="1:4" ht="15.75" hidden="1" outlineLevel="1">
      <c r="A676" s="39" t="s">
        <v>2733</v>
      </c>
      <c r="B676" s="40" t="s">
        <v>2003</v>
      </c>
      <c r="C676" s="41">
        <v>5.5</v>
      </c>
      <c r="D676" s="115"/>
    </row>
    <row r="677" spans="1:4" ht="15.75" hidden="1" outlineLevel="1">
      <c r="A677" s="39" t="s">
        <v>2733</v>
      </c>
      <c r="B677" s="40" t="s">
        <v>10</v>
      </c>
      <c r="C677" s="39">
        <v>5.51</v>
      </c>
      <c r="D677" s="115"/>
    </row>
    <row r="678" spans="1:4" ht="15.75" hidden="1" outlineLevel="1">
      <c r="A678" s="39" t="s">
        <v>2733</v>
      </c>
      <c r="B678" s="40" t="s">
        <v>11</v>
      </c>
      <c r="C678" s="39">
        <v>5.53</v>
      </c>
      <c r="D678" s="115"/>
    </row>
    <row r="679" spans="1:4" ht="15.75" hidden="1" outlineLevel="1">
      <c r="A679" s="39" t="s">
        <v>2733</v>
      </c>
      <c r="B679" s="40" t="s">
        <v>12</v>
      </c>
      <c r="C679" s="39">
        <v>5.69</v>
      </c>
      <c r="D679" s="115"/>
    </row>
    <row r="680" spans="1:4" ht="15.75" hidden="1" outlineLevel="1">
      <c r="A680" s="39" t="s">
        <v>2733</v>
      </c>
      <c r="B680" s="40" t="s">
        <v>14</v>
      </c>
      <c r="C680" s="41">
        <v>5.7</v>
      </c>
      <c r="D680" s="114" t="s">
        <v>2918</v>
      </c>
    </row>
    <row r="681" spans="1:4" ht="15.75" hidden="1" outlineLevel="1">
      <c r="A681" s="39" t="s">
        <v>2733</v>
      </c>
      <c r="B681" s="40" t="s">
        <v>15</v>
      </c>
      <c r="C681" s="39">
        <v>5.74</v>
      </c>
      <c r="D681" s="115"/>
    </row>
    <row r="682" spans="1:4" ht="15.75" hidden="1" outlineLevel="1">
      <c r="A682" s="39" t="s">
        <v>2733</v>
      </c>
      <c r="B682" s="40" t="s">
        <v>2004</v>
      </c>
      <c r="C682" s="39">
        <v>5.59</v>
      </c>
      <c r="D682" s="115"/>
    </row>
    <row r="683" spans="1:4" ht="15.75" hidden="1" outlineLevel="1">
      <c r="A683" s="39" t="s">
        <v>2733</v>
      </c>
      <c r="B683" s="40" t="s">
        <v>18</v>
      </c>
      <c r="C683" s="39">
        <v>5.54</v>
      </c>
      <c r="D683" s="115"/>
    </row>
    <row r="684" spans="1:4" ht="15.75" hidden="1" outlineLevel="1">
      <c r="A684" s="39" t="s">
        <v>2733</v>
      </c>
      <c r="B684" s="40" t="s">
        <v>2005</v>
      </c>
      <c r="C684" s="39">
        <v>5.57</v>
      </c>
      <c r="D684" s="115"/>
    </row>
    <row r="685" spans="1:4" ht="15.75" hidden="1" outlineLevel="1">
      <c r="A685" s="39" t="s">
        <v>2733</v>
      </c>
      <c r="B685" s="40" t="s">
        <v>20</v>
      </c>
      <c r="C685" s="39">
        <v>5.63</v>
      </c>
      <c r="D685" s="115"/>
    </row>
    <row r="686" spans="1:4" ht="15.75" hidden="1" outlineLevel="1">
      <c r="A686" s="39" t="s">
        <v>2733</v>
      </c>
      <c r="B686" s="40" t="s">
        <v>24</v>
      </c>
      <c r="C686" s="39">
        <v>5.47</v>
      </c>
      <c r="D686" s="115"/>
    </row>
    <row r="687" spans="1:4" ht="15.75" hidden="1" outlineLevel="1">
      <c r="A687" s="39" t="s">
        <v>2733</v>
      </c>
      <c r="B687" s="40" t="s">
        <v>25</v>
      </c>
      <c r="C687" s="39">
        <v>5.48</v>
      </c>
      <c r="D687" s="115"/>
    </row>
    <row r="688" spans="1:4" ht="15.75">
      <c r="A688" s="45" t="s">
        <v>2733</v>
      </c>
      <c r="B688" s="40"/>
      <c r="C688" s="39"/>
      <c r="D688" s="115"/>
    </row>
    <row r="689" spans="1:4" ht="15.75" hidden="1" outlineLevel="1">
      <c r="A689" s="39" t="s">
        <v>2736</v>
      </c>
      <c r="B689" s="40" t="s">
        <v>0</v>
      </c>
      <c r="C689" s="39">
        <v>5.0999999999999996</v>
      </c>
      <c r="D689" s="115"/>
    </row>
    <row r="690" spans="1:4" ht="15.75" hidden="1" outlineLevel="1">
      <c r="A690" s="39" t="s">
        <v>2736</v>
      </c>
      <c r="B690" s="40" t="s">
        <v>1</v>
      </c>
      <c r="C690" s="39">
        <v>5.2</v>
      </c>
      <c r="D690" s="115"/>
    </row>
    <row r="691" spans="1:4" ht="15.75" hidden="1" outlineLevel="1">
      <c r="A691" s="39" t="s">
        <v>2736</v>
      </c>
      <c r="B691" s="40" t="s">
        <v>2006</v>
      </c>
      <c r="C691" s="39">
        <v>5.17</v>
      </c>
      <c r="D691" s="115"/>
    </row>
    <row r="692" spans="1:4" ht="15.75" hidden="1" outlineLevel="1">
      <c r="A692" s="39" t="s">
        <v>2736</v>
      </c>
      <c r="B692" s="40" t="s">
        <v>5</v>
      </c>
      <c r="C692" s="39">
        <v>5.26</v>
      </c>
      <c r="D692" s="115"/>
    </row>
    <row r="693" spans="1:4" ht="15.75" hidden="1" outlineLevel="1">
      <c r="A693" s="39" t="s">
        <v>2736</v>
      </c>
      <c r="B693" s="40" t="s">
        <v>2007</v>
      </c>
      <c r="C693" s="39">
        <v>5.1029999999999998</v>
      </c>
      <c r="D693" s="115"/>
    </row>
    <row r="694" spans="1:4" ht="15.75" hidden="1" outlineLevel="1">
      <c r="A694" s="39" t="s">
        <v>2736</v>
      </c>
      <c r="B694" s="40" t="s">
        <v>109</v>
      </c>
      <c r="C694" s="39">
        <v>5.36</v>
      </c>
      <c r="D694" s="115"/>
    </row>
    <row r="695" spans="1:4" ht="15.75" hidden="1" outlineLevel="1">
      <c r="A695" s="39" t="s">
        <v>2736</v>
      </c>
      <c r="B695" s="40" t="s">
        <v>1514</v>
      </c>
      <c r="C695" s="39">
        <v>5.37</v>
      </c>
      <c r="D695" s="115"/>
    </row>
    <row r="696" spans="1:4" ht="15.75" hidden="1" outlineLevel="1">
      <c r="A696" s="39" t="s">
        <v>2736</v>
      </c>
      <c r="B696" s="40" t="s">
        <v>2008</v>
      </c>
      <c r="C696" s="39">
        <v>5.1040000000000001</v>
      </c>
      <c r="D696" s="115"/>
    </row>
    <row r="697" spans="1:4" ht="15.75" hidden="1" outlineLevel="1">
      <c r="A697" s="39" t="s">
        <v>2736</v>
      </c>
      <c r="B697" s="40" t="s">
        <v>2009</v>
      </c>
      <c r="C697" s="39">
        <v>5.1050000000000004</v>
      </c>
      <c r="D697" s="115"/>
    </row>
    <row r="698" spans="1:4" ht="15.75" hidden="1" outlineLevel="1">
      <c r="A698" s="39" t="s">
        <v>2736</v>
      </c>
      <c r="B698" s="40" t="s">
        <v>2010</v>
      </c>
      <c r="C698" s="39">
        <v>5.1059999999999999</v>
      </c>
      <c r="D698" s="115"/>
    </row>
    <row r="699" spans="1:4" ht="15.75" hidden="1" outlineLevel="1">
      <c r="A699" s="39" t="s">
        <v>2736</v>
      </c>
      <c r="B699" s="40" t="s">
        <v>2011</v>
      </c>
      <c r="C699" s="39">
        <v>5.1070000000000002</v>
      </c>
      <c r="D699" s="115"/>
    </row>
    <row r="700" spans="1:4" ht="15.75" hidden="1" outlineLevel="1">
      <c r="A700" s="39" t="s">
        <v>2736</v>
      </c>
      <c r="B700" s="40" t="s">
        <v>2587</v>
      </c>
      <c r="C700" s="39">
        <v>5.1079999999999997</v>
      </c>
      <c r="D700" s="114" t="s">
        <v>2918</v>
      </c>
    </row>
    <row r="701" spans="1:4" ht="15.75" hidden="1" outlineLevel="1">
      <c r="A701" s="39" t="s">
        <v>2736</v>
      </c>
      <c r="B701" s="40" t="s">
        <v>1520</v>
      </c>
      <c r="C701" s="39">
        <v>5.109</v>
      </c>
      <c r="D701" s="115"/>
    </row>
    <row r="702" spans="1:4" ht="15.75" hidden="1" outlineLevel="1">
      <c r="A702" s="39" t="s">
        <v>2736</v>
      </c>
      <c r="B702" s="40" t="s">
        <v>1522</v>
      </c>
      <c r="C702" s="42">
        <v>5.1100000000000003</v>
      </c>
      <c r="D702" s="114" t="s">
        <v>2918</v>
      </c>
    </row>
    <row r="703" spans="1:4" ht="15.75" hidden="1" outlineLevel="1">
      <c r="A703" s="39" t="s">
        <v>2736</v>
      </c>
      <c r="B703" s="40" t="s">
        <v>1521</v>
      </c>
      <c r="C703" s="39">
        <v>5.1109999999999998</v>
      </c>
      <c r="D703" s="115"/>
    </row>
    <row r="704" spans="1:4" ht="15.75" hidden="1" outlineLevel="1">
      <c r="A704" s="39" t="s">
        <v>2736</v>
      </c>
      <c r="B704" s="40" t="s">
        <v>1523</v>
      </c>
      <c r="C704" s="39">
        <v>5.1120000000000001</v>
      </c>
      <c r="D704" s="115"/>
    </row>
    <row r="705" spans="1:4" ht="15.75" hidden="1" outlineLevel="1">
      <c r="A705" s="39" t="s">
        <v>2736</v>
      </c>
      <c r="B705" s="40" t="s">
        <v>11</v>
      </c>
      <c r="C705" s="39">
        <v>5.53</v>
      </c>
      <c r="D705" s="115"/>
    </row>
    <row r="706" spans="1:4" ht="15.75" hidden="1" outlineLevel="1">
      <c r="A706" s="39" t="s">
        <v>2736</v>
      </c>
      <c r="B706" s="40" t="s">
        <v>1988</v>
      </c>
      <c r="C706" s="39">
        <v>5.64</v>
      </c>
      <c r="D706" s="115"/>
    </row>
    <row r="707" spans="1:4" ht="15.75" hidden="1" outlineLevel="1">
      <c r="A707" s="39" t="s">
        <v>2736</v>
      </c>
      <c r="B707" s="40" t="s">
        <v>20</v>
      </c>
      <c r="C707" s="39">
        <v>5.63</v>
      </c>
      <c r="D707" s="115"/>
    </row>
    <row r="708" spans="1:4" ht="15.75" hidden="1" outlineLevel="1">
      <c r="A708" s="39" t="s">
        <v>2736</v>
      </c>
      <c r="B708" s="40" t="s">
        <v>21</v>
      </c>
      <c r="C708" s="39">
        <v>5.65</v>
      </c>
      <c r="D708" s="115"/>
    </row>
    <row r="709" spans="1:4" ht="15.75" hidden="1" outlineLevel="1">
      <c r="A709" s="39" t="s">
        <v>2736</v>
      </c>
      <c r="B709" s="40" t="s">
        <v>114</v>
      </c>
      <c r="C709" s="39">
        <v>5.66</v>
      </c>
      <c r="D709" s="115"/>
    </row>
    <row r="710" spans="1:4" ht="15.75" hidden="1" outlineLevel="1">
      <c r="A710" s="39" t="s">
        <v>2736</v>
      </c>
      <c r="B710" s="40" t="s">
        <v>22</v>
      </c>
      <c r="C710" s="39">
        <v>5.68</v>
      </c>
      <c r="D710" s="115"/>
    </row>
    <row r="711" spans="1:4" ht="15.75" hidden="1" outlineLevel="1">
      <c r="A711" s="39" t="s">
        <v>2736</v>
      </c>
      <c r="B711" s="40" t="s">
        <v>24</v>
      </c>
      <c r="C711" s="39">
        <v>5.47</v>
      </c>
      <c r="D711" s="115"/>
    </row>
    <row r="712" spans="1:4" ht="15.75" hidden="1" outlineLevel="1">
      <c r="A712" s="39" t="s">
        <v>2736</v>
      </c>
      <c r="B712" s="40" t="s">
        <v>25</v>
      </c>
      <c r="C712" s="39">
        <v>5.48</v>
      </c>
      <c r="D712" s="115"/>
    </row>
    <row r="713" spans="1:4" ht="15.75">
      <c r="A713" s="45" t="s">
        <v>2736</v>
      </c>
      <c r="B713" s="40"/>
      <c r="C713" s="39"/>
      <c r="D713" s="115"/>
    </row>
    <row r="714" spans="1:4" ht="15.75" hidden="1" outlineLevel="1">
      <c r="A714" s="39" t="s">
        <v>2931</v>
      </c>
      <c r="B714" s="40" t="s">
        <v>0</v>
      </c>
      <c r="C714" s="39">
        <v>5.0999999999999996</v>
      </c>
      <c r="D714" s="115"/>
    </row>
    <row r="715" spans="1:4" ht="15.75" hidden="1" outlineLevel="1">
      <c r="A715" s="39" t="s">
        <v>2931</v>
      </c>
      <c r="B715" s="40" t="s">
        <v>1</v>
      </c>
      <c r="C715" s="39">
        <v>5.2</v>
      </c>
      <c r="D715" s="115"/>
    </row>
    <row r="716" spans="1:4" ht="15.75" hidden="1" outlineLevel="1">
      <c r="A716" s="39" t="s">
        <v>2931</v>
      </c>
      <c r="B716" s="40" t="s">
        <v>2</v>
      </c>
      <c r="C716" s="39">
        <v>5.3</v>
      </c>
      <c r="D716" s="115"/>
    </row>
    <row r="717" spans="1:4" ht="15.75" hidden="1" outlineLevel="1">
      <c r="A717" s="39" t="s">
        <v>2931</v>
      </c>
      <c r="B717" s="40" t="s">
        <v>105</v>
      </c>
      <c r="C717" s="39">
        <v>5.6</v>
      </c>
      <c r="D717" s="115"/>
    </row>
    <row r="718" spans="1:4" ht="15.75" hidden="1" outlineLevel="1">
      <c r="A718" s="39" t="s">
        <v>2931</v>
      </c>
      <c r="B718" s="40" t="s">
        <v>2919</v>
      </c>
      <c r="C718" s="41">
        <v>5.0999999999999996</v>
      </c>
      <c r="D718" s="115"/>
    </row>
    <row r="719" spans="1:4" ht="15.75" hidden="1" outlineLevel="1">
      <c r="A719" s="39" t="s">
        <v>2931</v>
      </c>
      <c r="B719" s="40" t="s">
        <v>1466</v>
      </c>
      <c r="C719" s="39">
        <v>5.14</v>
      </c>
      <c r="D719" s="115"/>
    </row>
    <row r="720" spans="1:4" ht="15.75" hidden="1" outlineLevel="1">
      <c r="A720" s="39" t="s">
        <v>2931</v>
      </c>
      <c r="B720" s="40" t="s">
        <v>4</v>
      </c>
      <c r="C720" s="39">
        <v>5.19</v>
      </c>
      <c r="D720" s="115"/>
    </row>
    <row r="721" spans="1:4" ht="15.75" hidden="1" outlineLevel="1">
      <c r="A721" s="39" t="s">
        <v>2931</v>
      </c>
      <c r="B721" s="40" t="s">
        <v>107</v>
      </c>
      <c r="C721" s="39">
        <v>5.24</v>
      </c>
      <c r="D721" s="115"/>
    </row>
    <row r="722" spans="1:4" ht="15.75" hidden="1" outlineLevel="1">
      <c r="A722" s="39" t="s">
        <v>2931</v>
      </c>
      <c r="B722" s="40" t="s">
        <v>5</v>
      </c>
      <c r="C722" s="39">
        <v>5.26</v>
      </c>
      <c r="D722" s="115"/>
    </row>
    <row r="723" spans="1:4" ht="15.75" hidden="1" outlineLevel="1">
      <c r="A723" s="39" t="s">
        <v>2931</v>
      </c>
      <c r="B723" s="40" t="s">
        <v>6</v>
      </c>
      <c r="C723" s="39">
        <v>5.27</v>
      </c>
      <c r="D723" s="115"/>
    </row>
    <row r="724" spans="1:4" ht="15.75" hidden="1" outlineLevel="1">
      <c r="A724" s="39" t="s">
        <v>2931</v>
      </c>
      <c r="B724" s="40" t="s">
        <v>7</v>
      </c>
      <c r="C724" s="39">
        <v>5.28</v>
      </c>
      <c r="D724" s="115"/>
    </row>
    <row r="725" spans="1:4" ht="15.75" hidden="1" outlineLevel="1">
      <c r="A725" s="39" t="s">
        <v>2931</v>
      </c>
      <c r="B725" s="40" t="s">
        <v>108</v>
      </c>
      <c r="C725" s="39">
        <v>5.31</v>
      </c>
      <c r="D725" s="115"/>
    </row>
    <row r="726" spans="1:4" ht="15.75" hidden="1" outlineLevel="1">
      <c r="A726" s="39" t="s">
        <v>2931</v>
      </c>
      <c r="B726" s="40" t="s">
        <v>109</v>
      </c>
      <c r="C726" s="39">
        <v>5.36</v>
      </c>
      <c r="D726" s="115"/>
    </row>
    <row r="727" spans="1:4" ht="15.75" hidden="1" outlineLevel="1">
      <c r="A727" s="39" t="s">
        <v>2931</v>
      </c>
      <c r="B727" s="40" t="s">
        <v>11</v>
      </c>
      <c r="C727" s="39">
        <v>5.53</v>
      </c>
      <c r="D727" s="115"/>
    </row>
    <row r="728" spans="1:4" ht="15.75" hidden="1" outlineLevel="1">
      <c r="A728" s="39" t="s">
        <v>2931</v>
      </c>
      <c r="B728" s="40" t="s">
        <v>1520</v>
      </c>
      <c r="C728" s="39">
        <v>5.109</v>
      </c>
      <c r="D728" s="115"/>
    </row>
    <row r="729" spans="1:4" ht="15.75" hidden="1" outlineLevel="1">
      <c r="A729" s="39" t="s">
        <v>2931</v>
      </c>
      <c r="B729" s="40" t="s">
        <v>1521</v>
      </c>
      <c r="C729" s="39">
        <v>5.1109999999999998</v>
      </c>
      <c r="D729" s="115"/>
    </row>
    <row r="730" spans="1:4" ht="15.75" hidden="1" outlineLevel="1">
      <c r="A730" s="39" t="s">
        <v>2931</v>
      </c>
      <c r="B730" s="40" t="s">
        <v>1523</v>
      </c>
      <c r="C730" s="39">
        <v>5.1120000000000001</v>
      </c>
      <c r="D730" s="115"/>
    </row>
    <row r="731" spans="1:4" ht="15.75" hidden="1" outlineLevel="1">
      <c r="A731" s="39" t="s">
        <v>2931</v>
      </c>
      <c r="B731" s="40" t="s">
        <v>2924</v>
      </c>
      <c r="C731" s="39">
        <v>5.1130000000000004</v>
      </c>
      <c r="D731" s="115"/>
    </row>
    <row r="732" spans="1:4" ht="15.75" hidden="1" outlineLevel="1">
      <c r="A732" s="39" t="s">
        <v>2931</v>
      </c>
      <c r="B732" s="40" t="s">
        <v>2016</v>
      </c>
      <c r="C732" s="39">
        <v>5.117</v>
      </c>
      <c r="D732" s="115"/>
    </row>
    <row r="733" spans="1:4" ht="15.75" hidden="1" outlineLevel="1">
      <c r="A733" s="39" t="s">
        <v>2931</v>
      </c>
      <c r="B733" s="40" t="s">
        <v>2017</v>
      </c>
      <c r="C733" s="39">
        <v>5.67</v>
      </c>
      <c r="D733" s="115"/>
    </row>
    <row r="734" spans="1:4" ht="15.75" hidden="1" outlineLevel="1">
      <c r="A734" s="39" t="s">
        <v>2931</v>
      </c>
      <c r="B734" s="40" t="s">
        <v>20</v>
      </c>
      <c r="C734" s="39">
        <v>5.63</v>
      </c>
      <c r="D734" s="115"/>
    </row>
    <row r="735" spans="1:4" ht="15.75" hidden="1" outlineLevel="1">
      <c r="A735" s="39" t="s">
        <v>2931</v>
      </c>
      <c r="B735" s="40" t="s">
        <v>24</v>
      </c>
      <c r="C735" s="39">
        <v>5.47</v>
      </c>
      <c r="D735" s="115"/>
    </row>
    <row r="736" spans="1:4" ht="15.75" hidden="1" outlineLevel="1">
      <c r="A736" s="39" t="s">
        <v>2931</v>
      </c>
      <c r="B736" s="40" t="s">
        <v>25</v>
      </c>
      <c r="C736" s="39">
        <v>5.48</v>
      </c>
      <c r="D736" s="115"/>
    </row>
    <row r="737" spans="1:4" ht="15.75">
      <c r="A737" s="45" t="s">
        <v>2932</v>
      </c>
      <c r="B737" s="40"/>
      <c r="C737" s="39"/>
      <c r="D737" s="115"/>
    </row>
    <row r="738" spans="1:4" ht="15.75" hidden="1" outlineLevel="1">
      <c r="A738" s="39" t="s">
        <v>2738</v>
      </c>
      <c r="B738" s="40" t="s">
        <v>0</v>
      </c>
      <c r="C738" s="39">
        <v>5.0999999999999996</v>
      </c>
      <c r="D738" s="115"/>
    </row>
    <row r="739" spans="1:4" ht="15.75" hidden="1" outlineLevel="1">
      <c r="A739" s="39" t="s">
        <v>2738</v>
      </c>
      <c r="B739" s="40" t="s">
        <v>1</v>
      </c>
      <c r="C739" s="39">
        <v>5.2</v>
      </c>
      <c r="D739" s="115"/>
    </row>
    <row r="740" spans="1:4" ht="15.75" hidden="1" outlineLevel="1">
      <c r="A740" s="39" t="s">
        <v>2738</v>
      </c>
      <c r="B740" s="40" t="s">
        <v>2018</v>
      </c>
      <c r="C740" s="39">
        <v>5.18</v>
      </c>
      <c r="D740" s="115"/>
    </row>
    <row r="741" spans="1:4" ht="15.75" hidden="1" outlineLevel="1">
      <c r="A741" s="39" t="s">
        <v>2738</v>
      </c>
      <c r="B741" s="40" t="s">
        <v>2019</v>
      </c>
      <c r="C741" s="39">
        <v>5.23</v>
      </c>
      <c r="D741" s="115"/>
    </row>
    <row r="742" spans="1:4" ht="15.75" hidden="1" outlineLevel="1">
      <c r="A742" s="39" t="s">
        <v>2738</v>
      </c>
      <c r="B742" s="40" t="s">
        <v>5</v>
      </c>
      <c r="C742" s="39">
        <v>5.26</v>
      </c>
      <c r="D742" s="115"/>
    </row>
    <row r="743" spans="1:4" ht="15.75" hidden="1" outlineLevel="1">
      <c r="A743" s="39" t="s">
        <v>2738</v>
      </c>
      <c r="B743" s="40" t="s">
        <v>6</v>
      </c>
      <c r="C743" s="39">
        <v>5.27</v>
      </c>
      <c r="D743" s="115"/>
    </row>
    <row r="744" spans="1:4" ht="15.75" hidden="1" outlineLevel="1">
      <c r="A744" s="39" t="s">
        <v>2738</v>
      </c>
      <c r="B744" s="40" t="s">
        <v>7</v>
      </c>
      <c r="C744" s="39">
        <v>5.28</v>
      </c>
      <c r="D744" s="115"/>
    </row>
    <row r="745" spans="1:4" ht="15.75" hidden="1" outlineLevel="1">
      <c r="A745" s="39" t="s">
        <v>2738</v>
      </c>
      <c r="B745" s="40" t="s">
        <v>109</v>
      </c>
      <c r="C745" s="39">
        <v>5.36</v>
      </c>
      <c r="D745" s="115"/>
    </row>
    <row r="746" spans="1:4" ht="15.75" hidden="1" outlineLevel="1">
      <c r="A746" s="39" t="s">
        <v>2738</v>
      </c>
      <c r="B746" s="40" t="s">
        <v>2020</v>
      </c>
      <c r="C746" s="39">
        <v>5.44</v>
      </c>
      <c r="D746" s="115"/>
    </row>
    <row r="747" spans="1:4" ht="15.75" hidden="1" outlineLevel="1">
      <c r="A747" s="39" t="s">
        <v>2738</v>
      </c>
      <c r="B747" s="40" t="s">
        <v>11</v>
      </c>
      <c r="C747" s="39">
        <v>5.53</v>
      </c>
      <c r="D747" s="115"/>
    </row>
    <row r="748" spans="1:4" ht="15.75" hidden="1" outlineLevel="1">
      <c r="A748" s="39" t="s">
        <v>2738</v>
      </c>
      <c r="B748" s="40" t="s">
        <v>1523</v>
      </c>
      <c r="C748" s="39">
        <v>5.1120000000000001</v>
      </c>
      <c r="D748" s="115"/>
    </row>
    <row r="749" spans="1:4" ht="15.75" hidden="1" outlineLevel="1">
      <c r="A749" s="39" t="s">
        <v>2738</v>
      </c>
      <c r="B749" s="40" t="s">
        <v>2004</v>
      </c>
      <c r="C749" s="39">
        <v>5.59</v>
      </c>
      <c r="D749" s="115"/>
    </row>
    <row r="750" spans="1:4" ht="15.75" hidden="1" outlineLevel="1">
      <c r="A750" s="39" t="s">
        <v>2738</v>
      </c>
      <c r="B750" s="40" t="s">
        <v>18</v>
      </c>
      <c r="C750" s="39">
        <v>5.54</v>
      </c>
      <c r="D750" s="115"/>
    </row>
    <row r="751" spans="1:4" ht="15.75" hidden="1" outlineLevel="1">
      <c r="A751" s="39" t="s">
        <v>2738</v>
      </c>
      <c r="B751" s="40" t="s">
        <v>20</v>
      </c>
      <c r="C751" s="39">
        <v>5.63</v>
      </c>
      <c r="D751" s="115"/>
    </row>
    <row r="752" spans="1:4" ht="15.75" hidden="1" outlineLevel="1">
      <c r="A752" s="39" t="s">
        <v>2738</v>
      </c>
      <c r="B752" s="40" t="s">
        <v>21</v>
      </c>
      <c r="C752" s="39">
        <v>5.65</v>
      </c>
      <c r="D752" s="115"/>
    </row>
    <row r="753" spans="1:4" ht="15.75" hidden="1" outlineLevel="1">
      <c r="A753" s="39" t="s">
        <v>2738</v>
      </c>
      <c r="B753" s="40" t="s">
        <v>22</v>
      </c>
      <c r="C753" s="39">
        <v>5.68</v>
      </c>
      <c r="D753" s="115"/>
    </row>
    <row r="754" spans="1:4" ht="15.75" hidden="1" outlineLevel="1">
      <c r="A754" s="39" t="s">
        <v>2738</v>
      </c>
      <c r="B754" s="40" t="s">
        <v>24</v>
      </c>
      <c r="C754" s="39">
        <v>5.47</v>
      </c>
      <c r="D754" s="115"/>
    </row>
    <row r="755" spans="1:4" ht="15.75" hidden="1" outlineLevel="1">
      <c r="A755" s="39" t="s">
        <v>2738</v>
      </c>
      <c r="B755" s="40" t="s">
        <v>25</v>
      </c>
      <c r="C755" s="39">
        <v>5.48</v>
      </c>
      <c r="D755" s="115"/>
    </row>
    <row r="756" spans="1:4" ht="15.75">
      <c r="A756" s="45" t="s">
        <v>2738</v>
      </c>
      <c r="B756" s="40"/>
      <c r="C756" s="39"/>
      <c r="D756" s="115"/>
    </row>
    <row r="757" spans="1:4" ht="15.75" hidden="1" outlineLevel="1">
      <c r="A757" s="39" t="s">
        <v>2933</v>
      </c>
      <c r="B757" s="40" t="s">
        <v>0</v>
      </c>
      <c r="C757" s="39">
        <v>5.0999999999999996</v>
      </c>
      <c r="D757" s="115"/>
    </row>
    <row r="758" spans="1:4" ht="15.75" hidden="1" outlineLevel="1">
      <c r="A758" s="39" t="s">
        <v>2933</v>
      </c>
      <c r="B758" s="40" t="s">
        <v>1</v>
      </c>
      <c r="C758" s="39">
        <v>5.2</v>
      </c>
      <c r="D758" s="115"/>
    </row>
    <row r="759" spans="1:4" ht="15.75" hidden="1" outlineLevel="1">
      <c r="A759" s="39" t="s">
        <v>2933</v>
      </c>
      <c r="B759" s="40" t="s">
        <v>1966</v>
      </c>
      <c r="C759" s="39">
        <v>5.9</v>
      </c>
      <c r="D759" s="114" t="s">
        <v>2918</v>
      </c>
    </row>
    <row r="760" spans="1:4" ht="15.75" hidden="1" outlineLevel="1">
      <c r="A760" s="39" t="s">
        <v>2933</v>
      </c>
      <c r="B760" s="40" t="s">
        <v>1967</v>
      </c>
      <c r="C760" s="39">
        <v>5.13</v>
      </c>
      <c r="D760" s="115"/>
    </row>
    <row r="761" spans="1:4" ht="15.75" hidden="1" outlineLevel="1">
      <c r="A761" s="39" t="s">
        <v>2933</v>
      </c>
      <c r="B761" s="40" t="s">
        <v>1968</v>
      </c>
      <c r="C761" s="39">
        <v>5.16</v>
      </c>
      <c r="D761" s="114" t="s">
        <v>2918</v>
      </c>
    </row>
    <row r="762" spans="1:4" ht="15.75" hidden="1" outlineLevel="1">
      <c r="A762" s="39" t="s">
        <v>2933</v>
      </c>
      <c r="B762" s="40" t="s">
        <v>1969</v>
      </c>
      <c r="C762" s="39">
        <v>5.22</v>
      </c>
      <c r="D762" s="114"/>
    </row>
    <row r="763" spans="1:4" ht="15.75" hidden="1" outlineLevel="1">
      <c r="A763" s="39" t="s">
        <v>2933</v>
      </c>
      <c r="B763" s="40" t="s">
        <v>2027</v>
      </c>
      <c r="C763" s="39">
        <v>5.42</v>
      </c>
      <c r="D763" s="115"/>
    </row>
    <row r="764" spans="1:4" ht="15.75" hidden="1" outlineLevel="1">
      <c r="A764" s="39" t="s">
        <v>2933</v>
      </c>
      <c r="B764" s="40" t="s">
        <v>6</v>
      </c>
      <c r="C764" s="39">
        <v>5.27</v>
      </c>
      <c r="D764" s="115"/>
    </row>
    <row r="765" spans="1:4" ht="15.75" hidden="1" outlineLevel="1">
      <c r="A765" s="39" t="s">
        <v>2933</v>
      </c>
      <c r="B765" s="40" t="s">
        <v>7</v>
      </c>
      <c r="C765" s="39">
        <v>5.28</v>
      </c>
      <c r="D765" s="114" t="s">
        <v>2918</v>
      </c>
    </row>
    <row r="766" spans="1:4" ht="15.75" hidden="1" outlineLevel="1">
      <c r="A766" s="39" t="s">
        <v>2933</v>
      </c>
      <c r="B766" s="40" t="s">
        <v>109</v>
      </c>
      <c r="C766" s="39">
        <v>5.36</v>
      </c>
      <c r="D766" s="115"/>
    </row>
    <row r="767" spans="1:4" ht="15.75" hidden="1" outlineLevel="1">
      <c r="A767" s="39" t="s">
        <v>2933</v>
      </c>
      <c r="B767" s="40" t="s">
        <v>9</v>
      </c>
      <c r="C767" s="39">
        <v>5.49</v>
      </c>
      <c r="D767" s="115"/>
    </row>
    <row r="768" spans="1:4" ht="15.75" hidden="1" outlineLevel="1">
      <c r="A768" s="39" t="s">
        <v>2933</v>
      </c>
      <c r="B768" s="40" t="s">
        <v>10</v>
      </c>
      <c r="C768" s="39">
        <v>5.51</v>
      </c>
      <c r="D768" s="115"/>
    </row>
    <row r="769" spans="1:4" ht="15.75" hidden="1" outlineLevel="1">
      <c r="A769" s="39" t="s">
        <v>2933</v>
      </c>
      <c r="B769" s="40" t="s">
        <v>2930</v>
      </c>
      <c r="C769" s="39">
        <v>5.52</v>
      </c>
      <c r="D769" s="115"/>
    </row>
    <row r="770" spans="1:4" ht="15.75" hidden="1" outlineLevel="1">
      <c r="A770" s="39" t="s">
        <v>2933</v>
      </c>
      <c r="B770" s="40" t="s">
        <v>11</v>
      </c>
      <c r="C770" s="39">
        <v>5.53</v>
      </c>
      <c r="D770" s="115"/>
    </row>
    <row r="771" spans="1:4" ht="15.75" hidden="1" outlineLevel="1">
      <c r="A771" s="39" t="s">
        <v>2933</v>
      </c>
      <c r="B771" s="40" t="s">
        <v>18</v>
      </c>
      <c r="C771" s="39">
        <v>5.54</v>
      </c>
      <c r="D771" s="115"/>
    </row>
    <row r="772" spans="1:4" ht="15.75" hidden="1" outlineLevel="1">
      <c r="A772" s="39" t="s">
        <v>2933</v>
      </c>
      <c r="B772" s="40" t="s">
        <v>14</v>
      </c>
      <c r="C772" s="41">
        <v>5.7</v>
      </c>
      <c r="D772" s="115"/>
    </row>
    <row r="773" spans="1:4" ht="15.75" hidden="1" outlineLevel="1">
      <c r="A773" s="39" t="s">
        <v>2933</v>
      </c>
      <c r="B773" s="40" t="s">
        <v>1975</v>
      </c>
      <c r="C773" s="39">
        <v>5.71</v>
      </c>
      <c r="D773" s="115"/>
    </row>
    <row r="774" spans="1:4" ht="15.75" hidden="1" outlineLevel="1">
      <c r="A774" s="39" t="s">
        <v>2933</v>
      </c>
      <c r="B774" s="40" t="s">
        <v>2028</v>
      </c>
      <c r="C774" s="41">
        <v>5.9</v>
      </c>
      <c r="D774" s="115"/>
    </row>
    <row r="775" spans="1:4" ht="15.75" hidden="1" outlineLevel="1">
      <c r="A775" s="39" t="s">
        <v>2933</v>
      </c>
      <c r="B775" s="40" t="s">
        <v>2029</v>
      </c>
      <c r="C775" s="39">
        <v>5.91</v>
      </c>
      <c r="D775" s="115"/>
    </row>
    <row r="776" spans="1:4" ht="15.75" hidden="1" outlineLevel="1">
      <c r="A776" s="39" t="s">
        <v>2933</v>
      </c>
      <c r="B776" s="40" t="s">
        <v>2030</v>
      </c>
      <c r="C776" s="39">
        <v>5.97</v>
      </c>
      <c r="D776" s="115"/>
    </row>
    <row r="777" spans="1:4" ht="15.75">
      <c r="A777" s="45" t="s">
        <v>2933</v>
      </c>
      <c r="B777" s="40"/>
      <c r="C777" s="39"/>
      <c r="D777" s="115"/>
    </row>
    <row r="778" spans="1:4" ht="15.75" hidden="1" outlineLevel="1">
      <c r="A778" s="39" t="s">
        <v>2773</v>
      </c>
      <c r="B778" s="40" t="s">
        <v>0</v>
      </c>
      <c r="C778" s="39">
        <v>5.0999999999999996</v>
      </c>
      <c r="D778" s="115"/>
    </row>
    <row r="779" spans="1:4" ht="15.75" hidden="1" outlineLevel="1">
      <c r="A779" s="39" t="s">
        <v>2773</v>
      </c>
      <c r="B779" s="40" t="s">
        <v>1</v>
      </c>
      <c r="C779" s="39">
        <v>5.2</v>
      </c>
      <c r="D779" s="115"/>
    </row>
    <row r="780" spans="1:4" ht="15.75" hidden="1" outlineLevel="1">
      <c r="A780" s="39" t="s">
        <v>2773</v>
      </c>
      <c r="B780" s="40" t="s">
        <v>5</v>
      </c>
      <c r="C780" s="39">
        <v>5.26</v>
      </c>
      <c r="D780" s="115"/>
    </row>
    <row r="781" spans="1:4" ht="15.75" hidden="1" outlineLevel="1">
      <c r="A781" s="39" t="s">
        <v>2773</v>
      </c>
      <c r="B781" s="40" t="s">
        <v>1650</v>
      </c>
      <c r="C781" s="39">
        <v>5.5</v>
      </c>
      <c r="D781" s="115"/>
    </row>
    <row r="782" spans="1:4" ht="15.75" hidden="1" outlineLevel="1">
      <c r="A782" s="39" t="s">
        <v>2773</v>
      </c>
      <c r="B782" s="40" t="s">
        <v>1651</v>
      </c>
      <c r="C782" s="39">
        <v>5.8</v>
      </c>
      <c r="D782" s="114" t="s">
        <v>2918</v>
      </c>
    </row>
    <row r="783" spans="1:4" ht="15.75" hidden="1" outlineLevel="1">
      <c r="A783" s="39" t="s">
        <v>2773</v>
      </c>
      <c r="B783" s="40" t="s">
        <v>1652</v>
      </c>
      <c r="C783" s="39">
        <v>5.12</v>
      </c>
      <c r="D783" s="39"/>
    </row>
    <row r="784" spans="1:4" ht="15.75" hidden="1" outlineLevel="1">
      <c r="A784" s="39" t="s">
        <v>2773</v>
      </c>
      <c r="B784" s="40" t="s">
        <v>1653</v>
      </c>
      <c r="C784" s="39">
        <v>5.15</v>
      </c>
      <c r="D784" s="39"/>
    </row>
    <row r="785" spans="1:4" ht="15.75" hidden="1" outlineLevel="1">
      <c r="A785" s="39" t="s">
        <v>2773</v>
      </c>
      <c r="B785" s="40" t="s">
        <v>1654</v>
      </c>
      <c r="C785" s="41">
        <v>5.2</v>
      </c>
      <c r="D785" s="114"/>
    </row>
    <row r="786" spans="1:4" ht="15.75" hidden="1" outlineLevel="1">
      <c r="A786" s="39" t="s">
        <v>2773</v>
      </c>
      <c r="B786" s="40" t="s">
        <v>1655</v>
      </c>
      <c r="C786" s="39">
        <v>5.25</v>
      </c>
      <c r="D786" s="39"/>
    </row>
    <row r="787" spans="1:4" ht="15.75" hidden="1" outlineLevel="1">
      <c r="A787" s="39" t="s">
        <v>2773</v>
      </c>
      <c r="B787" s="40" t="s">
        <v>11</v>
      </c>
      <c r="C787" s="39">
        <v>5.53</v>
      </c>
      <c r="D787" s="39"/>
    </row>
    <row r="788" spans="1:4" ht="15.75" hidden="1" outlineLevel="1">
      <c r="A788" s="39" t="s">
        <v>2773</v>
      </c>
      <c r="B788" s="40" t="s">
        <v>2031</v>
      </c>
      <c r="C788" s="41">
        <v>5.4</v>
      </c>
      <c r="D788" s="39"/>
    </row>
    <row r="789" spans="1:4" ht="31.5" hidden="1" outlineLevel="1">
      <c r="A789" s="39" t="s">
        <v>2773</v>
      </c>
      <c r="B789" s="40" t="s">
        <v>2032</v>
      </c>
      <c r="C789" s="39">
        <v>5.92</v>
      </c>
      <c r="D789" s="39"/>
    </row>
    <row r="790" spans="1:4" ht="15.75" hidden="1" outlineLevel="1">
      <c r="A790" s="39" t="s">
        <v>2773</v>
      </c>
      <c r="B790" s="40" t="s">
        <v>2033</v>
      </c>
      <c r="C790" s="39">
        <v>5.93</v>
      </c>
      <c r="D790" s="39"/>
    </row>
    <row r="791" spans="1:4" ht="31.5" hidden="1" outlineLevel="1">
      <c r="A791" s="39" t="s">
        <v>2773</v>
      </c>
      <c r="B791" s="40" t="s">
        <v>2034</v>
      </c>
      <c r="C791" s="39">
        <v>5.94</v>
      </c>
      <c r="D791" s="39"/>
    </row>
    <row r="792" spans="1:4" ht="15.75" hidden="1" outlineLevel="1">
      <c r="A792" s="39" t="s">
        <v>2773</v>
      </c>
      <c r="B792" s="40" t="s">
        <v>2035</v>
      </c>
      <c r="C792" s="39">
        <v>5.95</v>
      </c>
      <c r="D792" s="39"/>
    </row>
    <row r="793" spans="1:4" ht="15.75" hidden="1" outlineLevel="1">
      <c r="A793" s="39" t="s">
        <v>2773</v>
      </c>
      <c r="B793" s="40" t="s">
        <v>2036</v>
      </c>
      <c r="C793" s="39">
        <v>5.98</v>
      </c>
      <c r="D793" s="39"/>
    </row>
    <row r="794" spans="1:4" ht="15.75" hidden="1" outlineLevel="1">
      <c r="A794" s="39" t="s">
        <v>2773</v>
      </c>
      <c r="B794" s="40" t="s">
        <v>2037</v>
      </c>
      <c r="C794" s="39">
        <v>5.96</v>
      </c>
      <c r="D794" s="39"/>
    </row>
    <row r="795" spans="1:4" ht="31.5">
      <c r="A795" s="45" t="s">
        <v>2773</v>
      </c>
      <c r="B795" s="40"/>
      <c r="C795" s="39"/>
      <c r="D795" s="39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3" t="s">
        <v>2794</v>
      </c>
    </row>
    <row r="3" spans="1:2">
      <c r="A3" t="s">
        <v>2795</v>
      </c>
      <c r="B3" t="s">
        <v>2796</v>
      </c>
    </row>
    <row r="4" spans="1:2">
      <c r="A4" t="s">
        <v>2797</v>
      </c>
      <c r="B4" t="s">
        <v>2798</v>
      </c>
    </row>
    <row r="5" spans="1:2">
      <c r="A5" t="s">
        <v>2799</v>
      </c>
      <c r="B5" t="s">
        <v>2800</v>
      </c>
    </row>
    <row r="6" spans="1:2">
      <c r="A6" t="s">
        <v>2801</v>
      </c>
      <c r="B6" t="s">
        <v>2802</v>
      </c>
    </row>
    <row r="7" spans="1:2">
      <c r="A7" t="s">
        <v>2803</v>
      </c>
      <c r="B7" t="s">
        <v>2804</v>
      </c>
    </row>
    <row r="8" spans="1:2">
      <c r="A8" t="s">
        <v>2805</v>
      </c>
      <c r="B8" t="s">
        <v>2806</v>
      </c>
    </row>
    <row r="10" spans="1:2" ht="15">
      <c r="A10" s="23" t="s">
        <v>2807</v>
      </c>
    </row>
    <row r="11" spans="1:2">
      <c r="A11" t="s">
        <v>2808</v>
      </c>
    </row>
    <row r="12" spans="1:2">
      <c r="A12" t="s">
        <v>2809</v>
      </c>
      <c r="B12" t="s">
        <v>2810</v>
      </c>
    </row>
    <row r="14" spans="1:2">
      <c r="A14" s="31"/>
    </row>
    <row r="15" spans="1:2" ht="15">
      <c r="A15" s="23" t="s">
        <v>2811</v>
      </c>
    </row>
    <row r="16" spans="1:2">
      <c r="A16" s="29" t="s">
        <v>2812</v>
      </c>
    </row>
    <row r="17" spans="1:2">
      <c r="A17" s="29" t="s">
        <v>2813</v>
      </c>
    </row>
    <row r="18" spans="1:2">
      <c r="A18" s="29" t="s">
        <v>2814</v>
      </c>
    </row>
    <row r="19" spans="1:2">
      <c r="A19" s="29" t="s">
        <v>2815</v>
      </c>
    </row>
    <row r="21" spans="1:2" ht="15">
      <c r="A21" s="30" t="s">
        <v>2816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3" t="s">
        <v>2817</v>
      </c>
      <c r="B34" s="23" t="s">
        <v>118</v>
      </c>
    </row>
    <row r="35" spans="1:2">
      <c r="A35" s="136" t="s">
        <v>2818</v>
      </c>
      <c r="B35" s="137">
        <v>520023185</v>
      </c>
    </row>
    <row r="36" spans="1:2">
      <c r="A36" s="138" t="s">
        <v>2819</v>
      </c>
      <c r="B36" s="137">
        <v>520024647</v>
      </c>
    </row>
    <row r="37" spans="1:2">
      <c r="A37" s="138" t="s">
        <v>2820</v>
      </c>
      <c r="B37" s="137">
        <v>520004896</v>
      </c>
    </row>
    <row r="38" spans="1:2">
      <c r="A38" s="138" t="s">
        <v>2821</v>
      </c>
      <c r="B38" s="137">
        <v>520042540</v>
      </c>
    </row>
    <row r="39" spans="1:2">
      <c r="A39" s="138" t="s">
        <v>2822</v>
      </c>
      <c r="B39" s="137">
        <v>520021916</v>
      </c>
    </row>
    <row r="40" spans="1:2">
      <c r="A40" s="138" t="s">
        <v>2823</v>
      </c>
      <c r="B40" s="139">
        <v>510015951</v>
      </c>
    </row>
    <row r="41" spans="1:2">
      <c r="A41" s="138" t="s">
        <v>2824</v>
      </c>
      <c r="B41" s="139">
        <v>510888985</v>
      </c>
    </row>
    <row r="42" spans="1:2">
      <c r="A42" s="138" t="s">
        <v>2825</v>
      </c>
      <c r="B42" s="139">
        <v>520042177</v>
      </c>
    </row>
    <row r="43" spans="1:2">
      <c r="A43" s="138" t="s">
        <v>2826</v>
      </c>
      <c r="B43" s="138">
        <v>520031030</v>
      </c>
    </row>
    <row r="44" spans="1:2">
      <c r="A44" s="138" t="s">
        <v>2827</v>
      </c>
      <c r="B44" s="138">
        <v>520030677</v>
      </c>
    </row>
    <row r="45" spans="1:2">
      <c r="A45" s="138" t="s">
        <v>2828</v>
      </c>
      <c r="B45" s="138">
        <v>513879189</v>
      </c>
    </row>
    <row r="46" spans="1:2">
      <c r="A46" s="138" t="s">
        <v>2829</v>
      </c>
      <c r="B46" s="139">
        <v>520027848</v>
      </c>
    </row>
    <row r="47" spans="1:2">
      <c r="A47" s="138" t="s">
        <v>2830</v>
      </c>
      <c r="B47" s="139">
        <v>570003152</v>
      </c>
    </row>
    <row r="48" spans="1:2">
      <c r="A48" s="138" t="s">
        <v>2831</v>
      </c>
      <c r="B48" s="138">
        <v>513910703</v>
      </c>
    </row>
    <row r="49" spans="1:2">
      <c r="A49" s="138" t="s">
        <v>2832</v>
      </c>
      <c r="B49" s="139">
        <v>512304882</v>
      </c>
    </row>
    <row r="50" spans="1:2">
      <c r="A50" s="138" t="s">
        <v>2833</v>
      </c>
      <c r="B50" s="139">
        <v>512310509</v>
      </c>
    </row>
    <row r="51" spans="1:2">
      <c r="A51" s="138" t="s">
        <v>2834</v>
      </c>
      <c r="B51" s="139">
        <v>512904608</v>
      </c>
    </row>
    <row r="52" spans="1:2">
      <c r="A52" s="138" t="s">
        <v>2835</v>
      </c>
      <c r="B52" s="139">
        <v>500500376</v>
      </c>
    </row>
    <row r="53" spans="1:2">
      <c r="A53" s="138" t="s">
        <v>2836</v>
      </c>
      <c r="B53" s="139">
        <v>520044025</v>
      </c>
    </row>
    <row r="54" spans="1:2">
      <c r="A54" s="138" t="s">
        <v>2837</v>
      </c>
      <c r="B54" s="139">
        <v>513136895</v>
      </c>
    </row>
    <row r="55" spans="1:2">
      <c r="A55" s="138" t="s">
        <v>2838</v>
      </c>
      <c r="B55" s="139">
        <v>520004078</v>
      </c>
    </row>
    <row r="56" spans="1:2">
      <c r="A56" s="138" t="s">
        <v>2839</v>
      </c>
      <c r="B56" s="139">
        <v>515761625</v>
      </c>
    </row>
    <row r="57" spans="1:2">
      <c r="A57" s="138" t="s">
        <v>2840</v>
      </c>
      <c r="B57" s="139">
        <v>515764868</v>
      </c>
    </row>
    <row r="58" spans="1:2">
      <c r="A58" s="138" t="s">
        <v>2841</v>
      </c>
      <c r="B58" s="140">
        <v>515859379</v>
      </c>
    </row>
    <row r="59" spans="1:2">
      <c r="A59" s="138" t="s">
        <v>2842</v>
      </c>
      <c r="B59" s="139">
        <v>516687407</v>
      </c>
    </row>
    <row r="60" spans="1:2">
      <c r="A60" s="138" t="s">
        <v>2843</v>
      </c>
      <c r="B60" s="139">
        <v>516885639</v>
      </c>
    </row>
    <row r="61" spans="1:2">
      <c r="A61" s="138" t="s">
        <v>2844</v>
      </c>
      <c r="B61" s="138">
        <v>570009449</v>
      </c>
    </row>
    <row r="62" spans="1:2">
      <c r="A62" s="138" t="s">
        <v>2845</v>
      </c>
      <c r="B62" s="139">
        <v>520027954</v>
      </c>
    </row>
    <row r="63" spans="1:2">
      <c r="A63" s="138" t="s">
        <v>2846</v>
      </c>
      <c r="B63" s="139">
        <v>512362914</v>
      </c>
    </row>
    <row r="64" spans="1:2">
      <c r="A64" s="138" t="s">
        <v>2847</v>
      </c>
      <c r="B64" s="139">
        <v>511880460</v>
      </c>
    </row>
    <row r="65" spans="1:2">
      <c r="A65" s="138" t="s">
        <v>2848</v>
      </c>
      <c r="B65" s="138">
        <v>511033060</v>
      </c>
    </row>
    <row r="66" spans="1:2">
      <c r="A66" s="138" t="s">
        <v>2849</v>
      </c>
      <c r="B66" s="138">
        <v>570005850</v>
      </c>
    </row>
    <row r="67" spans="1:2">
      <c r="A67" s="138" t="s">
        <v>2850</v>
      </c>
      <c r="B67" s="139">
        <v>510694821</v>
      </c>
    </row>
    <row r="68" spans="1:2">
      <c r="A68" s="138" t="s">
        <v>2851</v>
      </c>
      <c r="B68" s="138">
        <v>520027624</v>
      </c>
    </row>
    <row r="69" spans="1:2">
      <c r="A69" s="138" t="s">
        <v>2852</v>
      </c>
      <c r="B69" s="139">
        <v>520027715</v>
      </c>
    </row>
    <row r="70" spans="1:2">
      <c r="A70" s="138" t="s">
        <v>2853</v>
      </c>
      <c r="B70" s="139">
        <v>520028861</v>
      </c>
    </row>
    <row r="71" spans="1:2">
      <c r="A71" s="138" t="s">
        <v>2854</v>
      </c>
      <c r="B71" s="139">
        <v>520029620</v>
      </c>
    </row>
    <row r="72" spans="1:2">
      <c r="A72" s="138" t="s">
        <v>2855</v>
      </c>
      <c r="B72" s="139">
        <v>520030743</v>
      </c>
    </row>
    <row r="73" spans="1:2">
      <c r="A73" s="138" t="s">
        <v>2856</v>
      </c>
      <c r="B73" s="139">
        <v>520030198</v>
      </c>
    </row>
    <row r="74" spans="1:2">
      <c r="A74" s="138" t="s">
        <v>2857</v>
      </c>
      <c r="B74" s="139">
        <v>520042631</v>
      </c>
    </row>
    <row r="75" spans="1:2">
      <c r="A75" s="138" t="s">
        <v>2858</v>
      </c>
      <c r="B75" s="139">
        <v>520030941</v>
      </c>
    </row>
    <row r="76" spans="1:2">
      <c r="A76" s="138" t="s">
        <v>2859</v>
      </c>
      <c r="B76" s="139">
        <v>520032269</v>
      </c>
    </row>
    <row r="77" spans="1:2">
      <c r="A77" s="138" t="s">
        <v>2860</v>
      </c>
      <c r="B77" s="138">
        <v>510806870</v>
      </c>
    </row>
    <row r="78" spans="1:2">
      <c r="A78" s="138" t="s">
        <v>2861</v>
      </c>
      <c r="B78" s="138">
        <v>520031824</v>
      </c>
    </row>
    <row r="79" spans="1:2">
      <c r="A79" s="138" t="s">
        <v>2862</v>
      </c>
      <c r="B79" s="139">
        <v>510927536</v>
      </c>
    </row>
    <row r="80" spans="1:2">
      <c r="A80" s="138" t="s">
        <v>2863</v>
      </c>
      <c r="B80" s="139">
        <v>510930654</v>
      </c>
    </row>
    <row r="81" spans="1:2">
      <c r="A81" s="138" t="s">
        <v>2864</v>
      </c>
      <c r="B81" s="138">
        <v>510930670</v>
      </c>
    </row>
    <row r="82" spans="1:2">
      <c r="A82" s="138" t="s">
        <v>2865</v>
      </c>
      <c r="B82" s="139">
        <v>520034968</v>
      </c>
    </row>
    <row r="83" spans="1:2">
      <c r="A83" s="138" t="s">
        <v>2866</v>
      </c>
      <c r="B83" s="139">
        <v>520024985</v>
      </c>
    </row>
    <row r="84" spans="1:2">
      <c r="A84" s="138" t="s">
        <v>2867</v>
      </c>
      <c r="B84" s="138">
        <v>520030990</v>
      </c>
    </row>
    <row r="85" spans="1:2">
      <c r="A85" s="138" t="s">
        <v>2868</v>
      </c>
      <c r="B85" s="139">
        <v>520042615</v>
      </c>
    </row>
    <row r="86" spans="1:2">
      <c r="A86" s="138" t="s">
        <v>2869</v>
      </c>
      <c r="B86" s="139">
        <v>520042607</v>
      </c>
    </row>
    <row r="87" spans="1:2">
      <c r="A87" s="138" t="s">
        <v>2870</v>
      </c>
      <c r="B87" s="139">
        <v>520019688</v>
      </c>
    </row>
    <row r="88" spans="1:2">
      <c r="A88" s="138" t="s">
        <v>2871</v>
      </c>
      <c r="B88" s="139">
        <v>570014928</v>
      </c>
    </row>
    <row r="89" spans="1:2">
      <c r="A89" s="138" t="s">
        <v>2872</v>
      </c>
      <c r="B89" s="139">
        <v>510960586</v>
      </c>
    </row>
    <row r="90" spans="1:2">
      <c r="A90" s="138" t="s">
        <v>2873</v>
      </c>
      <c r="B90" s="138">
        <v>520042581</v>
      </c>
    </row>
    <row r="91" spans="1:2">
      <c r="A91" s="138" t="s">
        <v>2874</v>
      </c>
      <c r="B91" s="139">
        <v>570005959</v>
      </c>
    </row>
    <row r="92" spans="1:2">
      <c r="A92" s="138" t="s">
        <v>2875</v>
      </c>
      <c r="B92" s="139">
        <v>570002618</v>
      </c>
    </row>
    <row r="93" spans="1:2">
      <c r="A93" s="138" t="s">
        <v>2876</v>
      </c>
      <c r="B93" s="139">
        <v>511789190</v>
      </c>
    </row>
    <row r="94" spans="1:2">
      <c r="A94" s="138" t="s">
        <v>2877</v>
      </c>
      <c r="B94" s="139">
        <v>520022518</v>
      </c>
    </row>
    <row r="95" spans="1:2">
      <c r="A95" s="138" t="s">
        <v>2878</v>
      </c>
      <c r="B95" s="139">
        <v>520031659</v>
      </c>
    </row>
    <row r="96" spans="1:2">
      <c r="A96" s="138" t="s">
        <v>2879</v>
      </c>
      <c r="B96" s="139">
        <v>570007476</v>
      </c>
    </row>
    <row r="97" spans="1:2">
      <c r="A97" s="138" t="s">
        <v>2880</v>
      </c>
      <c r="B97" s="139">
        <v>570009852</v>
      </c>
    </row>
    <row r="98" spans="1:2">
      <c r="A98" s="138" t="s">
        <v>2881</v>
      </c>
      <c r="B98" s="139">
        <v>510800402</v>
      </c>
    </row>
    <row r="99" spans="1:2">
      <c r="A99" s="138" t="s">
        <v>2882</v>
      </c>
      <c r="B99" s="139">
        <v>510773922</v>
      </c>
    </row>
    <row r="100" spans="1:2">
      <c r="A100" s="138" t="s">
        <v>2883</v>
      </c>
      <c r="B100" s="139">
        <v>512008335</v>
      </c>
    </row>
    <row r="101" spans="1:2">
      <c r="A101" s="138" t="s">
        <v>2884</v>
      </c>
      <c r="B101" s="139">
        <v>510142789</v>
      </c>
    </row>
    <row r="102" spans="1:2">
      <c r="A102" s="138" t="s">
        <v>2885</v>
      </c>
      <c r="B102" s="139">
        <v>520028556</v>
      </c>
    </row>
    <row r="103" spans="1:2">
      <c r="A103" s="138" t="s">
        <v>2886</v>
      </c>
      <c r="B103" s="139">
        <v>520030693</v>
      </c>
    </row>
    <row r="104" spans="1:2">
      <c r="A104" s="138" t="s">
        <v>2887</v>
      </c>
      <c r="B104" s="139">
        <v>520042573</v>
      </c>
    </row>
    <row r="105" spans="1:2">
      <c r="A105" s="138" t="s">
        <v>2888</v>
      </c>
      <c r="B105" s="139">
        <v>511423048</v>
      </c>
    </row>
    <row r="106" spans="1:2">
      <c r="A106" s="138" t="s">
        <v>2889</v>
      </c>
      <c r="B106" s="139">
        <v>570011767</v>
      </c>
    </row>
    <row r="107" spans="1:2">
      <c r="A107" s="138" t="s">
        <v>2890</v>
      </c>
      <c r="B107" s="139">
        <v>512065202</v>
      </c>
    </row>
    <row r="108" spans="1:2">
      <c r="A108" s="138" t="s">
        <v>2891</v>
      </c>
      <c r="B108" s="139">
        <v>512711409</v>
      </c>
    </row>
    <row r="109" spans="1:2">
      <c r="A109" s="138" t="s">
        <v>2892</v>
      </c>
      <c r="B109" s="139">
        <v>520005497</v>
      </c>
    </row>
    <row r="110" spans="1:2">
      <c r="A110" s="138" t="s">
        <v>2893</v>
      </c>
      <c r="B110" s="139">
        <v>570024109</v>
      </c>
    </row>
    <row r="111" spans="1:2">
      <c r="A111" s="138" t="s">
        <v>2894</v>
      </c>
      <c r="B111" s="139">
        <v>520020447</v>
      </c>
    </row>
    <row r="112" spans="1:2">
      <c r="A112" s="138" t="s">
        <v>2895</v>
      </c>
      <c r="B112" s="139">
        <v>520023094</v>
      </c>
    </row>
    <row r="113" spans="1:2">
      <c r="A113" s="138" t="s">
        <v>2896</v>
      </c>
      <c r="B113" s="139">
        <v>520028812</v>
      </c>
    </row>
    <row r="114" spans="1:2">
      <c r="A114" s="138" t="s">
        <v>2897</v>
      </c>
      <c r="B114" s="139">
        <v>520022963</v>
      </c>
    </row>
    <row r="115" spans="1:2">
      <c r="A115" s="138" t="s">
        <v>2898</v>
      </c>
      <c r="B115" s="139">
        <v>520027251</v>
      </c>
    </row>
    <row r="116" spans="1:2">
      <c r="A116" s="138" t="s">
        <v>2899</v>
      </c>
      <c r="B116" s="139">
        <v>520028390</v>
      </c>
    </row>
    <row r="117" spans="1:2">
      <c r="A117" s="138" t="s">
        <v>2900</v>
      </c>
      <c r="B117" s="139">
        <v>513026484</v>
      </c>
    </row>
    <row r="118" spans="1:2">
      <c r="A118" s="138" t="s">
        <v>2901</v>
      </c>
      <c r="B118" s="139">
        <v>513173393</v>
      </c>
    </row>
    <row r="119" spans="1:2">
      <c r="A119" s="138" t="s">
        <v>2902</v>
      </c>
      <c r="B119" s="139">
        <v>513452003</v>
      </c>
    </row>
    <row r="120" spans="1:2">
      <c r="A120" s="138" t="s">
        <v>2903</v>
      </c>
      <c r="B120" s="139">
        <v>513611509</v>
      </c>
    </row>
    <row r="121" spans="1:2">
      <c r="A121" s="138" t="s">
        <v>2904</v>
      </c>
      <c r="B121" s="139">
        <v>513621110</v>
      </c>
    </row>
    <row r="122" spans="1:2">
      <c r="A122" s="138" t="s">
        <v>2905</v>
      </c>
      <c r="B122" s="138">
        <v>512244146</v>
      </c>
    </row>
    <row r="123" spans="1:2">
      <c r="A123" s="138" t="s">
        <v>2906</v>
      </c>
      <c r="B123" s="139">
        <v>512237744</v>
      </c>
    </row>
    <row r="124" spans="1:2">
      <c r="A124" s="138" t="s">
        <v>2907</v>
      </c>
      <c r="B124" s="139">
        <v>512267592</v>
      </c>
    </row>
    <row r="125" spans="1:2">
      <c r="A125" s="138" t="s">
        <v>2908</v>
      </c>
      <c r="B125" s="139">
        <v>514767490</v>
      </c>
    </row>
    <row r="126" spans="1:2">
      <c r="A126" s="138" t="s">
        <v>2909</v>
      </c>
      <c r="B126" s="139">
        <v>514956465</v>
      </c>
    </row>
    <row r="127" spans="1:2">
      <c r="A127" s="138" t="s">
        <v>2910</v>
      </c>
      <c r="B127" s="139">
        <v>512245812</v>
      </c>
    </row>
    <row r="128" spans="1:2">
      <c r="A128" s="138" t="s">
        <v>2911</v>
      </c>
      <c r="B128" s="139">
        <v>515447035</v>
      </c>
    </row>
    <row r="129" spans="1:2">
      <c r="A129" s="138" t="s">
        <v>2912</v>
      </c>
      <c r="B129" s="139">
        <v>516463635</v>
      </c>
    </row>
    <row r="130" spans="1:2">
      <c r="A130" s="138" t="s">
        <v>2913</v>
      </c>
      <c r="B130" s="139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2026-01-28T07:50:47Z</dcterms:modified>
</cp:coreProperties>
</file>