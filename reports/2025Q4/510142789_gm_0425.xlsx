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Bll-gemel\gemel_dat\EXCEL\account\Name\ALL\PDF דוחות לאוצר 2025אקסל\‏‏אקסל רשימות ניע 122025\BLD\לפירסום\"/>
    </mc:Choice>
  </mc:AlternateContent>
  <xr:revisionPtr revIDLastSave="0" documentId="13_ncr:1_{13C2ECF2-75AB-432B-A811-D209AC8D3D22}" xr6:coauthVersionLast="47" xr6:coauthVersionMax="47" xr10:uidLastSave="{00000000-0000-0000-0000-000000000000}"/>
  <bookViews>
    <workbookView xWindow="2037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חוב'!$A$1:$AK$36</definedName>
    <definedName name="_xlnm._FilterDatabase" localSheetId="31" hidden="1">'אפשרויות בחירה'!$A$1:$D$1040</definedName>
    <definedName name="_xlnm._FilterDatabase" localSheetId="17" hidden="1">'לא סחיר איגרות חוב'!$A$1:$AM$13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38"/>
  <c r="N2" i="28" l="1"/>
  <c r="N2" i="40"/>
  <c r="O2" i="40"/>
  <c r="B32" i="2" l="1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30" i="2" l="1"/>
  <c r="E29" i="2" l="1"/>
  <c r="R2" i="28"/>
  <c r="E4" i="2"/>
  <c r="E8" i="2"/>
  <c r="E12" i="2"/>
  <c r="E16" i="2"/>
  <c r="E20" i="2"/>
  <c r="E24" i="2"/>
  <c r="E28" i="2"/>
  <c r="E5" i="2"/>
  <c r="E9" i="2"/>
  <c r="E13" i="2"/>
  <c r="E17" i="2"/>
  <c r="E21" i="2"/>
  <c r="E25" i="2"/>
  <c r="E3" i="2"/>
  <c r="E6" i="2"/>
  <c r="E10" i="2"/>
  <c r="E14" i="2"/>
  <c r="E22" i="2"/>
  <c r="E26" i="2"/>
  <c r="E11" i="2"/>
  <c r="E15" i="2"/>
  <c r="E19" i="2"/>
  <c r="E27" i="2"/>
  <c r="E7" i="2"/>
  <c r="E23" i="2"/>
  <c r="E18" i="2"/>
  <c r="E30" i="2" l="1"/>
</calcChain>
</file>

<file path=xl/sharedStrings.xml><?xml version="1.0" encoding="utf-8"?>
<sst xmlns="http://schemas.openxmlformats.org/spreadsheetml/2006/main" count="6953" uniqueCount="1828">
  <si>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</si>
  <si>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</si>
  <si>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</si>
  <si>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</si>
  <si>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</si>
  <si>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</si>
  <si>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</si>
  <si>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</si>
  <si>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</si>
  <si>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</si>
  <si>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</si>
  <si>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</si>
  <si>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</si>
  <si>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</si>
  <si>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</si>
  <si>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</si>
  <si>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</si>
  <si>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</si>
  <si>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</si>
  <si>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</si>
  <si>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</si>
  <si>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</si>
  <si>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</si>
  <si>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</si>
  <si>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</si>
  <si>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</si>
  <si>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</si>
  <si>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ממשל צמודה 1131</t>
  </si>
  <si>
    <t>IL0011722209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</si>
  <si>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</si>
  <si>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</si>
  <si>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</si>
  <si>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</si>
  <si>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</si>
  <si>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</si>
  <si>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30/11/2031</t>
  </si>
  <si>
    <t>שווי הוגן</t>
  </si>
  <si>
    <t>ממשל שיקלית 0928</t>
  </si>
  <si>
    <t>IL0011508798</t>
  </si>
  <si>
    <t>לא צמוד למדד המחירים לצרכן ריבית קבועה</t>
  </si>
  <si>
    <t>28/09/2028</t>
  </si>
  <si>
    <t>ממשל שקלית 0335</t>
  </si>
  <si>
    <t>IL0012023326</t>
  </si>
  <si>
    <t>30/03/2035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</si>
  <si>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</si>
  <si>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</si>
  <si>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</si>
  <si>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</si>
  <si>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</si>
  <si>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</si>
  <si>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1.10% 1028</t>
  </si>
  <si>
    <t>IL0011973265</t>
  </si>
  <si>
    <t>31/10/2028</t>
  </si>
  <si>
    <t>ממשלתית שקלית 1.3% 04/32</t>
  </si>
  <si>
    <t>IL0011806606</t>
  </si>
  <si>
    <t>30/04/2032</t>
  </si>
  <si>
    <t>US TREASURY Bills</t>
  </si>
  <si>
    <t>19/02/2026 0% TREASURY BILL</t>
  </si>
  <si>
    <t>US912797PM34</t>
  </si>
  <si>
    <t>נקוב במט"ח</t>
  </si>
  <si>
    <t>חו"ל</t>
  </si>
  <si>
    <t>ארה"ב</t>
  </si>
  <si>
    <t>FOREIGN_GOV_SEC</t>
  </si>
  <si>
    <t>AA+</t>
  </si>
  <si>
    <t>Fitch</t>
  </si>
  <si>
    <t>USD</t>
  </si>
  <si>
    <t>19/02/2026</t>
  </si>
  <si>
    <t>US Govt</t>
  </si>
  <si>
    <t>T 4.625  02/15/35  Govt</t>
  </si>
  <si>
    <t>US91282CMM00</t>
  </si>
  <si>
    <t>Aa1</t>
  </si>
  <si>
    <t>Moodys</t>
  </si>
  <si>
    <t>15/02/2035</t>
  </si>
  <si>
    <t>US TREASURY 3.8755 15/08/2034</t>
  </si>
  <si>
    <t>US91282CLF67</t>
  </si>
  <si>
    <t>15/08/2034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</si>
  <si>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</si>
  <si>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</si>
  <si>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</si>
  <si>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</si>
  <si>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</si>
  <si>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</si>
  <si>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</si>
  <si>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</si>
  <si>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</si>
  <si>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</si>
  <si>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</si>
  <si>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איי.די.איי. הנפקות (2010) בע"מ</t>
  </si>
  <si>
    <t>514486042</t>
  </si>
  <si>
    <t>ח.פ.</t>
  </si>
  <si>
    <t>איידיאיי הנ הת ז</t>
  </si>
  <si>
    <t>IL0012293507</t>
  </si>
  <si>
    <t>ISIN</t>
  </si>
  <si>
    <t>לא צמוד למדד המחירים לצרכן</t>
  </si>
  <si>
    <t>סחיר</t>
  </si>
  <si>
    <t>ביטוח</t>
  </si>
  <si>
    <t>לא</t>
  </si>
  <si>
    <t>A2</t>
  </si>
  <si>
    <t>מידרוג Moodys</t>
  </si>
  <si>
    <t>נייר ערך</t>
  </si>
  <si>
    <t>22/09/2035</t>
  </si>
  <si>
    <t>החוב לא נחות</t>
  </si>
  <si>
    <t>אלוני-חץ נכסים והשקעות בע"מ</t>
  </si>
  <si>
    <t>520038506</t>
  </si>
  <si>
    <t>אלוני חץ אגח טו</t>
  </si>
  <si>
    <t>IL0011894149</t>
  </si>
  <si>
    <t>צמוד למדד המחירים לצרכן</t>
  </si>
  <si>
    <t>נדל"ן מניב בישראל</t>
  </si>
  <si>
    <t>AA-</t>
  </si>
  <si>
    <t>S&amp;P מעלות</t>
  </si>
  <si>
    <t>אלוני חץ אגח יב</t>
  </si>
  <si>
    <t>IL0039004952</t>
  </si>
  <si>
    <t>28/02/2031</t>
  </si>
  <si>
    <t>אמות השקעות בע"מ</t>
  </si>
  <si>
    <t>520026683</t>
  </si>
  <si>
    <t>אמות אגח ד</t>
  </si>
  <si>
    <t>IL0011331498</t>
  </si>
  <si>
    <t>AA</t>
  </si>
  <si>
    <t>02/07/2028</t>
  </si>
  <si>
    <t>אנלייט אנרגיה מתחדשת בע"מ</t>
  </si>
  <si>
    <t>520041146</t>
  </si>
  <si>
    <t>אנלייט אנר אגח ו</t>
  </si>
  <si>
    <t>IL0072001733</t>
  </si>
  <si>
    <t>אנרגיה מתחדשת</t>
  </si>
  <si>
    <t>A</t>
  </si>
  <si>
    <t>01/09/2026</t>
  </si>
  <si>
    <t>אנרג'יקס אנרגיות מתחדשות בע"מ</t>
  </si>
  <si>
    <t>513901371</t>
  </si>
  <si>
    <t>אנרג'יקס אגח א</t>
  </si>
  <si>
    <t>IL0011617516</t>
  </si>
  <si>
    <t>01/08/2030</t>
  </si>
  <si>
    <t>קבוצת אשטרום</t>
  </si>
  <si>
    <t>510381601</t>
  </si>
  <si>
    <t>אשטרום קב אגח ג</t>
  </si>
  <si>
    <t>IL0011401028</t>
  </si>
  <si>
    <t>בנייה</t>
  </si>
  <si>
    <t>15/01/2029</t>
  </si>
  <si>
    <t>ביג מרכזי קניות (2004) בע"מ</t>
  </si>
  <si>
    <t>513623314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</si>
  <si>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</si>
  <si>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</si>
  <si>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</si>
  <si>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</si>
  <si>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</si>
  <si>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</si>
  <si>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</si>
  <si>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אנרגיה</t>
  </si>
  <si>
    <t>Baa1</t>
  </si>
  <si>
    <t>30/04/2029</t>
  </si>
  <si>
    <t>חברת גב-ים לקרקעות בע"מ</t>
  </si>
  <si>
    <t>520001736</t>
  </si>
  <si>
    <t>גב ים אגח ט</t>
  </si>
  <si>
    <t>IL0075902192</t>
  </si>
  <si>
    <t>30/06/2033</t>
  </si>
  <si>
    <t>דליה חברות אנרגיה בע"מ</t>
  </si>
  <si>
    <t>516269248</t>
  </si>
  <si>
    <t>דליה אגח א</t>
  </si>
  <si>
    <t>IL0011849515</t>
  </si>
  <si>
    <t>A3</t>
  </si>
  <si>
    <t>30/09/2031</t>
  </si>
  <si>
    <t>י.ח.דמרי בניה ופיתוח בע"מ</t>
  </si>
  <si>
    <t>511399388</t>
  </si>
  <si>
    <t>דמרי אגח ט</t>
  </si>
  <si>
    <t>IL0011683682</t>
  </si>
  <si>
    <t>A1</t>
  </si>
  <si>
    <t>31/12/2027</t>
  </si>
  <si>
    <t>הראל ביטוח מימון והנפקות בע"מ</t>
  </si>
  <si>
    <t>513834200</t>
  </si>
  <si>
    <t>הראל הנפקות אגח יט</t>
  </si>
  <si>
    <t>IL0011927725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</si>
  <si>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</si>
  <si>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</si>
  <si>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</si>
  <si>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</si>
  <si>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</si>
  <si>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</si>
  <si>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</si>
  <si>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חברת החשמל לישראל בע"מ</t>
  </si>
  <si>
    <t>520000472</t>
  </si>
  <si>
    <t>חשמל אגח 31</t>
  </si>
  <si>
    <t>IL0060002859</t>
  </si>
  <si>
    <t>AAA</t>
  </si>
  <si>
    <t>חשמל אגח 33</t>
  </si>
  <si>
    <t>IL0060003923</t>
  </si>
  <si>
    <t>30/05/2036</t>
  </si>
  <si>
    <t>יוניברסל מוטורס  ישראל בע"מ</t>
  </si>
  <si>
    <t>511809071</t>
  </si>
  <si>
    <t>יוניברסל אגח ד</t>
  </si>
  <si>
    <t>IL0011722530</t>
  </si>
  <si>
    <t>מסחר</t>
  </si>
  <si>
    <t>11/02/2029</t>
  </si>
  <si>
    <t>ישרס חברה להשקעות בע"מ</t>
  </si>
  <si>
    <t>520017807</t>
  </si>
  <si>
    <t>ישרס אגח טז</t>
  </si>
  <si>
    <t>IL0061302233</t>
  </si>
  <si>
    <t>30/07/2031</t>
  </si>
  <si>
    <t>כללביט מימון בע"מ</t>
  </si>
  <si>
    <t>513754069</t>
  </si>
  <si>
    <t>כלל מימון אגח יג</t>
  </si>
  <si>
    <t>IL0011979205</t>
  </si>
  <si>
    <t>שירותים פיננסיים</t>
  </si>
  <si>
    <t>31/07/2034</t>
  </si>
  <si>
    <t>בנק לאומי לישראל בע"מ</t>
  </si>
  <si>
    <t>520018078</t>
  </si>
  <si>
    <t>לאומי אגח 186</t>
  </si>
  <si>
    <t>IL0012018391</t>
  </si>
  <si>
    <t>בנקים</t>
  </si>
  <si>
    <t>30/11/2033</t>
  </si>
  <si>
    <t>מבנה נדל"ן (כ.ד)  בע"מ</t>
  </si>
  <si>
    <t>520024126</t>
  </si>
  <si>
    <t>מבני תעש אגח כג</t>
  </si>
  <si>
    <t>IL0022605450</t>
  </si>
  <si>
    <t>30/09/2026</t>
  </si>
  <si>
    <t>מגדל ביטוח גיוס הון בע"מ</t>
  </si>
  <si>
    <t>513230029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</si>
  <si>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</si>
  <si>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</si>
  <si>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</si>
  <si>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</si>
  <si>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</si>
  <si>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</si>
  <si>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מזרחי טפחות חברה להנפקות בע"מ</t>
  </si>
  <si>
    <t>520032046</t>
  </si>
  <si>
    <t>מז טפ הנ אגח 68</t>
  </si>
  <si>
    <t>IL0012021429</t>
  </si>
  <si>
    <t>25/12/2033</t>
  </si>
  <si>
    <t xml:space="preserve">מימון ישיר מקבוצת ישיר 2006 בע"מ </t>
  </si>
  <si>
    <t>513893123</t>
  </si>
  <si>
    <t>מימון ישיר אגח ה</t>
  </si>
  <si>
    <t>IL0011828311</t>
  </si>
  <si>
    <t>אשראי חוץ בנקאי</t>
  </si>
  <si>
    <t>31/07/2031</t>
  </si>
  <si>
    <t>מימון ישיר אגח ו</t>
  </si>
  <si>
    <t>IL0011916595</t>
  </si>
  <si>
    <t>31/03/2027</t>
  </si>
  <si>
    <t>מליסרון בע"מ</t>
  </si>
  <si>
    <t>520037789</t>
  </si>
  <si>
    <t>מליסרון  אגח יט</t>
  </si>
  <si>
    <t>IL0032303989</t>
  </si>
  <si>
    <t>01/07/2029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</si>
  <si>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</si>
  <si>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</si>
  <si>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</si>
  <si>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</si>
  <si>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</si>
  <si>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</si>
  <si>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</si>
  <si>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</si>
  <si>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</si>
  <si>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מליסרון אגח כב</t>
  </si>
  <si>
    <t>IL0012332388</t>
  </si>
  <si>
    <t>10/07/2040</t>
  </si>
  <si>
    <t>קבוצת עזריאלי בע"מ (לשעבר קנית מימון)</t>
  </si>
  <si>
    <t>510960719</t>
  </si>
  <si>
    <t>עזריאלי אגח ז</t>
  </si>
  <si>
    <t>IL0011786725</t>
  </si>
  <si>
    <t>02/07/2036</t>
  </si>
  <si>
    <t>הפניקס גיוסי הון (2009) בע"מ</t>
  </si>
  <si>
    <t>514290345</t>
  </si>
  <si>
    <t>פניקס הון אגח טו</t>
  </si>
  <si>
    <t>IL0012019530</t>
  </si>
  <si>
    <t>30/06/2030</t>
  </si>
  <si>
    <t>רבוע כחול נדל"ן בע"מ</t>
  </si>
  <si>
    <t>513765859</t>
  </si>
  <si>
    <t>רבוע נדלן אגח ו</t>
  </si>
  <si>
    <t>IL0011406076</t>
  </si>
  <si>
    <t>30/11/2026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</si>
  <si>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</si>
  <si>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</si>
  <si>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</si>
  <si>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</si>
  <si>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</si>
  <si>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אלביט מערכות בע"מ</t>
  </si>
  <si>
    <t>520043027</t>
  </si>
  <si>
    <t>אלביט מערכות</t>
  </si>
  <si>
    <t>IL0010811243</t>
  </si>
  <si>
    <t>מניות</t>
  </si>
  <si>
    <t>ביטחוניות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</si>
  <si>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</si>
  <si>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</si>
  <si>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</si>
  <si>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</si>
  <si>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</si>
  <si>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</si>
  <si>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</si>
  <si>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</si>
  <si>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</si>
  <si>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</si>
  <si>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</si>
  <si>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</si>
  <si>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תקשורת ומדיה</t>
  </si>
  <si>
    <t>ביג</t>
  </si>
  <si>
    <t>IL0010972607</t>
  </si>
  <si>
    <t>גב ים</t>
  </si>
  <si>
    <t>IL0007590198</t>
  </si>
  <si>
    <t>דמרי</t>
  </si>
  <si>
    <t>IL0010903156</t>
  </si>
  <si>
    <t>הבורסה לניירות ערך בתל-אביב בע"מ</t>
  </si>
  <si>
    <t>520020033</t>
  </si>
  <si>
    <t>הבורסה לניע בתא</t>
  </si>
  <si>
    <t>IL0011590291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</si>
  <si>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</si>
  <si>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</si>
  <si>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</si>
  <si>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</si>
  <si>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</si>
  <si>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</si>
  <si>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</si>
  <si>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</si>
  <si>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</si>
  <si>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</si>
  <si>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</si>
  <si>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</si>
  <si>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</si>
  <si>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</si>
  <si>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</si>
  <si>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</si>
  <si>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</si>
  <si>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</si>
  <si>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</si>
  <si>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מגדל אחזקות ביטוח ופיננסים בע"מ</t>
  </si>
  <si>
    <t>520029984</t>
  </si>
  <si>
    <t>מגדל ביטוח</t>
  </si>
  <si>
    <t>IL0010811656</t>
  </si>
  <si>
    <t>בנק מזרחי טפחות בע"מ</t>
  </si>
  <si>
    <t>520000522</t>
  </si>
  <si>
    <t>מזרחי טפחות</t>
  </si>
  <si>
    <t>IL0006954379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</si>
  <si>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</si>
  <si>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</si>
  <si>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</si>
  <si>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</si>
  <si>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</si>
  <si>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</si>
  <si>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</si>
  <si>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</si>
  <si>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</si>
  <si>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</si>
  <si>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>נאוויטס פטרוליום, שותפות מוגבלת</t>
  </si>
  <si>
    <t>550263107</t>
  </si>
  <si>
    <t>מספר שותפות</t>
  </si>
  <si>
    <t>נאוויטס פט יהש</t>
  </si>
  <si>
    <t>IL0011419699</t>
  </si>
  <si>
    <t>חיפושי נפט וגז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</si>
  <si>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</si>
  <si>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</si>
  <si>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</si>
  <si>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</si>
  <si>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</si>
  <si>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</si>
  <si>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</si>
  <si>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</si>
  <si>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תוכנה ואינטרנט</t>
  </si>
  <si>
    <t>נקסט ויז'ן</t>
  </si>
  <si>
    <t>514259019</t>
  </si>
  <si>
    <t>IL0011765935</t>
  </si>
  <si>
    <t>אלקטרוניקה ואופטיקה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</si>
  <si>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</si>
  <si>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</si>
  <si>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</si>
  <si>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</si>
  <si>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</si>
  <si>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</si>
  <si>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</si>
  <si>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</si>
  <si>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</si>
  <si>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</si>
  <si>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רשתות שיווק</t>
  </si>
  <si>
    <t>חברת פרטנר תקשורת בע"מ</t>
  </si>
  <si>
    <t>520044314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</si>
  <si>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</si>
  <si>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</si>
  <si>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</si>
  <si>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</si>
  <si>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</si>
  <si>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</si>
  <si>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מתכת ומוצרי בניה</t>
  </si>
  <si>
    <t>amazon.com</t>
  </si>
  <si>
    <t>ZXTILKJKG63JELOEG630</t>
  </si>
  <si>
    <t>LEI</t>
  </si>
  <si>
    <t>AMAZON COM INC</t>
  </si>
  <si>
    <t>US0231351067</t>
  </si>
  <si>
    <t>NASDAQ</t>
  </si>
  <si>
    <t>Textiles, Apparel &amp; Luxury Goods</t>
  </si>
  <si>
    <t>Advanced Micro Devices inc</t>
  </si>
  <si>
    <t>R2I72C950HOYXII45366</t>
  </si>
  <si>
    <t>Semiconductors &amp; Semiconductor Equipment</t>
  </si>
  <si>
    <t>ASML HOLDING NV-NY</t>
  </si>
  <si>
    <t>724500Y6DUVHQD6OXN27</t>
  </si>
  <si>
    <t>ASML Holding NV</t>
  </si>
  <si>
    <t>NL0010273215</t>
  </si>
  <si>
    <t>הולנד</t>
  </si>
  <si>
    <t>אחר</t>
  </si>
  <si>
    <t>EUR</t>
  </si>
  <si>
    <t>Broadcom Inc</t>
  </si>
  <si>
    <t>549300WV6GIDOZJTV909</t>
  </si>
  <si>
    <t>BROADCOM LTD</t>
  </si>
  <si>
    <t>US11135F1012</t>
  </si>
  <si>
    <t>קמטק בע"מ</t>
  </si>
  <si>
    <t>511235434</t>
  </si>
  <si>
    <t>CAMTEK LTD</t>
  </si>
  <si>
    <t>IL0010952641</t>
  </si>
  <si>
    <t>גלובלי</t>
  </si>
  <si>
    <t>צ'ק פוינט</t>
  </si>
  <si>
    <t>2549003ZVBH73EPNS513</t>
  </si>
  <si>
    <t>CHKP US check point</t>
  </si>
  <si>
    <t>IL0010824113</t>
  </si>
  <si>
    <t>CME</t>
  </si>
  <si>
    <t>Technology Hardware, Storage &amp; Peripherals</t>
  </si>
  <si>
    <t>COSTCO WHOLESAL</t>
  </si>
  <si>
    <t>29DX7H14B9S6O3FD6V18</t>
  </si>
  <si>
    <t>COSTCO WHOLESALE CORP</t>
  </si>
  <si>
    <t>US22160K1051</t>
  </si>
  <si>
    <t>Consumer Staples Distribution &amp; Retail</t>
  </si>
  <si>
    <t>Meta Platforms Inc</t>
  </si>
  <si>
    <t>BQ4BKCS1HXDV9HN80Z93</t>
  </si>
  <si>
    <t>FB US E_FACEBOOK INC-A</t>
  </si>
  <si>
    <t>US30303M1027</t>
  </si>
  <si>
    <t>Software</t>
  </si>
  <si>
    <t>פייבר אינטרנשיונל בע"מ</t>
  </si>
  <si>
    <t>514440874</t>
  </si>
  <si>
    <t>FIVERR INTERNATIONAL LTD</t>
  </si>
  <si>
    <t>IL0011582033</t>
  </si>
  <si>
    <t>NYSE</t>
  </si>
  <si>
    <t>Commercial Services &amp; Supplies</t>
  </si>
  <si>
    <t>JD.com Inc</t>
  </si>
  <si>
    <t>549300HVTWB0GJZ16V92</t>
  </si>
  <si>
    <t>JD.COM INC -CL A</t>
  </si>
  <si>
    <t>KYG8208B1014</t>
  </si>
  <si>
    <t>סין</t>
  </si>
  <si>
    <t>HKSE</t>
  </si>
  <si>
    <t>HKD</t>
  </si>
  <si>
    <t>MASTERCARD INC</t>
  </si>
  <si>
    <t>AR5L2ODV9HN37376R084</t>
  </si>
  <si>
    <t>MA US _MASTERCARD</t>
  </si>
  <si>
    <t>US57636Q1040</t>
  </si>
  <si>
    <t>Consumer Finance</t>
  </si>
  <si>
    <t>MICROSOFT CORP</t>
  </si>
  <si>
    <t>INR2EJN1ERAN0W5ZP974</t>
  </si>
  <si>
    <t>Microsoft crop</t>
  </si>
  <si>
    <t>US5949181045</t>
  </si>
  <si>
    <t>NVIDIA CORP</t>
  </si>
  <si>
    <t>549300S4KLFTLO7GSQ80</t>
  </si>
  <si>
    <t>NVDA_NVIDIA CORP</t>
  </si>
  <si>
    <t>US67066G1040</t>
  </si>
  <si>
    <t>נובה  בע"מ</t>
  </si>
  <si>
    <t>511812463</t>
  </si>
  <si>
    <t>NVMI US-NOVA MEASURING</t>
  </si>
  <si>
    <t>IL0010845571</t>
  </si>
  <si>
    <t xml:space="preserve">אורמת טכנולגיות אינק </t>
  </si>
  <si>
    <t>5493000TSHHWY24VHM09</t>
  </si>
  <si>
    <t>ORA US Equity</t>
  </si>
  <si>
    <t>US6866881021</t>
  </si>
  <si>
    <t>Water Utilities</t>
  </si>
  <si>
    <t>Palo alto networks inc</t>
  </si>
  <si>
    <t>549300QXR2YVZV231H43</t>
  </si>
  <si>
    <t>PALO ALTO NETWORKS</t>
  </si>
  <si>
    <t>US6974351057</t>
  </si>
  <si>
    <t>CBOE</t>
  </si>
  <si>
    <t>RHEINMETALL AG</t>
  </si>
  <si>
    <t>529900131QNVTEL4QS96</t>
  </si>
  <si>
    <t>RHEINMETALL ORD</t>
  </si>
  <si>
    <t>DE0007030009</t>
  </si>
  <si>
    <t>גרמניה</t>
  </si>
  <si>
    <t>FWB</t>
  </si>
  <si>
    <t>Industrial Conglomerates</t>
  </si>
  <si>
    <t>TAIWAN Semiconductor</t>
  </si>
  <si>
    <t>549300KB6NK5SBD14S87</t>
  </si>
  <si>
    <t>TAIWAN SEMICONDUCTOR</t>
  </si>
  <si>
    <t>US8740391003</t>
  </si>
  <si>
    <t>TESLA MOTORS INC</t>
  </si>
  <si>
    <t>54930043XZGB27CTOV49</t>
  </si>
  <si>
    <t>TESLA MOTROS INC</t>
  </si>
  <si>
    <t>US88160R1014</t>
  </si>
  <si>
    <t>Automobiles</t>
  </si>
  <si>
    <t>VISA  Inc - CLASS  A</t>
  </si>
  <si>
    <t>549300JZ4OKEHW3DPJ59</t>
  </si>
  <si>
    <t>V US Equity</t>
  </si>
  <si>
    <t>US92826C8394</t>
  </si>
  <si>
    <t>Wal-Mart Stores</t>
  </si>
  <si>
    <t>Y87794H0US1R65VBXU25</t>
  </si>
  <si>
    <t>WAL MART STORES INC</t>
  </si>
  <si>
    <t>US9311421039</t>
  </si>
  <si>
    <t>סיווג הקרן</t>
  </si>
  <si>
    <t>מגדל קרנות נאמנות בע"מ</t>
  </si>
  <si>
    <t>511303661</t>
  </si>
  <si>
    <t>MTF סל תא 125</t>
  </si>
  <si>
    <t>IL0011502833</t>
  </si>
  <si>
    <t>עוקב אחר מדדי מניות בישראל</t>
  </si>
  <si>
    <t>125 מניות בארץ - מניות כללי-ת"א</t>
  </si>
  <si>
    <t>MTF סל תא 90</t>
  </si>
  <si>
    <t>IL0011502593</t>
  </si>
  <si>
    <t>90 מניות בארץ - מניות כללי-ת"א</t>
  </si>
  <si>
    <t>הראל קרנות נאמנות בע"מ</t>
  </si>
  <si>
    <t>511776783</t>
  </si>
  <si>
    <t>הראל סל תא בנקים</t>
  </si>
  <si>
    <t>IL0011489494</t>
  </si>
  <si>
    <t>מניות בארץ - מניות לפי ענפים-ת"א בנקים</t>
  </si>
  <si>
    <t>הראל סל תל בונד שקלי</t>
  </si>
  <si>
    <t>IL0011505232</t>
  </si>
  <si>
    <t>עוקב אחר מדדים אחרים בישראל</t>
  </si>
  <si>
    <t>אג"ח בארץ - חברות והמרה-תל בונד שקלי-תל בונד שקלי- אחר</t>
  </si>
  <si>
    <t>קסם קרנות נאמנות בע"מ</t>
  </si>
  <si>
    <t>510938608</t>
  </si>
  <si>
    <t>קסם תא 90</t>
  </si>
  <si>
    <t>IL0011463317</t>
  </si>
  <si>
    <t>State Street Corp</t>
  </si>
  <si>
    <t>07F5H7W3ET8ZLWNMFP29</t>
  </si>
  <si>
    <t>Amex tech sel indx</t>
  </si>
  <si>
    <t>US81369Y8030</t>
  </si>
  <si>
    <t>עוקב אחר מדדי מניות בחו"ל</t>
  </si>
  <si>
    <t>Technology מניות בחו"ל - מניות לפי ענפים בחו"ל - חשופת מט"ח-ארה"ב- מניות</t>
  </si>
  <si>
    <t>Amundi Asset Management</t>
  </si>
  <si>
    <t>213800VZW861M5FHMD50</t>
  </si>
  <si>
    <t>AMUNDI DAX ETF ACC</t>
  </si>
  <si>
    <t>LU0252633754</t>
  </si>
  <si>
    <t>EUREX</t>
  </si>
  <si>
    <t>DAX 30 - מניות בחו"ל - מניות גיאוגרפי - חשופת מט"ח-אירופה גרמניה</t>
  </si>
  <si>
    <t>DEUTSCHE BANK AG</t>
  </si>
  <si>
    <t>549300L70BS183Y6ML67</t>
  </si>
  <si>
    <t>DBX MSCI EMU 1D ETF</t>
  </si>
  <si>
    <t>LU0846194776</t>
  </si>
  <si>
    <t>אירופה</t>
  </si>
  <si>
    <t>MSCI EMERGING MARKETS - מניות בחו"ל - מניות גיאוגרפי - חשופת מט"ח-שווקים מתעוררים כללי</t>
  </si>
  <si>
    <t>Financial select sector spdr</t>
  </si>
  <si>
    <t>US81369Y6059</t>
  </si>
  <si>
    <t>Financial מניות בחו"ל - מניות לפי ענפים בחו"ל - חשופת מט"ח-ארה"ב- מניות</t>
  </si>
  <si>
    <t>INDUSTRIAL SELECT SECT FUND</t>
  </si>
  <si>
    <t>US81369Y7040</t>
  </si>
  <si>
    <t>מניות בחו"ל - מניות לפי ענפים בחו"ל - חשופת מט"ח-ענפים אחרים</t>
  </si>
  <si>
    <t>Invesco investment management limited</t>
  </si>
  <si>
    <t>635400KZRKKKNVCJXD85</t>
  </si>
  <si>
    <t>INVESCO AT1 CAPITAL BOND ETF</t>
  </si>
  <si>
    <t>IE00BFZPF322</t>
  </si>
  <si>
    <t>עוקב אחר מדדים אחרים בחו"ל</t>
  </si>
  <si>
    <t>LSE</t>
  </si>
  <si>
    <t>אג"ח בחו"ל - אג"ח חשופת מט"ח</t>
  </si>
  <si>
    <t>Invesco QQQ Trust NASDAQ 100</t>
  </si>
  <si>
    <t>US46090E1038</t>
  </si>
  <si>
    <t>NASDAQ 100 - מניות בחו"ל - מניות גיאוגרפי - חשופת מט"ח-ארה"ב</t>
  </si>
  <si>
    <t xml:space="preserve">BlackRock  Asset Managment </t>
  </si>
  <si>
    <t>549300LRIF3NWCU26A80</t>
  </si>
  <si>
    <t>ISHARES CORE S&amp;P 500 ETF</t>
  </si>
  <si>
    <t>US4642872000</t>
  </si>
  <si>
    <t>S&amp;P 500 - מניות בחו"ל - מניות גיאוגרפי - חשופת מט"ח-ארה"ב</t>
  </si>
  <si>
    <t>Ishares ftse china25</t>
  </si>
  <si>
    <t>US4642871846</t>
  </si>
  <si>
    <t>FTSE China 50 - מניות בחו"ל - מניות גיאוגרפי - חשופת מט"ח-אסיה סין</t>
  </si>
  <si>
    <t>ISHARES NASDAQ 100 ETF</t>
  </si>
  <si>
    <t>IE00B53SZB19</t>
  </si>
  <si>
    <t>ISHARES S&amp;P US BANKS UCITS</t>
  </si>
  <si>
    <t>IE00BD3V0B10</t>
  </si>
  <si>
    <t>Regional Banks מניות בחו"ל - מניות לפי ענפים בחו"ל - חשופת מט"ח-ארה"ב- מניות</t>
  </si>
  <si>
    <t>KRANESHARES</t>
  </si>
  <si>
    <t>549300VLDRC0RUX0E553</t>
  </si>
  <si>
    <t>KRANESHARES CSI CHINA INTERNET</t>
  </si>
  <si>
    <t>US5007673065</t>
  </si>
  <si>
    <t>SHARES DJ EURO STOXX 50 DE</t>
  </si>
  <si>
    <t>DE0005933956</t>
  </si>
  <si>
    <t>EURO STOXX 50 - מניות בחו"ל - מניות גיאוגרפי - חשופת מט"ח-אירופה כללי</t>
  </si>
  <si>
    <t xml:space="preserve">State Street Global Advisors Europe </t>
  </si>
  <si>
    <t>SPDR EMERGING MARKETS ETF</t>
  </si>
  <si>
    <t>IE00B469F816</t>
  </si>
  <si>
    <t>Emerging Markets - Euope, Middle East &amp; Africa</t>
  </si>
  <si>
    <t>מניות בחו"ל - מניות גיאוגרפי - מנוטרלת מט"ח-אסיה - מדד אחר</t>
  </si>
  <si>
    <t>SPDR S&amp;P TECH SELECT ETF</t>
  </si>
  <si>
    <t>IE00BWBXM948</t>
  </si>
  <si>
    <t>SPDR S&amp;P US ENERGY SELECT</t>
  </si>
  <si>
    <t>IE00BWBXM492</t>
  </si>
  <si>
    <t>SPDR S&amp;P US FINANCIAL SELECT</t>
  </si>
  <si>
    <t>IE00BWBXM500</t>
  </si>
  <si>
    <t>SPDR S&amp;P US HEALTH SELECT</t>
  </si>
  <si>
    <t>IE00BWBXM617</t>
  </si>
  <si>
    <t>Health Care מניות בחו"ל - מניות לפי ענפים בחו"ל - חשופת מט"ח-ארה"ב- מניות</t>
  </si>
  <si>
    <t>SPDR S&amp;P500 UCITS ETF</t>
  </si>
  <si>
    <t>IE00B6YX5C33</t>
  </si>
  <si>
    <t>SPDR SP CHINA ETF</t>
  </si>
  <si>
    <t>US78463X4007</t>
  </si>
  <si>
    <t>SPXS L_sorce sp 500 etf</t>
  </si>
  <si>
    <t>IE00B3YCGJ38</t>
  </si>
  <si>
    <t>Vanguard Group</t>
  </si>
  <si>
    <t>549300Y88GQ3VLJIBX57</t>
  </si>
  <si>
    <t>VANG FTSE EM Etf usd</t>
  </si>
  <si>
    <t>IE00BK5BR733</t>
  </si>
  <si>
    <t>Emerging Markets - Americas</t>
  </si>
  <si>
    <t>VANG FTSE EM EUR</t>
  </si>
  <si>
    <t>VOO US-Vanguard s&amp;p 500 etf</t>
  </si>
  <si>
    <t>US9229083632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</si>
  <si>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</si>
  <si>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</si>
  <si>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</si>
  <si>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</si>
  <si>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</si>
  <si>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</si>
  <si>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</si>
  <si>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01/06/2026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</si>
  <si>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</si>
  <si>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</si>
  <si>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</si>
  <si>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</si>
  <si>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</si>
  <si>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</si>
  <si>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</si>
  <si>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</si>
  <si>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</si>
  <si>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</si>
  <si>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</si>
  <si>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</si>
  <si>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 בע"מ</t>
  </si>
  <si>
    <t>520041690</t>
  </si>
  <si>
    <t>אלון חברת הדלק אגח סד' א דיסקונט</t>
  </si>
  <si>
    <t>IL0011015679</t>
  </si>
  <si>
    <t>לא סחיר</t>
  </si>
  <si>
    <t>השקעה ואחזקות</t>
  </si>
  <si>
    <t>26/02/2020</t>
  </si>
  <si>
    <t>R/S</t>
  </si>
  <si>
    <t>30/03/2026</t>
  </si>
  <si>
    <t>החוב נחות</t>
  </si>
  <si>
    <t>גורם תלוי/פנימי</t>
  </si>
  <si>
    <t>אי-תלות</t>
  </si>
  <si>
    <t>31/12/2025</t>
  </si>
  <si>
    <t>אמפל-אמריקן ישראל קורפוריישן</t>
  </si>
  <si>
    <t>130435685</t>
  </si>
  <si>
    <t>מספר תאגיד או שותפות בחו"ל</t>
  </si>
  <si>
    <t>אמפל אמריקן אגח ב (מחוקה )</t>
  </si>
  <si>
    <t>IL0011103780</t>
  </si>
  <si>
    <t>01/01/2018</t>
  </si>
  <si>
    <t>31/12/2022</t>
  </si>
  <si>
    <t>כן</t>
  </si>
  <si>
    <t>קיימת תלות</t>
  </si>
  <si>
    <t>04/05/2018</t>
  </si>
  <si>
    <t>אמפל אמריקן אגח ב חש 1/12</t>
  </si>
  <si>
    <t>IL0011256240</t>
  </si>
  <si>
    <t>אמפל אמריקן חש 01/13</t>
  </si>
  <si>
    <t>IL0011276792</t>
  </si>
  <si>
    <t>28/03/2018</t>
  </si>
  <si>
    <t>אמפל אמריקן חש 01/14</t>
  </si>
  <si>
    <t>IL0011311847</t>
  </si>
  <si>
    <t>אמפל אמריקן חש 1/15</t>
  </si>
  <si>
    <t>בולוס גד תיירות ומלונאות בע"מ</t>
  </si>
  <si>
    <t>512559824</t>
  </si>
  <si>
    <t>בולוס גד תיירות  אג"ח מחוקה</t>
  </si>
  <si>
    <t>IL0010851173</t>
  </si>
  <si>
    <t>מלונאות ותיירות</t>
  </si>
  <si>
    <t>NR</t>
  </si>
  <si>
    <t>05/05/2008</t>
  </si>
  <si>
    <t>15/03/2018</t>
  </si>
  <si>
    <t>בולוס גד תיירות ומלונאות אג"ח(מחוקה)</t>
  </si>
  <si>
    <t>il1087816</t>
  </si>
  <si>
    <t>30/12/2021</t>
  </si>
  <si>
    <t>31/08/2020</t>
  </si>
  <si>
    <t>בנק לאומי ש.ה  6.6%</t>
  </si>
  <si>
    <t>80006929</t>
  </si>
  <si>
    <t>23/01/2019</t>
  </si>
  <si>
    <t>24/01/2027</t>
  </si>
  <si>
    <t>חברת ציטוט</t>
  </si>
  <si>
    <t>בסר לאס וגאס</t>
  </si>
  <si>
    <t>513751610</t>
  </si>
  <si>
    <t>בסר לאס וגס סידרה 1</t>
  </si>
  <si>
    <t>800068835</t>
  </si>
  <si>
    <t>10/02/2019</t>
  </si>
  <si>
    <t>D</t>
  </si>
  <si>
    <t>30/09/2008</t>
  </si>
  <si>
    <t>31/10/2017</t>
  </si>
  <si>
    <t>דרך ארץ הייווייז (1997) בע"מ</t>
  </si>
  <si>
    <t>512475203</t>
  </si>
  <si>
    <t>דרך ארץ א מאוחדת A2</t>
  </si>
  <si>
    <t>800068801</t>
  </si>
  <si>
    <t>שירותים</t>
  </si>
  <si>
    <t>03/12/2017</t>
  </si>
  <si>
    <t>30/06/2027</t>
  </si>
  <si>
    <t>קאר אנד גו (סדרה א) בע"מ</t>
  </si>
  <si>
    <t>513406835</t>
  </si>
  <si>
    <t>מחוקה _קאר אנד גו %7.4 (חודשי+קרן) 07</t>
  </si>
  <si>
    <t>IL0010882020</t>
  </si>
  <si>
    <t>10/08/2007</t>
  </si>
  <si>
    <t>28/12/2014</t>
  </si>
  <si>
    <t>בוימלגרין קפיטל בע"מ</t>
  </si>
  <si>
    <t>520038555</t>
  </si>
  <si>
    <t>בוימלגרין</t>
  </si>
  <si>
    <t>IL0004020165</t>
  </si>
  <si>
    <t>מניות לא סחירות</t>
  </si>
  <si>
    <t>10/11/2024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</si>
  <si>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</si>
  <si>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</si>
  <si>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</si>
  <si>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</si>
  <si>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</si>
  <si>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</si>
  <si>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</si>
  <si>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</si>
  <si>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</si>
  <si>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</si>
  <si>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</si>
  <si>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Fimi Israel Opportunity</t>
  </si>
  <si>
    <t>530278548</t>
  </si>
  <si>
    <t>Fimi Apportunity 7 l.p</t>
  </si>
  <si>
    <t>פרייבט אקוויטי</t>
  </si>
  <si>
    <t>Co-Investment/Direct</t>
  </si>
  <si>
    <t>כתובת: יגאל אלון 94 , תל אביב</t>
  </si>
  <si>
    <t>31/05/2021</t>
  </si>
  <si>
    <t>דיווח מנהל הקרן</t>
  </si>
  <si>
    <t>18/12/2025</t>
  </si>
  <si>
    <t>IGP</t>
  </si>
  <si>
    <t>540281839</t>
  </si>
  <si>
    <t>IGP Investments II</t>
  </si>
  <si>
    <t>Value Added Infrastructure</t>
  </si>
  <si>
    <t>כתובת:  אריק איינשטיין 3 , הרצליה</t>
  </si>
  <si>
    <t>19/07/2018</t>
  </si>
  <si>
    <t>04/12/2025</t>
  </si>
  <si>
    <t>קומרה קפיטל</t>
  </si>
  <si>
    <t>540310885</t>
  </si>
  <si>
    <t>Qumra Capital</t>
  </si>
  <si>
    <t>כתובת: הנביאים 4 , תל אביב</t>
  </si>
  <si>
    <t>07/03/2021</t>
  </si>
  <si>
    <t>30/10/2025</t>
  </si>
  <si>
    <t>Vertex 2 Fund</t>
  </si>
  <si>
    <t>550204275</t>
  </si>
  <si>
    <t>Vertex II Fund</t>
  </si>
  <si>
    <t>Other</t>
  </si>
  <si>
    <t>15/04/2019</t>
  </si>
  <si>
    <t>Vertex</t>
  </si>
  <si>
    <t>540283272</t>
  </si>
  <si>
    <t>Vertex VI Fund</t>
  </si>
  <si>
    <t>כתובת: השיקמה 1 , סביון</t>
  </si>
  <si>
    <t>04/01/2021</t>
  </si>
  <si>
    <t>23/12/2025</t>
  </si>
  <si>
    <t>ויטהלייף</t>
  </si>
  <si>
    <t>550226906</t>
  </si>
  <si>
    <t>VITALIFE</t>
  </si>
  <si>
    <t>כתובת: הברזל 32 , רמת החייל , תל אביב</t>
  </si>
  <si>
    <t>15/12/2020</t>
  </si>
  <si>
    <t>גולדן גייט קרן הון סיכון ב</t>
  </si>
  <si>
    <t>512875410</t>
  </si>
  <si>
    <t>גולדן גייט</t>
  </si>
  <si>
    <t>aMoon</t>
  </si>
  <si>
    <t>540278827</t>
  </si>
  <si>
    <t>Amoon 2 Fund  L.p</t>
  </si>
  <si>
    <t>כתובת:  שד' ירושלים 34, רעננה</t>
  </si>
  <si>
    <t>20/03/2019</t>
  </si>
  <si>
    <t>24/11/2025</t>
  </si>
  <si>
    <t>Ares Capital Management LLC</t>
  </si>
  <si>
    <t>801-63168</t>
  </si>
  <si>
    <t>Ares Strategic Income Fund</t>
  </si>
  <si>
    <t>קרן חוב</t>
  </si>
  <si>
    <t>Electra</t>
  </si>
  <si>
    <t>87-4404526</t>
  </si>
  <si>
    <t>Electra Capital PM II  Feeder 3</t>
  </si>
  <si>
    <t>Mezzanine Debt</t>
  </si>
  <si>
    <t>איי קיימן</t>
  </si>
  <si>
    <t>Address: 4890 West Kennedy blvd. Tampa, FL 33609 USA</t>
  </si>
  <si>
    <t>29/12/2022</t>
  </si>
  <si>
    <t>IBI</t>
  </si>
  <si>
    <t>550270045</t>
  </si>
  <si>
    <t>IBI CCF</t>
  </si>
  <si>
    <t>Venture Debt</t>
  </si>
  <si>
    <t>כתובת:  אחד העם 9 תל אביב</t>
  </si>
  <si>
    <t>30/01/2022</t>
  </si>
  <si>
    <t>Millennium International</t>
  </si>
  <si>
    <t>540326626</t>
  </si>
  <si>
    <t>Address: 399 Park Avenue, New York, NY 10022</t>
  </si>
  <si>
    <t>24/12/2025</t>
  </si>
  <si>
    <t>פאגאיה</t>
  </si>
  <si>
    <t>515469229</t>
  </si>
  <si>
    <t>PAGAYA OPP OF FE I SER 10.21</t>
  </si>
  <si>
    <t>Address: P.O. Box 309, Ugland House, Grand Cayman, KY1-1104, Cayman Islands</t>
  </si>
  <si>
    <t>02/11/2021</t>
  </si>
  <si>
    <t>Pagaya Opportunity</t>
  </si>
  <si>
    <t>04/10/2021</t>
  </si>
  <si>
    <t>04/01/2022</t>
  </si>
  <si>
    <t xml:space="preserve">Pagaya Opportunity </t>
  </si>
  <si>
    <t>PAGAYA OPPORTUNITY- SPV</t>
  </si>
  <si>
    <t>31/12/2024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</si>
  <si>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</si>
  <si>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</si>
  <si>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</si>
  <si>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</si>
  <si>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</si>
  <si>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</si>
  <si>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</si>
  <si>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</si>
  <si>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</si>
  <si>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</si>
  <si>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</si>
  <si>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</si>
  <si>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</si>
  <si>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</si>
  <si>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</si>
  <si>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</si>
  <si>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</si>
  <si>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</si>
  <si>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</si>
  <si>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</si>
  <si>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</si>
  <si>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</si>
  <si>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</si>
  <si>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</si>
  <si>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</si>
  <si>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</si>
  <si>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</si>
  <si>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</si>
  <si>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</si>
  <si>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</si>
  <si>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</si>
  <si>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</si>
  <si>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</si>
  <si>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</si>
  <si>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</si>
  <si>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</si>
  <si>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</si>
  <si>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</si>
  <si>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</si>
  <si>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</si>
  <si>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</si>
  <si>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</si>
  <si>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</si>
  <si>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</si>
  <si>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</si>
  <si>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</si>
  <si>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</si>
  <si>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</si>
  <si>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</si>
  <si>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</si>
  <si>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</si>
  <si>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</si>
  <si>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</si>
  <si>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</si>
  <si>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</si>
  <si>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</si>
  <si>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</si>
  <si>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</si>
  <si>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</si>
  <si>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</si>
  <si>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</si>
  <si>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</si>
  <si>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</si>
  <si>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</si>
  <si>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</si>
  <si>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</si>
  <si>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</si>
  <si>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</si>
  <si>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</si>
  <si>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</si>
  <si>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</si>
  <si>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</si>
  <si>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</si>
  <si>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</si>
  <si>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</si>
  <si>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</si>
  <si>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</si>
  <si>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</si>
  <si>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</si>
  <si>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</si>
  <si>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</si>
  <si>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</si>
  <si>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</si>
  <si>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</si>
  <si>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</si>
  <si>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</si>
  <si>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</si>
  <si>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</si>
  <si>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</si>
  <si>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</si>
  <si>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</si>
  <si>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</si>
  <si>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</si>
  <si>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</si>
  <si>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</si>
  <si>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</si>
  <si>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</si>
  <si>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</si>
  <si>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</si>
  <si>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</si>
  <si>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</si>
  <si>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</si>
  <si>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</si>
  <si>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</si>
  <si>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</si>
  <si>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</si>
  <si>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</si>
  <si>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</si>
  <si>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</si>
  <si>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</si>
  <si>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</si>
  <si>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</si>
  <si>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</si>
  <si>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</si>
  <si>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</si>
  <si>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</si>
  <si>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</si>
  <si>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</si>
  <si>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</si>
  <si>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</si>
  <si>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</si>
  <si>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</si>
  <si>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</si>
  <si>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</si>
  <si>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</si>
  <si>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</si>
  <si>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</si>
  <si>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</si>
  <si>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</si>
  <si>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</si>
  <si>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</si>
  <si>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</si>
  <si>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</si>
  <si>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</si>
  <si>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</si>
  <si>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</si>
  <si>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</si>
  <si>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</si>
  <si>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</si>
  <si>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</si>
  <si>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</si>
  <si>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</si>
  <si>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</si>
  <si>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</si>
  <si>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</si>
  <si>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</si>
  <si>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</si>
  <si>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</si>
  <si>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</si>
  <si>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</si>
  <si>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</si>
  <si>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</si>
  <si>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</si>
  <si>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</si>
  <si>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</si>
  <si>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</si>
  <si>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</si>
  <si>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</si>
  <si>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</si>
  <si>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</si>
  <si>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</si>
  <si>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</si>
  <si>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</si>
  <si>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</si>
  <si>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</si>
  <si>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</si>
  <si>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</si>
  <si>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</si>
  <si>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</si>
  <si>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</si>
  <si>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</si>
  <si>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</si>
  <si>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</si>
  <si>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</si>
  <si>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</si>
  <si>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</si>
  <si>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</si>
  <si>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</si>
  <si>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</si>
  <si>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</si>
  <si>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</si>
  <si>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</si>
  <si>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</si>
  <si>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</si>
  <si>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</si>
  <si>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</si>
  <si>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</si>
  <si>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</si>
  <si>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</si>
  <si>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</si>
  <si>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</si>
  <si>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</si>
  <si>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</si>
  <si>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</si>
  <si>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</si>
  <si>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</si>
  <si>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</si>
  <si>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</si>
  <si>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</si>
  <si>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</si>
  <si>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</si>
  <si>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</si>
  <si>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</si>
  <si>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</si>
  <si>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</si>
  <si>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</si>
  <si>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</si>
  <si>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</si>
  <si>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</si>
  <si>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</si>
  <si>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</si>
  <si>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</si>
  <si>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</si>
  <si>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</si>
  <si>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</si>
  <si>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</si>
  <si>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</si>
  <si>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</si>
  <si>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</si>
  <si>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</si>
  <si>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</si>
  <si>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</si>
  <si>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</si>
  <si>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</si>
  <si>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</si>
  <si>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</si>
  <si>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</si>
  <si>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</si>
  <si>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</si>
  <si>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</si>
  <si>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</si>
  <si>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</si>
  <si>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</si>
  <si>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</si>
  <si>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</si>
  <si>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</si>
  <si>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</si>
  <si>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</si>
  <si>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</si>
  <si>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</si>
  <si>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</si>
  <si>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</si>
  <si>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</si>
  <si>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</si>
  <si>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</si>
  <si>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</si>
  <si>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</si>
  <si>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</si>
  <si>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</si>
  <si>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</si>
  <si>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</si>
  <si>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</si>
  <si>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</si>
  <si>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</si>
  <si>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</si>
  <si>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</si>
  <si>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</si>
  <si>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</si>
  <si>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</si>
  <si>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</si>
  <si>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</si>
  <si>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</si>
  <si>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</si>
  <si>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</si>
  <si>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</si>
  <si>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</si>
  <si>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</si>
  <si>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</si>
  <si>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</si>
  <si>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</si>
  <si>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</si>
  <si>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</si>
  <si>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</si>
  <si>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</si>
  <si>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</si>
  <si>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</si>
  <si>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</si>
  <si>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</si>
  <si>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</si>
  <si>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</si>
  <si>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</si>
  <si>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</si>
  <si>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</si>
  <si>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</si>
  <si>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</si>
  <si>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</si>
  <si>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</si>
  <si>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</si>
  <si>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</si>
  <si>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</si>
  <si>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</si>
  <si>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</si>
  <si>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</si>
  <si>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</si>
  <si>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</si>
  <si>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</si>
  <si>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</si>
  <si>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</si>
  <si>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</si>
  <si>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נדל"ן מניב בחו"ל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</si>
  <si>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</si>
  <si>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</si>
  <si>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</si>
  <si>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</si>
  <si>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</si>
  <si>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</si>
  <si>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</si>
  <si>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</si>
  <si>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</si>
  <si>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 מידע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</si>
  <si>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</si>
  <si>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</si>
  <si>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</si>
  <si>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</si>
  <si>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</si>
  <si>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</si>
  <si>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</si>
  <si>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</si>
  <si>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</si>
  <si>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</si>
  <si>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</si>
  <si>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</si>
  <si>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</si>
  <si>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</si>
  <si>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</si>
  <si>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</si>
  <si>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</si>
  <si>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</si>
  <si>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</si>
  <si>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</si>
  <si>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</si>
  <si>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</si>
  <si>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</si>
  <si>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</si>
  <si>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</si>
  <si>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</si>
  <si>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</si>
  <si>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</si>
  <si>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</si>
  <si>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</si>
  <si>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</si>
  <si>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</si>
  <si>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</si>
  <si>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</si>
  <si>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</si>
  <si>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</si>
  <si>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</si>
  <si>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</si>
  <si>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</si>
  <si>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</si>
  <si>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</si>
  <si>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</si>
  <si>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</si>
  <si>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</si>
  <si>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</si>
  <si>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</si>
  <si>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</si>
  <si>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</si>
  <si>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</si>
  <si>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</si>
  <si>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</si>
  <si>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</si>
  <si>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</si>
  <si>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Capital Markets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</si>
  <si>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</si>
  <si>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</si>
  <si>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</si>
  <si>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</si>
  <si>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</si>
  <si>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</si>
  <si>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</si>
  <si>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</si>
  <si>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</si>
  <si>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</si>
  <si>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</si>
  <si>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</si>
  <si>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</si>
  <si>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</si>
  <si>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</si>
  <si>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</si>
  <si>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</si>
  <si>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</si>
  <si>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</si>
  <si>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</si>
  <si>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</si>
  <si>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</si>
  <si>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</si>
  <si>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</si>
  <si>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</si>
  <si>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</si>
  <si>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</si>
  <si>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</si>
  <si>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</si>
  <si>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</si>
  <si>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</si>
  <si>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</si>
  <si>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</si>
  <si>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</si>
  <si>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</si>
  <si>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</si>
  <si>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</si>
  <si>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</si>
  <si>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</si>
  <si>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</si>
  <si>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</si>
  <si>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</si>
  <si>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</si>
  <si>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</si>
  <si>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</si>
  <si>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</si>
  <si>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</si>
  <si>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</si>
  <si>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</si>
  <si>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</si>
  <si>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</si>
  <si>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</si>
  <si>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</si>
  <si>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</si>
  <si>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</si>
  <si>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</si>
  <si>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</si>
  <si>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</si>
  <si>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</si>
  <si>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</si>
  <si>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</si>
  <si>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</si>
  <si>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</si>
  <si>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</si>
  <si>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</si>
  <si>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</si>
  <si>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</si>
  <si>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</si>
  <si>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</si>
  <si>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</si>
  <si>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</si>
  <si>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</si>
  <si>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</si>
  <si>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</si>
  <si>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</si>
  <si>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</si>
  <si>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</si>
  <si>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</si>
  <si>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</si>
  <si>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</si>
  <si>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</si>
  <si>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</si>
  <si>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</si>
  <si>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</si>
  <si>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</si>
  <si>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</si>
  <si>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</si>
  <si>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</si>
  <si>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</si>
  <si>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</si>
  <si>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</si>
  <si>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</si>
  <si>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</si>
  <si>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</si>
  <si>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</si>
  <si>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</si>
  <si>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</si>
  <si>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</si>
  <si>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</si>
  <si>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</si>
  <si>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</si>
  <si>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</si>
  <si>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</si>
  <si>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</si>
  <si>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</si>
  <si>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</si>
  <si>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</si>
  <si>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</si>
  <si>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</si>
  <si>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</si>
  <si>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</si>
  <si>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</si>
  <si>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</si>
  <si>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</si>
  <si>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</si>
  <si>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</si>
  <si>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</si>
  <si>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</si>
  <si>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</si>
  <si>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</si>
  <si>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</si>
  <si>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</si>
  <si>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</si>
  <si>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</si>
  <si>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</si>
  <si>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</si>
  <si>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</si>
  <si>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</si>
  <si>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</si>
  <si>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</si>
  <si>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</si>
  <si>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</si>
  <si>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</si>
  <si>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</si>
  <si>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</si>
  <si>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</si>
  <si>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</si>
  <si>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</si>
  <si>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</si>
  <si>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</si>
  <si>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</si>
  <si>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</si>
  <si>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</si>
  <si>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</si>
  <si>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</si>
  <si>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</si>
  <si>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</si>
  <si>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</si>
  <si>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</si>
  <si>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</si>
  <si>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</si>
  <si>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</si>
  <si>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</si>
  <si>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</si>
  <si>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</si>
  <si>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</si>
  <si>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</si>
  <si>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</si>
  <si>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</si>
  <si>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</si>
  <si>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</si>
  <si>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</si>
  <si>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</si>
  <si>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</si>
  <si>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</si>
  <si>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</si>
  <si>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</si>
  <si>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</si>
  <si>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</si>
  <si>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</si>
  <si>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</si>
  <si>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</si>
  <si>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</si>
  <si>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</si>
  <si>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</si>
  <si>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</si>
  <si>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</si>
  <si>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</si>
  <si>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</si>
  <si>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</si>
  <si>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</si>
  <si>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</si>
  <si>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</si>
  <si>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</si>
  <si>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</si>
  <si>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</si>
  <si>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</si>
  <si>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</si>
  <si>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</si>
  <si>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</si>
  <si>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</si>
  <si>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</si>
  <si>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</si>
  <si>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</si>
  <si>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</si>
  <si>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</si>
  <si>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</si>
  <si>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</si>
  <si>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</si>
  <si>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</si>
  <si>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</si>
  <si>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</si>
  <si>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</si>
  <si>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</si>
  <si>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</si>
  <si>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</si>
  <si>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</si>
  <si>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</si>
  <si>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</si>
  <si>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</si>
  <si>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</si>
  <si>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</si>
  <si>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</si>
  <si>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</si>
  <si>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</si>
  <si>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</si>
  <si>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</si>
  <si>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</si>
  <si>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</si>
  <si>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</si>
  <si>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</si>
  <si>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</si>
  <si>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</si>
  <si>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</si>
  <si>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</si>
  <si>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</si>
  <si>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</si>
  <si>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</si>
  <si>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</si>
  <si>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</si>
  <si>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</si>
  <si>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</si>
  <si>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</si>
  <si>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</si>
  <si>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</si>
  <si>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</si>
  <si>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</si>
  <si>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</si>
  <si>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</si>
  <si>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</si>
  <si>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</si>
  <si>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</si>
  <si>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</si>
  <si>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</si>
  <si>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</si>
  <si>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</si>
  <si>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</si>
  <si>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</si>
  <si>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</si>
  <si>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</si>
  <si>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</si>
  <si>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</si>
  <si>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</si>
  <si>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</si>
  <si>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</si>
  <si>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</si>
  <si>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</si>
  <si>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</si>
  <si>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</si>
  <si>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</si>
  <si>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</si>
  <si>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</si>
  <si>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</si>
  <si>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</si>
  <si>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</si>
  <si>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</si>
  <si>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</si>
  <si>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</si>
  <si>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</si>
  <si>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</si>
  <si>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</si>
  <si>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Special Situations Debt</t>
  </si>
  <si>
    <t>Distressed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</si>
  <si>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</si>
  <si>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</si>
  <si>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</si>
  <si>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</si>
  <si>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</si>
  <si>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</si>
  <si>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</si>
  <si>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</si>
  <si>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</si>
  <si>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</si>
  <si>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</si>
  <si>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</si>
  <si>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</si>
  <si>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</si>
  <si>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</si>
  <si>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</si>
  <si>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</si>
  <si>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</si>
  <si>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</si>
  <si>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</si>
  <si>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</si>
  <si>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</si>
  <si>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</si>
  <si>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</si>
  <si>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</si>
  <si>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</si>
  <si>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</si>
  <si>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</si>
  <si>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</si>
  <si>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</si>
  <si>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</si>
  <si>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</si>
  <si>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</si>
  <si>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</si>
  <si>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</si>
  <si>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</si>
  <si>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</si>
  <si>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</si>
  <si>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</si>
  <si>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</si>
  <si>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</si>
  <si>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</si>
  <si>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</si>
  <si>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</si>
  <si>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</si>
  <si>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</si>
  <si>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</si>
  <si>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</si>
  <si>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</si>
  <si>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</si>
  <si>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</si>
  <si>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</si>
  <si>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</si>
  <si>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</si>
  <si>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</si>
  <si>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</si>
  <si>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</si>
  <si>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</si>
  <si>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</si>
  <si>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</si>
  <si>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</si>
  <si>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</si>
  <si>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</si>
  <si>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</si>
  <si>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</si>
  <si>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</si>
  <si>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</si>
  <si>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</si>
  <si>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</si>
  <si>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</si>
  <si>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</si>
  <si>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</si>
  <si>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</si>
  <si>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</si>
  <si>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</si>
  <si>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</si>
  <si>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</si>
  <si>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</si>
  <si>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</si>
  <si>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</si>
  <si>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</si>
  <si>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</si>
  <si>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</si>
  <si>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</si>
  <si>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</si>
  <si>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</si>
  <si>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</si>
  <si>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</si>
  <si>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</si>
  <si>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</si>
  <si>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</si>
  <si>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</si>
  <si>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</si>
  <si>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</si>
  <si>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</si>
  <si>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</si>
  <si>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</si>
  <si>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</si>
  <si>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</si>
  <si>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</si>
  <si>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</si>
  <si>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</si>
  <si>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</si>
  <si>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</si>
  <si>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</si>
  <si>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</si>
  <si>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</si>
  <si>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</si>
  <si>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</si>
  <si>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</si>
  <si>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</si>
  <si>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</si>
  <si>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</si>
  <si>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</si>
  <si>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</si>
  <si>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</si>
  <si>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</si>
  <si>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</si>
  <si>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</si>
  <si>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</si>
  <si>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</si>
  <si>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</si>
  <si>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</si>
  <si>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</si>
  <si>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</si>
  <si>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</si>
  <si>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</si>
  <si>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</si>
  <si>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</si>
  <si>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</si>
  <si>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</si>
  <si>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</si>
  <si>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</si>
  <si>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</si>
  <si>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</si>
  <si>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</si>
  <si>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</si>
  <si>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</si>
  <si>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</si>
  <si>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</si>
  <si>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</si>
  <si>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</si>
  <si>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</si>
  <si>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</si>
  <si>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</si>
  <si>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</si>
  <si>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</si>
  <si>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</si>
  <si>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</si>
  <si>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</si>
  <si>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</si>
  <si>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</si>
  <si>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</si>
  <si>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</si>
  <si>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</si>
  <si>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</si>
  <si>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</si>
  <si>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</si>
  <si>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</si>
  <si>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</si>
  <si>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</si>
  <si>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גידור (Hedge Fund)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</si>
  <si>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</si>
  <si>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</si>
  <si>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</si>
  <si>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</si>
  <si>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</si>
  <si>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</si>
  <si>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</si>
  <si>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</si>
  <si>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</si>
  <si>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</si>
  <si>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</si>
  <si>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</si>
  <si>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</si>
  <si>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</si>
  <si>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</si>
  <si>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</si>
  <si>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</si>
  <si>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</si>
  <si>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</si>
  <si>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</si>
  <si>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</si>
  <si>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</si>
  <si>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</si>
  <si>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</si>
  <si>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</si>
  <si>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</si>
  <si>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</si>
  <si>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</si>
  <si>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</si>
  <si>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</si>
  <si>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</si>
  <si>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</si>
  <si>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</si>
  <si>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</si>
  <si>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</si>
  <si>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</si>
  <si>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</si>
  <si>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</si>
  <si>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</si>
  <si>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</si>
  <si>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</si>
  <si>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</si>
  <si>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</si>
  <si>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</si>
  <si>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</si>
  <si>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</si>
  <si>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</si>
  <si>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</si>
  <si>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</si>
  <si>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</si>
  <si>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</si>
  <si>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</si>
  <si>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</si>
  <si>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</si>
  <si>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</si>
  <si>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</si>
  <si>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</si>
  <si>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</si>
  <si>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</si>
  <si>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</si>
  <si>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</si>
  <si>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</si>
  <si>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</si>
  <si>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</si>
  <si>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</si>
  <si>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</si>
  <si>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</si>
  <si>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</si>
  <si>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</si>
  <si>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</si>
  <si>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</si>
  <si>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</si>
  <si>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</si>
  <si>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</si>
  <si>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</si>
  <si>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</si>
  <si>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</si>
  <si>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</si>
  <si>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</si>
  <si>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</si>
  <si>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</si>
  <si>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</si>
  <si>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</si>
  <si>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</si>
  <si>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</si>
  <si>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</si>
  <si>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</si>
  <si>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</si>
  <si>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</si>
  <si>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</si>
  <si>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</si>
  <si>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</si>
  <si>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</si>
  <si>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</si>
  <si>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</si>
  <si>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</si>
  <si>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</si>
  <si>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</si>
  <si>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</si>
  <si>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</si>
  <si>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</si>
  <si>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</si>
  <si>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</si>
  <si>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</si>
  <si>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</si>
  <si>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</si>
  <si>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</si>
  <si>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</si>
  <si>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</si>
  <si>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</si>
  <si>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</si>
  <si>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</si>
  <si>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</si>
  <si>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</si>
  <si>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</si>
  <si>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</si>
  <si>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</si>
  <si>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</si>
  <si>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</si>
  <si>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</si>
  <si>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</si>
  <si>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</si>
  <si>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</si>
  <si>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</si>
  <si>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</si>
  <si>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</si>
  <si>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</si>
  <si>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</si>
  <si>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</si>
  <si>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</si>
  <si>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</si>
  <si>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</si>
  <si>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</si>
  <si>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</si>
  <si>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</si>
  <si>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</si>
  <si>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</si>
  <si>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</si>
  <si>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</si>
  <si>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</si>
  <si>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</si>
  <si>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</si>
  <si>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</si>
  <si>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</si>
  <si>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</si>
  <si>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</si>
  <si>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</si>
  <si>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</si>
  <si>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</si>
  <si>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</si>
  <si>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</si>
  <si>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</si>
  <si>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</si>
  <si>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</si>
  <si>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</si>
  <si>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</si>
  <si>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</si>
  <si>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</si>
  <si>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</si>
  <si>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</si>
  <si>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</si>
  <si>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</si>
  <si>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</si>
  <si>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</si>
  <si>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</si>
  <si>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</si>
  <si>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</si>
  <si>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</si>
  <si>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</si>
  <si>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</si>
  <si>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</si>
  <si>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</si>
  <si>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</si>
  <si>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</si>
  <si>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</si>
  <si>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</si>
  <si>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</si>
  <si>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</si>
  <si>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</si>
  <si>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</si>
  <si>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</si>
  <si>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</si>
  <si>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</si>
  <si>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</si>
  <si>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</si>
  <si>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</si>
  <si>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</si>
  <si>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</si>
  <si>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</si>
  <si>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</si>
  <si>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</si>
  <si>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</si>
  <si>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</si>
  <si>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</si>
  <si>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</si>
  <si>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</si>
  <si>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</si>
  <si>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</si>
  <si>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</si>
  <si>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</si>
  <si>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</si>
  <si>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</si>
  <si>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</si>
  <si>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</si>
  <si>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</si>
  <si>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</si>
  <si>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</si>
  <si>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</si>
  <si>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</si>
  <si>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</si>
  <si>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</si>
  <si>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</si>
  <si>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</si>
  <si>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</si>
  <si>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</si>
  <si>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</si>
  <si>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</si>
  <si>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</si>
  <si>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</si>
  <si>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</si>
  <si>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</si>
  <si>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</si>
  <si>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</si>
  <si>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</si>
  <si>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</si>
  <si>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</si>
  <si>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</si>
  <si>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</si>
  <si>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</si>
  <si>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</si>
  <si>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</si>
  <si>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</si>
  <si>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</si>
  <si>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</si>
  <si>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</si>
  <si>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</si>
  <si>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</si>
  <si>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דיסקונט לישראל בע"מ</t>
  </si>
  <si>
    <t>11-10</t>
  </si>
  <si>
    <t>GBP</t>
  </si>
  <si>
    <t>10-800</t>
  </si>
  <si>
    <t>CPI</t>
  </si>
  <si>
    <t>NA</t>
  </si>
  <si>
    <t>IDBLILIT</t>
  </si>
  <si>
    <t>delivery</t>
  </si>
  <si>
    <t>Fimi Israel Opportunity 7</t>
  </si>
  <si>
    <t>IGP II</t>
  </si>
  <si>
    <t>קומרה קפיטל III</t>
  </si>
  <si>
    <t>Vertex VI</t>
  </si>
  <si>
    <t>aMoon 2</t>
  </si>
  <si>
    <t>89410</t>
  </si>
  <si>
    <t>10285</t>
  </si>
  <si>
    <t>US0079031078</t>
  </si>
  <si>
    <t>ADVANCED MIOCRO DEVICES</t>
  </si>
  <si>
    <t>עינת מאיר , מנכ"ל</t>
  </si>
  <si>
    <t>einat.meir@dbank.co.il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</si>
</sst>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12">
    <xf numFmtId="0" fontId="0" fillId="0" borderId="0"/>
    <xf numFmtId="0" fontId="10" fillId="0" borderId="0"/>
    <xf numFmtId="0" fontId="10" fillId="0" borderId="0"/>
    <xf numFmtId="0" fontId="25" fillId="0" borderId="2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14" fillId="0" borderId="20"/>
    <xf numFmtId="43" fontId="3" fillId="0" borderId="0" applyFont="0" applyFill="0" applyBorder="0" applyAlignment="0" applyProtection="0"/>
  </cellStyleXfs>
  <cellXfs count="218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5" fillId="0" borderId="0" xfId="0" applyNumberFormat="1" applyFont="1" applyFill="1" applyBorder="1" applyProtection="1">
      <protection locked="0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14" fillId="0" borderId="0" xfId="0" applyNumberFormat="1" applyFont="1" applyFill="1" applyBorder="1" applyProtection="1">
      <protection locked="0"/>
    </xf>
    <xf numFmtId="0" fontId="13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3" fillId="0" borderId="0" xfId="0" applyNumberFormat="1" applyFont="1" applyFill="1" applyBorder="1"/>
    <xf numFmtId="0" fontId="5" fillId="0" borderId="0" xfId="0" applyNumberFormat="1" applyFont="1" applyFill="1" applyBorder="1"/>
    <xf numFmtId="0" fontId="4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3" fillId="6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6" fillId="4" borderId="0" xfId="0" applyNumberFormat="1" applyFont="1" applyFill="1" applyBorder="1" applyAlignment="1">
      <alignment horizontal="right" vertical="top"/>
    </xf>
    <xf numFmtId="4" fontId="5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0" fontId="5" fillId="7" borderId="0" xfId="0" applyNumberFormat="1" applyFont="1" applyFill="1" applyBorder="1" applyProtection="1">
      <protection locked="0"/>
    </xf>
    <xf numFmtId="166" fontId="8" fillId="3" borderId="2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/>
    <xf numFmtId="166" fontId="4" fillId="0" borderId="0" xfId="0" applyNumberFormat="1" applyFont="1" applyFill="1" applyBorder="1"/>
    <xf numFmtId="167" fontId="4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5" fillId="0" borderId="0" xfId="0" applyNumberFormat="1" applyFont="1" applyFill="1" applyBorder="1" applyProtection="1">
      <protection locked="0"/>
    </xf>
    <xf numFmtId="167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8" fontId="8" fillId="3" borderId="2" xfId="0" applyNumberFormat="1" applyFont="1" applyFill="1" applyBorder="1" applyAlignment="1">
      <alignment horizontal="center" vertical="center" wrapText="1"/>
    </xf>
    <xf numFmtId="168" fontId="5" fillId="0" borderId="0" xfId="0" applyNumberFormat="1" applyFont="1" applyFill="1" applyBorder="1" applyProtection="1">
      <protection locked="0"/>
    </xf>
    <xf numFmtId="168" fontId="5" fillId="0" borderId="0" xfId="0" applyNumberFormat="1" applyFont="1" applyFill="1" applyBorder="1"/>
    <xf numFmtId="168" fontId="8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4" fontId="9" fillId="0" borderId="10" xfId="0" applyNumberFormat="1" applyFont="1" applyFill="1" applyBorder="1" applyAlignment="1">
      <alignment horizontal="center" vertical="center" wrapText="1"/>
    </xf>
    <xf numFmtId="4" fontId="9" fillId="0" borderId="21" xfId="0" applyNumberFormat="1" applyFont="1" applyFill="1" applyBorder="1" applyAlignment="1">
      <alignment horizontal="center" vertical="center" wrapText="1"/>
    </xf>
    <xf numFmtId="4" fontId="25" fillId="0" borderId="20" xfId="3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3" fontId="3" fillId="0" borderId="0" xfId="4" applyFont="1" applyFill="1" applyBorder="1" applyAlignment="1">
      <alignment horizontal="center"/>
    </xf>
    <xf numFmtId="43" fontId="0" fillId="0" borderId="0" xfId="4" applyFont="1" applyFill="1" applyBorder="1" applyAlignment="1">
      <alignment horizontal="center"/>
    </xf>
    <xf numFmtId="0" fontId="3" fillId="0" borderId="0" xfId="0" applyFont="1"/>
    <xf numFmtId="164" fontId="0" fillId="0" borderId="0" xfId="0" applyNumberFormat="1" applyAlignment="1">
      <alignment horizontal="center"/>
    </xf>
    <xf numFmtId="43" fontId="3" fillId="0" borderId="0" xfId="4" applyFont="1" applyFill="1" applyBorder="1"/>
    <xf numFmtId="43" fontId="0" fillId="0" borderId="0" xfId="4" applyFont="1" applyFill="1" applyBorder="1"/>
    <xf numFmtId="0" fontId="4" fillId="0" borderId="0" xfId="0" applyFont="1" applyProtection="1">
      <protection locked="0"/>
    </xf>
    <xf numFmtId="14" fontId="3" fillId="0" borderId="0" xfId="0" applyNumberFormat="1" applyFont="1" applyAlignment="1">
      <alignment horizontal="center"/>
    </xf>
    <xf numFmtId="10" fontId="3" fillId="0" borderId="0" xfId="0" applyNumberFormat="1" applyFont="1" applyProtection="1">
      <protection locked="0"/>
    </xf>
    <xf numFmtId="4" fontId="3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right"/>
    </xf>
    <xf numFmtId="165" fontId="2" fillId="0" borderId="0" xfId="6" applyNumberFormat="1"/>
    <xf numFmtId="165" fontId="3" fillId="0" borderId="0" xfId="0" applyNumberFormat="1" applyFont="1" applyAlignment="1">
      <alignment horizontal="right"/>
    </xf>
    <xf numFmtId="4" fontId="2" fillId="0" borderId="0" xfId="6" applyNumberFormat="1"/>
    <xf numFmtId="0" fontId="2" fillId="0" borderId="0" xfId="6" applyAlignment="1">
      <alignment horizontal="right"/>
    </xf>
    <xf numFmtId="0" fontId="0" fillId="0" borderId="0" xfId="0" applyAlignment="1">
      <alignment horizontal="right"/>
    </xf>
    <xf numFmtId="4" fontId="2" fillId="0" borderId="0" xfId="6" applyNumberFormat="1"/>
    <xf numFmtId="10" fontId="9" fillId="0" borderId="10" xfId="5" applyNumberFormat="1" applyFont="1" applyFill="1" applyBorder="1" applyAlignment="1">
      <alignment horizontal="center" vertical="center" wrapText="1"/>
    </xf>
    <xf numFmtId="10" fontId="9" fillId="0" borderId="21" xfId="5" applyNumberFormat="1" applyFont="1" applyFill="1" applyBorder="1" applyAlignment="1">
      <alignment horizontal="center" vertical="center" wrapText="1"/>
    </xf>
    <xf numFmtId="10" fontId="25" fillId="0" borderId="20" xfId="5" applyNumberFormat="1" applyFont="1" applyFill="1" applyBorder="1" applyAlignment="1">
      <alignment horizontal="center" vertical="center" wrapText="1"/>
    </xf>
    <xf numFmtId="14" fontId="5" fillId="0" borderId="0" xfId="0" applyNumberFormat="1" applyFont="1" applyFill="1" applyBorder="1" applyProtection="1">
      <protection locked="0"/>
    </xf>
    <xf numFmtId="0" fontId="3" fillId="0" borderId="0" xfId="0" applyFont="1" applyProtection="1">
      <protection locked="0"/>
    </xf>
    <xf numFmtId="14" fontId="3" fillId="0" borderId="0" xfId="0" applyNumberFormat="1" applyFont="1"/>
    <xf numFmtId="43" fontId="5" fillId="0" borderId="0" xfId="0" applyNumberFormat="1" applyFont="1" applyFill="1" applyBorder="1"/>
    <xf numFmtId="43" fontId="5" fillId="0" borderId="0" xfId="4" applyFont="1" applyFill="1" applyBorder="1"/>
    <xf numFmtId="0" fontId="27" fillId="0" borderId="0" xfId="0" applyNumberFormat="1" applyFont="1" applyFill="1" applyBorder="1"/>
    <xf numFmtId="0" fontId="13" fillId="5" borderId="11" xfId="8" applyFont="1" applyFill="1" applyBorder="1" applyAlignment="1" applyProtection="1">
      <alignment horizontal="right" vertical="center" wrapText="1"/>
      <protection locked="0"/>
    </xf>
    <xf numFmtId="0" fontId="0" fillId="0" borderId="0" xfId="0"/>
    <xf numFmtId="0" fontId="13" fillId="5" borderId="11" xfId="8" applyFont="1" applyFill="1" applyBorder="1" applyAlignment="1">
      <alignment horizontal="right" vertical="center" wrapText="1"/>
    </xf>
    <xf numFmtId="0" fontId="13" fillId="5" borderId="0" xfId="8" applyFont="1" applyFill="1" applyAlignment="1" applyProtection="1">
      <alignment horizontal="left" vertical="center" wrapText="1" indent="1"/>
      <protection locked="0"/>
    </xf>
    <xf numFmtId="0" fontId="13" fillId="5" borderId="11" xfId="8" applyFont="1" applyFill="1" applyBorder="1" applyAlignment="1" applyProtection="1">
      <alignment horizontal="left" vertical="center" wrapText="1" indent="1"/>
      <protection locked="0"/>
    </xf>
    <xf numFmtId="0" fontId="0" fillId="0" borderId="0" xfId="0" applyProtection="1">
      <protection locked="0"/>
    </xf>
    <xf numFmtId="0" fontId="13" fillId="5" borderId="11" xfId="8" applyFont="1" applyFill="1" applyBorder="1" applyAlignment="1" applyProtection="1">
      <alignment vertical="center" wrapText="1"/>
      <protection locked="0"/>
    </xf>
  </cellXfs>
  <cellStyles count="12">
    <cellStyle name="Comma" xfId="4" builtinId="3"/>
    <cellStyle name="Comma 2" xfId="11" xr:uid="{53D67372-5FA2-444E-A994-D5EC310221C4}"/>
    <cellStyle name="Normal" xfId="0" builtinId="0"/>
    <cellStyle name="Normal 2" xfId="6" xr:uid="{41A26CFB-350E-4973-A4E8-6BD267E349F9}"/>
    <cellStyle name="Normal 3" xfId="1" xr:uid="{00000000-0005-0000-0000-000001000000}"/>
    <cellStyle name="Normal 3 2" xfId="8" xr:uid="{4DE1E527-4AC1-48E3-ACEE-091B7204E100}"/>
    <cellStyle name="Normal 4" xfId="7" xr:uid="{8247A3ED-1DFC-4506-9C3A-2CC8A4340291}"/>
    <cellStyle name="Normal 9" xfId="2" xr:uid="{00000000-0005-0000-0000-000002000000}"/>
    <cellStyle name="Normal 9 2" xfId="9" xr:uid="{7741D5A4-29C0-4AFD-83D4-1DAA46FD94D1}"/>
    <cellStyle name="Percent" xfId="5" builtinId="5"/>
    <cellStyle name="סה&quot;כ" xfId="3" builtinId="25"/>
    <cellStyle name="סה&quot;כ 2" xfId="10" xr:uid="{7FCC750C-8CA3-4506-8909-089402729DC1}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5">
          <cell r="A35" t="str">
            <v>אי. אם. איי - עזר חברה לביטוח משכנתאות בע"מ</v>
          </cell>
          <cell r="B35">
            <v>512310509</v>
          </cell>
        </row>
        <row r="36">
          <cell r="A36" t="str">
            <v>איי. די. איי. חברה לביטוח בע"מ</v>
          </cell>
          <cell r="B36">
            <v>513910703</v>
          </cell>
        </row>
        <row r="37">
          <cell r="A37" t="str">
            <v>איי.אי.ג'י חברה לביטוח בע"מ</v>
          </cell>
          <cell r="B37">
            <v>512304882</v>
          </cell>
        </row>
        <row r="38">
          <cell r="A38" t="str">
            <v>איילון חברה לביטוח בע"מ</v>
          </cell>
          <cell r="B38">
            <v>520030677</v>
          </cell>
        </row>
        <row r="39">
          <cell r="A39" t="str">
            <v>אינפיניטי השתלמות, גמל ופנסיה בע"מ</v>
          </cell>
          <cell r="B39">
            <v>513621110</v>
          </cell>
        </row>
        <row r="40">
          <cell r="A40" t="str">
            <v>אלטשולר שחם גמל ופנסיה בע"מ</v>
          </cell>
          <cell r="B40">
            <v>513173393</v>
          </cell>
        </row>
        <row r="41">
          <cell r="A41" t="str">
            <v>אנליסט קופות גמל בע"מ</v>
          </cell>
          <cell r="B41">
            <v>511880460</v>
          </cell>
        </row>
        <row r="42">
          <cell r="A42" t="str">
            <v>ארם גמולים - חברה לניהול קופות גמל בע''מ</v>
          </cell>
          <cell r="B42">
            <v>510773922</v>
          </cell>
        </row>
        <row r="43">
          <cell r="A43" t="str">
            <v>אשרא - החברה הישראלית לביטוח יצוא בע"מ</v>
          </cell>
          <cell r="B43">
            <v>520021916</v>
          </cell>
        </row>
        <row r="44">
          <cell r="A44" t="str">
            <v>ב.ס.ס.ח. - החברה הישראלית לביטוח אשראי בע"מ</v>
          </cell>
          <cell r="B44">
            <v>520044025</v>
          </cell>
        </row>
        <row r="45">
          <cell r="A45" t="str">
            <v>ביטוח חקלאי אגודה מרכזית בע"מ</v>
          </cell>
          <cell r="B45">
            <v>570003152</v>
          </cell>
        </row>
        <row r="46">
          <cell r="A46" t="str">
            <v>גילעד גימלאות לעובדים דתיים בע"מ</v>
          </cell>
          <cell r="B46">
            <v>520023094</v>
          </cell>
        </row>
        <row r="47">
          <cell r="A47" t="str">
            <v>גל - ניהול קופות גמל לעובדי הוראה בע"מ</v>
          </cell>
          <cell r="B47">
            <v>512711409</v>
          </cell>
        </row>
        <row r="48">
          <cell r="A48" t="str">
            <v>דיויד שילד חברה לביטוח בע"מ</v>
          </cell>
          <cell r="B48">
            <v>515859379</v>
          </cell>
        </row>
        <row r="49">
          <cell r="A49" t="str">
            <v>החברה המנהלת של מינהל קרן ההשתלמות לפקידים עובדי המנהל והשירותים בע"מ</v>
          </cell>
          <cell r="B49">
            <v>520030990</v>
          </cell>
        </row>
        <row r="50">
          <cell r="A50" t="str">
            <v>החברה המנהלת של קרן הגמלאות של חברי "דן" בע"מ</v>
          </cell>
          <cell r="B50">
            <v>520028812</v>
          </cell>
        </row>
        <row r="51">
          <cell r="A51" t="str">
            <v>החברה המנהלת של קרן השתלמות של עובדי חברת החשמל לישראל בע"מ</v>
          </cell>
          <cell r="B51">
            <v>520034968</v>
          </cell>
        </row>
        <row r="52">
          <cell r="A52" t="str">
            <v>החברה המנהלת של רום קרן ההשתלמות לעובדי הרשויות המקומיות בע"מ</v>
          </cell>
          <cell r="B52">
            <v>520031824</v>
          </cell>
        </row>
        <row r="53">
          <cell r="A53" t="str">
            <v>החברה לניהול קופות התגמולים והפיצויים של עובדי בנק לאומי בע"מ</v>
          </cell>
          <cell r="B53">
            <v>520005497</v>
          </cell>
        </row>
        <row r="54">
          <cell r="A54" t="str">
            <v>החברה לניהול קופת התגמולים והפנסיה של עובדי הסוכנות היהודית לארץ ישראל בע"מ</v>
          </cell>
          <cell r="B54">
            <v>520022518</v>
          </cell>
        </row>
        <row r="55">
          <cell r="A55" t="str">
            <v>החברה לניהול קרן ההשתלמות להנדסאים וטכנאים בע"מ</v>
          </cell>
          <cell r="B55">
            <v>520028556</v>
          </cell>
        </row>
        <row r="56">
          <cell r="A56" t="str">
            <v>החברה לניהול קרן ההשתלמות לעובדי המדינה בע"מ</v>
          </cell>
          <cell r="B56">
            <v>520032269</v>
          </cell>
        </row>
        <row r="57">
          <cell r="A57" t="str">
            <v>החברה לניהול קרן השתלמות לאקדמאים במדעי החברה והרוח בע"מ</v>
          </cell>
          <cell r="B57">
            <v>520027954</v>
          </cell>
        </row>
        <row r="58">
          <cell r="A58" t="str">
            <v>החברה לניהול קרן השתלמות לביוכימאים  ומקרוביולוגים בע"מ</v>
          </cell>
          <cell r="B58">
            <v>520029620</v>
          </cell>
        </row>
        <row r="59">
          <cell r="A59" t="str">
            <v>החברה לניהול קרן השתלמות למשפטנים בע"מ</v>
          </cell>
          <cell r="B59">
            <v>520028861</v>
          </cell>
        </row>
        <row r="60">
          <cell r="A60" t="str">
            <v>החברה לניהול קרן השתלמות לשופטים בע"מ</v>
          </cell>
          <cell r="B60">
            <v>520030743</v>
          </cell>
        </row>
        <row r="61">
          <cell r="A61" t="str">
            <v>הכשרה חברה לביטוח בע"מ</v>
          </cell>
          <cell r="B61">
            <v>520042177</v>
          </cell>
        </row>
        <row r="62">
          <cell r="A62" t="str">
            <v>הלמן-אלדובי חח"י גמל בע"מ</v>
          </cell>
          <cell r="B62">
            <v>515447035</v>
          </cell>
        </row>
        <row r="63">
          <cell r="A63" t="str">
            <v>הנדסאים וטכנאים - חברה לניהול קופות גמל בע"מ</v>
          </cell>
          <cell r="B63">
            <v>520042607</v>
          </cell>
        </row>
        <row r="64">
          <cell r="A64" t="str">
            <v>הפניקס אקסלנס פנסיה וגמל בע"מ</v>
          </cell>
          <cell r="B64">
            <v>513026484</v>
          </cell>
        </row>
        <row r="65">
          <cell r="A65" t="str">
            <v>הפניקס חברה לביטוח בע"מ</v>
          </cell>
          <cell r="B65">
            <v>520023185</v>
          </cell>
        </row>
        <row r="66">
          <cell r="A66" t="str">
            <v>הראל חברה לביטוח בע"מ</v>
          </cell>
          <cell r="B66">
            <v>520004078</v>
          </cell>
        </row>
        <row r="67">
          <cell r="A67" t="str">
            <v>הראל פנסיה וגמל בע"מ</v>
          </cell>
          <cell r="B67">
            <v>512267592</v>
          </cell>
        </row>
        <row r="68">
          <cell r="A68" t="str">
            <v>ווישור חברה לביטוח בע"מ</v>
          </cell>
          <cell r="B68">
            <v>515764868</v>
          </cell>
        </row>
        <row r="69">
          <cell r="A69" t="str">
            <v>חברה לניהול קופות גמל של העובדים בעיריית תל - אביב יפו בע"מ</v>
          </cell>
          <cell r="B69">
            <v>513452003</v>
          </cell>
        </row>
        <row r="70">
          <cell r="A70" t="str">
            <v>חברת ב'ת למ'ד דל'ת בע"מ</v>
          </cell>
          <cell r="B70">
            <v>510142789</v>
          </cell>
        </row>
        <row r="71">
          <cell r="A71" t="str">
            <v>חברת הגמל לעובדי האוניברסיטה העברית בע"מ</v>
          </cell>
          <cell r="B71">
            <v>510960586</v>
          </cell>
        </row>
        <row r="72">
          <cell r="A72" t="str">
            <v>יהב - פ.ר.ח. - חברה לניהול קופות גמל בע"מ</v>
          </cell>
          <cell r="B72">
            <v>510930670</v>
          </cell>
        </row>
        <row r="73">
          <cell r="A73" t="str">
            <v>יהב אחים ואחיות - חברה לניהול קופות גמל בע"מ</v>
          </cell>
          <cell r="B73">
            <v>510927536</v>
          </cell>
        </row>
        <row r="74">
          <cell r="A74" t="str">
            <v>יהב רופאים - חברה לניהול קופות גמל בע"מ</v>
          </cell>
          <cell r="B74">
            <v>510930654</v>
          </cell>
        </row>
        <row r="75">
          <cell r="A75" t="str">
            <v>יוזמה קרן פנסיה לעצמאים בע"מ</v>
          </cell>
          <cell r="B75">
            <v>520032566</v>
          </cell>
        </row>
        <row r="76">
          <cell r="A76" t="str">
            <v>ילין לפידות ניהול קופות גמל בע"מ</v>
          </cell>
          <cell r="B76">
            <v>513611509</v>
          </cell>
        </row>
        <row r="77">
          <cell r="A77" t="str">
            <v>כלל חברה לביטוח אשראי בע"מ</v>
          </cell>
          <cell r="B77">
            <v>510888985</v>
          </cell>
        </row>
        <row r="78">
          <cell r="A78" t="str">
            <v>כלל חברה לביטוח בע"מ</v>
          </cell>
          <cell r="B78">
            <v>520024647</v>
          </cell>
        </row>
        <row r="79">
          <cell r="A79" t="str">
            <v>כלל פנסיה וגמל בע"מ</v>
          </cell>
          <cell r="B79">
            <v>512244146</v>
          </cell>
        </row>
        <row r="80">
          <cell r="A80" t="str">
            <v>לאומי קמ"פ בע"מ</v>
          </cell>
          <cell r="B80">
            <v>510694821</v>
          </cell>
        </row>
        <row r="81">
          <cell r="A81" t="str">
            <v>ליברה חברה לביטוח בע"מ</v>
          </cell>
          <cell r="B81">
            <v>515761625</v>
          </cell>
        </row>
        <row r="82">
          <cell r="A82" t="str">
            <v>לעתיד חברה לניהול קרנות פנסיה בע"מ</v>
          </cell>
          <cell r="B82">
            <v>511423048</v>
          </cell>
        </row>
        <row r="83">
          <cell r="A83" t="str">
            <v>מבטחים מוסד לביטוח סוציאלי של העובדים בע"מ</v>
          </cell>
          <cell r="B83">
            <v>520019688</v>
          </cell>
        </row>
        <row r="84">
          <cell r="A84" t="str">
            <v>מגדל חברה לביטוח בע"מ</v>
          </cell>
          <cell r="B84">
            <v>520004896</v>
          </cell>
        </row>
        <row r="85">
          <cell r="A85" t="str">
            <v>מגדל מקפת קרנות פנסיה וקופות גמל בע"מ</v>
          </cell>
          <cell r="B85">
            <v>512237744</v>
          </cell>
        </row>
        <row r="86">
          <cell r="A86" t="str">
            <v>מור גמל ופנסיה בע"מ</v>
          </cell>
          <cell r="B86">
            <v>514956465</v>
          </cell>
        </row>
        <row r="87">
          <cell r="A87" t="str">
            <v>מחוג - מינהל גמל לעובדי חברת חשמל לישראל בע"מ</v>
          </cell>
          <cell r="B87">
            <v>512362914</v>
          </cell>
        </row>
        <row r="88">
          <cell r="A88" t="str">
            <v>מחר - חברה לניהול קופות גמל בע"מ</v>
          </cell>
          <cell r="B88">
            <v>520042615</v>
          </cell>
        </row>
        <row r="89">
          <cell r="A89" t="str">
            <v>מיטב דש גמל ופנסיה בע"מ</v>
          </cell>
          <cell r="B89">
            <v>512065202</v>
          </cell>
        </row>
        <row r="90">
          <cell r="A90" t="str">
            <v>מנורה מבטחים ביטוח בע"מ</v>
          </cell>
          <cell r="B90">
            <v>520042540</v>
          </cell>
        </row>
        <row r="91">
          <cell r="A91" t="str">
            <v>מנורה מבטחים והסתדרות המהנדסים ניהול קופות גמל בע"מ</v>
          </cell>
          <cell r="B91">
            <v>520027715</v>
          </cell>
        </row>
        <row r="92">
          <cell r="A92" t="str">
            <v>מנורה מבטחים פנסיה וגמל בע"מ</v>
          </cell>
          <cell r="B92">
            <v>512245812</v>
          </cell>
        </row>
        <row r="93">
          <cell r="A93" t="str">
            <v>נתיב קרן הפנסיה של פועלי ועובדי מפעלי משק ההסתדרות בע"מ</v>
          </cell>
          <cell r="B93">
            <v>520022351</v>
          </cell>
        </row>
        <row r="94">
          <cell r="A94" t="str">
            <v>סלייס גמל בע"מ</v>
          </cell>
          <cell r="B94">
            <v>514767490</v>
          </cell>
        </row>
        <row r="95">
          <cell r="A95" t="str">
            <v>עגור חברה לניהול קופות גמל וקרנות השתלמות בע"מ</v>
          </cell>
          <cell r="B95">
            <v>520024985</v>
          </cell>
        </row>
        <row r="96">
          <cell r="A96" t="str">
            <v>עו"ס - חברה לניהול קופות גמל בע"מ</v>
          </cell>
          <cell r="B96">
            <v>520042573</v>
          </cell>
        </row>
        <row r="97">
          <cell r="A97" t="str">
            <v>עוצ"מ - אגודה שיתופית לניהול קופות גמל בע"מ</v>
          </cell>
          <cell r="B97">
            <v>570009449</v>
          </cell>
        </row>
        <row r="98">
          <cell r="A98" t="str">
            <v>עוצ"מ חברה לניהול קופות גמל והשתלמות בע"מ</v>
          </cell>
          <cell r="B98">
            <v>520031659</v>
          </cell>
        </row>
        <row r="99">
          <cell r="A99" t="str">
            <v>עמ"י - חברה לניהול קופות גמל ענפיות בע"מ</v>
          </cell>
          <cell r="B99">
            <v>520042581</v>
          </cell>
        </row>
        <row r="100">
          <cell r="A100" t="str">
            <v>ענבל חברה לביטוח בע"מ</v>
          </cell>
          <cell r="B100">
            <v>520031030</v>
          </cell>
        </row>
        <row r="101">
          <cell r="A101" t="str">
            <v>ק.ל.ע. - חברה לניהול קרן השתלמות לעובדים סוציאליים בע"מ</v>
          </cell>
          <cell r="B101">
            <v>520030941</v>
          </cell>
        </row>
        <row r="102">
          <cell r="A102" t="str">
            <v>קו הבריאות חברה לניהול קופות גמל בע"מ</v>
          </cell>
          <cell r="B102">
            <v>512008335</v>
          </cell>
        </row>
        <row r="103">
          <cell r="A103" t="str">
            <v>קופת הפנסיה לעובדי הדסה בע"מ</v>
          </cell>
          <cell r="B103">
            <v>520022963</v>
          </cell>
        </row>
        <row r="104">
          <cell r="A104" t="str">
            <v>קופת תגמולים של עובדי אל על נתיבי אוויר לישראל בע"מ אגודה שיתופית</v>
          </cell>
          <cell r="B104">
            <v>570011767</v>
          </cell>
        </row>
        <row r="105">
          <cell r="A105" t="str">
            <v>קופת תגמולים של עובדי התעשיה האוירית לישראל בע"מ</v>
          </cell>
          <cell r="B105">
            <v>570014928</v>
          </cell>
        </row>
        <row r="106">
          <cell r="A106" t="str">
            <v>קופת"ג של עובדי עירית חיפה</v>
          </cell>
          <cell r="B106">
            <v>570005959</v>
          </cell>
        </row>
        <row r="107">
          <cell r="A107" t="str">
            <v>קרן ביטוח הדדי לחברי הסתדרות עובדי המדינה בישראל בע"מ</v>
          </cell>
          <cell r="B107">
            <v>510800402</v>
          </cell>
        </row>
        <row r="108">
          <cell r="A108" t="str">
            <v>קרן ביטוח ופנסיה לפועלים חקלאים ובלתי מקצועיים בישראל אגודה שיתופית בע"מ</v>
          </cell>
          <cell r="B108">
            <v>570007476</v>
          </cell>
        </row>
        <row r="109">
          <cell r="A109" t="str">
            <v>קרן הביטוח והפנסיה של פועלי בנין ועבודות ציבוריות אגודה שיתופית בע"מ</v>
          </cell>
          <cell r="B109">
            <v>570005850</v>
          </cell>
        </row>
        <row r="110">
          <cell r="A110" t="str">
            <v>קרן הגמלאות המרכזית של עובדי ההסתדרות בע"מ</v>
          </cell>
          <cell r="B110">
            <v>520020504</v>
          </cell>
        </row>
        <row r="111">
          <cell r="A111" t="str">
            <v>קרן הגמלאות של חברי אגד בע"מ</v>
          </cell>
          <cell r="B111">
            <v>520020447</v>
          </cell>
        </row>
        <row r="112">
          <cell r="A112" t="str">
            <v>קרן החסכון לצבא הקבע - חברה לניהול קופות גמל בע"מ</v>
          </cell>
          <cell r="B112">
            <v>511033060</v>
          </cell>
        </row>
        <row r="113">
          <cell r="A113" t="str">
            <v>קרן לביטוח נזקי טבע בחקלאות בע"מ</v>
          </cell>
          <cell r="B113">
            <v>520027848</v>
          </cell>
        </row>
        <row r="114">
          <cell r="A114" t="str">
            <v>קרן מקפת מרכז לפנסיה ותגמולים אגודה שיתופית בע"מ</v>
          </cell>
          <cell r="B114">
            <v>570009852</v>
          </cell>
        </row>
        <row r="115">
          <cell r="A115" t="str">
            <v>קרנות השתלמות למורים ולגננות - חברה מנהלת בע"מ</v>
          </cell>
          <cell r="B115">
            <v>520027251</v>
          </cell>
        </row>
        <row r="116">
          <cell r="A116" t="str">
            <v>קרנות השתלמות למורים תיכוניים, מורי סמינרים ומפקחים - חברה מנהלת בע"מ</v>
          </cell>
          <cell r="B116">
            <v>520028390</v>
          </cell>
        </row>
        <row r="117">
          <cell r="A117" t="str">
            <v>רעות חברה לניהול קופות גמל בע"מ</v>
          </cell>
          <cell r="B117">
            <v>510806870</v>
          </cell>
        </row>
        <row r="118">
          <cell r="A118" t="str">
            <v>ש. שלמה חברה לביטוח בע"מ</v>
          </cell>
          <cell r="B118">
            <v>513879189</v>
          </cell>
        </row>
        <row r="119">
          <cell r="A119" t="str">
            <v>שומרה חברה לביטוח בע"מ</v>
          </cell>
          <cell r="B119">
            <v>510015951</v>
          </cell>
        </row>
        <row r="120">
          <cell r="A120" t="str">
            <v>שיבולת - חברה לניהול קופות גמל בע"מ</v>
          </cell>
          <cell r="B120">
            <v>520030693</v>
          </cell>
        </row>
        <row r="121">
          <cell r="A121" t="str">
            <v>תגמולים של עובדים בעירית ת"א-יפו א.ש. בע"מ</v>
          </cell>
          <cell r="B121">
            <v>570002618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 x14ac:dyDescent="0.2">
      <c r="A1" s="33" t="s">
        <v>1651</v>
      </c>
      <c r="B1" s="34"/>
      <c r="C1" s="34"/>
      <c r="D1" s="34"/>
    </row>
    <row r="3" spans="1:4" x14ac:dyDescent="0.2">
      <c r="A3" t="s">
        <v>1652</v>
      </c>
      <c r="D3" s="111" t="s">
        <v>1668</v>
      </c>
    </row>
    <row r="4" spans="1:4" x14ac:dyDescent="0.2"/>
    <row r="5" spans="1:4" x14ac:dyDescent="0.2">
      <c r="A5" t="s">
        <v>1653</v>
      </c>
      <c r="D5" s="111" t="s">
        <v>1680</v>
      </c>
    </row>
    <row r="6" spans="1:4" x14ac:dyDescent="0.2"/>
    <row r="7" spans="1:4" x14ac:dyDescent="0.2">
      <c r="A7" t="s">
        <v>1654</v>
      </c>
      <c r="D7" s="111" t="s">
        <v>1686</v>
      </c>
    </row>
    <row r="8" spans="1:4" x14ac:dyDescent="0.2">
      <c r="D8" s="32"/>
    </row>
    <row r="9" spans="1:4" x14ac:dyDescent="0.2">
      <c r="A9" t="s">
        <v>1655</v>
      </c>
      <c r="D9" s="111">
        <v>2025</v>
      </c>
    </row>
    <row r="10" spans="1:4" x14ac:dyDescent="0.2"/>
    <row r="11" spans="1:4" x14ac:dyDescent="0.2">
      <c r="A11" t="s">
        <v>1656</v>
      </c>
      <c r="D11" s="211" t="s">
        <v>1755</v>
      </c>
    </row>
    <row r="12" spans="1:4" x14ac:dyDescent="0.2">
      <c r="D12" s="212"/>
    </row>
    <row r="13" spans="1:4" x14ac:dyDescent="0.2">
      <c r="A13" t="s">
        <v>1657</v>
      </c>
      <c r="D13" s="213">
        <v>510142789</v>
      </c>
    </row>
    <row r="14" spans="1:4" x14ac:dyDescent="0.2">
      <c r="D14" s="212"/>
    </row>
    <row r="15" spans="1:4" ht="15" x14ac:dyDescent="0.25">
      <c r="A15" s="19" t="s">
        <v>1658</v>
      </c>
      <c r="D15" s="21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510142789_gm_p_0425.xlsx</v>
      </c>
    </row>
    <row r="16" spans="1:4" ht="15" x14ac:dyDescent="0.25">
      <c r="A16" s="19"/>
      <c r="D16" s="214"/>
    </row>
    <row r="17" spans="1:4" ht="15" x14ac:dyDescent="0.25">
      <c r="A17" s="19" t="s">
        <v>1659</v>
      </c>
      <c r="B17" s="17" t="s">
        <v>1660</v>
      </c>
      <c r="C17" s="17"/>
      <c r="D17" s="215" t="s">
        <v>1826</v>
      </c>
    </row>
    <row r="18" spans="1:4" x14ac:dyDescent="0.2">
      <c r="A18" s="15"/>
      <c r="B18" s="18"/>
      <c r="C18" s="18"/>
      <c r="D18" s="216"/>
    </row>
    <row r="19" spans="1:4" x14ac:dyDescent="0.2">
      <c r="A19" s="15"/>
      <c r="B19" s="17" t="s">
        <v>1661</v>
      </c>
      <c r="C19" s="17"/>
      <c r="D19" s="215"/>
    </row>
    <row r="20" spans="1:4" x14ac:dyDescent="0.2">
      <c r="A20" s="15"/>
      <c r="B20" s="18"/>
      <c r="C20" s="18"/>
      <c r="D20" s="216"/>
    </row>
    <row r="21" spans="1:4" x14ac:dyDescent="0.2">
      <c r="A21" s="15"/>
      <c r="B21" s="17" t="s">
        <v>1662</v>
      </c>
      <c r="C21" s="17"/>
      <c r="D21" s="217" t="s">
        <v>1827</v>
      </c>
    </row>
    <row r="22" spans="1:4" x14ac:dyDescent="0.2">
      <c r="A22" s="15"/>
      <c r="B22" s="16"/>
      <c r="C22" s="16"/>
    </row>
    <row r="23" spans="1:4" ht="28.5" x14ac:dyDescent="0.2">
      <c r="A23" s="151" t="s">
        <v>1663</v>
      </c>
      <c r="D23" s="150" t="s">
        <v>1664</v>
      </c>
    </row>
  </sheetData>
  <conditionalFormatting sqref="D3">
    <cfRule type="containsText" dxfId="10" priority="19" operator="containsText" text="Please fill in data">
      <formula>NOT(ISERROR(SEARCH("Please fill in data",D3)))</formula>
    </cfRule>
  </conditionalFormatting>
  <conditionalFormatting sqref="D7">
    <cfRule type="containsText" dxfId="9" priority="12" operator="containsText" text="Please fill in data">
      <formula>NOT(ISERROR(SEARCH("Please fill in data",D7)))</formula>
    </cfRule>
  </conditionalFormatting>
  <conditionalFormatting sqref="D8">
    <cfRule type="containsText" dxfId="8" priority="17" operator="containsText" text="Please fill in data">
      <formula>NOT(ISERROR(SEARCH("Please fill in data",D8)))</formula>
    </cfRule>
  </conditionalFormatting>
  <conditionalFormatting sqref="D5">
    <cfRule type="containsText" dxfId="7" priority="13" operator="containsText" text="Please fill in data">
      <formula>NOT(ISERROR(SEARCH("Please fill in data",D5)))</formula>
    </cfRule>
  </conditionalFormatting>
  <conditionalFormatting sqref="D9">
    <cfRule type="containsText" dxfId="6" priority="11" operator="containsText" text="Please fill in data">
      <formula>NOT(ISERROR(SEARCH("Please fill in data",D9)))</formula>
    </cfRule>
  </conditionalFormatting>
  <conditionalFormatting sqref="D13">
    <cfRule type="containsText" dxfId="5" priority="5" operator="containsText" text="Please fill in data">
      <formula>NOT(ISERROR(SEARCH("Please fill in data",D13)))</formula>
    </cfRule>
  </conditionalFormatting>
  <conditionalFormatting sqref="D15:D16">
    <cfRule type="containsText" dxfId="4" priority="4" operator="containsText" text="Please fill in data">
      <formula>NOT(ISERROR(SEARCH("Please fill in data",D15)))</formula>
    </cfRule>
  </conditionalFormatting>
  <conditionalFormatting sqref="D19">
    <cfRule type="containsText" dxfId="3" priority="6" operator="containsText" text="Please fill in data">
      <formula>NOT(ISERROR(SEARCH("Please fill in data",D19)))</formula>
    </cfRule>
  </conditionalFormatting>
  <conditionalFormatting sqref="D21">
    <cfRule type="containsText" dxfId="2" priority="3" operator="containsText" text="Please fill in data">
      <formula>NOT(ISERROR(SEARCH("Please fill in data",D21)))</formula>
    </cfRule>
  </conditionalFormatting>
  <conditionalFormatting sqref="D11">
    <cfRule type="containsText" dxfId="1" priority="2" operator="containsText" text="Please fill in data">
      <formula>NOT(ISERROR(SEARCH("Please fill in data",D11)))</formula>
    </cfRule>
  </conditionalFormatting>
  <conditionalFormatting sqref="D17">
    <cfRule type="containsText" dxfId="0" priority="1" operator="containsText" text="Please fill in data">
      <formula>NOT(ISERROR(SEARCH("Please fill in data",D17)))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9B57E297-B2D6-43F3-B875-61EDE9D84F72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1048576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 x14ac:dyDescent="0.2"/>
  <cols>
    <col min="1" max="1" width="42.75" style="7" customWidth="1"/>
    <col min="2" max="4" width="13" style="8" customWidth="1"/>
    <col min="5" max="5" width="14" style="8" customWidth="1"/>
    <col min="6" max="6" width="2.375" style="7" hidden="1" customWidth="1"/>
    <col min="7" max="16384" width="2.375" style="7" hidden="1"/>
  </cols>
  <sheetData>
    <row r="1" spans="1:5" ht="18.75" customHeight="1" x14ac:dyDescent="0.2">
      <c r="A1" s="52"/>
      <c r="B1" s="53"/>
      <c r="C1" s="113" t="s">
        <v>1805</v>
      </c>
      <c r="D1" s="112"/>
      <c r="E1" s="53"/>
    </row>
    <row r="2" spans="1:5" ht="25.5" x14ac:dyDescent="0.2">
      <c r="A2" s="52"/>
      <c r="B2" s="53" t="s">
        <v>36</v>
      </c>
      <c r="C2" s="53" t="s">
        <v>1454</v>
      </c>
      <c r="D2" s="53" t="s">
        <v>22</v>
      </c>
      <c r="E2" s="53" t="s">
        <v>1806</v>
      </c>
    </row>
    <row r="3" spans="1:5" x14ac:dyDescent="0.2">
      <c r="A3" s="55" t="s">
        <v>1498</v>
      </c>
      <c r="B3" s="180">
        <f>SUM('מזומנים ושווי מזומנים'!O:O)</f>
        <v>28640.694000000003</v>
      </c>
      <c r="C3" s="56"/>
      <c r="D3" s="56"/>
      <c r="E3" s="202">
        <f>B3/$B$30</f>
        <v>2.9843624601627931E-2</v>
      </c>
    </row>
    <row r="4" spans="1:5" x14ac:dyDescent="0.2">
      <c r="A4" s="55" t="s">
        <v>1508</v>
      </c>
      <c r="B4" s="180">
        <f>SUM('איגרות חוב ממשלתיות'!U:U)</f>
        <v>284936.82900000003</v>
      </c>
      <c r="C4" s="56"/>
      <c r="D4" s="56"/>
      <c r="E4" s="202">
        <f t="shared" ref="E4:E28" si="0">B4/$B$30</f>
        <v>0.29690438925307644</v>
      </c>
    </row>
    <row r="5" spans="1:5" x14ac:dyDescent="0.2">
      <c r="A5" s="55" t="s">
        <v>1514</v>
      </c>
      <c r="B5" s="180">
        <f>SUM('ניירות ערך מסחריים'!AD:AD)</f>
        <v>0</v>
      </c>
      <c r="C5" s="56"/>
      <c r="D5" s="56"/>
      <c r="E5" s="202">
        <f t="shared" si="0"/>
        <v>0</v>
      </c>
    </row>
    <row r="6" spans="1:5" x14ac:dyDescent="0.2">
      <c r="A6" s="55" t="s">
        <v>1515</v>
      </c>
      <c r="B6" s="180">
        <f>SUM('איגרות חוב'!AD:AD)</f>
        <v>108920.75800000003</v>
      </c>
      <c r="C6" s="56"/>
      <c r="D6" s="56"/>
      <c r="E6" s="202">
        <f t="shared" si="0"/>
        <v>0.1134955114242959</v>
      </c>
    </row>
    <row r="7" spans="1:5" x14ac:dyDescent="0.2">
      <c r="A7" s="55" t="s">
        <v>1521</v>
      </c>
      <c r="B7" s="180">
        <f>SUM('מניות מבכ ויהש'!U:U)</f>
        <v>196095.49199999988</v>
      </c>
      <c r="C7" s="56"/>
      <c r="D7" s="56"/>
      <c r="E7" s="202">
        <f t="shared" si="0"/>
        <v>0.20433164955149233</v>
      </c>
    </row>
    <row r="8" spans="1:5" x14ac:dyDescent="0.2">
      <c r="A8" s="55" t="s">
        <v>1079</v>
      </c>
      <c r="B8" s="180">
        <f>SUM('קרנות סל'!T:T)</f>
        <v>239157.41100000002</v>
      </c>
      <c r="C8" s="56"/>
      <c r="D8" s="56"/>
      <c r="E8" s="202">
        <f t="shared" si="0"/>
        <v>0.24920220140549815</v>
      </c>
    </row>
    <row r="9" spans="1:5" x14ac:dyDescent="0.2">
      <c r="A9" s="55" t="s">
        <v>1530</v>
      </c>
      <c r="B9" s="180">
        <f>SUM('קרנות נאמנות'!T:T)</f>
        <v>0</v>
      </c>
      <c r="C9" s="56"/>
      <c r="D9" s="56"/>
      <c r="E9" s="202">
        <f t="shared" si="0"/>
        <v>0</v>
      </c>
    </row>
    <row r="10" spans="1:5" x14ac:dyDescent="0.2">
      <c r="A10" s="55" t="s">
        <v>1793</v>
      </c>
      <c r="B10" s="180">
        <f>SUM('כתבי אופציה'!W:W)</f>
        <v>420.34199999999998</v>
      </c>
      <c r="C10" s="56"/>
      <c r="D10" s="56"/>
      <c r="E10" s="202">
        <f t="shared" si="0"/>
        <v>4.3799667886181411E-4</v>
      </c>
    </row>
    <row r="11" spans="1:5" x14ac:dyDescent="0.2">
      <c r="A11" s="55" t="s">
        <v>1533</v>
      </c>
      <c r="B11" s="180">
        <f>SUM(אופציות!V:V)</f>
        <v>0</v>
      </c>
      <c r="C11" s="56"/>
      <c r="D11" s="56"/>
      <c r="E11" s="202">
        <f t="shared" si="0"/>
        <v>0</v>
      </c>
    </row>
    <row r="12" spans="1:5" x14ac:dyDescent="0.2">
      <c r="A12" s="55" t="s">
        <v>1794</v>
      </c>
      <c r="B12" s="180">
        <f>SUM('חוזים עתידיים'!R:R)</f>
        <v>0</v>
      </c>
      <c r="C12" s="56"/>
      <c r="D12" s="56"/>
      <c r="E12" s="202">
        <f t="shared" si="0"/>
        <v>0</v>
      </c>
    </row>
    <row r="13" spans="1:5" x14ac:dyDescent="0.2">
      <c r="A13" s="55" t="s">
        <v>1538</v>
      </c>
      <c r="B13" s="180">
        <f>SUM('מוצרים מובנים'!Z:Z)</f>
        <v>0</v>
      </c>
      <c r="C13" s="56"/>
      <c r="D13" s="56"/>
      <c r="E13" s="202">
        <f t="shared" si="0"/>
        <v>0</v>
      </c>
    </row>
    <row r="14" spans="1:5" x14ac:dyDescent="0.2">
      <c r="A14" s="55" t="s">
        <v>1545</v>
      </c>
      <c r="B14" s="180">
        <f>SUM('לא סחיר איגרות חוב ממשלתיות'!U:U)</f>
        <v>0</v>
      </c>
      <c r="C14" s="56"/>
      <c r="D14" s="56"/>
      <c r="E14" s="202">
        <f t="shared" si="0"/>
        <v>0</v>
      </c>
    </row>
    <row r="15" spans="1:5" x14ac:dyDescent="0.2">
      <c r="A15" s="55" t="s">
        <v>1546</v>
      </c>
      <c r="B15" s="180">
        <f>SUM('לא סחיר איגרות חוב מיועדות'!N:N)</f>
        <v>0</v>
      </c>
      <c r="C15" s="56"/>
      <c r="D15" s="56"/>
      <c r="E15" s="202">
        <f t="shared" si="0"/>
        <v>0</v>
      </c>
    </row>
    <row r="16" spans="1:5" s="116" customFormat="1" x14ac:dyDescent="0.2">
      <c r="A16" s="57" t="s">
        <v>1552</v>
      </c>
      <c r="B16" s="180">
        <f>SUM('אפיק השקעה מובטח תשואה'!F:F)</f>
        <v>0</v>
      </c>
      <c r="C16" s="58"/>
      <c r="D16" s="58"/>
      <c r="E16" s="202">
        <f t="shared" si="0"/>
        <v>0</v>
      </c>
    </row>
    <row r="17" spans="1:5" x14ac:dyDescent="0.2">
      <c r="A17" s="57" t="s">
        <v>1556</v>
      </c>
      <c r="B17" s="180">
        <f>SUM('לא סחיר ניירות ערך מסחריים'!AI:AI)</f>
        <v>0</v>
      </c>
      <c r="C17" s="58"/>
      <c r="D17" s="58"/>
      <c r="E17" s="202">
        <f t="shared" si="0"/>
        <v>0</v>
      </c>
    </row>
    <row r="18" spans="1:5" x14ac:dyDescent="0.2">
      <c r="A18" s="55" t="s">
        <v>1558</v>
      </c>
      <c r="B18" s="180">
        <f>SUM('לא סחיר איגרות חוב'!AG:AG)</f>
        <v>5547.6319999999996</v>
      </c>
      <c r="C18" s="56"/>
      <c r="D18" s="56"/>
      <c r="E18" s="202">
        <f t="shared" si="0"/>
        <v>5.780636699514975E-3</v>
      </c>
    </row>
    <row r="19" spans="1:5" x14ac:dyDescent="0.2">
      <c r="A19" s="55" t="s">
        <v>1561</v>
      </c>
      <c r="B19" s="180">
        <f>SUM('לא סחיר מניות מבכ ויהש'!X:X)</f>
        <v>0</v>
      </c>
      <c r="C19" s="56"/>
      <c r="D19" s="56"/>
      <c r="E19" s="202">
        <f t="shared" si="0"/>
        <v>0</v>
      </c>
    </row>
    <row r="20" spans="1:5" x14ac:dyDescent="0.2">
      <c r="A20" s="55" t="s">
        <v>1345</v>
      </c>
      <c r="B20" s="180">
        <f>SUM('קרנות השקעה'!W:W)</f>
        <v>90957.333999999988</v>
      </c>
      <c r="C20" s="56"/>
      <c r="D20" s="56"/>
      <c r="E20" s="202">
        <f t="shared" si="0"/>
        <v>9.4777610160594855E-2</v>
      </c>
    </row>
    <row r="21" spans="1:5" x14ac:dyDescent="0.2">
      <c r="A21" s="55" t="s">
        <v>1797</v>
      </c>
      <c r="B21" s="180">
        <f>SUM('לא סחיר כתבי אופציה'!Z:Z)</f>
        <v>0</v>
      </c>
      <c r="C21" s="56"/>
      <c r="D21" s="56"/>
      <c r="E21" s="202">
        <f t="shared" si="0"/>
        <v>0</v>
      </c>
    </row>
    <row r="22" spans="1:5" x14ac:dyDescent="0.2">
      <c r="A22" s="55" t="s">
        <v>1574</v>
      </c>
      <c r="B22" s="180">
        <f>SUM('לא סחיר אופציות'!Z:Z)</f>
        <v>0</v>
      </c>
      <c r="C22" s="56"/>
      <c r="D22" s="56"/>
      <c r="E22" s="202">
        <f t="shared" si="0"/>
        <v>0</v>
      </c>
    </row>
    <row r="23" spans="1:5" x14ac:dyDescent="0.2">
      <c r="A23" s="55" t="s">
        <v>1583</v>
      </c>
      <c r="B23" s="180">
        <f>SUM('לא סחיר נגזרים אחרים'!R:R)</f>
        <v>5148.6443799999997</v>
      </c>
      <c r="C23" s="56"/>
      <c r="D23" s="56"/>
      <c r="E23" s="202">
        <f t="shared" si="0"/>
        <v>5.3648913006088947E-3</v>
      </c>
    </row>
    <row r="24" spans="1:5" x14ac:dyDescent="0.2">
      <c r="A24" s="55" t="s">
        <v>1576</v>
      </c>
      <c r="B24" s="180">
        <f>SUM(הלוואות!AT:AT)</f>
        <v>0</v>
      </c>
      <c r="C24" s="56"/>
      <c r="D24" s="56"/>
      <c r="E24" s="202">
        <f t="shared" si="0"/>
        <v>0</v>
      </c>
    </row>
    <row r="25" spans="1:5" x14ac:dyDescent="0.2">
      <c r="A25" s="55" t="s">
        <v>1595</v>
      </c>
      <c r="B25" s="180">
        <f>SUM('לא סחיר מוצרים מובנים'!AB:AB)</f>
        <v>0</v>
      </c>
      <c r="C25" s="56"/>
      <c r="D25" s="56"/>
      <c r="E25" s="202">
        <f t="shared" si="0"/>
        <v>0</v>
      </c>
    </row>
    <row r="26" spans="1:5" x14ac:dyDescent="0.2">
      <c r="A26" s="55" t="s">
        <v>1600</v>
      </c>
      <c r="B26" s="180">
        <f>SUM('פיקדונות מעל 3 חודשים'!T:T)</f>
        <v>0</v>
      </c>
      <c r="C26" s="56"/>
      <c r="D26" s="56"/>
      <c r="E26" s="202">
        <f t="shared" si="0"/>
        <v>0</v>
      </c>
    </row>
    <row r="27" spans="1:5" x14ac:dyDescent="0.2">
      <c r="A27" s="55" t="s">
        <v>1603</v>
      </c>
      <c r="B27" s="180">
        <f>SUM('זכויות מקרקעין'!S:S)</f>
        <v>0</v>
      </c>
      <c r="C27" s="56"/>
      <c r="D27" s="56"/>
      <c r="E27" s="202">
        <f t="shared" si="0"/>
        <v>0</v>
      </c>
    </row>
    <row r="28" spans="1:5" x14ac:dyDescent="0.2">
      <c r="A28" s="55" t="s">
        <v>1639</v>
      </c>
      <c r="B28" s="180">
        <f>SUM('השקעה בחברות מוחזקות'!U:U)</f>
        <v>0</v>
      </c>
      <c r="C28" s="56"/>
      <c r="D28" s="56"/>
      <c r="E28" s="202">
        <f t="shared" si="0"/>
        <v>0</v>
      </c>
    </row>
    <row r="29" spans="1:5" x14ac:dyDescent="0.2">
      <c r="A29" s="55" t="s">
        <v>1606</v>
      </c>
      <c r="B29" s="181">
        <f>SUM('נכסים אחרים'!N:N)</f>
        <v>-132.928</v>
      </c>
      <c r="C29" s="148"/>
      <c r="D29" s="148"/>
      <c r="E29" s="203">
        <f>SUM('נכסים אחרים'!N:N)/B30</f>
        <v>-1.3851107557118542E-4</v>
      </c>
    </row>
    <row r="30" spans="1:5" ht="15" x14ac:dyDescent="0.2">
      <c r="A30" s="54" t="s">
        <v>1807</v>
      </c>
      <c r="B30" s="182">
        <f>IF(SUM(B3:B29)=0,0.0001,SUM(B3:B29))</f>
        <v>959692.20837999985</v>
      </c>
      <c r="C30" s="149">
        <f>SUM(C3:C29)</f>
        <v>0</v>
      </c>
      <c r="D30" s="149">
        <f>SUM(D3:D29)</f>
        <v>0</v>
      </c>
      <c r="E30" s="204">
        <f>SUM(E3:E29)</f>
        <v>1</v>
      </c>
    </row>
    <row r="31" spans="1:5" s="116" customFormat="1" x14ac:dyDescent="0.2">
      <c r="A31" s="57" t="s">
        <v>1804</v>
      </c>
      <c r="B31" s="58"/>
      <c r="C31" s="58"/>
      <c r="D31" s="58"/>
      <c r="E31" s="202"/>
    </row>
    <row r="32" spans="1:5" x14ac:dyDescent="0.2">
      <c r="A32" s="57" t="s">
        <v>1808</v>
      </c>
      <c r="B32" s="180">
        <f>SUM('יתרות התחייבות להשקעה'!O:O)</f>
        <v>14951.871330000002</v>
      </c>
      <c r="C32" s="58"/>
      <c r="D32" s="58"/>
      <c r="E32" s="202">
        <v>1.5580148476841221E-2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1"/>
  <sheetViews>
    <sheetView rightToLeft="1" workbookViewId="0">
      <selection activeCell="N7" sqref="N7"/>
    </sheetView>
  </sheetViews>
  <sheetFormatPr defaultColWidth="0" defaultRowHeight="14.25" x14ac:dyDescent="0.2"/>
  <cols>
    <col min="1" max="2" width="11.625" style="3" customWidth="1"/>
    <col min="3" max="3" width="21.875" style="3" customWidth="1"/>
    <col min="4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 x14ac:dyDescent="0.2">
      <c r="A1" s="21" t="s">
        <v>0</v>
      </c>
      <c r="B1" s="21" t="s">
        <v>1</v>
      </c>
      <c r="C1" s="21" t="s">
        <v>827</v>
      </c>
      <c r="D1" s="21" t="s">
        <v>828</v>
      </c>
      <c r="E1" s="21" t="s">
        <v>829</v>
      </c>
      <c r="F1" s="21" t="s">
        <v>5</v>
      </c>
      <c r="G1" s="21" t="s">
        <v>6</v>
      </c>
      <c r="H1" s="21" t="s">
        <v>80</v>
      </c>
      <c r="I1" s="21" t="s">
        <v>831</v>
      </c>
      <c r="J1" s="21" t="s">
        <v>10</v>
      </c>
      <c r="K1" s="21" t="s">
        <v>11</v>
      </c>
      <c r="L1" s="21" t="s">
        <v>832</v>
      </c>
      <c r="M1" s="158" t="s">
        <v>18</v>
      </c>
      <c r="N1" s="160" t="s">
        <v>14</v>
      </c>
      <c r="O1" s="21" t="s">
        <v>20</v>
      </c>
      <c r="P1" s="160" t="s">
        <v>24</v>
      </c>
      <c r="Q1" s="160" t="s">
        <v>25</v>
      </c>
    </row>
    <row r="2" spans="1:17" x14ac:dyDescent="0.2">
      <c r="A2" s="3">
        <v>233</v>
      </c>
      <c r="B2" s="3">
        <v>233</v>
      </c>
      <c r="C2" s="3" t="s">
        <v>1809</v>
      </c>
      <c r="D2" s="3" t="s">
        <v>1810</v>
      </c>
      <c r="E2" s="5" t="s">
        <v>959</v>
      </c>
      <c r="F2" s="3" t="s">
        <v>1501</v>
      </c>
      <c r="G2" s="3" t="s">
        <v>30</v>
      </c>
      <c r="H2" s="3" t="s">
        <v>628</v>
      </c>
      <c r="I2" s="3" t="s">
        <v>181</v>
      </c>
      <c r="J2" s="3" t="s">
        <v>109</v>
      </c>
      <c r="K2" s="3" t="s">
        <v>65</v>
      </c>
      <c r="L2" s="153">
        <v>93.738</v>
      </c>
      <c r="M2" s="159">
        <v>3.19</v>
      </c>
      <c r="N2" s="161">
        <v>3.1899999999999998E-2</v>
      </c>
      <c r="O2" s="152">
        <v>299.024</v>
      </c>
      <c r="P2" s="161">
        <v>1.0440519943474599E-2</v>
      </c>
      <c r="Q2" s="161">
        <v>3.1326939665534E-4</v>
      </c>
    </row>
    <row r="3" spans="1:17" x14ac:dyDescent="0.2">
      <c r="A3" s="3">
        <v>233</v>
      </c>
      <c r="B3" s="3">
        <v>233</v>
      </c>
      <c r="C3" s="3" t="s">
        <v>1809</v>
      </c>
      <c r="D3" s="3" t="s">
        <v>1810</v>
      </c>
      <c r="E3" s="30" t="s">
        <v>959</v>
      </c>
      <c r="F3" s="3" t="s">
        <v>1501</v>
      </c>
      <c r="G3" s="3" t="s">
        <v>30</v>
      </c>
      <c r="H3" s="3" t="s">
        <v>628</v>
      </c>
      <c r="I3" s="3" t="s">
        <v>181</v>
      </c>
      <c r="J3" s="3" t="s">
        <v>109</v>
      </c>
      <c r="K3" s="3" t="s">
        <v>431</v>
      </c>
      <c r="L3" s="152">
        <v>1E-3</v>
      </c>
      <c r="M3" s="159">
        <v>0.4093</v>
      </c>
      <c r="N3" s="161">
        <v>0</v>
      </c>
      <c r="O3" s="152">
        <v>0</v>
      </c>
      <c r="P3" s="161">
        <v>1.11468665909728E-8</v>
      </c>
      <c r="Q3" s="161">
        <v>3.3446343577305503E-10</v>
      </c>
    </row>
    <row r="4" spans="1:17" x14ac:dyDescent="0.2">
      <c r="A4" s="3">
        <v>233</v>
      </c>
      <c r="B4" s="3">
        <v>233</v>
      </c>
      <c r="C4" s="3" t="s">
        <v>1809</v>
      </c>
      <c r="D4" s="3" t="s">
        <v>1810</v>
      </c>
      <c r="E4" s="30" t="s">
        <v>959</v>
      </c>
      <c r="F4" s="3" t="s">
        <v>1501</v>
      </c>
      <c r="G4" s="3" t="s">
        <v>30</v>
      </c>
      <c r="H4" s="3" t="s">
        <v>628</v>
      </c>
      <c r="I4" s="3" t="s">
        <v>181</v>
      </c>
      <c r="J4" s="3" t="s">
        <v>109</v>
      </c>
      <c r="K4" s="3" t="s">
        <v>393</v>
      </c>
      <c r="L4" s="152">
        <v>387.07799999999997</v>
      </c>
      <c r="M4" s="159">
        <v>3.7454999999999998</v>
      </c>
      <c r="N4" s="161">
        <v>0</v>
      </c>
      <c r="O4" s="152">
        <v>1449.8019999999999</v>
      </c>
      <c r="P4" s="161">
        <v>5.0620342871461103E-2</v>
      </c>
      <c r="Q4" s="161">
        <v>1.5188711247795901E-3</v>
      </c>
    </row>
    <row r="5" spans="1:17" x14ac:dyDescent="0.2">
      <c r="A5" s="3">
        <v>233</v>
      </c>
      <c r="B5" s="3">
        <v>233</v>
      </c>
      <c r="C5" s="3" t="s">
        <v>1809</v>
      </c>
      <c r="D5" s="3" t="s">
        <v>1810</v>
      </c>
      <c r="E5" s="30" t="s">
        <v>959</v>
      </c>
      <c r="F5" s="3" t="s">
        <v>1501</v>
      </c>
      <c r="G5" s="3" t="s">
        <v>30</v>
      </c>
      <c r="H5" s="3" t="s">
        <v>628</v>
      </c>
      <c r="I5" s="3" t="s">
        <v>181</v>
      </c>
      <c r="J5" s="3" t="s">
        <v>109</v>
      </c>
      <c r="K5" s="3" t="s">
        <v>1811</v>
      </c>
      <c r="L5" s="152">
        <v>0</v>
      </c>
      <c r="M5" s="159">
        <v>4.29</v>
      </c>
      <c r="N5" s="161">
        <v>0</v>
      </c>
      <c r="O5" s="152">
        <v>1E-3</v>
      </c>
      <c r="P5" s="161">
        <v>4.4936061263389E-8</v>
      </c>
      <c r="Q5" s="161">
        <v>1.3483133863316402E-9</v>
      </c>
    </row>
    <row r="6" spans="1:17" x14ac:dyDescent="0.2">
      <c r="A6" s="3">
        <v>233</v>
      </c>
      <c r="B6" s="3">
        <v>233</v>
      </c>
      <c r="C6" s="3" t="s">
        <v>1809</v>
      </c>
      <c r="D6" s="3" t="s">
        <v>1810</v>
      </c>
      <c r="E6" s="30" t="s">
        <v>959</v>
      </c>
      <c r="F6" s="3" t="s">
        <v>1499</v>
      </c>
      <c r="G6" s="3" t="s">
        <v>30</v>
      </c>
      <c r="H6" s="3" t="s">
        <v>628</v>
      </c>
      <c r="I6" s="3" t="s">
        <v>181</v>
      </c>
      <c r="J6" s="3" t="s">
        <v>109</v>
      </c>
      <c r="K6" s="3" t="s">
        <v>34</v>
      </c>
      <c r="L6" s="152">
        <v>26891.18</v>
      </c>
      <c r="M6" s="159">
        <v>1</v>
      </c>
      <c r="N6" s="161">
        <v>3.8699999999999998E-2</v>
      </c>
      <c r="O6" s="152">
        <v>26891.18</v>
      </c>
      <c r="P6" s="161">
        <v>0.93891508971458704</v>
      </c>
      <c r="Q6" s="161">
        <v>2.8172290772675398E-2</v>
      </c>
    </row>
    <row r="7" spans="1:17" x14ac:dyDescent="0.2">
      <c r="A7" s="3">
        <v>233</v>
      </c>
      <c r="B7" s="3">
        <v>233</v>
      </c>
      <c r="C7" s="3" t="s">
        <v>202</v>
      </c>
      <c r="D7" s="3" t="s">
        <v>1812</v>
      </c>
      <c r="E7" s="30" t="s">
        <v>959</v>
      </c>
      <c r="F7" s="3" t="s">
        <v>1499</v>
      </c>
      <c r="G7" s="3" t="s">
        <v>30</v>
      </c>
      <c r="H7" s="3" t="s">
        <v>96</v>
      </c>
      <c r="I7" s="3" t="s">
        <v>181</v>
      </c>
      <c r="J7" s="3" t="s">
        <v>109</v>
      </c>
      <c r="K7" s="3" t="s">
        <v>34</v>
      </c>
      <c r="L7" s="152">
        <v>0.68700000000000006</v>
      </c>
      <c r="M7" s="159">
        <v>1</v>
      </c>
      <c r="N7" s="161">
        <v>0</v>
      </c>
      <c r="O7" s="152">
        <v>0.68700000000000006</v>
      </c>
      <c r="P7" s="161">
        <v>2.3991387549271599E-5</v>
      </c>
      <c r="Q7" s="161">
        <v>7.1986525031084704E-7</v>
      </c>
    </row>
    <row r="8" spans="1:17" x14ac:dyDescent="0.2">
      <c r="E8" s="30"/>
    </row>
    <row r="9" spans="1:17" x14ac:dyDescent="0.2">
      <c r="E9" s="30"/>
    </row>
    <row r="10" spans="1:17" x14ac:dyDescent="0.2">
      <c r="E10" s="30"/>
    </row>
    <row r="11" spans="1:17" x14ac:dyDescent="0.2">
      <c r="E11" s="30"/>
    </row>
    <row r="12" spans="1:17" x14ac:dyDescent="0.2">
      <c r="E12" s="30"/>
    </row>
    <row r="13" spans="1:17" x14ac:dyDescent="0.2">
      <c r="E13" s="30"/>
    </row>
    <row r="14" spans="1:17" x14ac:dyDescent="0.2">
      <c r="E14" s="30"/>
    </row>
    <row r="15" spans="1:17" x14ac:dyDescent="0.2">
      <c r="E15" s="30"/>
    </row>
    <row r="16" spans="1:17" x14ac:dyDescent="0.2">
      <c r="E16" s="30"/>
    </row>
    <row r="17" spans="4:5" x14ac:dyDescent="0.2">
      <c r="E17" s="30"/>
    </row>
    <row r="18" spans="4:5" x14ac:dyDescent="0.2">
      <c r="E18" s="30"/>
    </row>
    <row r="19" spans="4:5" x14ac:dyDescent="0.2">
      <c r="E19" s="30"/>
    </row>
    <row r="20" spans="4:5" x14ac:dyDescent="0.2">
      <c r="E20" s="30"/>
    </row>
    <row r="21" spans="4:5" s="41" customFormat="1" x14ac:dyDescent="0.2">
      <c r="D21" s="40"/>
      <c r="E21" s="44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"/>
    </sheetView>
  </sheetViews>
  <sheetFormatPr defaultColWidth="0" defaultRowHeight="14.25" x14ac:dyDescent="0.2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0" t="s">
        <v>14</v>
      </c>
      <c r="P1" s="160" t="s">
        <v>15</v>
      </c>
      <c r="Q1" s="21" t="s">
        <v>16</v>
      </c>
      <c r="R1" s="21" t="s">
        <v>17</v>
      </c>
      <c r="S1" s="158" t="s">
        <v>18</v>
      </c>
      <c r="T1" s="164" t="s">
        <v>19</v>
      </c>
      <c r="U1" s="21" t="s">
        <v>20</v>
      </c>
      <c r="V1" s="21" t="s">
        <v>21</v>
      </c>
      <c r="W1" s="21" t="s">
        <v>22</v>
      </c>
      <c r="X1" s="160" t="s">
        <v>23</v>
      </c>
      <c r="Y1" s="160" t="s">
        <v>24</v>
      </c>
      <c r="Z1" s="160" t="s">
        <v>25</v>
      </c>
    </row>
    <row r="2" spans="1:26" x14ac:dyDescent="0.2">
      <c r="A2" s="20">
        <v>233</v>
      </c>
      <c r="B2" s="20">
        <v>233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5" t="s">
        <v>34</v>
      </c>
      <c r="M2" s="154">
        <v>5.899</v>
      </c>
      <c r="N2" s="5" t="s">
        <v>35</v>
      </c>
      <c r="O2" s="163">
        <v>1E-3</v>
      </c>
      <c r="P2" s="163">
        <v>1.7049999999999999E-2</v>
      </c>
      <c r="R2" s="154">
        <v>30325000</v>
      </c>
      <c r="S2" s="162">
        <v>1</v>
      </c>
      <c r="T2" s="165">
        <v>107.5</v>
      </c>
      <c r="U2" s="154">
        <v>32599.375</v>
      </c>
      <c r="W2" s="20" t="s">
        <v>36</v>
      </c>
      <c r="X2" s="163">
        <v>8.8599999999999996E-4</v>
      </c>
      <c r="Y2" s="163">
        <v>0.114409131161227</v>
      </c>
      <c r="Z2" s="163">
        <v>3.41524271161966E-2</v>
      </c>
    </row>
    <row r="3" spans="1:26" x14ac:dyDescent="0.2">
      <c r="A3" s="20">
        <v>233</v>
      </c>
      <c r="B3" s="20">
        <v>233</v>
      </c>
      <c r="C3" s="20" t="s">
        <v>26</v>
      </c>
      <c r="D3" s="20" t="s">
        <v>37</v>
      </c>
      <c r="E3" s="20" t="s">
        <v>38</v>
      </c>
      <c r="F3" s="20" t="s">
        <v>39</v>
      </c>
      <c r="G3" s="20" t="s">
        <v>30</v>
      </c>
      <c r="H3" s="20" t="s">
        <v>30</v>
      </c>
      <c r="I3" s="20" t="s">
        <v>31</v>
      </c>
      <c r="J3" s="20" t="s">
        <v>32</v>
      </c>
      <c r="K3" s="20" t="s">
        <v>33</v>
      </c>
      <c r="L3" s="5" t="s">
        <v>34</v>
      </c>
      <c r="M3" s="154">
        <v>2.6760000000000002</v>
      </c>
      <c r="N3" s="5" t="s">
        <v>40</v>
      </c>
      <c r="O3" s="163">
        <v>2.2499999999999999E-2</v>
      </c>
      <c r="P3" s="163">
        <v>3.7280000000000001E-2</v>
      </c>
      <c r="R3" s="154">
        <v>18647000</v>
      </c>
      <c r="S3" s="162">
        <v>1</v>
      </c>
      <c r="T3" s="165">
        <v>96.78</v>
      </c>
      <c r="U3" s="154">
        <v>18046.566999999999</v>
      </c>
      <c r="W3" s="20" t="s">
        <v>36</v>
      </c>
      <c r="X3" s="163">
        <v>5.3700000000000004E-4</v>
      </c>
      <c r="Y3" s="163">
        <v>6.3335324838258794E-2</v>
      </c>
      <c r="Z3" s="163">
        <v>1.89063149371449E-2</v>
      </c>
    </row>
    <row r="4" spans="1:26" x14ac:dyDescent="0.2">
      <c r="A4" s="20">
        <v>233</v>
      </c>
      <c r="B4" s="20">
        <v>233</v>
      </c>
      <c r="C4" s="20" t="s">
        <v>26</v>
      </c>
      <c r="D4" s="20" t="s">
        <v>41</v>
      </c>
      <c r="E4" s="20" t="s">
        <v>42</v>
      </c>
      <c r="F4" s="20" t="s">
        <v>39</v>
      </c>
      <c r="G4" s="20" t="s">
        <v>30</v>
      </c>
      <c r="H4" s="20" t="s">
        <v>30</v>
      </c>
      <c r="I4" s="20" t="s">
        <v>31</v>
      </c>
      <c r="J4" s="20" t="s">
        <v>32</v>
      </c>
      <c r="K4" s="20" t="s">
        <v>33</v>
      </c>
      <c r="L4" s="5" t="s">
        <v>34</v>
      </c>
      <c r="M4" s="154">
        <v>7.6879999999999997</v>
      </c>
      <c r="N4" s="5" t="s">
        <v>43</v>
      </c>
      <c r="O4" s="163">
        <v>0.04</v>
      </c>
      <c r="P4" s="163">
        <v>3.9109999999999999E-2</v>
      </c>
      <c r="R4" s="154">
        <v>56812000</v>
      </c>
      <c r="S4" s="162">
        <v>1</v>
      </c>
      <c r="T4" s="165">
        <v>103.69</v>
      </c>
      <c r="U4" s="154">
        <v>58908.362999999998</v>
      </c>
      <c r="W4" s="20" t="s">
        <v>36</v>
      </c>
      <c r="X4" s="163">
        <v>1.549E-3</v>
      </c>
      <c r="Y4" s="163">
        <v>0.20674183496089499</v>
      </c>
      <c r="Z4" s="163">
        <v>6.1714789533893401E-2</v>
      </c>
    </row>
    <row r="5" spans="1:26" x14ac:dyDescent="0.2">
      <c r="A5" s="20">
        <v>233</v>
      </c>
      <c r="B5" s="20">
        <v>233</v>
      </c>
      <c r="C5" s="20" t="s">
        <v>26</v>
      </c>
      <c r="D5" s="20" t="s">
        <v>44</v>
      </c>
      <c r="E5" s="20" t="s">
        <v>45</v>
      </c>
      <c r="F5" s="20" t="s">
        <v>39</v>
      </c>
      <c r="G5" s="20" t="s">
        <v>30</v>
      </c>
      <c r="H5" s="20" t="s">
        <v>30</v>
      </c>
      <c r="I5" s="20" t="s">
        <v>31</v>
      </c>
      <c r="J5" s="20" t="s">
        <v>32</v>
      </c>
      <c r="K5" s="20" t="s">
        <v>33</v>
      </c>
      <c r="L5" s="5" t="s">
        <v>34</v>
      </c>
      <c r="M5" s="154">
        <v>10.978</v>
      </c>
      <c r="N5" s="5" t="s">
        <v>46</v>
      </c>
      <c r="O5" s="163">
        <v>5.5E-2</v>
      </c>
      <c r="P5" s="163">
        <v>4.1709999999999997E-2</v>
      </c>
      <c r="R5" s="154">
        <v>25600000</v>
      </c>
      <c r="S5" s="162">
        <v>1</v>
      </c>
      <c r="T5" s="165">
        <v>120.4</v>
      </c>
      <c r="U5" s="154">
        <v>30822.400000000001</v>
      </c>
      <c r="W5" s="20" t="s">
        <v>36</v>
      </c>
      <c r="X5" s="163">
        <v>7.9100000000000004E-4</v>
      </c>
      <c r="Y5" s="163">
        <v>0.108172748842694</v>
      </c>
      <c r="Z5" s="163">
        <v>3.2290796051956797E-2</v>
      </c>
    </row>
    <row r="6" spans="1:26" x14ac:dyDescent="0.2">
      <c r="A6" s="20">
        <v>233</v>
      </c>
      <c r="B6" s="20">
        <v>233</v>
      </c>
      <c r="C6" s="20" t="s">
        <v>26</v>
      </c>
      <c r="D6" s="20" t="s">
        <v>47</v>
      </c>
      <c r="E6" s="20" t="s">
        <v>48</v>
      </c>
      <c r="F6" s="20" t="s">
        <v>29</v>
      </c>
      <c r="G6" s="20" t="s">
        <v>30</v>
      </c>
      <c r="H6" s="20" t="s">
        <v>30</v>
      </c>
      <c r="I6" s="20" t="s">
        <v>31</v>
      </c>
      <c r="J6" s="20" t="s">
        <v>32</v>
      </c>
      <c r="K6" s="20" t="s">
        <v>33</v>
      </c>
      <c r="L6" s="5" t="s">
        <v>34</v>
      </c>
      <c r="M6" s="154">
        <v>3.383</v>
      </c>
      <c r="N6" s="5" t="s">
        <v>49</v>
      </c>
      <c r="O6" s="163">
        <v>5.0000000000000001E-3</v>
      </c>
      <c r="P6" s="163">
        <v>1.712E-2</v>
      </c>
      <c r="R6" s="154">
        <v>39650103</v>
      </c>
      <c r="S6" s="162">
        <v>1</v>
      </c>
      <c r="T6" s="165">
        <v>113.71</v>
      </c>
      <c r="U6" s="154">
        <v>45086.131999999998</v>
      </c>
      <c r="W6" s="20" t="s">
        <v>36</v>
      </c>
      <c r="X6" s="163">
        <v>1.317E-3</v>
      </c>
      <c r="Y6" s="163">
        <v>0.15823202755936899</v>
      </c>
      <c r="Z6" s="163">
        <v>4.7234060199740302E-2</v>
      </c>
    </row>
    <row r="7" spans="1:26" x14ac:dyDescent="0.2">
      <c r="A7" s="20">
        <v>233</v>
      </c>
      <c r="B7" s="20">
        <v>233</v>
      </c>
      <c r="C7" s="20" t="s">
        <v>26</v>
      </c>
      <c r="D7" s="20" t="s">
        <v>50</v>
      </c>
      <c r="E7" s="20" t="s">
        <v>51</v>
      </c>
      <c r="F7" s="20" t="s">
        <v>29</v>
      </c>
      <c r="G7" s="20" t="s">
        <v>30</v>
      </c>
      <c r="H7" s="20" t="s">
        <v>30</v>
      </c>
      <c r="I7" s="20" t="s">
        <v>31</v>
      </c>
      <c r="J7" s="20" t="s">
        <v>32</v>
      </c>
      <c r="K7" s="20" t="s">
        <v>33</v>
      </c>
      <c r="L7" s="5" t="s">
        <v>34</v>
      </c>
      <c r="M7" s="154">
        <v>2.8</v>
      </c>
      <c r="N7" s="5" t="s">
        <v>52</v>
      </c>
      <c r="O7" s="163">
        <v>1.0999999999999999E-2</v>
      </c>
      <c r="P7" s="163">
        <v>1.763E-2</v>
      </c>
      <c r="R7" s="154">
        <v>50080000</v>
      </c>
      <c r="S7" s="162">
        <v>1</v>
      </c>
      <c r="T7" s="165">
        <v>105.04</v>
      </c>
      <c r="U7" s="154">
        <v>52604.031999999999</v>
      </c>
      <c r="W7" s="20" t="s">
        <v>36</v>
      </c>
      <c r="X7" s="163">
        <v>1.4859999999999999E-3</v>
      </c>
      <c r="Y7" s="163">
        <v>0.18461647184025401</v>
      </c>
      <c r="Z7" s="163">
        <v>5.5110116954637099E-2</v>
      </c>
    </row>
    <row r="8" spans="1:26" x14ac:dyDescent="0.2">
      <c r="A8" s="20">
        <v>233</v>
      </c>
      <c r="B8" s="20">
        <v>233</v>
      </c>
      <c r="C8" s="20" t="s">
        <v>26</v>
      </c>
      <c r="D8" s="20" t="s">
        <v>53</v>
      </c>
      <c r="E8" s="20" t="s">
        <v>54</v>
      </c>
      <c r="F8" s="20" t="s">
        <v>39</v>
      </c>
      <c r="G8" s="20" t="s">
        <v>30</v>
      </c>
      <c r="H8" s="20" t="s">
        <v>30</v>
      </c>
      <c r="I8" s="20" t="s">
        <v>31</v>
      </c>
      <c r="J8" s="20" t="s">
        <v>32</v>
      </c>
      <c r="K8" s="20" t="s">
        <v>33</v>
      </c>
      <c r="L8" s="5" t="s">
        <v>34</v>
      </c>
      <c r="M8" s="154">
        <v>6.0389999999999997</v>
      </c>
      <c r="N8" s="5" t="s">
        <v>55</v>
      </c>
      <c r="O8" s="163">
        <v>1.2999999999999999E-2</v>
      </c>
      <c r="P8" s="163">
        <v>3.7949999999999998E-2</v>
      </c>
      <c r="R8" s="154">
        <v>18350000</v>
      </c>
      <c r="S8" s="162">
        <v>1</v>
      </c>
      <c r="T8" s="165">
        <v>87.06</v>
      </c>
      <c r="U8" s="154">
        <v>15975.51</v>
      </c>
      <c r="W8" s="20" t="s">
        <v>36</v>
      </c>
      <c r="X8" s="163">
        <v>4.4700000000000002E-4</v>
      </c>
      <c r="Y8" s="163">
        <v>5.6066848488889397E-2</v>
      </c>
      <c r="Z8" s="163">
        <v>1.6736592064083101E-2</v>
      </c>
    </row>
    <row r="9" spans="1:26" x14ac:dyDescent="0.2">
      <c r="A9" s="20">
        <v>233</v>
      </c>
      <c r="B9" s="20">
        <v>233</v>
      </c>
      <c r="C9" s="20" t="s">
        <v>56</v>
      </c>
      <c r="D9" s="20" t="s">
        <v>57</v>
      </c>
      <c r="E9" s="20" t="s">
        <v>58</v>
      </c>
      <c r="F9" s="20" t="s">
        <v>59</v>
      </c>
      <c r="G9" s="20" t="s">
        <v>60</v>
      </c>
      <c r="H9" s="20" t="s">
        <v>61</v>
      </c>
      <c r="I9" s="20" t="s">
        <v>62</v>
      </c>
      <c r="J9" s="20" t="s">
        <v>63</v>
      </c>
      <c r="K9" s="20" t="s">
        <v>64</v>
      </c>
      <c r="L9" s="5" t="s">
        <v>65</v>
      </c>
      <c r="M9" s="154">
        <v>0.13300000000000001</v>
      </c>
      <c r="N9" s="5" t="s">
        <v>66</v>
      </c>
      <c r="O9" s="163">
        <v>0</v>
      </c>
      <c r="P9" s="163">
        <v>3.6269999999999997E-2</v>
      </c>
      <c r="R9" s="154">
        <v>3100000</v>
      </c>
      <c r="S9" s="162">
        <v>3.19</v>
      </c>
      <c r="T9" s="165">
        <v>99.525000000000006</v>
      </c>
      <c r="U9" s="154">
        <v>9842.027</v>
      </c>
      <c r="W9" s="20" t="s">
        <v>36</v>
      </c>
      <c r="X9" s="163">
        <v>2.4000000000000001E-5</v>
      </c>
      <c r="Y9" s="163">
        <v>3.4541085113981997E-2</v>
      </c>
      <c r="Z9" s="163">
        <v>1.0310906829693701E-2</v>
      </c>
    </row>
    <row r="10" spans="1:26" x14ac:dyDescent="0.2">
      <c r="A10" s="20">
        <v>233</v>
      </c>
      <c r="B10" s="20">
        <v>233</v>
      </c>
      <c r="C10" s="20" t="s">
        <v>67</v>
      </c>
      <c r="D10" s="20" t="s">
        <v>68</v>
      </c>
      <c r="E10" s="20" t="s">
        <v>69</v>
      </c>
      <c r="F10" s="20" t="s">
        <v>59</v>
      </c>
      <c r="G10" s="20" t="s">
        <v>60</v>
      </c>
      <c r="H10" s="20" t="s">
        <v>61</v>
      </c>
      <c r="I10" s="20" t="s">
        <v>62</v>
      </c>
      <c r="J10" s="20" t="s">
        <v>70</v>
      </c>
      <c r="K10" s="20" t="s">
        <v>71</v>
      </c>
      <c r="L10" s="5" t="s">
        <v>65</v>
      </c>
      <c r="M10" s="154">
        <v>7.4539999999999997</v>
      </c>
      <c r="N10" s="5" t="s">
        <v>72</v>
      </c>
      <c r="O10" s="163">
        <v>3.875E-2</v>
      </c>
      <c r="P10" s="163">
        <v>4.104E-2</v>
      </c>
      <c r="R10" s="154">
        <v>4200000</v>
      </c>
      <c r="S10" s="162">
        <v>3.19</v>
      </c>
      <c r="T10" s="165">
        <v>105.684</v>
      </c>
      <c r="U10" s="154">
        <v>14159.541999999999</v>
      </c>
      <c r="W10" s="20" t="s">
        <v>36</v>
      </c>
      <c r="X10" s="163">
        <v>3.0000000000000001E-5</v>
      </c>
      <c r="Y10" s="163">
        <v>4.9693619416685701E-2</v>
      </c>
      <c r="Z10" s="163">
        <v>1.48341106871681E-2</v>
      </c>
    </row>
    <row r="11" spans="1:26" x14ac:dyDescent="0.2">
      <c r="A11" s="20">
        <v>233</v>
      </c>
      <c r="B11" s="20">
        <v>233</v>
      </c>
      <c r="C11" s="20" t="s">
        <v>67</v>
      </c>
      <c r="D11" s="20" t="s">
        <v>73</v>
      </c>
      <c r="E11" s="20" t="s">
        <v>74</v>
      </c>
      <c r="F11" s="20" t="s">
        <v>59</v>
      </c>
      <c r="G11" s="20" t="s">
        <v>60</v>
      </c>
      <c r="H11" s="20" t="s">
        <v>61</v>
      </c>
      <c r="I11" s="20" t="s">
        <v>62</v>
      </c>
      <c r="J11" s="20" t="s">
        <v>70</v>
      </c>
      <c r="K11" s="20" t="s">
        <v>71</v>
      </c>
      <c r="L11" s="5" t="s">
        <v>65</v>
      </c>
      <c r="M11" s="154">
        <v>7.2910000000000004</v>
      </c>
      <c r="N11" s="5" t="s">
        <v>75</v>
      </c>
      <c r="O11" s="163">
        <v>3.875E-2</v>
      </c>
      <c r="P11" s="163">
        <v>4.0739999999999998E-2</v>
      </c>
      <c r="R11" s="154">
        <v>2160000</v>
      </c>
      <c r="S11" s="162">
        <v>3.19</v>
      </c>
      <c r="T11" s="165">
        <v>100.036</v>
      </c>
      <c r="U11" s="154">
        <v>6892.8810000000003</v>
      </c>
      <c r="W11" s="20" t="s">
        <v>36</v>
      </c>
      <c r="X11" s="163">
        <v>1.7E-5</v>
      </c>
      <c r="Y11" s="163">
        <v>2.4190907777746101E-2</v>
      </c>
      <c r="Z11" s="163">
        <v>7.2212611560684703E-3</v>
      </c>
    </row>
    <row r="12" spans="1:26" x14ac:dyDescent="0.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W12" s="20"/>
    </row>
    <row r="13" spans="1:26" x14ac:dyDescent="0.2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W13" s="20"/>
    </row>
    <row r="14" spans="1:26" x14ac:dyDescent="0.2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W14" s="20"/>
    </row>
    <row r="15" spans="1:26" x14ac:dyDescent="0.2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W15" s="20"/>
    </row>
    <row r="16" spans="1:26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W16" s="20"/>
    </row>
    <row r="17" spans="1:23" x14ac:dyDescent="0.2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W17" s="20"/>
    </row>
    <row r="18" spans="1:23" x14ac:dyDescent="0.2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W18" s="20"/>
    </row>
    <row r="19" spans="1:23" x14ac:dyDescent="0.2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W19" s="20"/>
    </row>
    <row r="20" spans="1:23" x14ac:dyDescent="0.2">
      <c r="F20" s="20"/>
      <c r="G20" s="20"/>
      <c r="H20" s="20"/>
      <c r="I20" s="20"/>
      <c r="K20" s="20"/>
      <c r="W20" s="20"/>
    </row>
    <row r="21" spans="1:23" s="44" customFormat="1" x14ac:dyDescent="0.2">
      <c r="L21" s="30"/>
    </row>
    <row r="22" spans="1:23" x14ac:dyDescent="0.2">
      <c r="L22" s="20"/>
    </row>
    <row r="23" spans="1:23" x14ac:dyDescent="0.2">
      <c r="L23" s="20"/>
    </row>
    <row r="24" spans="1:23" x14ac:dyDescent="0.2">
      <c r="L24" s="20"/>
    </row>
    <row r="25" spans="1:23" x14ac:dyDescent="0.2">
      <c r="L25" s="20"/>
    </row>
    <row r="26" spans="1:23" x14ac:dyDescent="0.2">
      <c r="L26" s="20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 x14ac:dyDescent="0.2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 x14ac:dyDescent="0.2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79</v>
      </c>
      <c r="N1" s="21" t="s">
        <v>80</v>
      </c>
      <c r="O1" s="21" t="s">
        <v>9</v>
      </c>
      <c r="P1" s="21" t="s">
        <v>10</v>
      </c>
      <c r="Q1" s="21" t="s">
        <v>81</v>
      </c>
      <c r="R1" s="21" t="s">
        <v>11</v>
      </c>
      <c r="S1" s="21" t="s">
        <v>12</v>
      </c>
      <c r="T1" s="21" t="s">
        <v>82</v>
      </c>
      <c r="U1" s="21" t="s">
        <v>13</v>
      </c>
      <c r="V1" s="21" t="s">
        <v>14</v>
      </c>
      <c r="W1" s="21" t="s">
        <v>15</v>
      </c>
      <c r="X1" s="21" t="s">
        <v>83</v>
      </c>
      <c r="Y1" s="21" t="s">
        <v>84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85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 x14ac:dyDescent="0.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20"/>
      <c r="X2" s="20"/>
      <c r="Y2" s="30"/>
      <c r="Z2" s="20"/>
      <c r="AA2" s="20"/>
      <c r="AB2" s="20"/>
      <c r="AC2" s="20"/>
      <c r="AD2" s="20"/>
      <c r="AE2" s="20"/>
      <c r="AG2" s="20"/>
    </row>
    <row r="3" spans="1:36" x14ac:dyDescent="0.2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 x14ac:dyDescent="0.2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 x14ac:dyDescent="0.2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 x14ac:dyDescent="0.2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 spans="1:36" x14ac:dyDescent="0.2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20"/>
      <c r="W8" s="20"/>
      <c r="X8" s="20"/>
      <c r="Y8" s="20"/>
      <c r="Z8" s="20"/>
    </row>
    <row r="9" spans="1:36" x14ac:dyDescent="0.2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20"/>
      <c r="W9" s="20"/>
      <c r="X9" s="20"/>
      <c r="Y9" s="20"/>
      <c r="Z9" s="20"/>
      <c r="AB9" s="22"/>
      <c r="AC9" s="22"/>
      <c r="AD9" s="29"/>
      <c r="AG9" s="20"/>
    </row>
    <row r="10" spans="1:36" x14ac:dyDescent="0.2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 x14ac:dyDescent="0.2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 x14ac:dyDescent="0.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 x14ac:dyDescent="0.2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 x14ac:dyDescent="0.2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 x14ac:dyDescent="0.2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 x14ac:dyDescent="0.2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 x14ac:dyDescent="0.2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 x14ac:dyDescent="0.2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 x14ac:dyDescent="0.2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6"/>
  <sheetViews>
    <sheetView rightToLeft="1" workbookViewId="0">
      <selection sqref="A1:XFD1"/>
    </sheetView>
  </sheetViews>
  <sheetFormatPr defaultColWidth="0" defaultRowHeight="14.25" x14ac:dyDescent="0.2"/>
  <cols>
    <col min="1" max="2" width="11.625" style="3" customWidth="1"/>
    <col min="3" max="3" width="34.625" style="3" customWidth="1"/>
    <col min="4" max="4" width="11.625" style="3" customWidth="1"/>
    <col min="5" max="5" width="11.625" style="5" customWidth="1"/>
    <col min="6" max="6" width="23.75" style="3" customWidth="1"/>
    <col min="7" max="8" width="11.625" style="3" customWidth="1"/>
    <col min="9" max="9" width="27.25" style="3" customWidth="1"/>
    <col min="10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 x14ac:dyDescent="0.2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86</v>
      </c>
      <c r="M1" s="21" t="s">
        <v>8</v>
      </c>
      <c r="N1" s="21" t="s">
        <v>79</v>
      </c>
      <c r="O1" s="21" t="s">
        <v>80</v>
      </c>
      <c r="P1" s="21" t="s">
        <v>9</v>
      </c>
      <c r="Q1" s="21" t="s">
        <v>10</v>
      </c>
      <c r="R1" s="21" t="s">
        <v>81</v>
      </c>
      <c r="S1" s="21" t="s">
        <v>11</v>
      </c>
      <c r="T1" s="21" t="s">
        <v>12</v>
      </c>
      <c r="U1" s="21" t="s">
        <v>13</v>
      </c>
      <c r="V1" s="160" t="s">
        <v>14</v>
      </c>
      <c r="W1" s="160" t="s">
        <v>15</v>
      </c>
      <c r="X1" s="21" t="s">
        <v>83</v>
      </c>
      <c r="Y1" s="21" t="s">
        <v>84</v>
      </c>
      <c r="Z1" s="21" t="s">
        <v>17</v>
      </c>
      <c r="AA1" s="158" t="s">
        <v>18</v>
      </c>
      <c r="AB1" s="164" t="s">
        <v>19</v>
      </c>
      <c r="AC1" s="21" t="s">
        <v>16</v>
      </c>
      <c r="AD1" s="21" t="s">
        <v>20</v>
      </c>
      <c r="AE1" s="21" t="s">
        <v>21</v>
      </c>
      <c r="AF1" s="21" t="s">
        <v>85</v>
      </c>
      <c r="AG1" s="21" t="s">
        <v>22</v>
      </c>
      <c r="AH1" s="160" t="s">
        <v>23</v>
      </c>
      <c r="AI1" s="160" t="s">
        <v>24</v>
      </c>
      <c r="AJ1" s="160" t="s">
        <v>25</v>
      </c>
    </row>
    <row r="2" spans="1:36" x14ac:dyDescent="0.2">
      <c r="A2" s="3">
        <v>233</v>
      </c>
      <c r="B2" s="22">
        <v>233</v>
      </c>
      <c r="C2" s="22" t="s">
        <v>87</v>
      </c>
      <c r="D2" s="22" t="s">
        <v>88</v>
      </c>
      <c r="E2" s="20" t="s">
        <v>89</v>
      </c>
      <c r="F2" s="22" t="s">
        <v>90</v>
      </c>
      <c r="G2" s="22" t="s">
        <v>91</v>
      </c>
      <c r="H2" s="20" t="s">
        <v>92</v>
      </c>
      <c r="I2" s="39" t="s">
        <v>93</v>
      </c>
      <c r="J2" s="20" t="s">
        <v>30</v>
      </c>
      <c r="K2" s="20" t="s">
        <v>30</v>
      </c>
      <c r="L2" s="22" t="s">
        <v>94</v>
      </c>
      <c r="M2" s="20" t="s">
        <v>31</v>
      </c>
      <c r="N2" s="22" t="s">
        <v>95</v>
      </c>
      <c r="O2" s="22" t="s">
        <v>96</v>
      </c>
      <c r="P2" s="22" t="s">
        <v>97</v>
      </c>
      <c r="Q2" s="22" t="s">
        <v>98</v>
      </c>
      <c r="R2" s="22" t="s">
        <v>99</v>
      </c>
      <c r="S2" s="20" t="s">
        <v>34</v>
      </c>
      <c r="T2" s="155">
        <v>5.7190000000000003</v>
      </c>
      <c r="U2" s="22" t="s">
        <v>100</v>
      </c>
      <c r="V2" s="167">
        <v>5.1299999999999998E-2</v>
      </c>
      <c r="W2" s="167">
        <v>4.5629999999999997E-2</v>
      </c>
      <c r="X2" s="20" t="s">
        <v>101</v>
      </c>
      <c r="Y2" s="30" t="s">
        <v>96</v>
      </c>
      <c r="Z2" s="155">
        <v>1950000</v>
      </c>
      <c r="AA2" s="166">
        <v>1</v>
      </c>
      <c r="AB2" s="168">
        <v>104.92</v>
      </c>
      <c r="AC2" s="22"/>
      <c r="AD2" s="155">
        <v>2045.94</v>
      </c>
      <c r="AE2" s="22"/>
      <c r="AF2" s="39"/>
      <c r="AG2" s="20" t="s">
        <v>36</v>
      </c>
      <c r="AH2" s="161">
        <v>5.7250000000000001E-3</v>
      </c>
      <c r="AI2" s="161">
        <v>1.8783747307767301E-2</v>
      </c>
      <c r="AJ2" s="161">
        <v>2.1434097044532698E-3</v>
      </c>
    </row>
    <row r="3" spans="1:36" x14ac:dyDescent="0.2">
      <c r="A3" s="22">
        <v>233</v>
      </c>
      <c r="B3" s="22">
        <v>233</v>
      </c>
      <c r="C3" s="22" t="s">
        <v>102</v>
      </c>
      <c r="D3" s="22" t="s">
        <v>103</v>
      </c>
      <c r="E3" s="20" t="s">
        <v>89</v>
      </c>
      <c r="F3" s="22" t="s">
        <v>104</v>
      </c>
      <c r="G3" s="22" t="s">
        <v>105</v>
      </c>
      <c r="H3" s="20" t="s">
        <v>92</v>
      </c>
      <c r="I3" s="23" t="s">
        <v>106</v>
      </c>
      <c r="J3" s="20" t="s">
        <v>30</v>
      </c>
      <c r="K3" s="20" t="s">
        <v>30</v>
      </c>
      <c r="L3" s="22" t="s">
        <v>94</v>
      </c>
      <c r="M3" s="20" t="s">
        <v>31</v>
      </c>
      <c r="N3" s="22" t="s">
        <v>107</v>
      </c>
      <c r="O3" s="22" t="s">
        <v>96</v>
      </c>
      <c r="P3" s="22" t="s">
        <v>108</v>
      </c>
      <c r="Q3" s="22" t="s">
        <v>109</v>
      </c>
      <c r="R3" s="22" t="s">
        <v>99</v>
      </c>
      <c r="S3" s="20" t="s">
        <v>34</v>
      </c>
      <c r="T3" s="155">
        <v>5.9720000000000004</v>
      </c>
      <c r="U3" s="205">
        <v>50098</v>
      </c>
      <c r="V3" s="167">
        <v>2.5600000000000001E-2</v>
      </c>
      <c r="W3" s="167">
        <v>2.802E-2</v>
      </c>
      <c r="X3" s="20" t="s">
        <v>101</v>
      </c>
      <c r="Y3" s="20" t="s">
        <v>96</v>
      </c>
      <c r="Z3" s="155">
        <v>950000</v>
      </c>
      <c r="AA3" s="166">
        <v>1</v>
      </c>
      <c r="AB3" s="168">
        <v>110.8</v>
      </c>
      <c r="AC3" s="22"/>
      <c r="AD3" s="155">
        <v>1052.5999999999999</v>
      </c>
      <c r="AE3" s="22"/>
      <c r="AG3" s="20" t="s">
        <v>36</v>
      </c>
      <c r="AH3" s="161">
        <v>9.0399999999999996E-4</v>
      </c>
      <c r="AI3" s="161">
        <v>9.6639062808077606E-3</v>
      </c>
      <c r="AJ3" s="161">
        <v>1.1027464416881801E-3</v>
      </c>
    </row>
    <row r="4" spans="1:36" x14ac:dyDescent="0.2">
      <c r="A4" s="22">
        <v>233</v>
      </c>
      <c r="B4" s="22">
        <v>233</v>
      </c>
      <c r="C4" s="22" t="s">
        <v>102</v>
      </c>
      <c r="D4" s="22" t="s">
        <v>103</v>
      </c>
      <c r="E4" s="20" t="s">
        <v>89</v>
      </c>
      <c r="F4" s="22" t="s">
        <v>110</v>
      </c>
      <c r="G4" s="22" t="s">
        <v>111</v>
      </c>
      <c r="H4" s="20" t="s">
        <v>92</v>
      </c>
      <c r="I4" s="23" t="s">
        <v>93</v>
      </c>
      <c r="J4" s="20" t="s">
        <v>30</v>
      </c>
      <c r="K4" s="20" t="s">
        <v>30</v>
      </c>
      <c r="L4" s="22" t="s">
        <v>94</v>
      </c>
      <c r="M4" s="20" t="s">
        <v>31</v>
      </c>
      <c r="N4" s="22" t="s">
        <v>107</v>
      </c>
      <c r="O4" s="22" t="s">
        <v>96</v>
      </c>
      <c r="P4" s="22" t="s">
        <v>108</v>
      </c>
      <c r="Q4" s="22" t="s">
        <v>109</v>
      </c>
      <c r="R4" s="22" t="s">
        <v>99</v>
      </c>
      <c r="S4" s="20" t="s">
        <v>34</v>
      </c>
      <c r="T4" s="155">
        <v>3.2090000000000001</v>
      </c>
      <c r="U4" s="22" t="s">
        <v>112</v>
      </c>
      <c r="V4" s="167">
        <v>2.41E-2</v>
      </c>
      <c r="W4" s="167">
        <v>4.478E-2</v>
      </c>
      <c r="X4" s="20" t="s">
        <v>101</v>
      </c>
      <c r="Y4" s="20" t="s">
        <v>96</v>
      </c>
      <c r="Z4" s="155">
        <v>1500000</v>
      </c>
      <c r="AA4" s="166">
        <v>1</v>
      </c>
      <c r="AB4" s="168">
        <v>95.65</v>
      </c>
      <c r="AC4" s="22"/>
      <c r="AD4" s="155">
        <v>1434.75</v>
      </c>
      <c r="AE4" s="22"/>
      <c r="AG4" s="20" t="s">
        <v>36</v>
      </c>
      <c r="AH4" s="161">
        <v>7.2999999999999996E-4</v>
      </c>
      <c r="AI4" s="161">
        <v>1.3172420232176499E-2</v>
      </c>
      <c r="AJ4" s="161">
        <v>1.50310227741983E-3</v>
      </c>
    </row>
    <row r="5" spans="1:36" x14ac:dyDescent="0.2">
      <c r="A5" s="22">
        <v>233</v>
      </c>
      <c r="B5" s="22">
        <v>233</v>
      </c>
      <c r="C5" s="22" t="s">
        <v>113</v>
      </c>
      <c r="D5" s="22" t="s">
        <v>114</v>
      </c>
      <c r="E5" s="20" t="s">
        <v>89</v>
      </c>
      <c r="F5" s="22" t="s">
        <v>115</v>
      </c>
      <c r="G5" s="22" t="s">
        <v>116</v>
      </c>
      <c r="H5" s="20" t="s">
        <v>92</v>
      </c>
      <c r="I5" s="23" t="s">
        <v>106</v>
      </c>
      <c r="J5" s="20" t="s">
        <v>30</v>
      </c>
      <c r="K5" s="20" t="s">
        <v>30</v>
      </c>
      <c r="L5" s="22" t="s">
        <v>94</v>
      </c>
      <c r="M5" s="20" t="s">
        <v>31</v>
      </c>
      <c r="N5" s="22" t="s">
        <v>107</v>
      </c>
      <c r="O5" s="22" t="s">
        <v>96</v>
      </c>
      <c r="P5" s="22" t="s">
        <v>117</v>
      </c>
      <c r="Q5" s="22" t="s">
        <v>109</v>
      </c>
      <c r="R5" s="22" t="s">
        <v>99</v>
      </c>
      <c r="S5" s="20" t="s">
        <v>34</v>
      </c>
      <c r="T5" s="155">
        <v>1.462</v>
      </c>
      <c r="U5" s="22" t="s">
        <v>118</v>
      </c>
      <c r="V5" s="167">
        <v>3.2000000000000001E-2</v>
      </c>
      <c r="W5" s="167">
        <v>2.6120000000000001E-2</v>
      </c>
      <c r="X5" s="20" t="s">
        <v>101</v>
      </c>
      <c r="Y5" s="20" t="s">
        <v>96</v>
      </c>
      <c r="Z5" s="155">
        <v>688500</v>
      </c>
      <c r="AA5" s="166">
        <v>1</v>
      </c>
      <c r="AB5" s="168">
        <v>120.58</v>
      </c>
      <c r="AC5" s="22"/>
      <c r="AD5" s="155">
        <v>830.19299999999998</v>
      </c>
      <c r="AE5" s="22"/>
      <c r="AG5" s="20" t="s">
        <v>36</v>
      </c>
      <c r="AH5" s="161">
        <v>1.663E-3</v>
      </c>
      <c r="AI5" s="161">
        <v>7.6219933936486099E-3</v>
      </c>
      <c r="AJ5" s="161">
        <v>8.6974416443888101E-4</v>
      </c>
    </row>
    <row r="6" spans="1:36" x14ac:dyDescent="0.2">
      <c r="A6" s="22">
        <v>233</v>
      </c>
      <c r="B6" s="22">
        <v>233</v>
      </c>
      <c r="C6" s="22" t="s">
        <v>119</v>
      </c>
      <c r="D6" s="22" t="s">
        <v>120</v>
      </c>
      <c r="E6" s="20" t="s">
        <v>89</v>
      </c>
      <c r="F6" s="22" t="s">
        <v>121</v>
      </c>
      <c r="G6" s="22" t="s">
        <v>122</v>
      </c>
      <c r="H6" s="20" t="s">
        <v>92</v>
      </c>
      <c r="I6" s="23" t="s">
        <v>93</v>
      </c>
      <c r="J6" s="20" t="s">
        <v>30</v>
      </c>
      <c r="K6" s="20" t="s">
        <v>61</v>
      </c>
      <c r="L6" s="22" t="s">
        <v>94</v>
      </c>
      <c r="M6" s="20" t="s">
        <v>31</v>
      </c>
      <c r="N6" s="22" t="s">
        <v>123</v>
      </c>
      <c r="O6" s="22" t="s">
        <v>96</v>
      </c>
      <c r="P6" s="22" t="s">
        <v>124</v>
      </c>
      <c r="Q6" s="22" t="s">
        <v>109</v>
      </c>
      <c r="R6" s="22" t="s">
        <v>99</v>
      </c>
      <c r="S6" s="20" t="s">
        <v>34</v>
      </c>
      <c r="T6" s="155">
        <v>0.65700000000000003</v>
      </c>
      <c r="U6" s="22" t="s">
        <v>125</v>
      </c>
      <c r="V6" s="167">
        <v>3.4500000000000003E-2</v>
      </c>
      <c r="W6" s="167">
        <v>4.8649999999999999E-2</v>
      </c>
      <c r="X6" s="20" t="s">
        <v>101</v>
      </c>
      <c r="Y6" s="20" t="s">
        <v>96</v>
      </c>
      <c r="Z6" s="152">
        <v>5200044.8600000003</v>
      </c>
      <c r="AA6" s="159">
        <v>1</v>
      </c>
      <c r="AB6" s="169">
        <v>100.27</v>
      </c>
      <c r="AC6" s="22"/>
      <c r="AD6" s="152">
        <v>5214.085</v>
      </c>
      <c r="AG6" s="3" t="s">
        <v>36</v>
      </c>
      <c r="AH6" s="161">
        <v>9.3349999999999995E-3</v>
      </c>
      <c r="AI6" s="161">
        <v>4.7870443281142303E-2</v>
      </c>
      <c r="AJ6" s="161">
        <v>5.4624868512179901E-3</v>
      </c>
    </row>
    <row r="7" spans="1:36" x14ac:dyDescent="0.2">
      <c r="A7" s="22">
        <v>233</v>
      </c>
      <c r="B7" s="22">
        <v>233</v>
      </c>
      <c r="C7" s="22" t="s">
        <v>126</v>
      </c>
      <c r="D7" s="22" t="s">
        <v>127</v>
      </c>
      <c r="E7" s="20" t="s">
        <v>89</v>
      </c>
      <c r="F7" s="22" t="s">
        <v>128</v>
      </c>
      <c r="G7" s="22" t="s">
        <v>129</v>
      </c>
      <c r="H7" s="20" t="s">
        <v>92</v>
      </c>
      <c r="I7" s="23" t="s">
        <v>93</v>
      </c>
      <c r="J7" s="20" t="s">
        <v>30</v>
      </c>
      <c r="K7" s="20" t="s">
        <v>30</v>
      </c>
      <c r="L7" s="22" t="s">
        <v>94</v>
      </c>
      <c r="M7" s="20" t="s">
        <v>31</v>
      </c>
      <c r="N7" s="22" t="s">
        <v>123</v>
      </c>
      <c r="O7" s="22" t="s">
        <v>96</v>
      </c>
      <c r="P7" s="22" t="s">
        <v>124</v>
      </c>
      <c r="Q7" s="22" t="s">
        <v>109</v>
      </c>
      <c r="R7" s="22" t="s">
        <v>99</v>
      </c>
      <c r="S7" s="20" t="s">
        <v>34</v>
      </c>
      <c r="T7" s="155">
        <v>2.2010000000000001</v>
      </c>
      <c r="U7" s="22" t="s">
        <v>130</v>
      </c>
      <c r="V7" s="167">
        <v>2.0500000000000001E-2</v>
      </c>
      <c r="W7" s="167">
        <v>4.6739999999999997E-2</v>
      </c>
      <c r="X7" s="20" t="s">
        <v>101</v>
      </c>
      <c r="Y7" s="20" t="s">
        <v>96</v>
      </c>
      <c r="Z7" s="152">
        <v>8338501.3399999999</v>
      </c>
      <c r="AA7" s="159">
        <v>1</v>
      </c>
      <c r="AB7" s="169">
        <v>95.33</v>
      </c>
      <c r="AC7" s="22"/>
      <c r="AD7" s="152">
        <v>7949.0929999999998</v>
      </c>
      <c r="AG7" s="3" t="s">
        <v>36</v>
      </c>
      <c r="AH7" s="161">
        <v>9.5670000000000009E-3</v>
      </c>
      <c r="AI7" s="161">
        <v>7.2980517702451606E-2</v>
      </c>
      <c r="AJ7" s="161">
        <v>8.3277924961636402E-3</v>
      </c>
    </row>
    <row r="8" spans="1:36" x14ac:dyDescent="0.2">
      <c r="A8" s="22">
        <v>233</v>
      </c>
      <c r="B8" s="22">
        <v>233</v>
      </c>
      <c r="C8" s="22" t="s">
        <v>131</v>
      </c>
      <c r="D8" s="22" t="s">
        <v>132</v>
      </c>
      <c r="E8" s="20" t="s">
        <v>89</v>
      </c>
      <c r="F8" s="22" t="s">
        <v>133</v>
      </c>
      <c r="G8" s="22" t="s">
        <v>134</v>
      </c>
      <c r="H8" s="20" t="s">
        <v>92</v>
      </c>
      <c r="I8" s="23" t="s">
        <v>93</v>
      </c>
      <c r="J8" s="20" t="s">
        <v>30</v>
      </c>
      <c r="K8" s="20" t="s">
        <v>30</v>
      </c>
      <c r="L8" s="22" t="s">
        <v>94</v>
      </c>
      <c r="M8" s="20" t="s">
        <v>31</v>
      </c>
      <c r="N8" s="22" t="s">
        <v>135</v>
      </c>
      <c r="O8" s="22" t="s">
        <v>96</v>
      </c>
      <c r="P8" s="22" t="s">
        <v>124</v>
      </c>
      <c r="Q8" s="22" t="s">
        <v>109</v>
      </c>
      <c r="R8" s="22" t="s">
        <v>99</v>
      </c>
      <c r="S8" s="20" t="s">
        <v>34</v>
      </c>
      <c r="T8" s="155">
        <v>1.4530000000000001</v>
      </c>
      <c r="U8" s="22" t="s">
        <v>136</v>
      </c>
      <c r="V8" s="167">
        <v>4.2999999999999997E-2</v>
      </c>
      <c r="W8" s="167">
        <v>4.675E-2</v>
      </c>
      <c r="X8" s="20" t="s">
        <v>101</v>
      </c>
      <c r="Y8" s="20" t="s">
        <v>96</v>
      </c>
      <c r="Z8" s="155">
        <v>2027023.44</v>
      </c>
      <c r="AA8" s="166">
        <v>1</v>
      </c>
      <c r="AB8" s="168">
        <v>101.52</v>
      </c>
      <c r="AC8" s="22"/>
      <c r="AD8" s="155">
        <v>2057.8339999999998</v>
      </c>
      <c r="AE8" s="22"/>
      <c r="AG8" s="20" t="s">
        <v>36</v>
      </c>
      <c r="AH8" s="161">
        <v>2.869E-3</v>
      </c>
      <c r="AI8" s="161">
        <v>1.8892947762083001E-2</v>
      </c>
      <c r="AJ8" s="161">
        <v>2.1558705467801999E-3</v>
      </c>
    </row>
    <row r="9" spans="1:36" x14ac:dyDescent="0.2">
      <c r="A9" s="22">
        <v>233</v>
      </c>
      <c r="B9" s="22">
        <v>233</v>
      </c>
      <c r="C9" s="22" t="s">
        <v>137</v>
      </c>
      <c r="D9" s="22" t="s">
        <v>138</v>
      </c>
      <c r="E9" s="20" t="s">
        <v>89</v>
      </c>
      <c r="F9" s="22" t="s">
        <v>139</v>
      </c>
      <c r="G9" s="22" t="s">
        <v>140</v>
      </c>
      <c r="H9" s="20" t="s">
        <v>92</v>
      </c>
      <c r="I9" s="23" t="s">
        <v>106</v>
      </c>
      <c r="J9" s="20" t="s">
        <v>30</v>
      </c>
      <c r="K9" s="20" t="s">
        <v>30</v>
      </c>
      <c r="L9" s="22" t="s">
        <v>94</v>
      </c>
      <c r="M9" s="20" t="s">
        <v>31</v>
      </c>
      <c r="N9" s="22" t="s">
        <v>107</v>
      </c>
      <c r="O9" s="22" t="s">
        <v>96</v>
      </c>
      <c r="P9" s="22" t="s">
        <v>108</v>
      </c>
      <c r="Q9" s="22" t="s">
        <v>109</v>
      </c>
      <c r="R9" s="22" t="s">
        <v>99</v>
      </c>
      <c r="S9" s="20" t="s">
        <v>34</v>
      </c>
      <c r="T9" s="155">
        <v>4.4950000000000001</v>
      </c>
      <c r="U9" s="22" t="s">
        <v>141</v>
      </c>
      <c r="V9" s="167">
        <v>1.8700000000000001E-2</v>
      </c>
      <c r="W9" s="167">
        <v>2.6079999999999999E-2</v>
      </c>
      <c r="X9" s="20" t="s">
        <v>101</v>
      </c>
      <c r="Y9" s="20" t="s">
        <v>96</v>
      </c>
      <c r="Z9" s="155">
        <v>1240909.0900000001</v>
      </c>
      <c r="AA9" s="166">
        <v>1</v>
      </c>
      <c r="AB9" s="168">
        <v>109.95</v>
      </c>
      <c r="AC9" s="22"/>
      <c r="AD9" s="155">
        <v>1364.38</v>
      </c>
      <c r="AE9" s="22"/>
      <c r="AG9" s="20" t="s">
        <v>36</v>
      </c>
      <c r="AH9" s="161">
        <v>1.2700000000000001E-3</v>
      </c>
      <c r="AI9" s="161">
        <v>1.2526350037112201E-2</v>
      </c>
      <c r="AJ9" s="161">
        <v>1.4293793347519401E-3</v>
      </c>
    </row>
    <row r="10" spans="1:36" x14ac:dyDescent="0.2">
      <c r="A10" s="22">
        <v>233</v>
      </c>
      <c r="B10" s="22">
        <v>233</v>
      </c>
      <c r="C10" s="22" t="s">
        <v>142</v>
      </c>
      <c r="D10" s="22" t="s">
        <v>143</v>
      </c>
      <c r="E10" s="20" t="s">
        <v>89</v>
      </c>
      <c r="F10" s="22" t="s">
        <v>144</v>
      </c>
      <c r="G10" s="22" t="s">
        <v>145</v>
      </c>
      <c r="H10" s="20" t="s">
        <v>92</v>
      </c>
      <c r="I10" s="23" t="s">
        <v>93</v>
      </c>
      <c r="J10" s="20" t="s">
        <v>30</v>
      </c>
      <c r="K10" s="20" t="s">
        <v>30</v>
      </c>
      <c r="L10" s="22" t="s">
        <v>94</v>
      </c>
      <c r="M10" s="20" t="s">
        <v>31</v>
      </c>
      <c r="N10" s="22" t="s">
        <v>146</v>
      </c>
      <c r="O10" s="22" t="s">
        <v>96</v>
      </c>
      <c r="P10" s="22" t="s">
        <v>147</v>
      </c>
      <c r="Q10" s="22" t="s">
        <v>98</v>
      </c>
      <c r="R10" s="22" t="s">
        <v>99</v>
      </c>
      <c r="S10" s="20" t="s">
        <v>34</v>
      </c>
      <c r="T10" s="155">
        <v>2.3479999999999999</v>
      </c>
      <c r="U10" s="22" t="s">
        <v>148</v>
      </c>
      <c r="V10" s="167">
        <v>7.2499999999999995E-2</v>
      </c>
      <c r="W10" s="167">
        <v>5.8560000000000001E-2</v>
      </c>
      <c r="X10" s="20" t="s">
        <v>101</v>
      </c>
      <c r="Y10" s="20" t="s">
        <v>96</v>
      </c>
      <c r="Z10" s="155">
        <v>4054577.78</v>
      </c>
      <c r="AA10" s="166">
        <v>1</v>
      </c>
      <c r="AB10" s="168">
        <v>105.31</v>
      </c>
      <c r="AC10" s="22"/>
      <c r="AD10" s="155">
        <v>4269.8760000000002</v>
      </c>
      <c r="AE10" s="22"/>
      <c r="AG10" s="20" t="s">
        <v>36</v>
      </c>
      <c r="AH10" s="161">
        <v>6.3350000000000004E-3</v>
      </c>
      <c r="AI10" s="161">
        <v>3.9201672185886202E-2</v>
      </c>
      <c r="AJ10" s="161">
        <v>4.4732950894882896E-3</v>
      </c>
    </row>
    <row r="11" spans="1:36" x14ac:dyDescent="0.2">
      <c r="A11" s="22">
        <v>233</v>
      </c>
      <c r="B11" s="22">
        <v>233</v>
      </c>
      <c r="C11" s="22" t="s">
        <v>149</v>
      </c>
      <c r="D11" s="22" t="s">
        <v>150</v>
      </c>
      <c r="E11" s="20" t="s">
        <v>89</v>
      </c>
      <c r="F11" s="22" t="s">
        <v>151</v>
      </c>
      <c r="G11" s="22" t="s">
        <v>152</v>
      </c>
      <c r="H11" s="20" t="s">
        <v>92</v>
      </c>
      <c r="I11" s="23" t="s">
        <v>106</v>
      </c>
      <c r="J11" s="20" t="s">
        <v>30</v>
      </c>
      <c r="K11" s="20" t="s">
        <v>30</v>
      </c>
      <c r="L11" s="22" t="s">
        <v>94</v>
      </c>
      <c r="M11" s="20" t="s">
        <v>31</v>
      </c>
      <c r="N11" s="22" t="s">
        <v>107</v>
      </c>
      <c r="O11" s="22" t="s">
        <v>96</v>
      </c>
      <c r="P11" s="22" t="s">
        <v>117</v>
      </c>
      <c r="Q11" s="22" t="s">
        <v>109</v>
      </c>
      <c r="R11" s="22" t="s">
        <v>99</v>
      </c>
      <c r="S11" s="20" t="s">
        <v>34</v>
      </c>
      <c r="T11" s="155">
        <v>3.524</v>
      </c>
      <c r="U11" s="22" t="s">
        <v>153</v>
      </c>
      <c r="V11" s="167">
        <v>5.0000000000000001E-3</v>
      </c>
      <c r="W11" s="167">
        <v>2.462E-2</v>
      </c>
      <c r="X11" s="20" t="s">
        <v>101</v>
      </c>
      <c r="Y11" s="20" t="s">
        <v>96</v>
      </c>
      <c r="Z11" s="155">
        <v>2555393.9900000002</v>
      </c>
      <c r="AA11" s="166">
        <v>1</v>
      </c>
      <c r="AB11" s="168">
        <v>109.85</v>
      </c>
      <c r="AC11" s="22"/>
      <c r="AD11" s="155">
        <v>2807.1</v>
      </c>
      <c r="AE11" s="22"/>
      <c r="AG11" s="20" t="s">
        <v>36</v>
      </c>
      <c r="AH11" s="161">
        <v>1.913E-3</v>
      </c>
      <c r="AI11" s="161">
        <v>2.57719496492918E-2</v>
      </c>
      <c r="AJ11" s="161">
        <v>2.9408320968058801E-3</v>
      </c>
    </row>
    <row r="12" spans="1:36" x14ac:dyDescent="0.2">
      <c r="A12" s="22">
        <v>233</v>
      </c>
      <c r="B12" s="22">
        <v>233</v>
      </c>
      <c r="C12" s="22" t="s">
        <v>154</v>
      </c>
      <c r="D12" s="22" t="s">
        <v>155</v>
      </c>
      <c r="E12" s="20" t="s">
        <v>89</v>
      </c>
      <c r="F12" s="22" t="s">
        <v>156</v>
      </c>
      <c r="G12" s="22" t="s">
        <v>157</v>
      </c>
      <c r="H12" s="20" t="s">
        <v>92</v>
      </c>
      <c r="I12" s="23" t="s">
        <v>106</v>
      </c>
      <c r="J12" s="20" t="s">
        <v>30</v>
      </c>
      <c r="K12" s="20" t="s">
        <v>30</v>
      </c>
      <c r="L12" s="22" t="s">
        <v>94</v>
      </c>
      <c r="M12" s="20" t="s">
        <v>31</v>
      </c>
      <c r="N12" s="22" t="s">
        <v>146</v>
      </c>
      <c r="O12" s="22" t="s">
        <v>96</v>
      </c>
      <c r="P12" s="22" t="s">
        <v>158</v>
      </c>
      <c r="Q12" s="22" t="s">
        <v>98</v>
      </c>
      <c r="R12" s="22" t="s">
        <v>99</v>
      </c>
      <c r="S12" s="20" t="s">
        <v>34</v>
      </c>
      <c r="T12" s="155">
        <v>2.9849999999999999</v>
      </c>
      <c r="U12" s="22" t="s">
        <v>159</v>
      </c>
      <c r="V12" s="167">
        <v>1.7999999999999999E-2</v>
      </c>
      <c r="W12" s="167">
        <v>2.7730000000000001E-2</v>
      </c>
      <c r="X12" s="20" t="s">
        <v>101</v>
      </c>
      <c r="Y12" s="20" t="s">
        <v>96</v>
      </c>
      <c r="Z12" s="155">
        <v>3677142.86</v>
      </c>
      <c r="AA12" s="166">
        <v>1</v>
      </c>
      <c r="AB12" s="168">
        <v>115.18</v>
      </c>
      <c r="AC12" s="22"/>
      <c r="AD12" s="155">
        <v>4235.3329999999996</v>
      </c>
      <c r="AE12" s="22"/>
      <c r="AG12" s="20" t="s">
        <v>36</v>
      </c>
      <c r="AH12" s="161">
        <v>4.4920000000000003E-3</v>
      </c>
      <c r="AI12" s="161">
        <v>3.8884535998834298E-2</v>
      </c>
      <c r="AJ12" s="161">
        <v>4.43710674166702E-3</v>
      </c>
    </row>
    <row r="13" spans="1:36" x14ac:dyDescent="0.2">
      <c r="A13" s="22">
        <v>233</v>
      </c>
      <c r="B13" s="22">
        <v>233</v>
      </c>
      <c r="C13" s="22" t="s">
        <v>160</v>
      </c>
      <c r="D13" s="22" t="s">
        <v>161</v>
      </c>
      <c r="E13" s="20" t="s">
        <v>89</v>
      </c>
      <c r="F13" s="22" t="s">
        <v>162</v>
      </c>
      <c r="G13" s="22" t="s">
        <v>163</v>
      </c>
      <c r="H13" s="20" t="s">
        <v>92</v>
      </c>
      <c r="I13" s="23" t="s">
        <v>93</v>
      </c>
      <c r="J13" s="20" t="s">
        <v>30</v>
      </c>
      <c r="K13" s="20" t="s">
        <v>30</v>
      </c>
      <c r="L13" s="22" t="s">
        <v>94</v>
      </c>
      <c r="M13" s="20" t="s">
        <v>31</v>
      </c>
      <c r="N13" s="22" t="s">
        <v>135</v>
      </c>
      <c r="O13" s="22" t="s">
        <v>96</v>
      </c>
      <c r="P13" s="22" t="s">
        <v>164</v>
      </c>
      <c r="Q13" s="22" t="s">
        <v>98</v>
      </c>
      <c r="R13" s="22" t="s">
        <v>99</v>
      </c>
      <c r="S13" s="20" t="s">
        <v>34</v>
      </c>
      <c r="T13" s="155">
        <v>1.47</v>
      </c>
      <c r="U13" s="22" t="s">
        <v>165</v>
      </c>
      <c r="V13" s="167">
        <v>2.58E-2</v>
      </c>
      <c r="W13" s="167">
        <v>4.505E-2</v>
      </c>
      <c r="X13" s="20" t="s">
        <v>101</v>
      </c>
      <c r="Y13" s="20" t="s">
        <v>96</v>
      </c>
      <c r="Z13" s="155">
        <v>3487116.57</v>
      </c>
      <c r="AA13" s="166">
        <v>1</v>
      </c>
      <c r="AB13" s="168">
        <v>97.33</v>
      </c>
      <c r="AC13" s="22"/>
      <c r="AD13" s="155">
        <v>3394.011</v>
      </c>
      <c r="AE13" s="22"/>
      <c r="AG13" s="20" t="s">
        <v>36</v>
      </c>
      <c r="AH13" s="161">
        <v>1.8283000000000001E-2</v>
      </c>
      <c r="AI13" s="161">
        <v>3.1160364758250899E-2</v>
      </c>
      <c r="AJ13" s="161">
        <v>3.5557030832458199E-3</v>
      </c>
    </row>
    <row r="14" spans="1:36" x14ac:dyDescent="0.2">
      <c r="A14" s="22">
        <v>233</v>
      </c>
      <c r="B14" s="22">
        <v>233</v>
      </c>
      <c r="C14" s="22" t="s">
        <v>166</v>
      </c>
      <c r="D14" s="22" t="s">
        <v>167</v>
      </c>
      <c r="E14" s="20" t="s">
        <v>89</v>
      </c>
      <c r="F14" s="22" t="s">
        <v>168</v>
      </c>
      <c r="G14" s="22" t="s">
        <v>169</v>
      </c>
      <c r="H14" s="20" t="s">
        <v>92</v>
      </c>
      <c r="I14" s="23" t="s">
        <v>93</v>
      </c>
      <c r="J14" s="20" t="s">
        <v>30</v>
      </c>
      <c r="K14" s="20" t="s">
        <v>30</v>
      </c>
      <c r="L14" s="22" t="s">
        <v>94</v>
      </c>
      <c r="M14" s="20" t="s">
        <v>31</v>
      </c>
      <c r="N14" s="22" t="s">
        <v>95</v>
      </c>
      <c r="O14" s="22" t="s">
        <v>96</v>
      </c>
      <c r="P14" s="22" t="s">
        <v>117</v>
      </c>
      <c r="Q14" s="22" t="s">
        <v>109</v>
      </c>
      <c r="R14" s="22" t="s">
        <v>99</v>
      </c>
      <c r="S14" s="20" t="s">
        <v>34</v>
      </c>
      <c r="T14" s="155">
        <v>3.714</v>
      </c>
      <c r="U14" s="22" t="s">
        <v>170</v>
      </c>
      <c r="V14" s="167">
        <v>4.3799999999999999E-2</v>
      </c>
      <c r="W14" s="167">
        <v>4.1599999999999998E-2</v>
      </c>
      <c r="X14" s="20" t="s">
        <v>101</v>
      </c>
      <c r="Y14" s="20" t="s">
        <v>96</v>
      </c>
      <c r="Z14" s="155">
        <v>2240000</v>
      </c>
      <c r="AA14" s="166">
        <v>1</v>
      </c>
      <c r="AB14" s="168">
        <v>100.96</v>
      </c>
      <c r="AC14" s="22"/>
      <c r="AD14" s="155">
        <v>2261.5039999999999</v>
      </c>
      <c r="AE14" s="22"/>
      <c r="AG14" s="20" t="s">
        <v>36</v>
      </c>
      <c r="AH14" s="161">
        <v>4.4799999999999996E-3</v>
      </c>
      <c r="AI14" s="161">
        <v>2.0762837459312102E-2</v>
      </c>
      <c r="AJ14" s="161">
        <v>2.3692432917191502E-3</v>
      </c>
    </row>
    <row r="15" spans="1:36" x14ac:dyDescent="0.2">
      <c r="A15" s="22">
        <v>233</v>
      </c>
      <c r="B15" s="22">
        <v>233</v>
      </c>
      <c r="C15" s="22" t="s">
        <v>171</v>
      </c>
      <c r="D15" s="22" t="s">
        <v>172</v>
      </c>
      <c r="E15" s="20" t="s">
        <v>89</v>
      </c>
      <c r="F15" s="22" t="s">
        <v>173</v>
      </c>
      <c r="G15" s="22" t="s">
        <v>174</v>
      </c>
      <c r="H15" s="20" t="s">
        <v>92</v>
      </c>
      <c r="I15" s="23" t="s">
        <v>93</v>
      </c>
      <c r="J15" s="20" t="s">
        <v>30</v>
      </c>
      <c r="K15" s="20" t="s">
        <v>30</v>
      </c>
      <c r="L15" s="22" t="s">
        <v>94</v>
      </c>
      <c r="M15" s="20" t="s">
        <v>31</v>
      </c>
      <c r="N15" s="22" t="s">
        <v>95</v>
      </c>
      <c r="O15" s="22" t="s">
        <v>96</v>
      </c>
      <c r="P15" s="22" t="s">
        <v>175</v>
      </c>
      <c r="Q15" s="22" t="s">
        <v>98</v>
      </c>
      <c r="R15" s="22" t="s">
        <v>99</v>
      </c>
      <c r="S15" s="20" t="s">
        <v>34</v>
      </c>
      <c r="T15" s="155">
        <v>4.7649999999999997</v>
      </c>
      <c r="U15" s="22" t="s">
        <v>176</v>
      </c>
      <c r="V15" s="167">
        <v>1.95E-2</v>
      </c>
      <c r="W15" s="167">
        <v>4.1930000000000002E-2</v>
      </c>
      <c r="X15" s="20" t="s">
        <v>101</v>
      </c>
      <c r="Y15" s="20" t="s">
        <v>96</v>
      </c>
      <c r="Z15" s="155">
        <v>4333513.3499999996</v>
      </c>
      <c r="AA15" s="166">
        <v>1</v>
      </c>
      <c r="AB15" s="168">
        <v>90.02</v>
      </c>
      <c r="AC15" s="22"/>
      <c r="AD15" s="155">
        <v>3901.029</v>
      </c>
      <c r="AE15" s="22"/>
      <c r="AG15" s="20" t="s">
        <v>36</v>
      </c>
      <c r="AH15" s="161">
        <v>4.751E-3</v>
      </c>
      <c r="AI15" s="161">
        <v>3.5815291588735101E-2</v>
      </c>
      <c r="AJ15" s="161">
        <v>4.0868758667432902E-3</v>
      </c>
    </row>
    <row r="16" spans="1:36" x14ac:dyDescent="0.2">
      <c r="A16" s="22">
        <v>233</v>
      </c>
      <c r="B16" s="22">
        <v>233</v>
      </c>
      <c r="C16" s="22" t="s">
        <v>177</v>
      </c>
      <c r="D16" s="22" t="s">
        <v>178</v>
      </c>
      <c r="E16" s="20" t="s">
        <v>89</v>
      </c>
      <c r="F16" s="22" t="s">
        <v>179</v>
      </c>
      <c r="G16" s="22" t="s">
        <v>180</v>
      </c>
      <c r="H16" s="20" t="s">
        <v>92</v>
      </c>
      <c r="I16" s="23" t="s">
        <v>106</v>
      </c>
      <c r="J16" s="20" t="s">
        <v>30</v>
      </c>
      <c r="K16" s="20" t="s">
        <v>30</v>
      </c>
      <c r="L16" s="22" t="s">
        <v>94</v>
      </c>
      <c r="M16" s="20" t="s">
        <v>31</v>
      </c>
      <c r="N16" s="22" t="s">
        <v>146</v>
      </c>
      <c r="O16" s="22" t="s">
        <v>96</v>
      </c>
      <c r="P16" s="22" t="s">
        <v>181</v>
      </c>
      <c r="Q16" s="22" t="s">
        <v>109</v>
      </c>
      <c r="R16" s="22" t="s">
        <v>99</v>
      </c>
      <c r="S16" s="20" t="s">
        <v>34</v>
      </c>
      <c r="T16" s="155">
        <v>4.681</v>
      </c>
      <c r="U16" s="205">
        <v>48110</v>
      </c>
      <c r="V16" s="167">
        <v>2.3900000000000001E-2</v>
      </c>
      <c r="W16" s="167">
        <v>2.3050000000000001E-2</v>
      </c>
      <c r="X16" s="20" t="s">
        <v>101</v>
      </c>
      <c r="Y16" s="20" t="s">
        <v>96</v>
      </c>
      <c r="Z16" s="155">
        <v>4100000</v>
      </c>
      <c r="AA16" s="166">
        <v>1</v>
      </c>
      <c r="AB16" s="168">
        <v>118.92</v>
      </c>
      <c r="AC16" s="22"/>
      <c r="AD16" s="155">
        <v>4875.72</v>
      </c>
      <c r="AE16" s="22"/>
      <c r="AG16" s="20" t="s">
        <v>36</v>
      </c>
      <c r="AH16" s="161">
        <v>1.054E-3</v>
      </c>
      <c r="AI16" s="161">
        <v>4.4763918992456797E-2</v>
      </c>
      <c r="AJ16" s="161">
        <v>5.1080019766937901E-3</v>
      </c>
    </row>
    <row r="17" spans="1:36" x14ac:dyDescent="0.2">
      <c r="A17" s="22">
        <v>233</v>
      </c>
      <c r="B17" s="22">
        <v>233</v>
      </c>
      <c r="C17" s="22" t="s">
        <v>177</v>
      </c>
      <c r="D17" s="22" t="s">
        <v>178</v>
      </c>
      <c r="E17" s="20" t="s">
        <v>89</v>
      </c>
      <c r="F17" s="22" t="s">
        <v>182</v>
      </c>
      <c r="G17" s="22" t="s">
        <v>183</v>
      </c>
      <c r="H17" s="20" t="s">
        <v>92</v>
      </c>
      <c r="I17" s="23" t="s">
        <v>106</v>
      </c>
      <c r="J17" s="20" t="s">
        <v>30</v>
      </c>
      <c r="K17" s="20" t="s">
        <v>30</v>
      </c>
      <c r="L17" s="22" t="s">
        <v>94</v>
      </c>
      <c r="M17" s="20" t="s">
        <v>31</v>
      </c>
      <c r="N17" s="22" t="s">
        <v>146</v>
      </c>
      <c r="O17" s="22" t="s">
        <v>96</v>
      </c>
      <c r="P17" s="22" t="s">
        <v>181</v>
      </c>
      <c r="Q17" s="22" t="s">
        <v>109</v>
      </c>
      <c r="R17" s="22" t="s">
        <v>99</v>
      </c>
      <c r="S17" s="20" t="s">
        <v>34</v>
      </c>
      <c r="T17" s="155">
        <v>9.7050000000000001</v>
      </c>
      <c r="U17" s="22" t="s">
        <v>184</v>
      </c>
      <c r="V17" s="167">
        <v>1.2500000000000001E-2</v>
      </c>
      <c r="W17" s="167">
        <v>2.564E-2</v>
      </c>
      <c r="X17" s="20" t="s">
        <v>101</v>
      </c>
      <c r="Y17" s="20" t="s">
        <v>96</v>
      </c>
      <c r="Z17" s="155">
        <v>1400000</v>
      </c>
      <c r="AA17" s="166">
        <v>1</v>
      </c>
      <c r="AB17" s="168">
        <v>103.24</v>
      </c>
      <c r="AC17" s="22"/>
      <c r="AD17" s="155">
        <v>1445.36</v>
      </c>
      <c r="AE17" s="22"/>
      <c r="AG17" s="20" t="s">
        <v>36</v>
      </c>
      <c r="AH17" s="161">
        <v>3.2600000000000001E-4</v>
      </c>
      <c r="AI17" s="161">
        <v>1.3269830497841801E-2</v>
      </c>
      <c r="AJ17" s="161">
        <v>1.5142177436428101E-3</v>
      </c>
    </row>
    <row r="18" spans="1:36" x14ac:dyDescent="0.2">
      <c r="A18" s="22">
        <v>233</v>
      </c>
      <c r="B18" s="22">
        <v>233</v>
      </c>
      <c r="C18" s="22" t="s">
        <v>185</v>
      </c>
      <c r="D18" s="22" t="s">
        <v>186</v>
      </c>
      <c r="E18" s="20" t="s">
        <v>89</v>
      </c>
      <c r="F18" s="22" t="s">
        <v>187</v>
      </c>
      <c r="G18" s="22" t="s">
        <v>188</v>
      </c>
      <c r="H18" s="20" t="s">
        <v>92</v>
      </c>
      <c r="I18" s="23" t="s">
        <v>93</v>
      </c>
      <c r="J18" s="20" t="s">
        <v>30</v>
      </c>
      <c r="K18" s="20" t="s">
        <v>30</v>
      </c>
      <c r="L18" s="22" t="s">
        <v>94</v>
      </c>
      <c r="M18" s="20" t="s">
        <v>31</v>
      </c>
      <c r="N18" s="22" t="s">
        <v>189</v>
      </c>
      <c r="O18" s="22" t="s">
        <v>96</v>
      </c>
      <c r="P18" s="22" t="s">
        <v>108</v>
      </c>
      <c r="Q18" s="22" t="s">
        <v>109</v>
      </c>
      <c r="R18" s="22" t="s">
        <v>99</v>
      </c>
      <c r="S18" s="20" t="s">
        <v>34</v>
      </c>
      <c r="T18" s="155">
        <v>1.5509999999999999</v>
      </c>
      <c r="U18" s="22" t="s">
        <v>190</v>
      </c>
      <c r="V18" s="167">
        <v>2.18E-2</v>
      </c>
      <c r="W18" s="167">
        <v>4.4249999999999998E-2</v>
      </c>
      <c r="X18" s="20" t="s">
        <v>101</v>
      </c>
      <c r="Y18" s="20" t="s">
        <v>96</v>
      </c>
      <c r="Z18" s="155">
        <v>3711774.27</v>
      </c>
      <c r="AA18" s="166">
        <v>1</v>
      </c>
      <c r="AB18" s="168">
        <v>96.99</v>
      </c>
      <c r="AC18" s="22"/>
      <c r="AD18" s="155">
        <v>3600.05</v>
      </c>
      <c r="AE18" s="22"/>
      <c r="AG18" s="20" t="s">
        <v>36</v>
      </c>
      <c r="AH18" s="161">
        <v>1.5001E-2</v>
      </c>
      <c r="AI18" s="161">
        <v>3.30520088319416E-2</v>
      </c>
      <c r="AJ18" s="161">
        <v>3.7715582157966999E-3</v>
      </c>
    </row>
    <row r="19" spans="1:36" x14ac:dyDescent="0.2">
      <c r="A19" s="22">
        <v>233</v>
      </c>
      <c r="B19" s="22">
        <v>233</v>
      </c>
      <c r="C19" s="22" t="s">
        <v>191</v>
      </c>
      <c r="D19" s="22" t="s">
        <v>192</v>
      </c>
      <c r="E19" s="20" t="s">
        <v>89</v>
      </c>
      <c r="F19" s="22" t="s">
        <v>193</v>
      </c>
      <c r="G19" s="22" t="s">
        <v>194</v>
      </c>
      <c r="H19" s="20" t="s">
        <v>92</v>
      </c>
      <c r="I19" s="23" t="s">
        <v>106</v>
      </c>
      <c r="J19" s="20" t="s">
        <v>30</v>
      </c>
      <c r="K19" s="20" t="s">
        <v>30</v>
      </c>
      <c r="L19" s="22" t="s">
        <v>94</v>
      </c>
      <c r="M19" s="20" t="s">
        <v>31</v>
      </c>
      <c r="N19" s="22" t="s">
        <v>107</v>
      </c>
      <c r="O19" s="22" t="s">
        <v>96</v>
      </c>
      <c r="P19" s="22" t="s">
        <v>108</v>
      </c>
      <c r="Q19" s="22" t="s">
        <v>109</v>
      </c>
      <c r="R19" s="22" t="s">
        <v>99</v>
      </c>
      <c r="S19" s="20" t="s">
        <v>34</v>
      </c>
      <c r="T19" s="155">
        <v>2.984</v>
      </c>
      <c r="U19" s="22" t="s">
        <v>195</v>
      </c>
      <c r="V19" s="167">
        <v>2.4E-2</v>
      </c>
      <c r="W19" s="167">
        <v>2.5420000000000002E-2</v>
      </c>
      <c r="X19" s="20" t="s">
        <v>101</v>
      </c>
      <c r="Y19" s="20" t="s">
        <v>96</v>
      </c>
      <c r="Z19" s="155">
        <v>2515893.17</v>
      </c>
      <c r="AA19" s="166">
        <v>1</v>
      </c>
      <c r="AB19" s="168">
        <v>119.77</v>
      </c>
      <c r="AC19" s="22"/>
      <c r="AD19" s="155">
        <v>3013.2849999999999</v>
      </c>
      <c r="AE19" s="22"/>
      <c r="AG19" s="20" t="s">
        <v>36</v>
      </c>
      <c r="AH19" s="161">
        <v>2.4429999999999999E-3</v>
      </c>
      <c r="AI19" s="161">
        <v>2.7664930885928401E-2</v>
      </c>
      <c r="AJ19" s="161">
        <v>3.1568398127570499E-3</v>
      </c>
    </row>
    <row r="20" spans="1:36" x14ac:dyDescent="0.2">
      <c r="A20" s="3">
        <v>233</v>
      </c>
      <c r="B20" s="3">
        <v>233</v>
      </c>
      <c r="C20" s="3" t="s">
        <v>196</v>
      </c>
      <c r="D20" s="3" t="s">
        <v>197</v>
      </c>
      <c r="E20" s="20" t="s">
        <v>89</v>
      </c>
      <c r="F20" s="3" t="s">
        <v>198</v>
      </c>
      <c r="G20" s="3" t="s">
        <v>199</v>
      </c>
      <c r="H20" s="20" t="s">
        <v>92</v>
      </c>
      <c r="I20" s="23" t="s">
        <v>93</v>
      </c>
      <c r="J20" s="20" t="s">
        <v>30</v>
      </c>
      <c r="K20" s="20" t="s">
        <v>30</v>
      </c>
      <c r="L20" s="22" t="s">
        <v>94</v>
      </c>
      <c r="M20" s="20" t="s">
        <v>31</v>
      </c>
      <c r="N20" s="22" t="s">
        <v>200</v>
      </c>
      <c r="O20" s="22" t="s">
        <v>96</v>
      </c>
      <c r="P20" s="3" t="s">
        <v>108</v>
      </c>
      <c r="Q20" s="22" t="s">
        <v>109</v>
      </c>
      <c r="R20" s="22" t="s">
        <v>99</v>
      </c>
      <c r="S20" s="3" t="s">
        <v>34</v>
      </c>
      <c r="T20" s="152">
        <v>6.9180000000000001</v>
      </c>
      <c r="U20" s="3" t="s">
        <v>201</v>
      </c>
      <c r="V20" s="161">
        <v>5.3100000000000001E-2</v>
      </c>
      <c r="W20" s="161">
        <v>4.4589999999999998E-2</v>
      </c>
      <c r="X20" s="20" t="s">
        <v>101</v>
      </c>
      <c r="Y20" s="20" t="s">
        <v>96</v>
      </c>
      <c r="Z20" s="152">
        <v>1800000</v>
      </c>
      <c r="AA20" s="159">
        <v>1</v>
      </c>
      <c r="AB20" s="169">
        <v>108.58</v>
      </c>
      <c r="AD20" s="152">
        <v>1954.44</v>
      </c>
      <c r="AG20" s="3" t="s">
        <v>36</v>
      </c>
      <c r="AH20" s="161">
        <v>1.4139999999999999E-3</v>
      </c>
      <c r="AI20" s="161">
        <v>1.79436870525004E-2</v>
      </c>
      <c r="AJ20" s="161">
        <v>2.0475505942362201E-3</v>
      </c>
    </row>
    <row r="21" spans="1:36" s="41" customFormat="1" x14ac:dyDescent="0.2">
      <c r="A21" s="41">
        <v>233</v>
      </c>
      <c r="B21" s="41">
        <v>233</v>
      </c>
      <c r="C21" s="41" t="s">
        <v>202</v>
      </c>
      <c r="D21" s="41" t="s">
        <v>203</v>
      </c>
      <c r="E21" s="44" t="s">
        <v>89</v>
      </c>
      <c r="F21" s="41" t="s">
        <v>204</v>
      </c>
      <c r="G21" s="41" t="s">
        <v>205</v>
      </c>
      <c r="H21" s="44" t="s">
        <v>92</v>
      </c>
      <c r="I21" s="41" t="s">
        <v>106</v>
      </c>
      <c r="J21" s="41" t="s">
        <v>30</v>
      </c>
      <c r="K21" s="41" t="s">
        <v>30</v>
      </c>
      <c r="L21" s="41" t="s">
        <v>94</v>
      </c>
      <c r="M21" s="44" t="s">
        <v>31</v>
      </c>
      <c r="N21" s="41" t="s">
        <v>206</v>
      </c>
      <c r="O21" s="41" t="s">
        <v>96</v>
      </c>
      <c r="P21" s="41" t="s">
        <v>181</v>
      </c>
      <c r="Q21" s="41" t="s">
        <v>109</v>
      </c>
      <c r="R21" s="41" t="s">
        <v>99</v>
      </c>
      <c r="S21" s="41" t="s">
        <v>34</v>
      </c>
      <c r="T21" s="152">
        <v>3.9510000000000001</v>
      </c>
      <c r="U21" s="41" t="s">
        <v>207</v>
      </c>
      <c r="V21" s="161">
        <v>2.0199999999999999E-2</v>
      </c>
      <c r="W21" s="161">
        <v>2.1909999999999999E-2</v>
      </c>
      <c r="X21" s="44" t="s">
        <v>101</v>
      </c>
      <c r="Y21" s="44" t="s">
        <v>96</v>
      </c>
      <c r="Z21" s="152">
        <v>4500000</v>
      </c>
      <c r="AA21" s="159">
        <v>1</v>
      </c>
      <c r="AB21" s="169">
        <v>105.39</v>
      </c>
      <c r="AD21" s="152">
        <v>4742.55</v>
      </c>
      <c r="AG21" s="41" t="s">
        <v>36</v>
      </c>
      <c r="AH21" s="161">
        <v>1.261E-3</v>
      </c>
      <c r="AI21" s="161">
        <v>4.3541287034053598E-2</v>
      </c>
      <c r="AJ21" s="161">
        <v>4.9684876848073998E-3</v>
      </c>
    </row>
    <row r="22" spans="1:36" x14ac:dyDescent="0.2">
      <c r="A22" s="3">
        <v>233</v>
      </c>
      <c r="B22" s="3">
        <v>233</v>
      </c>
      <c r="C22" s="3" t="s">
        <v>208</v>
      </c>
      <c r="D22" s="3" t="s">
        <v>209</v>
      </c>
      <c r="E22" s="5" t="s">
        <v>89</v>
      </c>
      <c r="F22" s="3" t="s">
        <v>210</v>
      </c>
      <c r="G22" s="3" t="s">
        <v>211</v>
      </c>
      <c r="H22" s="5" t="s">
        <v>92</v>
      </c>
      <c r="I22" s="3" t="s">
        <v>106</v>
      </c>
      <c r="J22" s="3" t="s">
        <v>30</v>
      </c>
      <c r="K22" s="3" t="s">
        <v>30</v>
      </c>
      <c r="L22" s="3" t="s">
        <v>94</v>
      </c>
      <c r="M22" s="5" t="s">
        <v>31</v>
      </c>
      <c r="N22" s="3" t="s">
        <v>107</v>
      </c>
      <c r="O22" s="3" t="s">
        <v>96</v>
      </c>
      <c r="P22" s="3" t="s">
        <v>117</v>
      </c>
      <c r="Q22" s="3" t="s">
        <v>109</v>
      </c>
      <c r="R22" s="3" t="s">
        <v>99</v>
      </c>
      <c r="S22" s="3" t="s">
        <v>34</v>
      </c>
      <c r="T22" s="152">
        <v>0.73899999999999999</v>
      </c>
      <c r="U22" s="3" t="s">
        <v>212</v>
      </c>
      <c r="V22" s="161">
        <v>2.4E-2</v>
      </c>
      <c r="W22" s="161">
        <v>2.811E-2</v>
      </c>
      <c r="X22" s="5" t="s">
        <v>101</v>
      </c>
      <c r="Y22" s="5" t="s">
        <v>96</v>
      </c>
      <c r="Z22" s="152">
        <v>1288636.3500000001</v>
      </c>
      <c r="AA22" s="159">
        <v>1</v>
      </c>
      <c r="AB22" s="169">
        <v>119.03</v>
      </c>
      <c r="AD22" s="152">
        <v>1533.864</v>
      </c>
      <c r="AG22" s="3" t="s">
        <v>36</v>
      </c>
      <c r="AH22" s="161">
        <v>2.588E-3</v>
      </c>
      <c r="AI22" s="161">
        <v>1.40823831168926E-2</v>
      </c>
      <c r="AJ22" s="161">
        <v>1.60693796291089E-3</v>
      </c>
    </row>
    <row r="23" spans="1:36" x14ac:dyDescent="0.2">
      <c r="A23" s="3">
        <v>233</v>
      </c>
      <c r="B23" s="3">
        <v>233</v>
      </c>
      <c r="C23" s="3" t="s">
        <v>213</v>
      </c>
      <c r="D23" s="3" t="s">
        <v>214</v>
      </c>
      <c r="E23" s="5" t="s">
        <v>89</v>
      </c>
      <c r="F23" s="3" t="s">
        <v>215</v>
      </c>
      <c r="G23" s="3" t="s">
        <v>216</v>
      </c>
      <c r="H23" s="5" t="s">
        <v>92</v>
      </c>
      <c r="I23" s="3" t="s">
        <v>93</v>
      </c>
      <c r="J23" s="3" t="s">
        <v>30</v>
      </c>
      <c r="K23" s="3" t="s">
        <v>30</v>
      </c>
      <c r="L23" s="3" t="s">
        <v>94</v>
      </c>
      <c r="M23" s="3" t="s">
        <v>31</v>
      </c>
      <c r="N23" s="3" t="s">
        <v>95</v>
      </c>
      <c r="O23" s="3" t="s">
        <v>96</v>
      </c>
      <c r="P23" s="3" t="s">
        <v>164</v>
      </c>
      <c r="Q23" s="3" t="s">
        <v>98</v>
      </c>
      <c r="R23" s="3" t="s">
        <v>99</v>
      </c>
      <c r="S23" s="3" t="s">
        <v>34</v>
      </c>
      <c r="T23" s="152">
        <v>7.0730000000000004</v>
      </c>
      <c r="U23" s="3" t="s">
        <v>217</v>
      </c>
      <c r="V23" s="161">
        <v>4.7800000000000002E-2</v>
      </c>
      <c r="W23" s="161">
        <v>4.7E-2</v>
      </c>
      <c r="X23" s="5" t="s">
        <v>101</v>
      </c>
      <c r="Y23" s="5" t="s">
        <v>96</v>
      </c>
      <c r="Z23" s="152">
        <v>1000000</v>
      </c>
      <c r="AA23" s="159">
        <v>1</v>
      </c>
      <c r="AB23" s="169">
        <v>101.2</v>
      </c>
      <c r="AD23" s="152">
        <v>1012</v>
      </c>
      <c r="AG23" s="3" t="s">
        <v>36</v>
      </c>
      <c r="AH23" s="161">
        <v>3.7429999999999998E-3</v>
      </c>
      <c r="AI23" s="161">
        <v>9.2911582331155797E-3</v>
      </c>
      <c r="AJ23" s="161">
        <v>1.0602122354060801E-3</v>
      </c>
    </row>
    <row r="24" spans="1:36" x14ac:dyDescent="0.2">
      <c r="A24" s="3">
        <v>233</v>
      </c>
      <c r="B24" s="3">
        <v>233</v>
      </c>
      <c r="C24" s="3" t="s">
        <v>213</v>
      </c>
      <c r="D24" s="3" t="s">
        <v>214</v>
      </c>
      <c r="E24" s="5" t="s">
        <v>89</v>
      </c>
      <c r="F24" s="3" t="s">
        <v>218</v>
      </c>
      <c r="G24" s="3" t="s">
        <v>219</v>
      </c>
      <c r="H24" s="3" t="s">
        <v>92</v>
      </c>
      <c r="I24" s="3" t="s">
        <v>93</v>
      </c>
      <c r="J24" s="3" t="s">
        <v>30</v>
      </c>
      <c r="K24" s="3" t="s">
        <v>30</v>
      </c>
      <c r="L24" s="3" t="s">
        <v>94</v>
      </c>
      <c r="M24" s="3" t="s">
        <v>31</v>
      </c>
      <c r="N24" s="3" t="s">
        <v>95</v>
      </c>
      <c r="O24" s="3" t="s">
        <v>96</v>
      </c>
      <c r="P24" s="3" t="s">
        <v>164</v>
      </c>
      <c r="Q24" s="3" t="s">
        <v>98</v>
      </c>
      <c r="R24" s="3" t="s">
        <v>99</v>
      </c>
      <c r="S24" s="3" t="s">
        <v>34</v>
      </c>
      <c r="T24" s="152">
        <v>7.7309999999999999</v>
      </c>
      <c r="U24" s="3" t="s">
        <v>220</v>
      </c>
      <c r="V24" s="161">
        <v>4.7800000000000002E-2</v>
      </c>
      <c r="W24" s="161">
        <v>4.7780000000000003E-2</v>
      </c>
      <c r="X24" s="5" t="s">
        <v>101</v>
      </c>
      <c r="Y24" s="5" t="s">
        <v>96</v>
      </c>
      <c r="Z24" s="152">
        <v>1000000</v>
      </c>
      <c r="AA24" s="159">
        <v>1</v>
      </c>
      <c r="AB24" s="169">
        <v>100.7</v>
      </c>
      <c r="AD24" s="152">
        <v>1007</v>
      </c>
      <c r="AG24" s="3" t="s">
        <v>36</v>
      </c>
      <c r="AH24" s="161">
        <v>3.7429999999999998E-3</v>
      </c>
      <c r="AI24" s="161">
        <v>9.2452533011337795E-3</v>
      </c>
      <c r="AJ24" s="161">
        <v>1.0549740326619801E-3</v>
      </c>
    </row>
    <row r="25" spans="1:36" x14ac:dyDescent="0.2">
      <c r="A25" s="3">
        <v>233</v>
      </c>
      <c r="B25" s="3">
        <v>233</v>
      </c>
      <c r="C25" s="3" t="s">
        <v>221</v>
      </c>
      <c r="D25" s="3" t="s">
        <v>222</v>
      </c>
      <c r="E25" s="5" t="s">
        <v>89</v>
      </c>
      <c r="F25" s="3" t="s">
        <v>223</v>
      </c>
      <c r="G25" s="3" t="s">
        <v>224</v>
      </c>
      <c r="H25" s="3" t="s">
        <v>92</v>
      </c>
      <c r="I25" s="3" t="s">
        <v>106</v>
      </c>
      <c r="J25" s="3" t="s">
        <v>30</v>
      </c>
      <c r="K25" s="3" t="s">
        <v>30</v>
      </c>
      <c r="L25" s="3" t="s">
        <v>94</v>
      </c>
      <c r="M25" s="3" t="s">
        <v>31</v>
      </c>
      <c r="N25" s="3" t="s">
        <v>206</v>
      </c>
      <c r="O25" s="3" t="s">
        <v>96</v>
      </c>
      <c r="P25" s="3" t="s">
        <v>181</v>
      </c>
      <c r="Q25" s="3" t="s">
        <v>109</v>
      </c>
      <c r="R25" s="3" t="s">
        <v>99</v>
      </c>
      <c r="S25" s="3" t="s">
        <v>34</v>
      </c>
      <c r="T25" s="152">
        <v>4.2699999999999996</v>
      </c>
      <c r="U25" s="3" t="s">
        <v>225</v>
      </c>
      <c r="V25" s="161">
        <v>1.9900000000000001E-2</v>
      </c>
      <c r="W25" s="161">
        <v>2.2780000000000002E-2</v>
      </c>
      <c r="X25" s="5" t="s">
        <v>101</v>
      </c>
      <c r="Y25" s="5" t="s">
        <v>96</v>
      </c>
      <c r="Z25" s="152">
        <v>2160000</v>
      </c>
      <c r="AA25" s="159">
        <v>1</v>
      </c>
      <c r="AB25" s="169">
        <v>104.63</v>
      </c>
      <c r="AD25" s="152">
        <v>2260.0079999999998</v>
      </c>
      <c r="AG25" s="3" t="s">
        <v>36</v>
      </c>
      <c r="AH25" s="161">
        <v>1E-3</v>
      </c>
      <c r="AI25" s="161">
        <v>2.0749102703663098E-2</v>
      </c>
      <c r="AJ25" s="161">
        <v>2.36767602145812E-3</v>
      </c>
    </row>
    <row r="26" spans="1:36" x14ac:dyDescent="0.2">
      <c r="A26" s="3">
        <v>233</v>
      </c>
      <c r="B26" s="3">
        <v>233</v>
      </c>
      <c r="C26" s="3" t="s">
        <v>226</v>
      </c>
      <c r="D26" s="3" t="s">
        <v>227</v>
      </c>
      <c r="E26" s="5" t="s">
        <v>89</v>
      </c>
      <c r="F26" s="3" t="s">
        <v>228</v>
      </c>
      <c r="G26" s="3" t="s">
        <v>229</v>
      </c>
      <c r="H26" s="3" t="s">
        <v>92</v>
      </c>
      <c r="I26" s="3" t="s">
        <v>106</v>
      </c>
      <c r="J26" s="3" t="s">
        <v>30</v>
      </c>
      <c r="K26" s="3" t="s">
        <v>30</v>
      </c>
      <c r="L26" s="3" t="s">
        <v>94</v>
      </c>
      <c r="M26" s="3" t="s">
        <v>31</v>
      </c>
      <c r="N26" s="3" t="s">
        <v>230</v>
      </c>
      <c r="O26" s="3" t="s">
        <v>96</v>
      </c>
      <c r="P26" s="3" t="s">
        <v>164</v>
      </c>
      <c r="Q26" s="3" t="s">
        <v>98</v>
      </c>
      <c r="R26" s="3" t="s">
        <v>99</v>
      </c>
      <c r="S26" s="3" t="s">
        <v>34</v>
      </c>
      <c r="T26" s="152">
        <v>2.5609999999999999</v>
      </c>
      <c r="U26" s="3" t="s">
        <v>231</v>
      </c>
      <c r="V26" s="161">
        <v>0.01</v>
      </c>
      <c r="W26" s="161">
        <v>2.7400000000000001E-2</v>
      </c>
      <c r="X26" s="5" t="s">
        <v>101</v>
      </c>
      <c r="Y26" s="5" t="s">
        <v>96</v>
      </c>
      <c r="Z26" s="152">
        <v>3980067.02</v>
      </c>
      <c r="AA26" s="159">
        <v>1</v>
      </c>
      <c r="AB26" s="169">
        <v>110.57</v>
      </c>
      <c r="AD26" s="152">
        <v>4400.76</v>
      </c>
      <c r="AG26" s="3" t="s">
        <v>36</v>
      </c>
      <c r="AH26" s="161">
        <v>2.147E-3</v>
      </c>
      <c r="AI26" s="161">
        <v>4.0403318648593103E-2</v>
      </c>
      <c r="AJ26" s="161">
        <v>4.6104147305954099E-3</v>
      </c>
    </row>
    <row r="27" spans="1:36" x14ac:dyDescent="0.2">
      <c r="A27" s="3">
        <v>233</v>
      </c>
      <c r="B27" s="3">
        <v>233</v>
      </c>
      <c r="C27" s="3" t="s">
        <v>226</v>
      </c>
      <c r="D27" s="3" t="s">
        <v>227</v>
      </c>
      <c r="E27" s="5" t="s">
        <v>89</v>
      </c>
      <c r="F27" s="3" t="s">
        <v>232</v>
      </c>
      <c r="G27" s="3" t="s">
        <v>233</v>
      </c>
      <c r="H27" s="3" t="s">
        <v>92</v>
      </c>
      <c r="I27" s="3" t="s">
        <v>106</v>
      </c>
      <c r="J27" s="3" t="s">
        <v>30</v>
      </c>
      <c r="K27" s="3" t="s">
        <v>30</v>
      </c>
      <c r="L27" s="3" t="s">
        <v>94</v>
      </c>
      <c r="M27" s="3" t="s">
        <v>31</v>
      </c>
      <c r="N27" s="3" t="s">
        <v>230</v>
      </c>
      <c r="O27" s="3" t="s">
        <v>96</v>
      </c>
      <c r="P27" s="3" t="s">
        <v>164</v>
      </c>
      <c r="Q27" s="3" t="s">
        <v>98</v>
      </c>
      <c r="R27" s="3" t="s">
        <v>99</v>
      </c>
      <c r="S27" s="3" t="s">
        <v>34</v>
      </c>
      <c r="T27" s="152">
        <v>0.73299999999999998</v>
      </c>
      <c r="U27" s="3" t="s">
        <v>234</v>
      </c>
      <c r="V27" s="161">
        <v>3.5400000000000001E-2</v>
      </c>
      <c r="W27" s="161">
        <v>3.209E-2</v>
      </c>
      <c r="X27" s="5" t="s">
        <v>101</v>
      </c>
      <c r="Y27" s="5" t="s">
        <v>96</v>
      </c>
      <c r="Z27" s="152">
        <v>2700000</v>
      </c>
      <c r="AA27" s="159">
        <v>1</v>
      </c>
      <c r="AB27" s="169">
        <v>110.78</v>
      </c>
      <c r="AD27" s="152">
        <v>2991.06</v>
      </c>
      <c r="AG27" s="3" t="s">
        <v>36</v>
      </c>
      <c r="AH27" s="161">
        <v>3.2230000000000002E-3</v>
      </c>
      <c r="AI27" s="161">
        <v>2.7460881170694399E-2</v>
      </c>
      <c r="AJ27" s="161">
        <v>3.1335557399542499E-3</v>
      </c>
    </row>
    <row r="28" spans="1:36" x14ac:dyDescent="0.2">
      <c r="A28" s="3">
        <v>233</v>
      </c>
      <c r="B28" s="3">
        <v>233</v>
      </c>
      <c r="C28" s="3" t="s">
        <v>235</v>
      </c>
      <c r="D28" s="3" t="s">
        <v>236</v>
      </c>
      <c r="E28" s="5" t="s">
        <v>89</v>
      </c>
      <c r="F28" s="3" t="s">
        <v>237</v>
      </c>
      <c r="G28" s="3" t="s">
        <v>238</v>
      </c>
      <c r="H28" s="3" t="s">
        <v>92</v>
      </c>
      <c r="I28" s="3" t="s">
        <v>106</v>
      </c>
      <c r="J28" s="3" t="s">
        <v>30</v>
      </c>
      <c r="K28" s="3" t="s">
        <v>30</v>
      </c>
      <c r="L28" s="3" t="s">
        <v>94</v>
      </c>
      <c r="M28" s="3" t="s">
        <v>31</v>
      </c>
      <c r="N28" s="3" t="s">
        <v>107</v>
      </c>
      <c r="O28" s="3" t="s">
        <v>96</v>
      </c>
      <c r="P28" s="3" t="s">
        <v>117</v>
      </c>
      <c r="Q28" s="3" t="s">
        <v>109</v>
      </c>
      <c r="R28" s="3" t="s">
        <v>99</v>
      </c>
      <c r="S28" s="3" t="s">
        <v>34</v>
      </c>
      <c r="T28" s="152">
        <v>3.3069999999999999</v>
      </c>
      <c r="U28" s="3" t="s">
        <v>239</v>
      </c>
      <c r="V28" s="161">
        <v>1.43E-2</v>
      </c>
      <c r="W28" s="161">
        <v>2.4580000000000001E-2</v>
      </c>
      <c r="X28" s="5" t="s">
        <v>101</v>
      </c>
      <c r="Y28" s="5" t="s">
        <v>96</v>
      </c>
      <c r="Z28" s="152">
        <v>3560624.13</v>
      </c>
      <c r="AA28" s="159">
        <v>1</v>
      </c>
      <c r="AB28" s="169">
        <v>114.1</v>
      </c>
      <c r="AC28" s="152">
        <v>77.552999999999997</v>
      </c>
      <c r="AD28" s="152">
        <v>4140.2250000000004</v>
      </c>
      <c r="AG28" s="3" t="s">
        <v>36</v>
      </c>
      <c r="AH28" s="161">
        <v>1.867E-3</v>
      </c>
      <c r="AI28" s="161">
        <v>3.80113511686457E-2</v>
      </c>
      <c r="AJ28" s="161">
        <v>4.3374677927319602E-3</v>
      </c>
    </row>
    <row r="29" spans="1:36" x14ac:dyDescent="0.2">
      <c r="A29" s="3">
        <v>233</v>
      </c>
      <c r="B29" s="3">
        <v>233</v>
      </c>
      <c r="C29" s="3" t="s">
        <v>235</v>
      </c>
      <c r="D29" s="3" t="s">
        <v>236</v>
      </c>
      <c r="E29" s="5" t="s">
        <v>89</v>
      </c>
      <c r="F29" s="3" t="s">
        <v>240</v>
      </c>
      <c r="G29" s="3" t="s">
        <v>241</v>
      </c>
      <c r="H29" s="3" t="s">
        <v>92</v>
      </c>
      <c r="I29" s="3" t="s">
        <v>106</v>
      </c>
      <c r="J29" s="3" t="s">
        <v>30</v>
      </c>
      <c r="K29" s="3" t="s">
        <v>30</v>
      </c>
      <c r="L29" s="3" t="s">
        <v>94</v>
      </c>
      <c r="M29" s="3" t="s">
        <v>31</v>
      </c>
      <c r="N29" s="3" t="s">
        <v>107</v>
      </c>
      <c r="O29" s="3" t="s">
        <v>96</v>
      </c>
      <c r="P29" s="3" t="s">
        <v>117</v>
      </c>
      <c r="Q29" s="3" t="s">
        <v>109</v>
      </c>
      <c r="R29" s="3" t="s">
        <v>99</v>
      </c>
      <c r="S29" s="3" t="s">
        <v>34</v>
      </c>
      <c r="T29" s="152">
        <v>0.318</v>
      </c>
      <c r="U29" s="3" t="s">
        <v>242</v>
      </c>
      <c r="V29" s="161">
        <v>2.1499999999999998E-2</v>
      </c>
      <c r="W29" s="161">
        <v>4.1980000000000003E-2</v>
      </c>
      <c r="X29" s="5" t="s">
        <v>101</v>
      </c>
      <c r="Y29" s="5" t="s">
        <v>96</v>
      </c>
      <c r="Z29" s="152">
        <v>894665.57</v>
      </c>
      <c r="AA29" s="159">
        <v>1</v>
      </c>
      <c r="AB29" s="169">
        <v>119.81</v>
      </c>
      <c r="AD29" s="152">
        <v>1071.8989999999999</v>
      </c>
      <c r="AG29" s="3" t="s">
        <v>36</v>
      </c>
      <c r="AH29" s="161">
        <v>1.5629999999999999E-3</v>
      </c>
      <c r="AI29" s="161">
        <v>9.8410884793410404E-3</v>
      </c>
      <c r="AJ29" s="161">
        <v>1.1229646674537901E-3</v>
      </c>
    </row>
    <row r="30" spans="1:36" x14ac:dyDescent="0.2">
      <c r="A30" s="3">
        <v>233</v>
      </c>
      <c r="B30" s="3">
        <v>233</v>
      </c>
      <c r="C30" s="3" t="s">
        <v>235</v>
      </c>
      <c r="D30" s="3" t="s">
        <v>236</v>
      </c>
      <c r="E30" s="5" t="s">
        <v>89</v>
      </c>
      <c r="F30" s="3" t="s">
        <v>243</v>
      </c>
      <c r="G30" s="3" t="s">
        <v>244</v>
      </c>
      <c r="H30" s="3" t="s">
        <v>92</v>
      </c>
      <c r="I30" s="3" t="s">
        <v>106</v>
      </c>
      <c r="J30" s="3" t="s">
        <v>30</v>
      </c>
      <c r="K30" s="3" t="s">
        <v>30</v>
      </c>
      <c r="L30" s="3" t="s">
        <v>94</v>
      </c>
      <c r="M30" s="3" t="s">
        <v>31</v>
      </c>
      <c r="N30" s="3" t="s">
        <v>107</v>
      </c>
      <c r="O30" s="3" t="s">
        <v>96</v>
      </c>
      <c r="P30" s="3" t="s">
        <v>117</v>
      </c>
      <c r="Q30" s="3" t="s">
        <v>109</v>
      </c>
      <c r="R30" s="3" t="s">
        <v>99</v>
      </c>
      <c r="S30" s="3" t="s">
        <v>34</v>
      </c>
      <c r="T30" s="152">
        <v>3.1139999999999999</v>
      </c>
      <c r="U30" s="3" t="s">
        <v>245</v>
      </c>
      <c r="V30" s="161">
        <v>2.2499999999999999E-2</v>
      </c>
      <c r="W30" s="161">
        <v>2.5180000000000001E-2</v>
      </c>
      <c r="X30" s="5" t="s">
        <v>101</v>
      </c>
      <c r="Y30" s="5" t="s">
        <v>96</v>
      </c>
      <c r="Z30" s="152">
        <v>2670827.36</v>
      </c>
      <c r="AA30" s="159">
        <v>1</v>
      </c>
      <c r="AB30" s="169">
        <v>118.56</v>
      </c>
      <c r="AC30" s="152">
        <v>304.83199999999999</v>
      </c>
      <c r="AD30" s="152">
        <v>3471.3649999999998</v>
      </c>
      <c r="AG30" s="3" t="s">
        <v>36</v>
      </c>
      <c r="AH30" s="161">
        <v>1.6659999999999999E-3</v>
      </c>
      <c r="AI30" s="161">
        <v>3.18705548235826E-2</v>
      </c>
      <c r="AJ30" s="161">
        <v>3.6367427316768299E-3</v>
      </c>
    </row>
    <row r="31" spans="1:36" x14ac:dyDescent="0.2">
      <c r="A31" s="3">
        <v>233</v>
      </c>
      <c r="B31" s="3">
        <v>233</v>
      </c>
      <c r="C31" s="3" t="s">
        <v>235</v>
      </c>
      <c r="D31" s="3" t="s">
        <v>236</v>
      </c>
      <c r="E31" s="5" t="s">
        <v>89</v>
      </c>
      <c r="F31" s="3" t="s">
        <v>246</v>
      </c>
      <c r="G31" s="3" t="s">
        <v>247</v>
      </c>
      <c r="H31" s="3" t="s">
        <v>92</v>
      </c>
      <c r="I31" s="3" t="s">
        <v>106</v>
      </c>
      <c r="J31" s="3" t="s">
        <v>30</v>
      </c>
      <c r="K31" s="3" t="s">
        <v>30</v>
      </c>
      <c r="L31" s="3" t="s">
        <v>94</v>
      </c>
      <c r="M31" s="3" t="s">
        <v>31</v>
      </c>
      <c r="N31" s="3" t="s">
        <v>107</v>
      </c>
      <c r="O31" s="3" t="s">
        <v>96</v>
      </c>
      <c r="P31" s="3" t="s">
        <v>117</v>
      </c>
      <c r="Q31" s="3" t="s">
        <v>109</v>
      </c>
      <c r="R31" s="3" t="s">
        <v>99</v>
      </c>
      <c r="S31" s="3" t="s">
        <v>34</v>
      </c>
      <c r="T31" s="152">
        <v>4.2519999999999998</v>
      </c>
      <c r="U31" s="3" t="s">
        <v>248</v>
      </c>
      <c r="V31" s="161">
        <v>2.5000000000000001E-3</v>
      </c>
      <c r="W31" s="161">
        <v>2.4879999999999999E-2</v>
      </c>
      <c r="X31" s="5" t="s">
        <v>101</v>
      </c>
      <c r="Y31" s="5" t="s">
        <v>96</v>
      </c>
      <c r="Z31" s="152">
        <v>4503921.79</v>
      </c>
      <c r="AA31" s="159">
        <v>1</v>
      </c>
      <c r="AB31" s="169">
        <v>105.36</v>
      </c>
      <c r="AC31" s="152">
        <v>67.924999999999997</v>
      </c>
      <c r="AD31" s="152">
        <v>4813.2569999999996</v>
      </c>
      <c r="AG31" s="3" t="s">
        <v>36</v>
      </c>
      <c r="AH31" s="161">
        <v>3.4090000000000001E-3</v>
      </c>
      <c r="AI31" s="161">
        <v>4.4190444174199102E-2</v>
      </c>
      <c r="AJ31" s="161">
        <v>5.0425628781703103E-3</v>
      </c>
    </row>
    <row r="32" spans="1:36" x14ac:dyDescent="0.2">
      <c r="A32" s="3">
        <v>233</v>
      </c>
      <c r="B32" s="3">
        <v>233</v>
      </c>
      <c r="C32" s="3" t="s">
        <v>235</v>
      </c>
      <c r="D32" s="3" t="s">
        <v>236</v>
      </c>
      <c r="E32" s="5" t="s">
        <v>89</v>
      </c>
      <c r="F32" s="3" t="s">
        <v>249</v>
      </c>
      <c r="G32" s="3" t="s">
        <v>250</v>
      </c>
      <c r="H32" s="3" t="s">
        <v>92</v>
      </c>
      <c r="I32" s="3" t="s">
        <v>106</v>
      </c>
      <c r="J32" s="3" t="s">
        <v>30</v>
      </c>
      <c r="K32" s="3" t="s">
        <v>30</v>
      </c>
      <c r="L32" s="3" t="s">
        <v>94</v>
      </c>
      <c r="M32" s="3" t="s">
        <v>31</v>
      </c>
      <c r="N32" s="3" t="s">
        <v>107</v>
      </c>
      <c r="O32" s="3" t="s">
        <v>96</v>
      </c>
      <c r="P32" s="3" t="s">
        <v>117</v>
      </c>
      <c r="Q32" s="3" t="s">
        <v>109</v>
      </c>
      <c r="R32" s="3" t="s">
        <v>99</v>
      </c>
      <c r="S32" s="3" t="s">
        <v>34</v>
      </c>
      <c r="T32" s="152">
        <v>7.51</v>
      </c>
      <c r="U32" s="3" t="s">
        <v>251</v>
      </c>
      <c r="V32" s="161">
        <v>2.9499999999999998E-2</v>
      </c>
      <c r="W32" s="161">
        <v>2.683E-2</v>
      </c>
      <c r="X32" s="5" t="s">
        <v>101</v>
      </c>
      <c r="Y32" s="5" t="s">
        <v>96</v>
      </c>
      <c r="Z32" s="152">
        <v>1450000</v>
      </c>
      <c r="AA32" s="159">
        <v>1</v>
      </c>
      <c r="AB32" s="169">
        <v>101.78</v>
      </c>
      <c r="AD32" s="152">
        <v>1475.81</v>
      </c>
      <c r="AG32" s="3" t="s">
        <v>36</v>
      </c>
      <c r="AH32" s="161">
        <v>3.2650000000000001E-3</v>
      </c>
      <c r="AI32" s="161">
        <v>1.3549391533611E-2</v>
      </c>
      <c r="AJ32" s="161">
        <v>1.54611839835439E-3</v>
      </c>
    </row>
    <row r="33" spans="1:36" x14ac:dyDescent="0.2">
      <c r="A33" s="3">
        <v>233</v>
      </c>
      <c r="B33" s="3">
        <v>233</v>
      </c>
      <c r="C33" s="3" t="s">
        <v>252</v>
      </c>
      <c r="D33" s="3" t="s">
        <v>253</v>
      </c>
      <c r="E33" s="5" t="s">
        <v>89</v>
      </c>
      <c r="F33" s="3" t="s">
        <v>254</v>
      </c>
      <c r="G33" s="3" t="s">
        <v>255</v>
      </c>
      <c r="H33" s="3" t="s">
        <v>92</v>
      </c>
      <c r="I33" s="3" t="s">
        <v>106</v>
      </c>
      <c r="J33" s="3" t="s">
        <v>30</v>
      </c>
      <c r="K33" s="3" t="s">
        <v>30</v>
      </c>
      <c r="L33" s="3" t="s">
        <v>94</v>
      </c>
      <c r="M33" s="3" t="s">
        <v>31</v>
      </c>
      <c r="N33" s="3" t="s">
        <v>107</v>
      </c>
      <c r="O33" s="3" t="s">
        <v>96</v>
      </c>
      <c r="P33" s="3" t="s">
        <v>63</v>
      </c>
      <c r="Q33" s="3" t="s">
        <v>109</v>
      </c>
      <c r="R33" s="3" t="s">
        <v>99</v>
      </c>
      <c r="S33" s="3" t="s">
        <v>34</v>
      </c>
      <c r="T33" s="152">
        <v>5.97</v>
      </c>
      <c r="U33" s="3" t="s">
        <v>256</v>
      </c>
      <c r="V33" s="161">
        <v>8.9999999999999993E-3</v>
      </c>
      <c r="W33" s="161">
        <v>2.4170000000000001E-2</v>
      </c>
      <c r="X33" s="5" t="s">
        <v>101</v>
      </c>
      <c r="Y33" s="5" t="s">
        <v>96</v>
      </c>
      <c r="Z33" s="152">
        <v>4503591.84</v>
      </c>
      <c r="AA33" s="159">
        <v>1</v>
      </c>
      <c r="AB33" s="169">
        <v>106.24</v>
      </c>
      <c r="AC33" s="152">
        <v>23.55</v>
      </c>
      <c r="AD33" s="152">
        <v>4808.1660000000002</v>
      </c>
      <c r="AG33" s="3" t="s">
        <v>36</v>
      </c>
      <c r="AH33" s="161">
        <v>1.671E-3</v>
      </c>
      <c r="AI33" s="161">
        <v>4.41437076548373E-2</v>
      </c>
      <c r="AJ33" s="161">
        <v>5.0372297831541204E-3</v>
      </c>
    </row>
    <row r="34" spans="1:36" x14ac:dyDescent="0.2">
      <c r="A34" s="3">
        <v>233</v>
      </c>
      <c r="B34" s="3">
        <v>233</v>
      </c>
      <c r="C34" s="3" t="s">
        <v>257</v>
      </c>
      <c r="D34" s="3" t="s">
        <v>258</v>
      </c>
      <c r="E34" s="5" t="s">
        <v>89</v>
      </c>
      <c r="F34" s="3" t="s">
        <v>259</v>
      </c>
      <c r="G34" s="3" t="s">
        <v>260</v>
      </c>
      <c r="H34" s="3" t="s">
        <v>92</v>
      </c>
      <c r="I34" s="3" t="s">
        <v>93</v>
      </c>
      <c r="J34" s="3" t="s">
        <v>30</v>
      </c>
      <c r="K34" s="3" t="s">
        <v>30</v>
      </c>
      <c r="L34" s="3" t="s">
        <v>94</v>
      </c>
      <c r="M34" s="3" t="s">
        <v>31</v>
      </c>
      <c r="N34" s="3" t="s">
        <v>95</v>
      </c>
      <c r="O34" s="3" t="s">
        <v>96</v>
      </c>
      <c r="P34" s="3" t="s">
        <v>117</v>
      </c>
      <c r="Q34" s="3" t="s">
        <v>109</v>
      </c>
      <c r="R34" s="3" t="s">
        <v>99</v>
      </c>
      <c r="S34" s="3" t="s">
        <v>34</v>
      </c>
      <c r="T34" s="152">
        <v>4.0839999999999996</v>
      </c>
      <c r="U34" s="3" t="s">
        <v>261</v>
      </c>
      <c r="V34" s="161">
        <v>4.6899999999999997E-2</v>
      </c>
      <c r="W34" s="161">
        <v>4.2040000000000001E-2</v>
      </c>
      <c r="X34" s="5" t="s">
        <v>101</v>
      </c>
      <c r="Y34" s="5" t="s">
        <v>96</v>
      </c>
      <c r="Z34" s="152">
        <v>5799000</v>
      </c>
      <c r="AA34" s="159">
        <v>1</v>
      </c>
      <c r="AB34" s="169">
        <v>102.27</v>
      </c>
      <c r="AD34" s="152">
        <v>5930.6369999999997</v>
      </c>
      <c r="AG34" s="3" t="s">
        <v>36</v>
      </c>
      <c r="AH34" s="161">
        <v>1.1598000000000001E-2</v>
      </c>
      <c r="AI34" s="161">
        <v>5.4449100373040897E-2</v>
      </c>
      <c r="AJ34" s="161">
        <v>6.21317611582575E-3</v>
      </c>
    </row>
    <row r="35" spans="1:36" x14ac:dyDescent="0.2">
      <c r="A35" s="3">
        <v>233</v>
      </c>
      <c r="B35" s="3">
        <v>233</v>
      </c>
      <c r="C35" s="3" t="s">
        <v>262</v>
      </c>
      <c r="D35" s="3" t="s">
        <v>263</v>
      </c>
      <c r="E35" s="5" t="s">
        <v>89</v>
      </c>
      <c r="F35" s="3" t="s">
        <v>264</v>
      </c>
      <c r="G35" s="3" t="s">
        <v>265</v>
      </c>
      <c r="H35" s="3" t="s">
        <v>92</v>
      </c>
      <c r="I35" s="3" t="s">
        <v>106</v>
      </c>
      <c r="J35" s="3" t="s">
        <v>30</v>
      </c>
      <c r="K35" s="3" t="s">
        <v>30</v>
      </c>
      <c r="L35" s="3" t="s">
        <v>94</v>
      </c>
      <c r="M35" s="3" t="s">
        <v>31</v>
      </c>
      <c r="N35" s="3" t="s">
        <v>107</v>
      </c>
      <c r="O35" s="3" t="s">
        <v>96</v>
      </c>
      <c r="P35" s="3" t="s">
        <v>117</v>
      </c>
      <c r="Q35" s="3" t="s">
        <v>109</v>
      </c>
      <c r="R35" s="3" t="s">
        <v>99</v>
      </c>
      <c r="S35" s="3" t="s">
        <v>34</v>
      </c>
      <c r="T35" s="152">
        <v>0.90700000000000003</v>
      </c>
      <c r="U35" s="3" t="s">
        <v>266</v>
      </c>
      <c r="V35" s="161">
        <v>2.1499999999999998E-2</v>
      </c>
      <c r="W35" s="161">
        <v>2.7859999999999999E-2</v>
      </c>
      <c r="X35" s="5" t="s">
        <v>101</v>
      </c>
      <c r="Y35" s="5" t="s">
        <v>96</v>
      </c>
      <c r="Z35" s="152">
        <v>866776.43</v>
      </c>
      <c r="AA35" s="159">
        <v>1</v>
      </c>
      <c r="AB35" s="169">
        <v>119.17</v>
      </c>
      <c r="AD35" s="152">
        <v>1032.9369999999999</v>
      </c>
      <c r="AG35" s="3" t="s">
        <v>36</v>
      </c>
      <c r="AH35" s="161">
        <v>1.237E-3</v>
      </c>
      <c r="AI35" s="161">
        <v>9.4833848753339504E-3</v>
      </c>
      <c r="AJ35" s="161">
        <v>1.0821471796764899E-3</v>
      </c>
    </row>
    <row r="36" spans="1:36" x14ac:dyDescent="0.2">
      <c r="A36" s="3">
        <v>233</v>
      </c>
      <c r="B36" s="3">
        <v>233</v>
      </c>
      <c r="C36" s="3" t="s">
        <v>267</v>
      </c>
      <c r="D36" s="3" t="s">
        <v>268</v>
      </c>
      <c r="E36" s="5" t="s">
        <v>89</v>
      </c>
      <c r="F36" s="3" t="s">
        <v>269</v>
      </c>
      <c r="G36" s="3" t="s">
        <v>270</v>
      </c>
      <c r="H36" s="3" t="s">
        <v>92</v>
      </c>
      <c r="I36" s="3" t="s">
        <v>93</v>
      </c>
      <c r="J36" s="3" t="s">
        <v>30</v>
      </c>
      <c r="K36" s="3" t="s">
        <v>30</v>
      </c>
      <c r="L36" s="3" t="s">
        <v>94</v>
      </c>
      <c r="M36" s="3" t="s">
        <v>31</v>
      </c>
      <c r="N36" s="3" t="s">
        <v>146</v>
      </c>
      <c r="O36" s="3" t="s">
        <v>96</v>
      </c>
      <c r="P36" s="3" t="s">
        <v>158</v>
      </c>
      <c r="Q36" s="3" t="s">
        <v>98</v>
      </c>
      <c r="R36" s="3" t="s">
        <v>99</v>
      </c>
      <c r="S36" s="3" t="s">
        <v>34</v>
      </c>
      <c r="T36" s="152">
        <v>3.903</v>
      </c>
      <c r="U36" s="3" t="s">
        <v>271</v>
      </c>
      <c r="V36" s="161">
        <v>6.7699999999999996E-2</v>
      </c>
      <c r="W36" s="161">
        <v>4.8149999999999998E-2</v>
      </c>
      <c r="X36" s="5" t="s">
        <v>101</v>
      </c>
      <c r="Y36" s="5" t="s">
        <v>96</v>
      </c>
      <c r="Z36" s="152">
        <v>6049000</v>
      </c>
      <c r="AA36" s="159">
        <v>1</v>
      </c>
      <c r="AB36" s="169">
        <v>107.83</v>
      </c>
      <c r="AD36" s="152">
        <v>6522.6369999999997</v>
      </c>
      <c r="AG36" s="3" t="s">
        <v>36</v>
      </c>
      <c r="AH36" s="161">
        <v>8.9610000000000002E-3</v>
      </c>
      <c r="AI36" s="161">
        <v>5.9884238811093699E-2</v>
      </c>
      <c r="AJ36" s="161">
        <v>6.8333786921430002E-3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51"/>
  <sheetViews>
    <sheetView rightToLeft="1" workbookViewId="0">
      <selection activeCell="G56" sqref="G56"/>
    </sheetView>
  </sheetViews>
  <sheetFormatPr defaultColWidth="0" defaultRowHeight="14.25" x14ac:dyDescent="0.2"/>
  <cols>
    <col min="1" max="2" width="11.625" style="5" customWidth="1"/>
    <col min="3" max="3" width="25.25" style="5" customWidth="1"/>
    <col min="4" max="5" width="11.625" style="5" customWidth="1"/>
    <col min="6" max="6" width="28.375" style="5" customWidth="1"/>
    <col min="7" max="7" width="18" style="5" customWidth="1"/>
    <col min="8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 x14ac:dyDescent="0.2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86</v>
      </c>
      <c r="M1" s="21" t="s">
        <v>8</v>
      </c>
      <c r="N1" s="21" t="s">
        <v>79</v>
      </c>
      <c r="O1" s="21" t="s">
        <v>80</v>
      </c>
      <c r="P1" s="21" t="s">
        <v>11</v>
      </c>
      <c r="Q1" s="21" t="s">
        <v>17</v>
      </c>
      <c r="R1" s="158" t="s">
        <v>18</v>
      </c>
      <c r="S1" s="164" t="s">
        <v>19</v>
      </c>
      <c r="T1" s="21" t="s">
        <v>16</v>
      </c>
      <c r="U1" s="21" t="s">
        <v>20</v>
      </c>
      <c r="V1" s="160" t="s">
        <v>23</v>
      </c>
      <c r="W1" s="160" t="s">
        <v>24</v>
      </c>
      <c r="X1" s="160" t="s">
        <v>25</v>
      </c>
    </row>
    <row r="2" spans="1:24" x14ac:dyDescent="0.2">
      <c r="A2" s="20">
        <v>233</v>
      </c>
      <c r="B2" s="20">
        <v>233</v>
      </c>
      <c r="C2" s="20" t="s">
        <v>272</v>
      </c>
      <c r="D2" s="20" t="s">
        <v>273</v>
      </c>
      <c r="E2" s="20" t="s">
        <v>89</v>
      </c>
      <c r="F2" s="20" t="s">
        <v>274</v>
      </c>
      <c r="G2" s="20" t="s">
        <v>275</v>
      </c>
      <c r="H2" s="20" t="s">
        <v>92</v>
      </c>
      <c r="I2" s="20" t="s">
        <v>276</v>
      </c>
      <c r="J2" s="20" t="s">
        <v>30</v>
      </c>
      <c r="K2" s="20" t="s">
        <v>30</v>
      </c>
      <c r="L2" s="22" t="s">
        <v>94</v>
      </c>
      <c r="M2" s="20" t="s">
        <v>31</v>
      </c>
      <c r="N2" s="22" t="s">
        <v>277</v>
      </c>
      <c r="O2" s="22" t="s">
        <v>96</v>
      </c>
      <c r="P2" s="20" t="s">
        <v>34</v>
      </c>
      <c r="Q2" s="156">
        <v>3397</v>
      </c>
      <c r="R2" s="170">
        <v>1</v>
      </c>
      <c r="S2" s="172">
        <v>183600</v>
      </c>
      <c r="T2" s="155">
        <v>8.1039999999999992</v>
      </c>
      <c r="U2" s="156">
        <v>6244.9960000000001</v>
      </c>
      <c r="V2" s="171">
        <v>7.2999999999999999E-5</v>
      </c>
      <c r="W2" s="171">
        <v>3.1846710264638797E-2</v>
      </c>
      <c r="X2" s="171">
        <v>6.5425114453999799E-3</v>
      </c>
    </row>
    <row r="3" spans="1:24" x14ac:dyDescent="0.2">
      <c r="A3" s="20">
        <v>233</v>
      </c>
      <c r="B3" s="20">
        <v>233</v>
      </c>
      <c r="C3" s="20" t="s">
        <v>102</v>
      </c>
      <c r="D3" s="20" t="s">
        <v>103</v>
      </c>
      <c r="E3" s="20" t="s">
        <v>89</v>
      </c>
      <c r="F3" s="20" t="s">
        <v>278</v>
      </c>
      <c r="G3" s="20" t="s">
        <v>279</v>
      </c>
      <c r="H3" s="20" t="s">
        <v>92</v>
      </c>
      <c r="I3" s="20" t="s">
        <v>276</v>
      </c>
      <c r="J3" s="20" t="s">
        <v>30</v>
      </c>
      <c r="K3" s="20" t="s">
        <v>30</v>
      </c>
      <c r="L3" s="22" t="s">
        <v>94</v>
      </c>
      <c r="M3" s="20" t="s">
        <v>31</v>
      </c>
      <c r="N3" s="22" t="s">
        <v>107</v>
      </c>
      <c r="O3" s="22" t="s">
        <v>96</v>
      </c>
      <c r="P3" s="20" t="s">
        <v>34</v>
      </c>
      <c r="Q3" s="156">
        <v>96836</v>
      </c>
      <c r="R3" s="170">
        <v>1</v>
      </c>
      <c r="S3" s="172">
        <v>3920</v>
      </c>
      <c r="T3" s="22"/>
      <c r="U3" s="156">
        <v>3795.971</v>
      </c>
      <c r="V3" s="171">
        <v>4.3899999999999999E-4</v>
      </c>
      <c r="W3" s="171">
        <v>1.9357768592611398E-2</v>
      </c>
      <c r="X3" s="171">
        <v>3.9768133512738E-3</v>
      </c>
    </row>
    <row r="4" spans="1:24" x14ac:dyDescent="0.2">
      <c r="A4" s="20">
        <v>233</v>
      </c>
      <c r="B4" s="20">
        <v>233</v>
      </c>
      <c r="C4" s="20" t="s">
        <v>113</v>
      </c>
      <c r="D4" s="20" t="s">
        <v>114</v>
      </c>
      <c r="E4" s="20" t="s">
        <v>89</v>
      </c>
      <c r="F4" s="20" t="s">
        <v>280</v>
      </c>
      <c r="G4" s="20" t="s">
        <v>281</v>
      </c>
      <c r="H4" s="20" t="s">
        <v>92</v>
      </c>
      <c r="I4" s="20" t="s">
        <v>276</v>
      </c>
      <c r="J4" s="20" t="s">
        <v>30</v>
      </c>
      <c r="K4" s="20" t="s">
        <v>30</v>
      </c>
      <c r="L4" s="22" t="s">
        <v>94</v>
      </c>
      <c r="M4" s="20" t="s">
        <v>31</v>
      </c>
      <c r="N4" s="22" t="s">
        <v>107</v>
      </c>
      <c r="O4" s="22" t="s">
        <v>96</v>
      </c>
      <c r="P4" s="20" t="s">
        <v>34</v>
      </c>
      <c r="Q4" s="156">
        <v>62200</v>
      </c>
      <c r="R4" s="170">
        <v>1</v>
      </c>
      <c r="S4" s="172">
        <v>2500</v>
      </c>
      <c r="T4" s="22"/>
      <c r="U4" s="156">
        <v>1555</v>
      </c>
      <c r="V4" s="171">
        <v>1.26E-4</v>
      </c>
      <c r="W4" s="171">
        <v>7.9298099420540002E-3</v>
      </c>
      <c r="X4" s="171">
        <v>1.6290810534154601E-3</v>
      </c>
    </row>
    <row r="5" spans="1:24" x14ac:dyDescent="0.2">
      <c r="A5" s="20">
        <v>233</v>
      </c>
      <c r="B5" s="20">
        <v>233</v>
      </c>
      <c r="C5" s="20" t="s">
        <v>119</v>
      </c>
      <c r="D5" s="20" t="s">
        <v>120</v>
      </c>
      <c r="E5" s="20" t="s">
        <v>89</v>
      </c>
      <c r="F5" s="20" t="s">
        <v>282</v>
      </c>
      <c r="G5" s="20" t="s">
        <v>283</v>
      </c>
      <c r="H5" s="20" t="s">
        <v>92</v>
      </c>
      <c r="I5" s="20" t="s">
        <v>276</v>
      </c>
      <c r="J5" s="20" t="s">
        <v>30</v>
      </c>
      <c r="K5" s="20" t="s">
        <v>61</v>
      </c>
      <c r="L5" s="22" t="s">
        <v>94</v>
      </c>
      <c r="M5" s="20" t="s">
        <v>31</v>
      </c>
      <c r="N5" s="22" t="s">
        <v>123</v>
      </c>
      <c r="O5" s="22" t="s">
        <v>96</v>
      </c>
      <c r="P5" s="20" t="s">
        <v>34</v>
      </c>
      <c r="Q5" s="156">
        <v>54706.1</v>
      </c>
      <c r="R5" s="170">
        <v>1</v>
      </c>
      <c r="S5" s="172">
        <v>14480</v>
      </c>
      <c r="T5" s="22"/>
      <c r="U5" s="156">
        <v>7921.4430000000002</v>
      </c>
      <c r="V5" s="171">
        <v>4.1399999999999998E-4</v>
      </c>
      <c r="W5" s="171">
        <v>4.0395845451550401E-2</v>
      </c>
      <c r="X5" s="171">
        <v>8.2988251853075498E-3</v>
      </c>
    </row>
    <row r="6" spans="1:24" x14ac:dyDescent="0.2">
      <c r="A6" s="20">
        <v>233</v>
      </c>
      <c r="B6" s="20">
        <v>233</v>
      </c>
      <c r="C6" s="20" t="s">
        <v>126</v>
      </c>
      <c r="D6" s="20" t="s">
        <v>127</v>
      </c>
      <c r="E6" s="20" t="s">
        <v>89</v>
      </c>
      <c r="F6" s="20" t="s">
        <v>284</v>
      </c>
      <c r="G6" s="20" t="s">
        <v>285</v>
      </c>
      <c r="H6" s="20" t="s">
        <v>92</v>
      </c>
      <c r="I6" s="20" t="s">
        <v>276</v>
      </c>
      <c r="J6" s="20" t="s">
        <v>30</v>
      </c>
      <c r="K6" s="20" t="s">
        <v>30</v>
      </c>
      <c r="L6" s="22" t="s">
        <v>94</v>
      </c>
      <c r="M6" s="20" t="s">
        <v>31</v>
      </c>
      <c r="N6" s="22" t="s">
        <v>123</v>
      </c>
      <c r="O6" s="22" t="s">
        <v>96</v>
      </c>
      <c r="P6" s="20" t="s">
        <v>34</v>
      </c>
      <c r="Q6" s="156">
        <v>161305</v>
      </c>
      <c r="R6" s="170">
        <v>1</v>
      </c>
      <c r="S6" s="172">
        <v>1608</v>
      </c>
      <c r="T6" s="22"/>
      <c r="U6" s="156">
        <v>2593.7840000000001</v>
      </c>
      <c r="V6" s="171">
        <v>2.7900000000000001E-4</v>
      </c>
      <c r="W6" s="171">
        <v>1.32271494036428E-2</v>
      </c>
      <c r="X6" s="171">
        <v>2.7173537123373601E-3</v>
      </c>
    </row>
    <row r="7" spans="1:24" x14ac:dyDescent="0.2">
      <c r="A7" s="20">
        <v>233</v>
      </c>
      <c r="B7" s="20">
        <v>233</v>
      </c>
      <c r="C7" s="20" t="s">
        <v>286</v>
      </c>
      <c r="D7" s="20" t="s">
        <v>287</v>
      </c>
      <c r="E7" s="20" t="s">
        <v>89</v>
      </c>
      <c r="F7" s="20" t="s">
        <v>288</v>
      </c>
      <c r="G7" s="20" t="s">
        <v>289</v>
      </c>
      <c r="H7" s="20" t="s">
        <v>92</v>
      </c>
      <c r="I7" s="20" t="s">
        <v>276</v>
      </c>
      <c r="J7" s="20" t="s">
        <v>30</v>
      </c>
      <c r="K7" s="20" t="s">
        <v>30</v>
      </c>
      <c r="L7" s="22" t="s">
        <v>94</v>
      </c>
      <c r="M7" s="20" t="s">
        <v>31</v>
      </c>
      <c r="N7" s="22" t="s">
        <v>290</v>
      </c>
      <c r="O7" s="22" t="s">
        <v>96</v>
      </c>
      <c r="P7" s="20" t="s">
        <v>34</v>
      </c>
      <c r="Q7" s="156">
        <v>532025</v>
      </c>
      <c r="R7" s="170">
        <v>1</v>
      </c>
      <c r="S7" s="172">
        <v>709.9</v>
      </c>
      <c r="T7" s="22"/>
      <c r="U7" s="156">
        <v>3776.8449999999998</v>
      </c>
      <c r="V7" s="171">
        <v>1.92E-4</v>
      </c>
      <c r="W7" s="171">
        <v>1.9260235882480201E-2</v>
      </c>
      <c r="X7" s="171">
        <v>3.9567764662382203E-3</v>
      </c>
    </row>
    <row r="8" spans="1:24" x14ac:dyDescent="0.2">
      <c r="A8" s="20">
        <v>233</v>
      </c>
      <c r="B8" s="20">
        <v>233</v>
      </c>
      <c r="C8" s="20" t="s">
        <v>137</v>
      </c>
      <c r="D8" s="20" t="s">
        <v>138</v>
      </c>
      <c r="E8" s="20" t="s">
        <v>89</v>
      </c>
      <c r="F8" s="20" t="s">
        <v>291</v>
      </c>
      <c r="G8" s="20" t="s">
        <v>292</v>
      </c>
      <c r="H8" s="20" t="s">
        <v>92</v>
      </c>
      <c r="I8" s="20" t="s">
        <v>276</v>
      </c>
      <c r="J8" s="20" t="s">
        <v>30</v>
      </c>
      <c r="K8" s="20" t="s">
        <v>30</v>
      </c>
      <c r="L8" s="22" t="s">
        <v>94</v>
      </c>
      <c r="M8" s="20" t="s">
        <v>31</v>
      </c>
      <c r="N8" s="22" t="s">
        <v>107</v>
      </c>
      <c r="O8" s="22" t="s">
        <v>96</v>
      </c>
      <c r="P8" s="20" t="s">
        <v>34</v>
      </c>
      <c r="Q8" s="156">
        <v>2100</v>
      </c>
      <c r="R8" s="170">
        <v>1</v>
      </c>
      <c r="S8" s="172">
        <v>76490</v>
      </c>
      <c r="T8" s="22"/>
      <c r="U8" s="156">
        <v>1606.29</v>
      </c>
      <c r="V8" s="171">
        <v>8.3999999999999995E-5</v>
      </c>
      <c r="W8" s="171">
        <v>8.1913661812359605E-3</v>
      </c>
      <c r="X8" s="171">
        <v>1.68281453716445E-3</v>
      </c>
    </row>
    <row r="9" spans="1:24" x14ac:dyDescent="0.2">
      <c r="A9" s="20">
        <v>233</v>
      </c>
      <c r="B9" s="20">
        <v>233</v>
      </c>
      <c r="C9" s="20" t="s">
        <v>149</v>
      </c>
      <c r="D9" s="20" t="s">
        <v>150</v>
      </c>
      <c r="E9" s="20" t="s">
        <v>89</v>
      </c>
      <c r="F9" s="20" t="s">
        <v>293</v>
      </c>
      <c r="G9" s="20" t="s">
        <v>294</v>
      </c>
      <c r="H9" s="20" t="s">
        <v>92</v>
      </c>
      <c r="I9" s="20" t="s">
        <v>276</v>
      </c>
      <c r="J9" s="20" t="s">
        <v>30</v>
      </c>
      <c r="K9" s="20" t="s">
        <v>30</v>
      </c>
      <c r="L9" s="22" t="s">
        <v>94</v>
      </c>
      <c r="M9" s="20" t="s">
        <v>31</v>
      </c>
      <c r="N9" s="22" t="s">
        <v>107</v>
      </c>
      <c r="O9" s="22" t="s">
        <v>96</v>
      </c>
      <c r="P9" s="20" t="s">
        <v>34</v>
      </c>
      <c r="Q9" s="156">
        <v>26000</v>
      </c>
      <c r="R9" s="170">
        <v>1</v>
      </c>
      <c r="S9" s="172">
        <v>3854</v>
      </c>
      <c r="T9" s="22"/>
      <c r="U9" s="156">
        <v>1002.04</v>
      </c>
      <c r="V9" s="171">
        <v>1.18E-4</v>
      </c>
      <c r="W9" s="171">
        <v>5.1099593275471299E-3</v>
      </c>
      <c r="X9" s="171">
        <v>1.04977773553983E-3</v>
      </c>
    </row>
    <row r="10" spans="1:24" x14ac:dyDescent="0.2">
      <c r="A10" s="20">
        <v>233</v>
      </c>
      <c r="B10" s="20">
        <v>233</v>
      </c>
      <c r="C10" s="20" t="s">
        <v>160</v>
      </c>
      <c r="D10" s="20" t="s">
        <v>161</v>
      </c>
      <c r="E10" s="20" t="s">
        <v>89</v>
      </c>
      <c r="F10" s="20" t="s">
        <v>295</v>
      </c>
      <c r="G10" s="20" t="s">
        <v>296</v>
      </c>
      <c r="H10" s="20" t="s">
        <v>92</v>
      </c>
      <c r="I10" s="20" t="s">
        <v>276</v>
      </c>
      <c r="J10" s="20" t="s">
        <v>30</v>
      </c>
      <c r="K10" s="20" t="s">
        <v>30</v>
      </c>
      <c r="L10" s="22" t="s">
        <v>94</v>
      </c>
      <c r="M10" s="20" t="s">
        <v>31</v>
      </c>
      <c r="N10" s="22" t="s">
        <v>135</v>
      </c>
      <c r="O10" s="22" t="s">
        <v>96</v>
      </c>
      <c r="P10" s="20" t="s">
        <v>34</v>
      </c>
      <c r="Q10" s="156">
        <v>5846</v>
      </c>
      <c r="R10" s="170">
        <v>1</v>
      </c>
      <c r="S10" s="172">
        <v>37470</v>
      </c>
      <c r="T10" s="22"/>
      <c r="U10" s="156">
        <v>2190.4960000000001</v>
      </c>
      <c r="V10" s="171">
        <v>2.6400000000000002E-4</v>
      </c>
      <c r="W10" s="171">
        <v>1.11705585497052E-2</v>
      </c>
      <c r="X10" s="171">
        <v>2.2948526411566399E-3</v>
      </c>
    </row>
    <row r="11" spans="1:24" x14ac:dyDescent="0.2">
      <c r="A11" s="20">
        <v>233</v>
      </c>
      <c r="B11" s="20">
        <v>233</v>
      </c>
      <c r="C11" s="20" t="s">
        <v>297</v>
      </c>
      <c r="D11" s="20" t="s">
        <v>298</v>
      </c>
      <c r="E11" s="20" t="s">
        <v>89</v>
      </c>
      <c r="F11" s="20" t="s">
        <v>299</v>
      </c>
      <c r="G11" s="20" t="s">
        <v>300</v>
      </c>
      <c r="H11" s="20" t="s">
        <v>92</v>
      </c>
      <c r="I11" s="20" t="s">
        <v>276</v>
      </c>
      <c r="J11" s="20" t="s">
        <v>30</v>
      </c>
      <c r="K11" s="20" t="s">
        <v>30</v>
      </c>
      <c r="L11" s="22" t="s">
        <v>94</v>
      </c>
      <c r="M11" s="20" t="s">
        <v>31</v>
      </c>
      <c r="N11" s="22" t="s">
        <v>200</v>
      </c>
      <c r="O11" s="22" t="s">
        <v>96</v>
      </c>
      <c r="P11" s="20" t="s">
        <v>34</v>
      </c>
      <c r="Q11" s="156">
        <v>16000</v>
      </c>
      <c r="R11" s="170">
        <v>1</v>
      </c>
      <c r="S11" s="172">
        <v>9490</v>
      </c>
      <c r="T11" s="22"/>
      <c r="U11" s="156">
        <v>1518.4</v>
      </c>
      <c r="V11" s="171">
        <v>1.4899999999999999E-4</v>
      </c>
      <c r="W11" s="171">
        <v>7.7431661839323504E-3</v>
      </c>
      <c r="X11" s="171">
        <v>1.59073740932864E-3</v>
      </c>
    </row>
    <row r="12" spans="1:24" x14ac:dyDescent="0.2">
      <c r="A12" s="20">
        <v>233</v>
      </c>
      <c r="B12" s="20">
        <v>233</v>
      </c>
      <c r="C12" s="20" t="s">
        <v>301</v>
      </c>
      <c r="D12" s="20" t="s">
        <v>302</v>
      </c>
      <c r="E12" s="20" t="s">
        <v>89</v>
      </c>
      <c r="F12" s="20" t="s">
        <v>303</v>
      </c>
      <c r="G12" s="20" t="s">
        <v>304</v>
      </c>
      <c r="H12" s="20" t="s">
        <v>92</v>
      </c>
      <c r="I12" s="20" t="s">
        <v>276</v>
      </c>
      <c r="J12" s="20" t="s">
        <v>30</v>
      </c>
      <c r="K12" s="20" t="s">
        <v>30</v>
      </c>
      <c r="L12" s="22" t="s">
        <v>94</v>
      </c>
      <c r="M12" s="20" t="s">
        <v>31</v>
      </c>
      <c r="N12" s="22" t="s">
        <v>95</v>
      </c>
      <c r="O12" s="22" t="s">
        <v>96</v>
      </c>
      <c r="P12" s="20" t="s">
        <v>34</v>
      </c>
      <c r="Q12" s="156">
        <v>46052</v>
      </c>
      <c r="R12" s="170">
        <v>1</v>
      </c>
      <c r="S12" s="172">
        <v>13180</v>
      </c>
      <c r="T12" s="22"/>
      <c r="U12" s="156">
        <v>6069.6540000000005</v>
      </c>
      <c r="V12" s="171">
        <v>1.75E-4</v>
      </c>
      <c r="W12" s="171">
        <v>3.09525398470121E-2</v>
      </c>
      <c r="X12" s="171">
        <v>6.3588152286527004E-3</v>
      </c>
    </row>
    <row r="13" spans="1:24" x14ac:dyDescent="0.2">
      <c r="A13" s="20">
        <v>233</v>
      </c>
      <c r="B13" s="20">
        <v>233</v>
      </c>
      <c r="C13" s="20" t="s">
        <v>305</v>
      </c>
      <c r="D13" s="20" t="s">
        <v>306</v>
      </c>
      <c r="E13" s="20" t="s">
        <v>89</v>
      </c>
      <c r="F13" s="20" t="s">
        <v>307</v>
      </c>
      <c r="G13" s="20" t="s">
        <v>308</v>
      </c>
      <c r="H13" s="20" t="s">
        <v>92</v>
      </c>
      <c r="I13" s="20" t="s">
        <v>276</v>
      </c>
      <c r="J13" s="20" t="s">
        <v>30</v>
      </c>
      <c r="K13" s="20" t="s">
        <v>61</v>
      </c>
      <c r="L13" s="22" t="s">
        <v>94</v>
      </c>
      <c r="M13" s="20" t="s">
        <v>31</v>
      </c>
      <c r="N13" s="22" t="s">
        <v>309</v>
      </c>
      <c r="O13" s="22" t="s">
        <v>96</v>
      </c>
      <c r="P13" s="20" t="s">
        <v>34</v>
      </c>
      <c r="Q13" s="156">
        <v>108650</v>
      </c>
      <c r="R13" s="170">
        <v>1</v>
      </c>
      <c r="S13" s="172">
        <v>10090</v>
      </c>
      <c r="T13" s="22"/>
      <c r="U13" s="156">
        <v>10962.785</v>
      </c>
      <c r="V13" s="171">
        <v>8.7000000000000001E-5</v>
      </c>
      <c r="W13" s="171">
        <v>5.5905338575948899E-2</v>
      </c>
      <c r="X13" s="171">
        <v>1.1485058093998199E-2</v>
      </c>
    </row>
    <row r="14" spans="1:24" x14ac:dyDescent="0.2">
      <c r="A14" s="20">
        <v>233</v>
      </c>
      <c r="B14" s="20">
        <v>233</v>
      </c>
      <c r="C14" s="20" t="s">
        <v>310</v>
      </c>
      <c r="D14" s="20" t="s">
        <v>311</v>
      </c>
      <c r="E14" s="20" t="s">
        <v>89</v>
      </c>
      <c r="F14" s="20" t="s">
        <v>312</v>
      </c>
      <c r="G14" s="20" t="s">
        <v>313</v>
      </c>
      <c r="H14" s="20" t="s">
        <v>92</v>
      </c>
      <c r="I14" s="20" t="s">
        <v>276</v>
      </c>
      <c r="J14" s="20" t="s">
        <v>30</v>
      </c>
      <c r="K14" s="20" t="s">
        <v>30</v>
      </c>
      <c r="L14" s="22" t="s">
        <v>94</v>
      </c>
      <c r="M14" s="20" t="s">
        <v>31</v>
      </c>
      <c r="N14" s="22" t="s">
        <v>135</v>
      </c>
      <c r="O14" s="22" t="s">
        <v>96</v>
      </c>
      <c r="P14" s="20" t="s">
        <v>34</v>
      </c>
      <c r="Q14" s="156">
        <v>121000</v>
      </c>
      <c r="R14" s="170">
        <v>1</v>
      </c>
      <c r="S14" s="172">
        <v>1650</v>
      </c>
      <c r="T14" s="22"/>
      <c r="U14" s="156">
        <v>1996.5</v>
      </c>
      <c r="V14" s="171">
        <v>3.6600000000000001E-4</v>
      </c>
      <c r="W14" s="171">
        <v>1.01812640188494E-2</v>
      </c>
      <c r="X14" s="171">
        <v>2.0916143557195999E-3</v>
      </c>
    </row>
    <row r="15" spans="1:24" x14ac:dyDescent="0.2">
      <c r="A15" s="20">
        <v>233</v>
      </c>
      <c r="B15" s="20">
        <v>233</v>
      </c>
      <c r="C15" s="20" t="s">
        <v>314</v>
      </c>
      <c r="D15" s="20" t="s">
        <v>315</v>
      </c>
      <c r="E15" s="20" t="s">
        <v>89</v>
      </c>
      <c r="F15" s="20" t="s">
        <v>316</v>
      </c>
      <c r="G15" s="20" t="s">
        <v>317</v>
      </c>
      <c r="H15" s="20" t="s">
        <v>92</v>
      </c>
      <c r="I15" s="20" t="s">
        <v>276</v>
      </c>
      <c r="J15" s="20" t="s">
        <v>30</v>
      </c>
      <c r="K15" s="20" t="s">
        <v>30</v>
      </c>
      <c r="L15" s="22" t="s">
        <v>94</v>
      </c>
      <c r="M15" s="20" t="s">
        <v>31</v>
      </c>
      <c r="N15" s="22" t="s">
        <v>95</v>
      </c>
      <c r="O15" s="22" t="s">
        <v>96</v>
      </c>
      <c r="P15" s="20" t="s">
        <v>34</v>
      </c>
      <c r="Q15" s="156">
        <v>18172</v>
      </c>
      <c r="R15" s="170">
        <v>1</v>
      </c>
      <c r="S15" s="172">
        <v>20570</v>
      </c>
      <c r="T15" s="22"/>
      <c r="U15" s="156">
        <v>3737.98</v>
      </c>
      <c r="V15" s="171">
        <v>2.2699999999999999E-4</v>
      </c>
      <c r="W15" s="171">
        <v>1.9062041247024399E-2</v>
      </c>
      <c r="X15" s="171">
        <v>3.91605983773528E-3</v>
      </c>
    </row>
    <row r="16" spans="1:24" x14ac:dyDescent="0.2">
      <c r="A16" s="20">
        <v>233</v>
      </c>
      <c r="B16" s="20">
        <v>233</v>
      </c>
      <c r="C16" s="20" t="s">
        <v>202</v>
      </c>
      <c r="D16" s="20" t="s">
        <v>203</v>
      </c>
      <c r="E16" s="20" t="s">
        <v>89</v>
      </c>
      <c r="F16" s="20" t="s">
        <v>318</v>
      </c>
      <c r="G16" s="20" t="s">
        <v>319</v>
      </c>
      <c r="H16" s="20" t="s">
        <v>92</v>
      </c>
      <c r="I16" s="20" t="s">
        <v>276</v>
      </c>
      <c r="J16" s="20" t="s">
        <v>30</v>
      </c>
      <c r="K16" s="20" t="s">
        <v>30</v>
      </c>
      <c r="L16" s="22" t="s">
        <v>94</v>
      </c>
      <c r="M16" s="20" t="s">
        <v>31</v>
      </c>
      <c r="N16" s="22" t="s">
        <v>206</v>
      </c>
      <c r="O16" s="22" t="s">
        <v>96</v>
      </c>
      <c r="P16" s="20" t="s">
        <v>34</v>
      </c>
      <c r="Q16" s="156">
        <v>108010</v>
      </c>
      <c r="R16" s="170">
        <v>1</v>
      </c>
      <c r="S16" s="172">
        <v>7020</v>
      </c>
      <c r="T16" s="22"/>
      <c r="U16" s="156">
        <v>7582.3019999999997</v>
      </c>
      <c r="V16" s="171">
        <v>6.7000000000000002E-5</v>
      </c>
      <c r="W16" s="171">
        <v>3.8666375423315698E-2</v>
      </c>
      <c r="X16" s="171">
        <v>7.9435270286007595E-3</v>
      </c>
    </row>
    <row r="17" spans="1:24" x14ac:dyDescent="0.2">
      <c r="A17" s="20">
        <v>233</v>
      </c>
      <c r="B17" s="20">
        <v>233</v>
      </c>
      <c r="C17" s="20" t="s">
        <v>320</v>
      </c>
      <c r="D17" s="20" t="s">
        <v>321</v>
      </c>
      <c r="E17" s="20" t="s">
        <v>89</v>
      </c>
      <c r="F17" s="20" t="s">
        <v>322</v>
      </c>
      <c r="G17" s="20" t="s">
        <v>323</v>
      </c>
      <c r="H17" s="20" t="s">
        <v>92</v>
      </c>
      <c r="I17" s="20" t="s">
        <v>276</v>
      </c>
      <c r="J17" s="20" t="s">
        <v>30</v>
      </c>
      <c r="K17" s="20" t="s">
        <v>30</v>
      </c>
      <c r="L17" s="22" t="s">
        <v>94</v>
      </c>
      <c r="M17" s="20" t="s">
        <v>31</v>
      </c>
      <c r="N17" s="22" t="s">
        <v>95</v>
      </c>
      <c r="O17" s="22" t="s">
        <v>96</v>
      </c>
      <c r="P17" s="20" t="s">
        <v>34</v>
      </c>
      <c r="Q17" s="156">
        <v>90000</v>
      </c>
      <c r="R17" s="170">
        <v>1</v>
      </c>
      <c r="S17" s="172">
        <v>1546</v>
      </c>
      <c r="T17" s="22"/>
      <c r="U17" s="156">
        <v>1391.4</v>
      </c>
      <c r="V17" s="171">
        <v>8.5000000000000006E-5</v>
      </c>
      <c r="W17" s="171">
        <v>7.0955225423626599E-3</v>
      </c>
      <c r="X17" s="171">
        <v>1.45768705962847E-3</v>
      </c>
    </row>
    <row r="18" spans="1:24" x14ac:dyDescent="0.2">
      <c r="A18" s="20">
        <v>233</v>
      </c>
      <c r="B18" s="20">
        <v>233</v>
      </c>
      <c r="C18" s="20" t="s">
        <v>324</v>
      </c>
      <c r="D18" s="20" t="s">
        <v>325</v>
      </c>
      <c r="E18" s="20" t="s">
        <v>89</v>
      </c>
      <c r="F18" s="20" t="s">
        <v>326</v>
      </c>
      <c r="G18" s="20" t="s">
        <v>327</v>
      </c>
      <c r="H18" s="20" t="s">
        <v>92</v>
      </c>
      <c r="I18" s="20" t="s">
        <v>276</v>
      </c>
      <c r="J18" s="20" t="s">
        <v>30</v>
      </c>
      <c r="K18" s="20" t="s">
        <v>30</v>
      </c>
      <c r="L18" s="22" t="s">
        <v>94</v>
      </c>
      <c r="M18" s="20" t="s">
        <v>31</v>
      </c>
      <c r="N18" s="22" t="s">
        <v>206</v>
      </c>
      <c r="O18" s="22" t="s">
        <v>96</v>
      </c>
      <c r="P18" s="20" t="s">
        <v>34</v>
      </c>
      <c r="Q18" s="156">
        <v>23859</v>
      </c>
      <c r="R18" s="170">
        <v>1</v>
      </c>
      <c r="S18" s="172">
        <v>22240</v>
      </c>
      <c r="T18" s="22"/>
      <c r="U18" s="156">
        <v>5306.2420000000002</v>
      </c>
      <c r="V18" s="171">
        <v>9.2E-5</v>
      </c>
      <c r="W18" s="171">
        <v>2.70594774241933E-2</v>
      </c>
      <c r="X18" s="171">
        <v>5.5590338619967497E-3</v>
      </c>
    </row>
    <row r="19" spans="1:24" x14ac:dyDescent="0.2">
      <c r="A19" s="20">
        <v>233</v>
      </c>
      <c r="B19" s="20">
        <v>233</v>
      </c>
      <c r="C19" s="20" t="s">
        <v>235</v>
      </c>
      <c r="D19" s="20" t="s">
        <v>236</v>
      </c>
      <c r="E19" s="20" t="s">
        <v>89</v>
      </c>
      <c r="F19" s="20" t="s">
        <v>328</v>
      </c>
      <c r="G19" s="20" t="s">
        <v>329</v>
      </c>
      <c r="H19" s="20" t="s">
        <v>92</v>
      </c>
      <c r="I19" s="20" t="s">
        <v>276</v>
      </c>
      <c r="J19" s="20" t="s">
        <v>30</v>
      </c>
      <c r="K19" s="20" t="s">
        <v>30</v>
      </c>
      <c r="L19" s="22" t="s">
        <v>94</v>
      </c>
      <c r="M19" s="20" t="s">
        <v>31</v>
      </c>
      <c r="N19" s="22" t="s">
        <v>107</v>
      </c>
      <c r="O19" s="22" t="s">
        <v>96</v>
      </c>
      <c r="P19" s="20" t="s">
        <v>34</v>
      </c>
      <c r="Q19" s="156">
        <v>20081</v>
      </c>
      <c r="R19" s="170">
        <v>1</v>
      </c>
      <c r="S19" s="172">
        <v>41330</v>
      </c>
      <c r="T19" s="22"/>
      <c r="U19" s="156">
        <v>8299.4770000000008</v>
      </c>
      <c r="V19" s="171">
        <v>4.2099999999999999E-4</v>
      </c>
      <c r="W19" s="171">
        <v>4.2323651194463997E-2</v>
      </c>
      <c r="X19" s="171">
        <v>8.6948689534930707E-3</v>
      </c>
    </row>
    <row r="20" spans="1:24" x14ac:dyDescent="0.2">
      <c r="A20" s="5">
        <v>233</v>
      </c>
      <c r="B20" s="5">
        <v>233</v>
      </c>
      <c r="C20" s="5" t="s">
        <v>330</v>
      </c>
      <c r="D20" s="5" t="s">
        <v>331</v>
      </c>
      <c r="E20" s="20" t="s">
        <v>89</v>
      </c>
      <c r="F20" s="5" t="s">
        <v>332</v>
      </c>
      <c r="G20" s="5" t="s">
        <v>333</v>
      </c>
      <c r="H20" s="20" t="s">
        <v>92</v>
      </c>
      <c r="I20" s="5" t="s">
        <v>276</v>
      </c>
      <c r="J20" s="5" t="s">
        <v>30</v>
      </c>
      <c r="K20" s="20" t="s">
        <v>30</v>
      </c>
      <c r="L20" s="22" t="s">
        <v>94</v>
      </c>
      <c r="M20" s="20" t="s">
        <v>31</v>
      </c>
      <c r="N20" s="22" t="s">
        <v>95</v>
      </c>
      <c r="O20" s="5" t="s">
        <v>96</v>
      </c>
      <c r="P20" s="5" t="s">
        <v>34</v>
      </c>
      <c r="Q20" s="154">
        <v>8100</v>
      </c>
      <c r="R20" s="162">
        <v>1</v>
      </c>
      <c r="S20" s="165">
        <v>39940</v>
      </c>
      <c r="U20" s="154">
        <v>3235.14</v>
      </c>
      <c r="V20" s="163">
        <v>1.2799999999999999E-4</v>
      </c>
      <c r="W20" s="163">
        <v>1.64977783510846E-2</v>
      </c>
      <c r="X20" s="163">
        <v>3.3892638451102899E-3</v>
      </c>
    </row>
    <row r="21" spans="1:24" s="44" customFormat="1" x14ac:dyDescent="0.2">
      <c r="A21" s="44">
        <v>233</v>
      </c>
      <c r="B21" s="44">
        <v>233</v>
      </c>
      <c r="C21" s="44" t="s">
        <v>334</v>
      </c>
      <c r="D21" s="44" t="s">
        <v>335</v>
      </c>
      <c r="E21" s="44" t="s">
        <v>89</v>
      </c>
      <c r="F21" s="44" t="s">
        <v>336</v>
      </c>
      <c r="G21" s="44" t="s">
        <v>337</v>
      </c>
      <c r="H21" s="44" t="s">
        <v>92</v>
      </c>
      <c r="I21" s="44" t="s">
        <v>276</v>
      </c>
      <c r="J21" s="44" t="s">
        <v>30</v>
      </c>
      <c r="K21" s="44" t="s">
        <v>30</v>
      </c>
      <c r="L21" s="44" t="s">
        <v>94</v>
      </c>
      <c r="M21" s="44" t="s">
        <v>31</v>
      </c>
      <c r="N21" s="22" t="s">
        <v>107</v>
      </c>
      <c r="O21" s="44" t="s">
        <v>96</v>
      </c>
      <c r="P21" s="44" t="s">
        <v>34</v>
      </c>
      <c r="Q21" s="154">
        <v>507422</v>
      </c>
      <c r="R21" s="162">
        <v>1</v>
      </c>
      <c r="S21" s="165">
        <v>236</v>
      </c>
      <c r="T21" s="41"/>
      <c r="U21" s="154">
        <v>1197.5160000000001</v>
      </c>
      <c r="V21" s="163">
        <v>5.9699999999999998E-4</v>
      </c>
      <c r="W21" s="163">
        <v>6.1067997737517298E-3</v>
      </c>
      <c r="X21" s="163">
        <v>1.25456623564977E-3</v>
      </c>
    </row>
    <row r="22" spans="1:24" x14ac:dyDescent="0.2">
      <c r="A22" s="5">
        <v>233</v>
      </c>
      <c r="B22" s="5">
        <v>233</v>
      </c>
      <c r="C22" s="5" t="s">
        <v>338</v>
      </c>
      <c r="D22" s="5" t="s">
        <v>339</v>
      </c>
      <c r="E22" s="5" t="s">
        <v>340</v>
      </c>
      <c r="F22" s="5" t="s">
        <v>341</v>
      </c>
      <c r="G22" s="5" t="s">
        <v>342</v>
      </c>
      <c r="H22" s="5" t="s">
        <v>92</v>
      </c>
      <c r="I22" s="5" t="s">
        <v>276</v>
      </c>
      <c r="J22" s="5" t="s">
        <v>30</v>
      </c>
      <c r="K22" s="5" t="s">
        <v>61</v>
      </c>
      <c r="L22" s="3" t="s">
        <v>94</v>
      </c>
      <c r="M22" s="5" t="s">
        <v>31</v>
      </c>
      <c r="N22" s="5" t="s">
        <v>343</v>
      </c>
      <c r="O22" s="5" t="s">
        <v>96</v>
      </c>
      <c r="P22" s="5" t="s">
        <v>34</v>
      </c>
      <c r="Q22" s="154">
        <v>45820</v>
      </c>
      <c r="R22" s="162">
        <v>1</v>
      </c>
      <c r="S22" s="165">
        <v>11640</v>
      </c>
      <c r="U22" s="154">
        <v>5333.4480000000003</v>
      </c>
      <c r="V22" s="163">
        <v>3.9199999999999999E-4</v>
      </c>
      <c r="W22" s="163">
        <v>2.71982179908862E-2</v>
      </c>
      <c r="X22" s="163">
        <v>5.5875363898241796E-3</v>
      </c>
    </row>
    <row r="23" spans="1:24" x14ac:dyDescent="0.2">
      <c r="A23" s="5">
        <v>233</v>
      </c>
      <c r="B23" s="5">
        <v>233</v>
      </c>
      <c r="C23" s="5" t="s">
        <v>344</v>
      </c>
      <c r="D23" s="5" t="s">
        <v>345</v>
      </c>
      <c r="E23" s="5" t="s">
        <v>340</v>
      </c>
      <c r="F23" s="5" t="s">
        <v>346</v>
      </c>
      <c r="G23" s="5" t="s">
        <v>347</v>
      </c>
      <c r="H23" s="5" t="s">
        <v>92</v>
      </c>
      <c r="I23" s="5" t="s">
        <v>276</v>
      </c>
      <c r="J23" s="5" t="s">
        <v>30</v>
      </c>
      <c r="K23" s="5" t="s">
        <v>30</v>
      </c>
      <c r="L23" s="3" t="s">
        <v>94</v>
      </c>
      <c r="M23" s="3" t="s">
        <v>31</v>
      </c>
      <c r="N23" s="5" t="s">
        <v>343</v>
      </c>
      <c r="O23" s="5" t="s">
        <v>96</v>
      </c>
      <c r="P23" s="5" t="s">
        <v>34</v>
      </c>
      <c r="Q23" s="154">
        <v>251000</v>
      </c>
      <c r="R23" s="162">
        <v>1</v>
      </c>
      <c r="S23" s="165">
        <v>1803</v>
      </c>
      <c r="U23" s="154">
        <v>4525.53</v>
      </c>
      <c r="V23" s="163">
        <v>2.14E-4</v>
      </c>
      <c r="W23" s="163">
        <v>2.3078194718368899E-2</v>
      </c>
      <c r="X23" s="163">
        <v>4.7411287329024304E-3</v>
      </c>
    </row>
    <row r="24" spans="1:24" x14ac:dyDescent="0.2">
      <c r="A24" s="5">
        <v>233</v>
      </c>
      <c r="B24" s="5">
        <v>233</v>
      </c>
      <c r="C24" s="5" t="s">
        <v>348</v>
      </c>
      <c r="D24" s="5" t="s">
        <v>349</v>
      </c>
      <c r="E24" s="5" t="s">
        <v>89</v>
      </c>
      <c r="F24" s="5" t="s">
        <v>350</v>
      </c>
      <c r="G24" s="5" t="s">
        <v>351</v>
      </c>
      <c r="H24" s="5" t="s">
        <v>92</v>
      </c>
      <c r="I24" s="5" t="s">
        <v>276</v>
      </c>
      <c r="J24" s="5" t="s">
        <v>30</v>
      </c>
      <c r="K24" s="5" t="s">
        <v>61</v>
      </c>
      <c r="L24" s="3" t="s">
        <v>94</v>
      </c>
      <c r="M24" s="3" t="s">
        <v>31</v>
      </c>
      <c r="N24" s="5" t="s">
        <v>352</v>
      </c>
      <c r="O24" s="5" t="s">
        <v>96</v>
      </c>
      <c r="P24" s="5" t="s">
        <v>34</v>
      </c>
      <c r="Q24" s="154">
        <v>3756</v>
      </c>
      <c r="R24" s="162">
        <v>1</v>
      </c>
      <c r="S24" s="165">
        <v>35710</v>
      </c>
      <c r="U24" s="154">
        <v>1341.268</v>
      </c>
      <c r="V24" s="163">
        <v>5.0000000000000002E-5</v>
      </c>
      <c r="W24" s="163">
        <v>6.8398695494758296E-3</v>
      </c>
      <c r="X24" s="163">
        <v>1.4051663245788E-3</v>
      </c>
    </row>
    <row r="25" spans="1:24" x14ac:dyDescent="0.2">
      <c r="A25" s="5">
        <v>233</v>
      </c>
      <c r="B25" s="5">
        <v>233</v>
      </c>
      <c r="C25" s="5" t="s">
        <v>353</v>
      </c>
      <c r="D25" s="5" t="s">
        <v>354</v>
      </c>
      <c r="E25" s="5" t="s">
        <v>89</v>
      </c>
      <c r="F25" s="5" t="s">
        <v>353</v>
      </c>
      <c r="G25" s="5" t="s">
        <v>355</v>
      </c>
      <c r="H25" s="5" t="s">
        <v>92</v>
      </c>
      <c r="I25" s="5" t="s">
        <v>276</v>
      </c>
      <c r="J25" s="5" t="s">
        <v>30</v>
      </c>
      <c r="K25" s="5" t="s">
        <v>30</v>
      </c>
      <c r="L25" s="3" t="s">
        <v>94</v>
      </c>
      <c r="M25" s="3" t="s">
        <v>31</v>
      </c>
      <c r="N25" s="5" t="s">
        <v>356</v>
      </c>
      <c r="O25" s="5" t="s">
        <v>96</v>
      </c>
      <c r="P25" s="5" t="s">
        <v>34</v>
      </c>
      <c r="Q25" s="154">
        <v>28000</v>
      </c>
      <c r="R25" s="162">
        <v>1</v>
      </c>
      <c r="S25" s="165">
        <v>20990</v>
      </c>
      <c r="U25" s="154">
        <v>5877.2</v>
      </c>
      <c r="V25" s="163">
        <v>3.0800000000000001E-4</v>
      </c>
      <c r="W25" s="163">
        <v>2.9971111891601201E-2</v>
      </c>
      <c r="X25" s="163">
        <v>6.1571930335262799E-3</v>
      </c>
    </row>
    <row r="26" spans="1:24" x14ac:dyDescent="0.2">
      <c r="A26" s="5">
        <v>233</v>
      </c>
      <c r="B26" s="5">
        <v>233</v>
      </c>
      <c r="C26" s="5" t="s">
        <v>252</v>
      </c>
      <c r="D26" s="5" t="s">
        <v>253</v>
      </c>
      <c r="E26" s="5" t="s">
        <v>89</v>
      </c>
      <c r="F26" s="5" t="s">
        <v>357</v>
      </c>
      <c r="G26" s="5" t="s">
        <v>358</v>
      </c>
      <c r="H26" s="5" t="s">
        <v>92</v>
      </c>
      <c r="I26" s="5" t="s">
        <v>276</v>
      </c>
      <c r="J26" s="5" t="s">
        <v>30</v>
      </c>
      <c r="K26" s="5" t="s">
        <v>30</v>
      </c>
      <c r="L26" s="3" t="s">
        <v>94</v>
      </c>
      <c r="M26" s="3" t="s">
        <v>31</v>
      </c>
      <c r="N26" s="5" t="s">
        <v>107</v>
      </c>
      <c r="O26" s="5" t="s">
        <v>96</v>
      </c>
      <c r="P26" s="5" t="s">
        <v>34</v>
      </c>
      <c r="Q26" s="154">
        <v>17485</v>
      </c>
      <c r="R26" s="162">
        <v>1</v>
      </c>
      <c r="S26" s="165">
        <v>36050</v>
      </c>
      <c r="U26" s="154">
        <v>6303.3419999999996</v>
      </c>
      <c r="V26" s="163">
        <v>1.44E-4</v>
      </c>
      <c r="W26" s="163">
        <v>3.2144249533550801E-2</v>
      </c>
      <c r="X26" s="163">
        <v>6.6036371961019002E-3</v>
      </c>
    </row>
    <row r="27" spans="1:24" x14ac:dyDescent="0.2">
      <c r="A27" s="5">
        <v>233</v>
      </c>
      <c r="B27" s="5">
        <v>233</v>
      </c>
      <c r="C27" s="5" t="s">
        <v>359</v>
      </c>
      <c r="D27" s="5" t="s">
        <v>360</v>
      </c>
      <c r="E27" s="5" t="s">
        <v>89</v>
      </c>
      <c r="F27" s="5" t="s">
        <v>361</v>
      </c>
      <c r="G27" s="5" t="s">
        <v>362</v>
      </c>
      <c r="H27" s="5" t="s">
        <v>92</v>
      </c>
      <c r="I27" s="5" t="s">
        <v>276</v>
      </c>
      <c r="J27" s="5" t="s">
        <v>30</v>
      </c>
      <c r="K27" s="5" t="s">
        <v>30</v>
      </c>
      <c r="L27" s="3" t="s">
        <v>94</v>
      </c>
      <c r="M27" s="3" t="s">
        <v>31</v>
      </c>
      <c r="N27" s="5" t="s">
        <v>206</v>
      </c>
      <c r="O27" s="5" t="s">
        <v>96</v>
      </c>
      <c r="P27" s="5" t="s">
        <v>34</v>
      </c>
      <c r="Q27" s="154">
        <v>156305</v>
      </c>
      <c r="R27" s="162">
        <v>1</v>
      </c>
      <c r="S27" s="165">
        <v>7205</v>
      </c>
      <c r="U27" s="154">
        <v>11261.775</v>
      </c>
      <c r="V27" s="163">
        <v>1.17E-4</v>
      </c>
      <c r="W27" s="163">
        <v>5.74300561688924E-2</v>
      </c>
      <c r="X27" s="163">
        <v>1.17982924036001E-2</v>
      </c>
    </row>
    <row r="28" spans="1:24" x14ac:dyDescent="0.2">
      <c r="A28" s="5">
        <v>233</v>
      </c>
      <c r="B28" s="5">
        <v>233</v>
      </c>
      <c r="C28" s="5" t="s">
        <v>363</v>
      </c>
      <c r="D28" s="5" t="s">
        <v>364</v>
      </c>
      <c r="E28" s="5" t="s">
        <v>89</v>
      </c>
      <c r="F28" s="5" t="s">
        <v>365</v>
      </c>
      <c r="G28" s="5" t="s">
        <v>366</v>
      </c>
      <c r="H28" s="5" t="s">
        <v>92</v>
      </c>
      <c r="I28" s="5" t="s">
        <v>276</v>
      </c>
      <c r="J28" s="5" t="s">
        <v>30</v>
      </c>
      <c r="K28" s="5" t="s">
        <v>30</v>
      </c>
      <c r="L28" s="3" t="s">
        <v>94</v>
      </c>
      <c r="M28" s="3" t="s">
        <v>31</v>
      </c>
      <c r="N28" s="5" t="s">
        <v>367</v>
      </c>
      <c r="O28" s="5" t="s">
        <v>96</v>
      </c>
      <c r="P28" s="5" t="s">
        <v>34</v>
      </c>
      <c r="Q28" s="154">
        <v>1774</v>
      </c>
      <c r="R28" s="162">
        <v>1</v>
      </c>
      <c r="S28" s="165">
        <v>31330</v>
      </c>
      <c r="U28" s="154">
        <v>555.79399999999998</v>
      </c>
      <c r="V28" s="163">
        <v>1.2799999999999999E-4</v>
      </c>
      <c r="W28" s="163">
        <v>2.8343037767819602E-3</v>
      </c>
      <c r="X28" s="163">
        <v>5.8227254071910198E-4</v>
      </c>
    </row>
    <row r="29" spans="1:24" x14ac:dyDescent="0.2">
      <c r="A29" s="5">
        <v>233</v>
      </c>
      <c r="B29" s="5">
        <v>233</v>
      </c>
      <c r="C29" s="5" t="s">
        <v>368</v>
      </c>
      <c r="D29" s="5" t="s">
        <v>369</v>
      </c>
      <c r="E29" s="5" t="s">
        <v>89</v>
      </c>
      <c r="F29" s="5" t="s">
        <v>370</v>
      </c>
      <c r="G29" s="5" t="s">
        <v>371</v>
      </c>
      <c r="H29" s="5" t="s">
        <v>92</v>
      </c>
      <c r="I29" s="5" t="s">
        <v>276</v>
      </c>
      <c r="J29" s="5" t="s">
        <v>30</v>
      </c>
      <c r="K29" s="5" t="s">
        <v>30</v>
      </c>
      <c r="L29" s="3" t="s">
        <v>94</v>
      </c>
      <c r="M29" s="3" t="s">
        <v>31</v>
      </c>
      <c r="N29" s="5" t="s">
        <v>290</v>
      </c>
      <c r="O29" s="5" t="s">
        <v>96</v>
      </c>
      <c r="P29" s="5" t="s">
        <v>34</v>
      </c>
      <c r="Q29" s="154">
        <v>77000</v>
      </c>
      <c r="R29" s="162">
        <v>1</v>
      </c>
      <c r="S29" s="165">
        <v>3849</v>
      </c>
      <c r="U29" s="154">
        <v>2963.73</v>
      </c>
      <c r="V29" s="163">
        <v>4.0099999999999999E-4</v>
      </c>
      <c r="W29" s="163">
        <v>1.51137077939316E-2</v>
      </c>
      <c r="X29" s="163">
        <v>3.1049237237549899E-3</v>
      </c>
    </row>
    <row r="30" spans="1:24" x14ac:dyDescent="0.2">
      <c r="A30" s="5">
        <v>233</v>
      </c>
      <c r="B30" s="5">
        <v>233</v>
      </c>
      <c r="C30" s="5" t="s">
        <v>372</v>
      </c>
      <c r="D30" s="5" t="s">
        <v>373</v>
      </c>
      <c r="E30" s="5" t="s">
        <v>89</v>
      </c>
      <c r="F30" s="5" t="s">
        <v>374</v>
      </c>
      <c r="G30" s="5" t="s">
        <v>375</v>
      </c>
      <c r="H30" s="5" t="s">
        <v>92</v>
      </c>
      <c r="I30" s="5" t="s">
        <v>276</v>
      </c>
      <c r="J30" s="5" t="s">
        <v>30</v>
      </c>
      <c r="K30" s="5" t="s">
        <v>30</v>
      </c>
      <c r="L30" s="3" t="s">
        <v>94</v>
      </c>
      <c r="M30" s="3" t="s">
        <v>31</v>
      </c>
      <c r="N30" s="5" t="s">
        <v>376</v>
      </c>
      <c r="O30" s="5" t="s">
        <v>96</v>
      </c>
      <c r="P30" s="5" t="s">
        <v>34</v>
      </c>
      <c r="Q30" s="154">
        <v>296780</v>
      </c>
      <c r="R30" s="162">
        <v>1</v>
      </c>
      <c r="S30" s="165">
        <v>889.3</v>
      </c>
      <c r="U30" s="154">
        <v>2639.2649999999999</v>
      </c>
      <c r="V30" s="163">
        <v>1.029E-3</v>
      </c>
      <c r="W30" s="163">
        <v>1.34590779350499E-2</v>
      </c>
      <c r="X30" s="163">
        <v>2.7650005511673801E-3</v>
      </c>
    </row>
    <row r="31" spans="1:24" x14ac:dyDescent="0.2">
      <c r="A31" s="5">
        <v>233</v>
      </c>
      <c r="B31" s="5">
        <v>233</v>
      </c>
      <c r="C31" s="5" t="s">
        <v>377</v>
      </c>
      <c r="D31" s="5" t="s">
        <v>378</v>
      </c>
      <c r="E31" s="5" t="s">
        <v>379</v>
      </c>
      <c r="F31" s="5" t="s">
        <v>380</v>
      </c>
      <c r="G31" s="5" t="s">
        <v>381</v>
      </c>
      <c r="H31" s="5" t="s">
        <v>92</v>
      </c>
      <c r="I31" s="5" t="s">
        <v>276</v>
      </c>
      <c r="J31" s="5" t="s">
        <v>60</v>
      </c>
      <c r="K31" s="5" t="s">
        <v>61</v>
      </c>
      <c r="L31" s="3" t="s">
        <v>94</v>
      </c>
      <c r="M31" s="3" t="s">
        <v>382</v>
      </c>
      <c r="N31" s="5" t="s">
        <v>383</v>
      </c>
      <c r="O31" s="5" t="s">
        <v>96</v>
      </c>
      <c r="P31" s="5" t="s">
        <v>65</v>
      </c>
      <c r="Q31" s="154">
        <v>9600</v>
      </c>
      <c r="R31" s="162">
        <v>3.19</v>
      </c>
      <c r="S31" s="165">
        <v>23082</v>
      </c>
      <c r="U31" s="154">
        <v>7068.6319999999996</v>
      </c>
      <c r="V31" s="163">
        <v>9.9999999999999995E-7</v>
      </c>
      <c r="W31" s="163">
        <v>3.6046884741338797E-2</v>
      </c>
      <c r="X31" s="163">
        <v>7.4053851726432899E-3</v>
      </c>
    </row>
    <row r="32" spans="1:24" x14ac:dyDescent="0.2">
      <c r="A32" s="5">
        <v>233</v>
      </c>
      <c r="B32" s="5">
        <v>233</v>
      </c>
      <c r="C32" s="5" t="s">
        <v>384</v>
      </c>
      <c r="D32" s="5" t="s">
        <v>385</v>
      </c>
      <c r="E32" s="5" t="s">
        <v>379</v>
      </c>
      <c r="F32" s="5" t="s">
        <v>1825</v>
      </c>
      <c r="G32" s="210" t="s">
        <v>1824</v>
      </c>
      <c r="H32" s="5" t="s">
        <v>92</v>
      </c>
      <c r="I32" s="5" t="s">
        <v>276</v>
      </c>
      <c r="J32" s="5" t="s">
        <v>60</v>
      </c>
      <c r="K32" s="5" t="s">
        <v>61</v>
      </c>
      <c r="L32" s="3" t="s">
        <v>94</v>
      </c>
      <c r="M32" s="3" t="s">
        <v>382</v>
      </c>
      <c r="N32" s="5" t="s">
        <v>386</v>
      </c>
      <c r="O32" s="5" t="s">
        <v>96</v>
      </c>
      <c r="P32" s="5" t="s">
        <v>65</v>
      </c>
      <c r="Q32" s="154">
        <v>4572</v>
      </c>
      <c r="R32" s="162">
        <v>3.19</v>
      </c>
      <c r="S32" s="165">
        <v>21416</v>
      </c>
      <c r="U32" s="154">
        <v>3123.4549999999999</v>
      </c>
      <c r="V32" s="163">
        <v>3.9999999999999998E-6</v>
      </c>
      <c r="W32" s="163">
        <v>1.5928234764070199E-2</v>
      </c>
      <c r="X32" s="163">
        <v>3.2722581824929701E-3</v>
      </c>
    </row>
    <row r="33" spans="1:24" x14ac:dyDescent="0.2">
      <c r="A33" s="5">
        <v>233</v>
      </c>
      <c r="B33" s="5">
        <v>233</v>
      </c>
      <c r="C33" s="5" t="s">
        <v>387</v>
      </c>
      <c r="D33" s="5" t="s">
        <v>388</v>
      </c>
      <c r="E33" s="5" t="s">
        <v>379</v>
      </c>
      <c r="F33" s="5" t="s">
        <v>389</v>
      </c>
      <c r="G33" s="5" t="s">
        <v>390</v>
      </c>
      <c r="H33" s="5" t="s">
        <v>92</v>
      </c>
      <c r="I33" s="5" t="s">
        <v>276</v>
      </c>
      <c r="J33" s="5" t="s">
        <v>60</v>
      </c>
      <c r="K33" s="5" t="s">
        <v>391</v>
      </c>
      <c r="L33" s="3" t="s">
        <v>94</v>
      </c>
      <c r="M33" s="3" t="s">
        <v>392</v>
      </c>
      <c r="N33" s="5" t="s">
        <v>386</v>
      </c>
      <c r="O33" s="5" t="s">
        <v>96</v>
      </c>
      <c r="P33" s="5" t="s">
        <v>393</v>
      </c>
      <c r="Q33" s="154">
        <v>395</v>
      </c>
      <c r="R33" s="162">
        <v>3.7454999999999998</v>
      </c>
      <c r="S33" s="165">
        <v>92140</v>
      </c>
      <c r="U33" s="154">
        <v>1363.1859999999999</v>
      </c>
      <c r="V33" s="163">
        <v>9.9999999999999995E-7</v>
      </c>
      <c r="W33" s="163">
        <v>6.9516434664766199E-3</v>
      </c>
      <c r="X33" s="163">
        <v>1.4281288888499E-3</v>
      </c>
    </row>
    <row r="34" spans="1:24" x14ac:dyDescent="0.2">
      <c r="A34" s="5">
        <v>233</v>
      </c>
      <c r="B34" s="5">
        <v>233</v>
      </c>
      <c r="C34" s="5" t="s">
        <v>394</v>
      </c>
      <c r="D34" s="5" t="s">
        <v>395</v>
      </c>
      <c r="E34" s="5" t="s">
        <v>379</v>
      </c>
      <c r="F34" s="5" t="s">
        <v>396</v>
      </c>
      <c r="G34" s="5" t="s">
        <v>397</v>
      </c>
      <c r="H34" s="5" t="s">
        <v>92</v>
      </c>
      <c r="I34" s="5" t="s">
        <v>276</v>
      </c>
      <c r="J34" s="5" t="s">
        <v>60</v>
      </c>
      <c r="K34" s="5" t="s">
        <v>61</v>
      </c>
      <c r="L34" s="3" t="s">
        <v>94</v>
      </c>
      <c r="M34" s="3" t="s">
        <v>382</v>
      </c>
      <c r="N34" s="5" t="s">
        <v>386</v>
      </c>
      <c r="O34" s="5" t="s">
        <v>96</v>
      </c>
      <c r="P34" s="5" t="s">
        <v>65</v>
      </c>
      <c r="Q34" s="154">
        <v>4900</v>
      </c>
      <c r="R34" s="162">
        <v>3.19</v>
      </c>
      <c r="S34" s="165">
        <v>34610</v>
      </c>
      <c r="U34" s="154">
        <v>5409.8890000000001</v>
      </c>
      <c r="V34" s="163">
        <v>1.1E-5</v>
      </c>
      <c r="W34" s="163">
        <v>2.7588033678835701E-2</v>
      </c>
      <c r="X34" s="163">
        <v>5.6676191857805997E-3</v>
      </c>
    </row>
    <row r="35" spans="1:24" x14ac:dyDescent="0.2">
      <c r="A35" s="5">
        <v>233</v>
      </c>
      <c r="B35" s="5">
        <v>233</v>
      </c>
      <c r="C35" s="5" t="s">
        <v>398</v>
      </c>
      <c r="D35" s="5" t="s">
        <v>399</v>
      </c>
      <c r="E35" s="5" t="s">
        <v>89</v>
      </c>
      <c r="F35" s="5" t="s">
        <v>400</v>
      </c>
      <c r="G35" s="5" t="s">
        <v>401</v>
      </c>
      <c r="H35" s="5" t="s">
        <v>92</v>
      </c>
      <c r="I35" s="5" t="s">
        <v>276</v>
      </c>
      <c r="J35" s="5" t="s">
        <v>60</v>
      </c>
      <c r="K35" s="5" t="s">
        <v>402</v>
      </c>
      <c r="L35" s="3" t="s">
        <v>94</v>
      </c>
      <c r="M35" s="3" t="s">
        <v>382</v>
      </c>
      <c r="N35" s="5" t="s">
        <v>386</v>
      </c>
      <c r="O35" s="5" t="s">
        <v>96</v>
      </c>
      <c r="P35" s="5" t="s">
        <v>65</v>
      </c>
      <c r="Q35" s="154">
        <v>18478</v>
      </c>
      <c r="R35" s="162">
        <v>3.19</v>
      </c>
      <c r="S35" s="165">
        <v>10634.5</v>
      </c>
      <c r="U35" s="154">
        <v>6268.4870000000001</v>
      </c>
      <c r="V35" s="163">
        <v>6.8300000000000001E-4</v>
      </c>
      <c r="W35" s="163">
        <v>3.1966501354119298E-2</v>
      </c>
      <c r="X35" s="163">
        <v>6.5671210382737899E-3</v>
      </c>
    </row>
    <row r="36" spans="1:24" x14ac:dyDescent="0.2">
      <c r="A36" s="5">
        <v>233</v>
      </c>
      <c r="B36" s="5">
        <v>233</v>
      </c>
      <c r="C36" s="5" t="s">
        <v>403</v>
      </c>
      <c r="D36" s="5" t="s">
        <v>404</v>
      </c>
      <c r="E36" s="5" t="s">
        <v>379</v>
      </c>
      <c r="F36" s="5" t="s">
        <v>405</v>
      </c>
      <c r="G36" s="5" t="s">
        <v>406</v>
      </c>
      <c r="H36" s="5" t="s">
        <v>92</v>
      </c>
      <c r="I36" s="5" t="s">
        <v>276</v>
      </c>
      <c r="J36" s="5" t="s">
        <v>60</v>
      </c>
      <c r="K36" s="5" t="s">
        <v>30</v>
      </c>
      <c r="L36" s="3" t="s">
        <v>94</v>
      </c>
      <c r="M36" s="3" t="s">
        <v>407</v>
      </c>
      <c r="N36" s="5" t="s">
        <v>408</v>
      </c>
      <c r="O36" s="5" t="s">
        <v>96</v>
      </c>
      <c r="P36" s="5" t="s">
        <v>65</v>
      </c>
      <c r="Q36" s="154">
        <v>3200</v>
      </c>
      <c r="R36" s="162">
        <v>3.19</v>
      </c>
      <c r="S36" s="165">
        <v>18556</v>
      </c>
      <c r="U36" s="154">
        <v>1894.1959999999999</v>
      </c>
      <c r="V36" s="163">
        <v>2.0000000000000002E-5</v>
      </c>
      <c r="W36" s="163">
        <v>9.6595614657927296E-3</v>
      </c>
      <c r="X36" s="163">
        <v>1.9844370398805502E-3</v>
      </c>
    </row>
    <row r="37" spans="1:24" x14ac:dyDescent="0.2">
      <c r="A37" s="5">
        <v>233</v>
      </c>
      <c r="B37" s="5">
        <v>233</v>
      </c>
      <c r="C37" s="5" t="s">
        <v>409</v>
      </c>
      <c r="D37" s="5" t="s">
        <v>410</v>
      </c>
      <c r="E37" s="5" t="s">
        <v>379</v>
      </c>
      <c r="F37" s="5" t="s">
        <v>411</v>
      </c>
      <c r="G37" s="5" t="s">
        <v>412</v>
      </c>
      <c r="H37" s="5" t="s">
        <v>92</v>
      </c>
      <c r="I37" s="5" t="s">
        <v>276</v>
      </c>
      <c r="J37" s="5" t="s">
        <v>60</v>
      </c>
      <c r="K37" s="5" t="s">
        <v>61</v>
      </c>
      <c r="L37" s="3" t="s">
        <v>94</v>
      </c>
      <c r="M37" s="3" t="s">
        <v>382</v>
      </c>
      <c r="N37" s="5" t="s">
        <v>413</v>
      </c>
      <c r="O37" s="5" t="s">
        <v>96</v>
      </c>
      <c r="P37" s="5" t="s">
        <v>65</v>
      </c>
      <c r="Q37" s="154">
        <v>1020</v>
      </c>
      <c r="R37" s="162">
        <v>3.19</v>
      </c>
      <c r="S37" s="165">
        <v>86234</v>
      </c>
      <c r="U37" s="154">
        <v>2805.8820000000001</v>
      </c>
      <c r="V37" s="163">
        <v>1.9999999999999999E-6</v>
      </c>
      <c r="W37" s="163">
        <v>1.43087524909395E-2</v>
      </c>
      <c r="X37" s="163">
        <v>2.9395556452596399E-3</v>
      </c>
    </row>
    <row r="38" spans="1:24" x14ac:dyDescent="0.2">
      <c r="A38" s="5">
        <v>233</v>
      </c>
      <c r="B38" s="5">
        <v>233</v>
      </c>
      <c r="C38" s="5" t="s">
        <v>414</v>
      </c>
      <c r="D38" s="5" t="s">
        <v>415</v>
      </c>
      <c r="E38" s="5" t="s">
        <v>379</v>
      </c>
      <c r="F38" s="5" t="s">
        <v>416</v>
      </c>
      <c r="G38" s="5" t="s">
        <v>417</v>
      </c>
      <c r="H38" s="5" t="s">
        <v>92</v>
      </c>
      <c r="I38" s="5" t="s">
        <v>276</v>
      </c>
      <c r="J38" s="5" t="s">
        <v>60</v>
      </c>
      <c r="K38" s="5" t="s">
        <v>61</v>
      </c>
      <c r="L38" s="3" t="s">
        <v>94</v>
      </c>
      <c r="M38" s="3" t="s">
        <v>382</v>
      </c>
      <c r="N38" s="5" t="s">
        <v>418</v>
      </c>
      <c r="O38" s="5" t="s">
        <v>96</v>
      </c>
      <c r="P38" s="5" t="s">
        <v>65</v>
      </c>
      <c r="Q38" s="154">
        <v>800</v>
      </c>
      <c r="R38" s="162">
        <v>3.19</v>
      </c>
      <c r="S38" s="165">
        <v>66009</v>
      </c>
      <c r="U38" s="154">
        <v>1684.55</v>
      </c>
      <c r="V38" s="163">
        <v>0</v>
      </c>
      <c r="W38" s="163">
        <v>8.5904558201594095E-3</v>
      </c>
      <c r="X38" s="163">
        <v>1.76480255127015E-3</v>
      </c>
    </row>
    <row r="39" spans="1:24" x14ac:dyDescent="0.2">
      <c r="A39" s="5">
        <v>233</v>
      </c>
      <c r="B39" s="5">
        <v>233</v>
      </c>
      <c r="C39" s="5" t="s">
        <v>419</v>
      </c>
      <c r="D39" s="5" t="s">
        <v>420</v>
      </c>
      <c r="E39" s="5" t="s">
        <v>89</v>
      </c>
      <c r="F39" s="5" t="s">
        <v>421</v>
      </c>
      <c r="G39" s="5" t="s">
        <v>422</v>
      </c>
      <c r="H39" s="5" t="s">
        <v>92</v>
      </c>
      <c r="I39" s="5" t="s">
        <v>276</v>
      </c>
      <c r="J39" s="5" t="s">
        <v>60</v>
      </c>
      <c r="K39" s="5" t="s">
        <v>30</v>
      </c>
      <c r="L39" s="3" t="s">
        <v>94</v>
      </c>
      <c r="M39" s="3" t="s">
        <v>423</v>
      </c>
      <c r="N39" s="5" t="s">
        <v>424</v>
      </c>
      <c r="O39" s="5" t="s">
        <v>96</v>
      </c>
      <c r="P39" s="5" t="s">
        <v>65</v>
      </c>
      <c r="Q39" s="154">
        <v>1562</v>
      </c>
      <c r="R39" s="162">
        <v>3.19</v>
      </c>
      <c r="S39" s="165">
        <v>1976</v>
      </c>
      <c r="U39" s="154">
        <v>98.46</v>
      </c>
      <c r="V39" s="163">
        <v>4.0000000000000003E-5</v>
      </c>
      <c r="W39" s="163">
        <v>5.0210094408322903E-4</v>
      </c>
      <c r="X39" s="163">
        <v>1.03150408507286E-4</v>
      </c>
    </row>
    <row r="40" spans="1:24" x14ac:dyDescent="0.2">
      <c r="A40" s="5">
        <v>233</v>
      </c>
      <c r="B40" s="5">
        <v>233</v>
      </c>
      <c r="C40" s="5" t="s">
        <v>425</v>
      </c>
      <c r="D40" s="5" t="s">
        <v>426</v>
      </c>
      <c r="E40" s="5" t="s">
        <v>379</v>
      </c>
      <c r="F40" s="5" t="s">
        <v>427</v>
      </c>
      <c r="G40" s="5" t="s">
        <v>428</v>
      </c>
      <c r="H40" s="5" t="s">
        <v>92</v>
      </c>
      <c r="I40" s="5" t="s">
        <v>276</v>
      </c>
      <c r="J40" s="5" t="s">
        <v>60</v>
      </c>
      <c r="K40" s="5" t="s">
        <v>429</v>
      </c>
      <c r="L40" s="3" t="s">
        <v>94</v>
      </c>
      <c r="M40" s="3" t="s">
        <v>430</v>
      </c>
      <c r="N40" s="5" t="s">
        <v>383</v>
      </c>
      <c r="O40" s="5" t="s">
        <v>96</v>
      </c>
      <c r="P40" s="5" t="s">
        <v>431</v>
      </c>
      <c r="Q40" s="154">
        <v>42</v>
      </c>
      <c r="R40" s="162">
        <v>0.4093</v>
      </c>
      <c r="S40" s="165">
        <v>11160</v>
      </c>
      <c r="U40" s="154">
        <v>1.9179999999999999</v>
      </c>
      <c r="V40" s="163">
        <v>0</v>
      </c>
      <c r="W40" s="163">
        <v>9.7833505415754905E-6</v>
      </c>
      <c r="X40" s="163">
        <v>2.0098679694300799E-6</v>
      </c>
    </row>
    <row r="41" spans="1:24" x14ac:dyDescent="0.2">
      <c r="A41" s="5">
        <v>233</v>
      </c>
      <c r="B41" s="5">
        <v>233</v>
      </c>
      <c r="C41" s="5" t="s">
        <v>432</v>
      </c>
      <c r="D41" s="5" t="s">
        <v>433</v>
      </c>
      <c r="E41" s="5" t="s">
        <v>379</v>
      </c>
      <c r="F41" s="5" t="s">
        <v>434</v>
      </c>
      <c r="G41" s="5" t="s">
        <v>435</v>
      </c>
      <c r="H41" s="5" t="s">
        <v>92</v>
      </c>
      <c r="I41" s="5" t="s">
        <v>276</v>
      </c>
      <c r="J41" s="5" t="s">
        <v>60</v>
      </c>
      <c r="K41" s="5" t="s">
        <v>61</v>
      </c>
      <c r="L41" s="3" t="s">
        <v>94</v>
      </c>
      <c r="M41" s="3" t="s">
        <v>423</v>
      </c>
      <c r="N41" s="5" t="s">
        <v>436</v>
      </c>
      <c r="O41" s="5" t="s">
        <v>96</v>
      </c>
      <c r="P41" s="5" t="s">
        <v>65</v>
      </c>
      <c r="Q41" s="154">
        <v>1607</v>
      </c>
      <c r="R41" s="162">
        <v>3.19</v>
      </c>
      <c r="S41" s="165">
        <v>57088</v>
      </c>
      <c r="U41" s="154">
        <v>2926.5189999999998</v>
      </c>
      <c r="V41" s="163">
        <v>9.9999999999999995E-7</v>
      </c>
      <c r="W41" s="163">
        <v>1.4923949585871701E-2</v>
      </c>
      <c r="X41" s="163">
        <v>3.06594025457484E-3</v>
      </c>
    </row>
    <row r="42" spans="1:24" x14ac:dyDescent="0.2">
      <c r="A42" s="5">
        <v>233</v>
      </c>
      <c r="B42" s="5">
        <v>233</v>
      </c>
      <c r="C42" s="5" t="s">
        <v>437</v>
      </c>
      <c r="D42" s="5" t="s">
        <v>438</v>
      </c>
      <c r="E42" s="5" t="s">
        <v>379</v>
      </c>
      <c r="F42" s="5" t="s">
        <v>439</v>
      </c>
      <c r="G42" s="5" t="s">
        <v>440</v>
      </c>
      <c r="H42" s="5" t="s">
        <v>92</v>
      </c>
      <c r="I42" s="5" t="s">
        <v>276</v>
      </c>
      <c r="J42" s="5" t="s">
        <v>60</v>
      </c>
      <c r="K42" s="5" t="s">
        <v>61</v>
      </c>
      <c r="L42" s="3" t="s">
        <v>94</v>
      </c>
      <c r="M42" s="3" t="s">
        <v>382</v>
      </c>
      <c r="N42" s="5" t="s">
        <v>418</v>
      </c>
      <c r="O42" s="5" t="s">
        <v>96</v>
      </c>
      <c r="P42" s="5" t="s">
        <v>65</v>
      </c>
      <c r="Q42" s="154">
        <v>3091</v>
      </c>
      <c r="R42" s="162">
        <v>3.19</v>
      </c>
      <c r="S42" s="165">
        <v>48362</v>
      </c>
      <c r="U42" s="154">
        <v>4768.6329999999998</v>
      </c>
      <c r="V42" s="163">
        <v>0</v>
      </c>
      <c r="W42" s="163">
        <v>2.4317914431019501E-2</v>
      </c>
      <c r="X42" s="163">
        <v>4.9958137644710004E-3</v>
      </c>
    </row>
    <row r="43" spans="1:24" x14ac:dyDescent="0.2">
      <c r="A43" s="5">
        <v>233</v>
      </c>
      <c r="B43" s="5">
        <v>233</v>
      </c>
      <c r="C43" s="5" t="s">
        <v>441</v>
      </c>
      <c r="D43" s="5" t="s">
        <v>442</v>
      </c>
      <c r="E43" s="5" t="s">
        <v>379</v>
      </c>
      <c r="F43" s="5" t="s">
        <v>443</v>
      </c>
      <c r="G43" s="5" t="s">
        <v>444</v>
      </c>
      <c r="H43" s="5" t="s">
        <v>92</v>
      </c>
      <c r="I43" s="5" t="s">
        <v>276</v>
      </c>
      <c r="J43" s="5" t="s">
        <v>60</v>
      </c>
      <c r="K43" s="5" t="s">
        <v>61</v>
      </c>
      <c r="L43" s="3" t="s">
        <v>94</v>
      </c>
      <c r="M43" s="3" t="s">
        <v>382</v>
      </c>
      <c r="N43" s="5" t="s">
        <v>386</v>
      </c>
      <c r="O43" s="5" t="s">
        <v>96</v>
      </c>
      <c r="P43" s="5" t="s">
        <v>65</v>
      </c>
      <c r="Q43" s="154">
        <v>11310</v>
      </c>
      <c r="R43" s="162">
        <v>3.19</v>
      </c>
      <c r="S43" s="165">
        <v>18650</v>
      </c>
      <c r="U43" s="154">
        <v>6728.7150000000001</v>
      </c>
      <c r="V43" s="163">
        <v>0</v>
      </c>
      <c r="W43" s="163">
        <v>3.4313459752267801E-2</v>
      </c>
      <c r="X43" s="163">
        <v>7.0492745183088597E-3</v>
      </c>
    </row>
    <row r="44" spans="1:24" x14ac:dyDescent="0.2">
      <c r="A44" s="5">
        <v>233</v>
      </c>
      <c r="B44" s="5">
        <v>233</v>
      </c>
      <c r="C44" s="5" t="s">
        <v>445</v>
      </c>
      <c r="D44" s="5" t="s">
        <v>446</v>
      </c>
      <c r="E44" s="5" t="s">
        <v>89</v>
      </c>
      <c r="F44" s="5" t="s">
        <v>447</v>
      </c>
      <c r="G44" s="5" t="s">
        <v>448</v>
      </c>
      <c r="H44" s="5" t="s">
        <v>92</v>
      </c>
      <c r="I44" s="5" t="s">
        <v>276</v>
      </c>
      <c r="J44" s="5" t="s">
        <v>60</v>
      </c>
      <c r="K44" s="5" t="s">
        <v>402</v>
      </c>
      <c r="L44" s="3" t="s">
        <v>94</v>
      </c>
      <c r="M44" s="3" t="s">
        <v>382</v>
      </c>
      <c r="N44" s="5" t="s">
        <v>386</v>
      </c>
      <c r="O44" s="5" t="s">
        <v>96</v>
      </c>
      <c r="P44" s="5" t="s">
        <v>65</v>
      </c>
      <c r="Q44" s="154">
        <v>4871</v>
      </c>
      <c r="R44" s="162">
        <v>3.19</v>
      </c>
      <c r="S44" s="165">
        <v>32839</v>
      </c>
      <c r="U44" s="154">
        <v>5102.6850000000004</v>
      </c>
      <c r="V44" s="163">
        <v>1.73E-4</v>
      </c>
      <c r="W44" s="163">
        <v>2.60214277246585E-2</v>
      </c>
      <c r="X44" s="163">
        <v>5.3457794321462304E-3</v>
      </c>
    </row>
    <row r="45" spans="1:24" x14ac:dyDescent="0.2">
      <c r="A45" s="5">
        <v>233</v>
      </c>
      <c r="B45" s="5">
        <v>233</v>
      </c>
      <c r="C45" s="5" t="s">
        <v>449</v>
      </c>
      <c r="D45" s="5" t="s">
        <v>450</v>
      </c>
      <c r="E45" s="5" t="s">
        <v>379</v>
      </c>
      <c r="F45" s="5" t="s">
        <v>451</v>
      </c>
      <c r="G45" s="5" t="s">
        <v>452</v>
      </c>
      <c r="H45" s="5" t="s">
        <v>92</v>
      </c>
      <c r="I45" s="5" t="s">
        <v>276</v>
      </c>
      <c r="J45" s="5" t="s">
        <v>60</v>
      </c>
      <c r="K45" s="5" t="s">
        <v>61</v>
      </c>
      <c r="L45" s="3" t="s">
        <v>94</v>
      </c>
      <c r="M45" s="3" t="s">
        <v>423</v>
      </c>
      <c r="N45" s="5" t="s">
        <v>453</v>
      </c>
      <c r="O45" s="5" t="s">
        <v>96</v>
      </c>
      <c r="P45" s="5" t="s">
        <v>65</v>
      </c>
      <c r="Q45" s="154">
        <v>18440</v>
      </c>
      <c r="R45" s="162">
        <v>3.19</v>
      </c>
      <c r="S45" s="165">
        <v>11047</v>
      </c>
      <c r="U45" s="154">
        <v>6498.2430000000004</v>
      </c>
      <c r="V45" s="163">
        <v>3.0400000000000002E-4</v>
      </c>
      <c r="W45" s="163">
        <v>3.3138156062267103E-2</v>
      </c>
      <c r="X45" s="163">
        <v>6.8078229592701701E-3</v>
      </c>
    </row>
    <row r="46" spans="1:24" x14ac:dyDescent="0.2">
      <c r="A46" s="5">
        <v>233</v>
      </c>
      <c r="B46" s="5">
        <v>233</v>
      </c>
      <c r="C46" s="5" t="s">
        <v>454</v>
      </c>
      <c r="D46" s="5" t="s">
        <v>455</v>
      </c>
      <c r="E46" s="5" t="s">
        <v>379</v>
      </c>
      <c r="F46" s="5" t="s">
        <v>456</v>
      </c>
      <c r="G46" s="5" t="s">
        <v>457</v>
      </c>
      <c r="H46" s="5" t="s">
        <v>92</v>
      </c>
      <c r="I46" s="5" t="s">
        <v>276</v>
      </c>
      <c r="J46" s="5" t="s">
        <v>60</v>
      </c>
      <c r="K46" s="5" t="s">
        <v>61</v>
      </c>
      <c r="L46" s="3" t="s">
        <v>94</v>
      </c>
      <c r="M46" s="3" t="s">
        <v>458</v>
      </c>
      <c r="N46" s="5" t="s">
        <v>418</v>
      </c>
      <c r="O46" s="5" t="s">
        <v>96</v>
      </c>
      <c r="P46" s="5" t="s">
        <v>65</v>
      </c>
      <c r="Q46" s="154">
        <v>2950</v>
      </c>
      <c r="R46" s="162">
        <v>3.19</v>
      </c>
      <c r="S46" s="165">
        <v>18420</v>
      </c>
      <c r="U46" s="154">
        <v>1733.414</v>
      </c>
      <c r="V46" s="163">
        <v>3.9999999999999998E-6</v>
      </c>
      <c r="W46" s="163">
        <v>8.8396426777341396E-3</v>
      </c>
      <c r="X46" s="163">
        <v>1.8159948990567299E-3</v>
      </c>
    </row>
    <row r="47" spans="1:24" x14ac:dyDescent="0.2">
      <c r="A47" s="5">
        <v>233</v>
      </c>
      <c r="B47" s="5">
        <v>233</v>
      </c>
      <c r="C47" s="5" t="s">
        <v>459</v>
      </c>
      <c r="D47" s="5" t="s">
        <v>460</v>
      </c>
      <c r="E47" s="5" t="s">
        <v>379</v>
      </c>
      <c r="F47" s="5" t="s">
        <v>461</v>
      </c>
      <c r="G47" s="5" t="s">
        <v>462</v>
      </c>
      <c r="H47" s="5" t="s">
        <v>92</v>
      </c>
      <c r="I47" s="5" t="s">
        <v>276</v>
      </c>
      <c r="J47" s="5" t="s">
        <v>60</v>
      </c>
      <c r="K47" s="5" t="s">
        <v>463</v>
      </c>
      <c r="L47" s="3" t="s">
        <v>94</v>
      </c>
      <c r="M47" s="3" t="s">
        <v>464</v>
      </c>
      <c r="N47" s="5" t="s">
        <v>465</v>
      </c>
      <c r="O47" s="5" t="s">
        <v>96</v>
      </c>
      <c r="P47" s="5" t="s">
        <v>393</v>
      </c>
      <c r="Q47" s="154">
        <v>340</v>
      </c>
      <c r="R47" s="162">
        <v>3.7454999999999998</v>
      </c>
      <c r="S47" s="165">
        <v>156100</v>
      </c>
      <c r="U47" s="154">
        <v>1987.8869999999999</v>
      </c>
      <c r="V47" s="163">
        <v>6.9999999999999999E-6</v>
      </c>
      <c r="W47" s="163">
        <v>1.01373398581625E-2</v>
      </c>
      <c r="X47" s="163">
        <v>2.0825906819512299E-3</v>
      </c>
    </row>
    <row r="48" spans="1:24" x14ac:dyDescent="0.2">
      <c r="A48" s="5">
        <v>233</v>
      </c>
      <c r="B48" s="5">
        <v>233</v>
      </c>
      <c r="C48" s="5" t="s">
        <v>466</v>
      </c>
      <c r="D48" s="5" t="s">
        <v>467</v>
      </c>
      <c r="E48" s="5" t="s">
        <v>379</v>
      </c>
      <c r="F48" s="5" t="s">
        <v>468</v>
      </c>
      <c r="G48" s="5" t="s">
        <v>469</v>
      </c>
      <c r="H48" s="5" t="s">
        <v>92</v>
      </c>
      <c r="I48" s="5" t="s">
        <v>276</v>
      </c>
      <c r="J48" s="5" t="s">
        <v>60</v>
      </c>
      <c r="K48" s="5" t="s">
        <v>402</v>
      </c>
      <c r="L48" s="3" t="s">
        <v>94</v>
      </c>
      <c r="M48" s="3" t="s">
        <v>423</v>
      </c>
      <c r="N48" s="5" t="s">
        <v>386</v>
      </c>
      <c r="O48" s="5" t="s">
        <v>96</v>
      </c>
      <c r="P48" s="5" t="s">
        <v>65</v>
      </c>
      <c r="Q48" s="154">
        <v>2450</v>
      </c>
      <c r="R48" s="162">
        <v>3.19</v>
      </c>
      <c r="S48" s="165">
        <v>30389</v>
      </c>
      <c r="U48" s="154">
        <v>2375.0520000000001</v>
      </c>
      <c r="V48" s="163">
        <v>0</v>
      </c>
      <c r="W48" s="163">
        <v>1.21117127342696E-2</v>
      </c>
      <c r="X48" s="163">
        <v>2.4882010898105598E-3</v>
      </c>
    </row>
    <row r="49" spans="1:24" x14ac:dyDescent="0.2">
      <c r="A49" s="5">
        <v>233</v>
      </c>
      <c r="B49" s="5">
        <v>233</v>
      </c>
      <c r="C49" s="5" t="s">
        <v>470</v>
      </c>
      <c r="D49" s="5" t="s">
        <v>471</v>
      </c>
      <c r="E49" s="5" t="s">
        <v>379</v>
      </c>
      <c r="F49" s="5" t="s">
        <v>472</v>
      </c>
      <c r="G49" s="5" t="s">
        <v>473</v>
      </c>
      <c r="H49" s="5" t="s">
        <v>92</v>
      </c>
      <c r="I49" s="5" t="s">
        <v>276</v>
      </c>
      <c r="J49" s="5" t="s">
        <v>60</v>
      </c>
      <c r="K49" s="5" t="s">
        <v>61</v>
      </c>
      <c r="L49" s="3" t="s">
        <v>94</v>
      </c>
      <c r="M49" s="3" t="s">
        <v>382</v>
      </c>
      <c r="N49" s="5" t="s">
        <v>474</v>
      </c>
      <c r="O49" s="5" t="s">
        <v>96</v>
      </c>
      <c r="P49" s="5" t="s">
        <v>65</v>
      </c>
      <c r="Q49" s="154">
        <v>1000</v>
      </c>
      <c r="R49" s="162">
        <v>3.19</v>
      </c>
      <c r="S49" s="165">
        <v>44972</v>
      </c>
      <c r="U49" s="154">
        <v>1434.607</v>
      </c>
      <c r="V49" s="163">
        <v>0</v>
      </c>
      <c r="W49" s="163">
        <v>7.3158580486033997E-3</v>
      </c>
      <c r="X49" s="163">
        <v>1.50295225529324E-3</v>
      </c>
    </row>
    <row r="50" spans="1:24" x14ac:dyDescent="0.2">
      <c r="A50" s="5">
        <v>233</v>
      </c>
      <c r="B50" s="5">
        <v>233</v>
      </c>
      <c r="C50" s="5" t="s">
        <v>475</v>
      </c>
      <c r="D50" s="5" t="s">
        <v>476</v>
      </c>
      <c r="E50" s="5" t="s">
        <v>379</v>
      </c>
      <c r="F50" s="5" t="s">
        <v>477</v>
      </c>
      <c r="G50" s="5" t="s">
        <v>478</v>
      </c>
      <c r="H50" s="5" t="s">
        <v>92</v>
      </c>
      <c r="I50" s="5" t="s">
        <v>276</v>
      </c>
      <c r="J50" s="5" t="s">
        <v>60</v>
      </c>
      <c r="K50" s="5" t="s">
        <v>61</v>
      </c>
      <c r="L50" s="3" t="s">
        <v>94</v>
      </c>
      <c r="M50" s="3" t="s">
        <v>423</v>
      </c>
      <c r="N50" s="5" t="s">
        <v>436</v>
      </c>
      <c r="O50" s="5" t="s">
        <v>96</v>
      </c>
      <c r="P50" s="5" t="s">
        <v>65</v>
      </c>
      <c r="Q50" s="154">
        <v>4342</v>
      </c>
      <c r="R50" s="162">
        <v>3.19</v>
      </c>
      <c r="S50" s="165">
        <v>35071</v>
      </c>
      <c r="U50" s="154">
        <v>4857.6769999999997</v>
      </c>
      <c r="V50" s="163">
        <v>3.0000000000000001E-6</v>
      </c>
      <c r="W50" s="163">
        <v>2.4771998020928498E-2</v>
      </c>
      <c r="X50" s="163">
        <v>5.0890996033994404E-3</v>
      </c>
    </row>
    <row r="51" spans="1:24" x14ac:dyDescent="0.2">
      <c r="A51" s="5">
        <v>233</v>
      </c>
      <c r="B51" s="5">
        <v>233</v>
      </c>
      <c r="C51" s="5" t="s">
        <v>479</v>
      </c>
      <c r="D51" s="5" t="s">
        <v>480</v>
      </c>
      <c r="E51" s="5" t="s">
        <v>379</v>
      </c>
      <c r="F51" s="5" t="s">
        <v>481</v>
      </c>
      <c r="G51" s="5" t="s">
        <v>482</v>
      </c>
      <c r="H51" s="5" t="s">
        <v>92</v>
      </c>
      <c r="I51" s="5" t="s">
        <v>276</v>
      </c>
      <c r="J51" s="5" t="s">
        <v>60</v>
      </c>
      <c r="K51" s="5" t="s">
        <v>61</v>
      </c>
      <c r="L51" s="3" t="s">
        <v>94</v>
      </c>
      <c r="M51" s="3" t="s">
        <v>423</v>
      </c>
      <c r="N51" s="5" t="s">
        <v>413</v>
      </c>
      <c r="O51" s="5" t="s">
        <v>96</v>
      </c>
      <c r="P51" s="5" t="s">
        <v>65</v>
      </c>
      <c r="Q51" s="154">
        <v>14569</v>
      </c>
      <c r="R51" s="162">
        <v>3.19</v>
      </c>
      <c r="S51" s="165">
        <v>11141</v>
      </c>
      <c r="U51" s="154">
        <v>5177.7920000000004</v>
      </c>
      <c r="V51" s="163">
        <v>1.9999999999999999E-6</v>
      </c>
      <c r="W51" s="163">
        <v>2.6404441491916199E-2</v>
      </c>
      <c r="X51" s="163">
        <v>5.4244648578999797E-3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 x14ac:dyDescent="0.2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483</v>
      </c>
      <c r="N1" s="21" t="s">
        <v>80</v>
      </c>
      <c r="O1" s="21" t="s">
        <v>11</v>
      </c>
      <c r="P1" s="21" t="s">
        <v>17</v>
      </c>
      <c r="Q1" s="158" t="s">
        <v>18</v>
      </c>
      <c r="R1" s="164" t="s">
        <v>19</v>
      </c>
      <c r="S1" s="21" t="s">
        <v>16</v>
      </c>
      <c r="T1" s="21" t="s">
        <v>20</v>
      </c>
      <c r="U1" s="160" t="s">
        <v>23</v>
      </c>
      <c r="V1" s="160" t="s">
        <v>24</v>
      </c>
      <c r="W1" s="160" t="s">
        <v>25</v>
      </c>
    </row>
    <row r="2" spans="1:23" x14ac:dyDescent="0.2">
      <c r="A2" s="22">
        <v>233</v>
      </c>
      <c r="B2" s="22">
        <v>233</v>
      </c>
      <c r="C2" s="22" t="s">
        <v>484</v>
      </c>
      <c r="D2" s="22" t="s">
        <v>485</v>
      </c>
      <c r="E2" s="20" t="s">
        <v>89</v>
      </c>
      <c r="F2" s="22" t="s">
        <v>486</v>
      </c>
      <c r="G2" s="22" t="s">
        <v>487</v>
      </c>
      <c r="H2" s="20" t="s">
        <v>92</v>
      </c>
      <c r="I2" s="22" t="s">
        <v>488</v>
      </c>
      <c r="J2" s="20" t="s">
        <v>30</v>
      </c>
      <c r="K2" s="20" t="s">
        <v>30</v>
      </c>
      <c r="L2" s="20" t="s">
        <v>31</v>
      </c>
      <c r="M2" s="22" t="s">
        <v>489</v>
      </c>
      <c r="N2" s="22" t="s">
        <v>96</v>
      </c>
      <c r="O2" s="20" t="s">
        <v>34</v>
      </c>
      <c r="P2" s="156">
        <v>204000</v>
      </c>
      <c r="Q2" s="166">
        <v>1</v>
      </c>
      <c r="R2" s="168">
        <v>5643</v>
      </c>
      <c r="S2" s="22"/>
      <c r="T2" s="155">
        <v>11511.72</v>
      </c>
      <c r="U2" s="167">
        <v>2.147E-3</v>
      </c>
      <c r="V2" s="167">
        <v>4.81344901300058E-2</v>
      </c>
      <c r="W2" s="167">
        <v>1.20601446586649E-2</v>
      </c>
    </row>
    <row r="3" spans="1:23" x14ac:dyDescent="0.2">
      <c r="A3" s="22">
        <v>233</v>
      </c>
      <c r="B3" s="22">
        <v>233</v>
      </c>
      <c r="C3" s="22" t="s">
        <v>484</v>
      </c>
      <c r="D3" s="22" t="s">
        <v>485</v>
      </c>
      <c r="E3" s="20" t="s">
        <v>89</v>
      </c>
      <c r="F3" s="22" t="s">
        <v>490</v>
      </c>
      <c r="G3" s="22" t="s">
        <v>491</v>
      </c>
      <c r="H3" s="20" t="s">
        <v>92</v>
      </c>
      <c r="I3" s="22" t="s">
        <v>488</v>
      </c>
      <c r="J3" s="20" t="s">
        <v>30</v>
      </c>
      <c r="K3" s="20" t="s">
        <v>30</v>
      </c>
      <c r="L3" s="20" t="s">
        <v>31</v>
      </c>
      <c r="M3" s="22" t="s">
        <v>492</v>
      </c>
      <c r="N3" s="22" t="s">
        <v>96</v>
      </c>
      <c r="O3" s="20" t="s">
        <v>34</v>
      </c>
      <c r="P3" s="156">
        <v>219998</v>
      </c>
      <c r="Q3" s="166">
        <v>1</v>
      </c>
      <c r="R3" s="168">
        <v>5318</v>
      </c>
      <c r="S3" s="22"/>
      <c r="T3" s="155">
        <v>11699.494000000001</v>
      </c>
      <c r="U3" s="167">
        <v>3.6670000000000001E-3</v>
      </c>
      <c r="V3" s="167">
        <v>4.8919636782396199E-2</v>
      </c>
      <c r="W3" s="167">
        <v>1.22568639379284E-2</v>
      </c>
    </row>
    <row r="4" spans="1:23" x14ac:dyDescent="0.2">
      <c r="A4" s="22">
        <v>233</v>
      </c>
      <c r="B4" s="22">
        <v>233</v>
      </c>
      <c r="C4" s="22" t="s">
        <v>493</v>
      </c>
      <c r="D4" s="22" t="s">
        <v>494</v>
      </c>
      <c r="E4" s="20" t="s">
        <v>89</v>
      </c>
      <c r="F4" s="22" t="s">
        <v>495</v>
      </c>
      <c r="G4" s="22" t="s">
        <v>496</v>
      </c>
      <c r="H4" s="20" t="s">
        <v>92</v>
      </c>
      <c r="I4" s="22" t="s">
        <v>488</v>
      </c>
      <c r="J4" s="20" t="s">
        <v>30</v>
      </c>
      <c r="K4" s="20" t="s">
        <v>30</v>
      </c>
      <c r="L4" s="20" t="s">
        <v>31</v>
      </c>
      <c r="M4" s="22" t="s">
        <v>497</v>
      </c>
      <c r="N4" s="22" t="s">
        <v>96</v>
      </c>
      <c r="O4" s="20" t="s">
        <v>34</v>
      </c>
      <c r="P4" s="156">
        <v>129122</v>
      </c>
      <c r="Q4" s="166">
        <v>1</v>
      </c>
      <c r="R4" s="168">
        <v>7266</v>
      </c>
      <c r="S4" s="22"/>
      <c r="T4" s="155">
        <v>9382.0049999999992</v>
      </c>
      <c r="U4" s="167">
        <v>1.7340000000000001E-3</v>
      </c>
      <c r="V4" s="167">
        <v>3.9229411761892201E-2</v>
      </c>
      <c r="W4" s="167">
        <v>9.8289683643667108E-3</v>
      </c>
    </row>
    <row r="5" spans="1:23" x14ac:dyDescent="0.2">
      <c r="A5" s="22">
        <v>233</v>
      </c>
      <c r="B5" s="22">
        <v>233</v>
      </c>
      <c r="C5" s="22" t="s">
        <v>493</v>
      </c>
      <c r="D5" s="22" t="s">
        <v>494</v>
      </c>
      <c r="E5" s="20" t="s">
        <v>89</v>
      </c>
      <c r="F5" s="22" t="s">
        <v>498</v>
      </c>
      <c r="G5" s="22" t="s">
        <v>499</v>
      </c>
      <c r="H5" s="20" t="s">
        <v>92</v>
      </c>
      <c r="I5" s="22" t="s">
        <v>500</v>
      </c>
      <c r="J5" s="20" t="s">
        <v>30</v>
      </c>
      <c r="K5" s="20" t="s">
        <v>30</v>
      </c>
      <c r="L5" s="20" t="s">
        <v>31</v>
      </c>
      <c r="M5" s="22" t="s">
        <v>501</v>
      </c>
      <c r="N5" s="22" t="s">
        <v>96</v>
      </c>
      <c r="O5" s="20" t="s">
        <v>34</v>
      </c>
      <c r="P5" s="156">
        <v>5660000</v>
      </c>
      <c r="Q5" s="166">
        <v>1</v>
      </c>
      <c r="R5" s="168">
        <v>428.69</v>
      </c>
      <c r="S5" s="22"/>
      <c r="T5" s="155">
        <v>24263.853999999999</v>
      </c>
      <c r="U5" s="167">
        <v>2.0736999999999998E-2</v>
      </c>
      <c r="V5" s="167">
        <v>0.10145558099735801</v>
      </c>
      <c r="W5" s="167">
        <v>2.5419797321054E-2</v>
      </c>
    </row>
    <row r="6" spans="1:23" x14ac:dyDescent="0.2">
      <c r="A6" s="22">
        <v>233</v>
      </c>
      <c r="B6" s="22">
        <v>233</v>
      </c>
      <c r="C6" s="22" t="s">
        <v>502</v>
      </c>
      <c r="D6" s="22" t="s">
        <v>503</v>
      </c>
      <c r="E6" s="20" t="s">
        <v>89</v>
      </c>
      <c r="F6" s="22" t="s">
        <v>504</v>
      </c>
      <c r="G6" s="22" t="s">
        <v>505</v>
      </c>
      <c r="H6" s="20" t="s">
        <v>92</v>
      </c>
      <c r="I6" s="22" t="s">
        <v>488</v>
      </c>
      <c r="J6" s="20" t="s">
        <v>30</v>
      </c>
      <c r="K6" s="20" t="s">
        <v>30</v>
      </c>
      <c r="L6" s="20" t="s">
        <v>31</v>
      </c>
      <c r="M6" s="22" t="s">
        <v>492</v>
      </c>
      <c r="N6" s="22" t="s">
        <v>96</v>
      </c>
      <c r="O6" s="20" t="s">
        <v>34</v>
      </c>
      <c r="P6" s="156">
        <v>22990</v>
      </c>
      <c r="Q6" s="166">
        <v>1</v>
      </c>
      <c r="R6" s="168">
        <v>33940</v>
      </c>
      <c r="S6" s="22"/>
      <c r="T6" s="155">
        <v>7802.8059999999996</v>
      </c>
      <c r="U6" s="167">
        <v>7.6099999999999996E-4</v>
      </c>
      <c r="V6" s="167">
        <v>3.2626235557618698E-2</v>
      </c>
      <c r="W6" s="167">
        <v>8.1745359601778107E-3</v>
      </c>
    </row>
    <row r="7" spans="1:23" x14ac:dyDescent="0.2">
      <c r="A7" s="22">
        <v>233</v>
      </c>
      <c r="B7" s="22">
        <v>233</v>
      </c>
      <c r="C7" s="22" t="s">
        <v>506</v>
      </c>
      <c r="D7" s="22" t="s">
        <v>507</v>
      </c>
      <c r="E7" s="20" t="s">
        <v>379</v>
      </c>
      <c r="F7" s="22" t="s">
        <v>508</v>
      </c>
      <c r="G7" s="22" t="s">
        <v>509</v>
      </c>
      <c r="H7" s="20" t="s">
        <v>92</v>
      </c>
      <c r="I7" s="22" t="s">
        <v>510</v>
      </c>
      <c r="J7" s="20" t="s">
        <v>60</v>
      </c>
      <c r="K7" s="20" t="s">
        <v>61</v>
      </c>
      <c r="L7" s="20" t="s">
        <v>423</v>
      </c>
      <c r="M7" s="22" t="s">
        <v>511</v>
      </c>
      <c r="N7" s="22" t="s">
        <v>96</v>
      </c>
      <c r="O7" s="20" t="s">
        <v>65</v>
      </c>
      <c r="P7" s="156">
        <v>11200</v>
      </c>
      <c r="Q7" s="166">
        <v>3.19</v>
      </c>
      <c r="R7" s="168">
        <v>14397</v>
      </c>
      <c r="S7" s="22"/>
      <c r="T7" s="155">
        <v>5143.76</v>
      </c>
      <c r="U7" s="167">
        <v>3.8000000000000002E-5</v>
      </c>
      <c r="V7" s="167">
        <v>2.1507843541420098E-2</v>
      </c>
      <c r="W7" s="167">
        <v>5.3888117170220497E-3</v>
      </c>
    </row>
    <row r="8" spans="1:23" x14ac:dyDescent="0.2">
      <c r="A8" s="22">
        <v>233</v>
      </c>
      <c r="B8" s="22">
        <v>233</v>
      </c>
      <c r="C8" s="22" t="s">
        <v>512</v>
      </c>
      <c r="D8" s="22" t="s">
        <v>513</v>
      </c>
      <c r="E8" s="20" t="s">
        <v>379</v>
      </c>
      <c r="F8" s="22" t="s">
        <v>514</v>
      </c>
      <c r="G8" s="22" t="s">
        <v>515</v>
      </c>
      <c r="H8" s="20" t="s">
        <v>92</v>
      </c>
      <c r="I8" s="22" t="s">
        <v>510</v>
      </c>
      <c r="J8" s="20" t="s">
        <v>60</v>
      </c>
      <c r="K8" s="20" t="s">
        <v>463</v>
      </c>
      <c r="L8" s="20" t="s">
        <v>516</v>
      </c>
      <c r="M8" s="22" t="s">
        <v>517</v>
      </c>
      <c r="N8" s="22" t="s">
        <v>96</v>
      </c>
      <c r="O8" s="20" t="s">
        <v>393</v>
      </c>
      <c r="P8" s="156">
        <v>5430</v>
      </c>
      <c r="Q8" s="166">
        <v>3.7454999999999998</v>
      </c>
      <c r="R8" s="168">
        <v>22400</v>
      </c>
      <c r="S8" s="22"/>
      <c r="T8" s="155">
        <v>4555.7269999999999</v>
      </c>
      <c r="U8" s="167">
        <v>1.0859999999999999E-3</v>
      </c>
      <c r="V8" s="167">
        <v>1.9049071306227499E-2</v>
      </c>
      <c r="W8" s="167">
        <v>4.7727638735933098E-3</v>
      </c>
    </row>
    <row r="9" spans="1:23" x14ac:dyDescent="0.2">
      <c r="A9" s="22">
        <v>233</v>
      </c>
      <c r="B9" s="22">
        <v>233</v>
      </c>
      <c r="C9" s="22" t="s">
        <v>518</v>
      </c>
      <c r="D9" s="22" t="s">
        <v>519</v>
      </c>
      <c r="E9" s="20" t="s">
        <v>379</v>
      </c>
      <c r="F9" s="22" t="s">
        <v>520</v>
      </c>
      <c r="G9" s="22" t="s">
        <v>521</v>
      </c>
      <c r="H9" s="20" t="s">
        <v>92</v>
      </c>
      <c r="I9" s="22" t="s">
        <v>510</v>
      </c>
      <c r="J9" s="20" t="s">
        <v>60</v>
      </c>
      <c r="K9" s="20" t="s">
        <v>522</v>
      </c>
      <c r="L9" s="20" t="s">
        <v>464</v>
      </c>
      <c r="M9" s="22" t="s">
        <v>523</v>
      </c>
      <c r="N9" s="22" t="s">
        <v>96</v>
      </c>
      <c r="O9" s="20" t="s">
        <v>393</v>
      </c>
      <c r="P9" s="156">
        <v>22337</v>
      </c>
      <c r="Q9" s="166">
        <v>3.7454999999999998</v>
      </c>
      <c r="R9" s="168">
        <v>6220</v>
      </c>
      <c r="S9" s="22"/>
      <c r="T9" s="155">
        <v>5203.8530000000001</v>
      </c>
      <c r="U9" s="167">
        <v>5.2599999999999999E-4</v>
      </c>
      <c r="V9" s="167">
        <v>2.1759113044856698E-2</v>
      </c>
      <c r="W9" s="167">
        <v>5.45176754249296E-3</v>
      </c>
    </row>
    <row r="10" spans="1:23" x14ac:dyDescent="0.2">
      <c r="A10" s="22">
        <v>233</v>
      </c>
      <c r="B10" s="22">
        <v>233</v>
      </c>
      <c r="C10" s="22" t="s">
        <v>506</v>
      </c>
      <c r="D10" s="22" t="s">
        <v>507</v>
      </c>
      <c r="E10" s="20" t="s">
        <v>379</v>
      </c>
      <c r="F10" s="22" t="s">
        <v>524</v>
      </c>
      <c r="G10" s="22" t="s">
        <v>525</v>
      </c>
      <c r="H10" s="20" t="s">
        <v>92</v>
      </c>
      <c r="I10" s="22" t="s">
        <v>510</v>
      </c>
      <c r="J10" s="20" t="s">
        <v>60</v>
      </c>
      <c r="K10" s="20" t="s">
        <v>61</v>
      </c>
      <c r="L10" s="20" t="s">
        <v>423</v>
      </c>
      <c r="M10" s="22" t="s">
        <v>526</v>
      </c>
      <c r="N10" s="22" t="s">
        <v>96</v>
      </c>
      <c r="O10" s="20" t="s">
        <v>65</v>
      </c>
      <c r="P10" s="156">
        <v>15220</v>
      </c>
      <c r="Q10" s="166">
        <v>3.19</v>
      </c>
      <c r="R10" s="168">
        <v>5477</v>
      </c>
      <c r="S10" s="22"/>
      <c r="T10" s="155">
        <v>2659.1819999999998</v>
      </c>
      <c r="U10" s="167">
        <v>1.2999999999999999E-5</v>
      </c>
      <c r="V10" s="167">
        <v>1.11189617079338E-2</v>
      </c>
      <c r="W10" s="167">
        <v>2.7858669799899699E-3</v>
      </c>
    </row>
    <row r="11" spans="1:23" x14ac:dyDescent="0.2">
      <c r="A11" s="22">
        <v>233</v>
      </c>
      <c r="B11" s="22">
        <v>233</v>
      </c>
      <c r="C11" s="22" t="s">
        <v>506</v>
      </c>
      <c r="D11" s="22" t="s">
        <v>507</v>
      </c>
      <c r="E11" s="20" t="s">
        <v>379</v>
      </c>
      <c r="F11" s="22" t="s">
        <v>527</v>
      </c>
      <c r="G11" s="22" t="s">
        <v>528</v>
      </c>
      <c r="H11" s="20" t="s">
        <v>92</v>
      </c>
      <c r="I11" s="22" t="s">
        <v>510</v>
      </c>
      <c r="J11" s="20" t="s">
        <v>60</v>
      </c>
      <c r="K11" s="20" t="s">
        <v>61</v>
      </c>
      <c r="L11" s="20" t="s">
        <v>423</v>
      </c>
      <c r="M11" s="22" t="s">
        <v>529</v>
      </c>
      <c r="N11" s="22" t="s">
        <v>96</v>
      </c>
      <c r="O11" s="20" t="s">
        <v>65</v>
      </c>
      <c r="P11" s="156">
        <v>4153</v>
      </c>
      <c r="Q11" s="166">
        <v>3.19</v>
      </c>
      <c r="R11" s="168">
        <v>15512</v>
      </c>
      <c r="S11" s="22"/>
      <c r="T11" s="155">
        <v>2055.0410000000002</v>
      </c>
      <c r="U11" s="167">
        <v>3.0000000000000001E-5</v>
      </c>
      <c r="V11" s="167">
        <v>8.5928368969307601E-3</v>
      </c>
      <c r="W11" s="167">
        <v>2.1529438813084499E-3</v>
      </c>
    </row>
    <row r="12" spans="1:23" x14ac:dyDescent="0.2">
      <c r="A12" s="22">
        <v>233</v>
      </c>
      <c r="B12" s="22">
        <v>233</v>
      </c>
      <c r="C12" s="22" t="s">
        <v>530</v>
      </c>
      <c r="D12" s="22" t="s">
        <v>531</v>
      </c>
      <c r="E12" s="20" t="s">
        <v>379</v>
      </c>
      <c r="F12" s="22" t="s">
        <v>532</v>
      </c>
      <c r="G12" s="22" t="s">
        <v>533</v>
      </c>
      <c r="H12" s="20" t="s">
        <v>92</v>
      </c>
      <c r="I12" s="22" t="s">
        <v>534</v>
      </c>
      <c r="J12" s="20" t="s">
        <v>60</v>
      </c>
      <c r="K12" s="20" t="s">
        <v>61</v>
      </c>
      <c r="L12" s="20" t="s">
        <v>535</v>
      </c>
      <c r="M12" s="22" t="s">
        <v>536</v>
      </c>
      <c r="N12" s="22" t="s">
        <v>96</v>
      </c>
      <c r="O12" s="20" t="s">
        <v>65</v>
      </c>
      <c r="P12" s="156">
        <v>210000</v>
      </c>
      <c r="Q12" s="166">
        <v>3.19</v>
      </c>
      <c r="R12" s="168">
        <v>2977.5</v>
      </c>
      <c r="S12" s="22"/>
      <c r="T12" s="155">
        <v>19946.272000000001</v>
      </c>
      <c r="U12" s="167">
        <v>1.0194E-2</v>
      </c>
      <c r="V12" s="167">
        <v>8.3402276704233197E-2</v>
      </c>
      <c r="W12" s="167">
        <v>2.08965238688179E-2</v>
      </c>
    </row>
    <row r="13" spans="1:23" x14ac:dyDescent="0.2">
      <c r="A13" s="22">
        <v>233</v>
      </c>
      <c r="B13" s="22">
        <v>233</v>
      </c>
      <c r="C13" s="22" t="s">
        <v>530</v>
      </c>
      <c r="D13" s="22" t="s">
        <v>531</v>
      </c>
      <c r="E13" s="20" t="s">
        <v>379</v>
      </c>
      <c r="F13" s="22" t="s">
        <v>537</v>
      </c>
      <c r="G13" s="22" t="s">
        <v>538</v>
      </c>
      <c r="H13" s="20" t="s">
        <v>92</v>
      </c>
      <c r="I13" s="22" t="s">
        <v>510</v>
      </c>
      <c r="J13" s="20" t="s">
        <v>60</v>
      </c>
      <c r="K13" s="20" t="s">
        <v>61</v>
      </c>
      <c r="L13" s="20" t="s">
        <v>382</v>
      </c>
      <c r="M13" s="22" t="s">
        <v>539</v>
      </c>
      <c r="N13" s="22" t="s">
        <v>96</v>
      </c>
      <c r="O13" s="20" t="s">
        <v>65</v>
      </c>
      <c r="P13" s="156">
        <v>8100</v>
      </c>
      <c r="Q13" s="166">
        <v>3.19</v>
      </c>
      <c r="R13" s="168">
        <v>61431</v>
      </c>
      <c r="S13" s="22"/>
      <c r="T13" s="155">
        <v>15873.156000000001</v>
      </c>
      <c r="U13" s="167">
        <v>1.5E-5</v>
      </c>
      <c r="V13" s="167">
        <v>6.6371165659531897E-2</v>
      </c>
      <c r="W13" s="167">
        <v>1.6629361957636798E-2</v>
      </c>
    </row>
    <row r="14" spans="1:23" x14ac:dyDescent="0.2">
      <c r="A14" s="22">
        <v>233</v>
      </c>
      <c r="B14" s="22">
        <v>233</v>
      </c>
      <c r="C14" s="22" t="s">
        <v>540</v>
      </c>
      <c r="D14" s="22" t="s">
        <v>541</v>
      </c>
      <c r="E14" s="20" t="s">
        <v>379</v>
      </c>
      <c r="F14" s="22" t="s">
        <v>542</v>
      </c>
      <c r="G14" s="22" t="s">
        <v>543</v>
      </c>
      <c r="H14" s="20" t="s">
        <v>92</v>
      </c>
      <c r="I14" s="22" t="s">
        <v>510</v>
      </c>
      <c r="J14" s="20" t="s">
        <v>60</v>
      </c>
      <c r="K14" s="20" t="s">
        <v>61</v>
      </c>
      <c r="L14" s="20" t="s">
        <v>423</v>
      </c>
      <c r="M14" s="22" t="s">
        <v>544</v>
      </c>
      <c r="N14" s="22" t="s">
        <v>96</v>
      </c>
      <c r="O14" s="20" t="s">
        <v>65</v>
      </c>
      <c r="P14" s="156">
        <v>1520</v>
      </c>
      <c r="Q14" s="166">
        <v>3.19</v>
      </c>
      <c r="R14" s="168">
        <v>68494</v>
      </c>
      <c r="S14" s="22"/>
      <c r="T14" s="155">
        <v>3321.1370000000002</v>
      </c>
      <c r="U14" s="167">
        <v>1.9999999999999999E-6</v>
      </c>
      <c r="V14" s="167">
        <v>1.38868248717464E-2</v>
      </c>
      <c r="W14" s="167">
        <v>3.4793578648173E-3</v>
      </c>
    </row>
    <row r="15" spans="1:23" x14ac:dyDescent="0.2">
      <c r="A15" s="22">
        <v>233</v>
      </c>
      <c r="B15" s="22">
        <v>233</v>
      </c>
      <c r="C15" s="22" t="s">
        <v>540</v>
      </c>
      <c r="D15" s="22" t="s">
        <v>541</v>
      </c>
      <c r="E15" s="20" t="s">
        <v>379</v>
      </c>
      <c r="F15" s="22" t="s">
        <v>545</v>
      </c>
      <c r="G15" s="22" t="s">
        <v>546</v>
      </c>
      <c r="H15" s="20" t="s">
        <v>92</v>
      </c>
      <c r="I15" s="22" t="s">
        <v>510</v>
      </c>
      <c r="J15" s="20" t="s">
        <v>60</v>
      </c>
      <c r="K15" s="20" t="s">
        <v>429</v>
      </c>
      <c r="L15" s="20" t="s">
        <v>423</v>
      </c>
      <c r="M15" s="22" t="s">
        <v>547</v>
      </c>
      <c r="N15" s="22" t="s">
        <v>96</v>
      </c>
      <c r="O15" s="20" t="s">
        <v>65</v>
      </c>
      <c r="P15" s="156">
        <v>23693</v>
      </c>
      <c r="Q15" s="166">
        <v>3.19</v>
      </c>
      <c r="R15" s="168">
        <v>3829</v>
      </c>
      <c r="S15" s="22"/>
      <c r="T15" s="155">
        <v>2893.9839999999999</v>
      </c>
      <c r="U15" s="167">
        <v>2.9500000000000001E-4</v>
      </c>
      <c r="V15" s="167">
        <v>1.2100749259988899E-2</v>
      </c>
      <c r="W15" s="167">
        <v>3.03185483339575E-3</v>
      </c>
    </row>
    <row r="16" spans="1:23" x14ac:dyDescent="0.2">
      <c r="A16" s="22">
        <v>233</v>
      </c>
      <c r="B16" s="22">
        <v>233</v>
      </c>
      <c r="C16" s="22" t="s">
        <v>540</v>
      </c>
      <c r="D16" s="22" t="s">
        <v>541</v>
      </c>
      <c r="E16" s="20" t="s">
        <v>379</v>
      </c>
      <c r="F16" s="22" t="s">
        <v>548</v>
      </c>
      <c r="G16" s="22" t="s">
        <v>549</v>
      </c>
      <c r="H16" s="20" t="s">
        <v>92</v>
      </c>
      <c r="I16" s="22" t="s">
        <v>510</v>
      </c>
      <c r="J16" s="20" t="s">
        <v>60</v>
      </c>
      <c r="K16" s="20" t="s">
        <v>61</v>
      </c>
      <c r="L16" s="20" t="s">
        <v>535</v>
      </c>
      <c r="M16" s="22" t="s">
        <v>539</v>
      </c>
      <c r="N16" s="22" t="s">
        <v>96</v>
      </c>
      <c r="O16" s="20" t="s">
        <v>65</v>
      </c>
      <c r="P16" s="156">
        <v>880</v>
      </c>
      <c r="Q16" s="166">
        <v>3.19</v>
      </c>
      <c r="R16" s="168">
        <v>145820</v>
      </c>
      <c r="S16" s="22"/>
      <c r="T16" s="155">
        <v>4093.4589999999998</v>
      </c>
      <c r="U16" s="167">
        <v>6.6000000000000005E-5</v>
      </c>
      <c r="V16" s="167">
        <v>1.7116170629450901E-2</v>
      </c>
      <c r="W16" s="167">
        <v>4.2884736752387496E-3</v>
      </c>
    </row>
    <row r="17" spans="1:23" x14ac:dyDescent="0.2">
      <c r="A17" s="22">
        <v>233</v>
      </c>
      <c r="B17" s="22">
        <v>233</v>
      </c>
      <c r="C17" s="22" t="s">
        <v>540</v>
      </c>
      <c r="D17" s="22" t="s">
        <v>541</v>
      </c>
      <c r="E17" s="20" t="s">
        <v>379</v>
      </c>
      <c r="F17" s="22" t="s">
        <v>550</v>
      </c>
      <c r="G17" s="22" t="s">
        <v>551</v>
      </c>
      <c r="H17" s="20" t="s">
        <v>92</v>
      </c>
      <c r="I17" s="22" t="s">
        <v>510</v>
      </c>
      <c r="J17" s="20" t="s">
        <v>60</v>
      </c>
      <c r="K17" s="20" t="s">
        <v>61</v>
      </c>
      <c r="L17" s="20" t="s">
        <v>535</v>
      </c>
      <c r="M17" s="22" t="s">
        <v>552</v>
      </c>
      <c r="N17" s="22" t="s">
        <v>96</v>
      </c>
      <c r="O17" s="20" t="s">
        <v>65</v>
      </c>
      <c r="P17" s="156">
        <v>113050</v>
      </c>
      <c r="Q17" s="166">
        <v>3.19</v>
      </c>
      <c r="R17" s="168">
        <v>770.6</v>
      </c>
      <c r="S17" s="22"/>
      <c r="T17" s="155">
        <v>2779.011</v>
      </c>
      <c r="U17" s="167">
        <v>1.753E-3</v>
      </c>
      <c r="V17" s="167">
        <v>1.1620007612838001E-2</v>
      </c>
      <c r="W17" s="167">
        <v>2.9114045327397098E-3</v>
      </c>
    </row>
    <row r="18" spans="1:23" x14ac:dyDescent="0.2">
      <c r="A18" s="22">
        <v>233</v>
      </c>
      <c r="B18" s="22">
        <v>233</v>
      </c>
      <c r="C18" s="22" t="s">
        <v>553</v>
      </c>
      <c r="D18" s="22" t="s">
        <v>554</v>
      </c>
      <c r="E18" s="20" t="s">
        <v>379</v>
      </c>
      <c r="F18" s="22" t="s">
        <v>555</v>
      </c>
      <c r="G18" s="22" t="s">
        <v>556</v>
      </c>
      <c r="H18" s="20" t="s">
        <v>92</v>
      </c>
      <c r="I18" s="22" t="s">
        <v>510</v>
      </c>
      <c r="J18" s="20" t="s">
        <v>60</v>
      </c>
      <c r="K18" s="20" t="s">
        <v>429</v>
      </c>
      <c r="L18" s="20" t="s">
        <v>423</v>
      </c>
      <c r="M18" s="22" t="s">
        <v>547</v>
      </c>
      <c r="N18" s="22" t="s">
        <v>96</v>
      </c>
      <c r="O18" s="20" t="s">
        <v>65</v>
      </c>
      <c r="P18" s="156">
        <v>36290</v>
      </c>
      <c r="Q18" s="166">
        <v>3.19</v>
      </c>
      <c r="R18" s="168">
        <v>3405</v>
      </c>
      <c r="S18" s="22"/>
      <c r="T18" s="155">
        <v>3941.8020000000001</v>
      </c>
      <c r="U18" s="167">
        <v>2.4600000000000002E-4</v>
      </c>
      <c r="V18" s="167">
        <v>1.64820385534949E-2</v>
      </c>
      <c r="W18" s="167">
        <v>4.1295912491846999E-3</v>
      </c>
    </row>
    <row r="19" spans="1:23" x14ac:dyDescent="0.2">
      <c r="A19" s="22">
        <v>233</v>
      </c>
      <c r="B19" s="22">
        <v>233</v>
      </c>
      <c r="C19" s="22" t="s">
        <v>540</v>
      </c>
      <c r="D19" s="22" t="s">
        <v>541</v>
      </c>
      <c r="E19" s="20" t="s">
        <v>379</v>
      </c>
      <c r="F19" s="22" t="s">
        <v>557</v>
      </c>
      <c r="G19" s="22" t="s">
        <v>558</v>
      </c>
      <c r="H19" s="20" t="s">
        <v>92</v>
      </c>
      <c r="I19" s="22" t="s">
        <v>510</v>
      </c>
      <c r="J19" s="20" t="s">
        <v>60</v>
      </c>
      <c r="K19" s="20" t="s">
        <v>522</v>
      </c>
      <c r="L19" s="20" t="s">
        <v>464</v>
      </c>
      <c r="M19" s="22" t="s">
        <v>559</v>
      </c>
      <c r="N19" s="22" t="s">
        <v>96</v>
      </c>
      <c r="O19" s="20" t="s">
        <v>393</v>
      </c>
      <c r="P19" s="156">
        <v>63615</v>
      </c>
      <c r="Q19" s="166">
        <v>3.7454999999999998</v>
      </c>
      <c r="R19" s="168">
        <v>5840</v>
      </c>
      <c r="S19" s="22"/>
      <c r="T19" s="155">
        <v>13914.967000000001</v>
      </c>
      <c r="U19" s="167">
        <v>6.5200000000000002E-4</v>
      </c>
      <c r="V19" s="167">
        <v>5.8183298469898302E-2</v>
      </c>
      <c r="W19" s="167">
        <v>1.4577883641647299E-2</v>
      </c>
    </row>
    <row r="20" spans="1:23" x14ac:dyDescent="0.2">
      <c r="A20" s="3">
        <v>233</v>
      </c>
      <c r="B20" s="3">
        <v>233</v>
      </c>
      <c r="C20" s="3" t="s">
        <v>560</v>
      </c>
      <c r="D20" s="3" t="s">
        <v>507</v>
      </c>
      <c r="E20" s="20" t="s">
        <v>379</v>
      </c>
      <c r="F20" s="3" t="s">
        <v>561</v>
      </c>
      <c r="G20" s="3" t="s">
        <v>562</v>
      </c>
      <c r="H20" s="20" t="s">
        <v>92</v>
      </c>
      <c r="I20" s="22" t="s">
        <v>510</v>
      </c>
      <c r="J20" s="20" t="s">
        <v>60</v>
      </c>
      <c r="K20" s="20" t="s">
        <v>563</v>
      </c>
      <c r="L20" s="20" t="s">
        <v>535</v>
      </c>
      <c r="M20" s="22" t="s">
        <v>564</v>
      </c>
      <c r="N20" s="22" t="s">
        <v>96</v>
      </c>
      <c r="O20" s="3" t="s">
        <v>65</v>
      </c>
      <c r="P20" s="156">
        <v>11000</v>
      </c>
      <c r="Q20" s="159">
        <v>3.19</v>
      </c>
      <c r="R20" s="169">
        <v>8515</v>
      </c>
      <c r="T20" s="152">
        <v>2987.9140000000002</v>
      </c>
      <c r="U20" s="161">
        <v>6.8599999999999998E-4</v>
      </c>
      <c r="V20" s="161">
        <v>1.2493501655274899E-2</v>
      </c>
      <c r="W20" s="161">
        <v>3.13025933896738E-3</v>
      </c>
    </row>
    <row r="21" spans="1:23" s="41" customFormat="1" x14ac:dyDescent="0.2">
      <c r="A21" s="41">
        <v>233</v>
      </c>
      <c r="B21" s="41">
        <v>233</v>
      </c>
      <c r="C21" s="41" t="s">
        <v>506</v>
      </c>
      <c r="D21" s="41" t="s">
        <v>507</v>
      </c>
      <c r="E21" s="44" t="s">
        <v>379</v>
      </c>
      <c r="F21" s="41" t="s">
        <v>565</v>
      </c>
      <c r="G21" s="41" t="s">
        <v>566</v>
      </c>
      <c r="H21" s="44" t="s">
        <v>92</v>
      </c>
      <c r="I21" s="41" t="s">
        <v>510</v>
      </c>
      <c r="J21" s="41" t="s">
        <v>60</v>
      </c>
      <c r="K21" s="41" t="s">
        <v>61</v>
      </c>
      <c r="L21" s="44" t="s">
        <v>535</v>
      </c>
      <c r="M21" s="40" t="s">
        <v>511</v>
      </c>
      <c r="N21" s="41" t="s">
        <v>96</v>
      </c>
      <c r="O21" s="41" t="s">
        <v>65</v>
      </c>
      <c r="P21" s="154">
        <v>18500</v>
      </c>
      <c r="Q21" s="159">
        <v>3.19</v>
      </c>
      <c r="R21" s="169">
        <v>15392</v>
      </c>
      <c r="T21" s="152">
        <v>9083.5889999999999</v>
      </c>
      <c r="U21" s="161">
        <v>2.2290000000000001E-3</v>
      </c>
      <c r="V21" s="161">
        <v>3.7981632235550497E-2</v>
      </c>
      <c r="W21" s="161">
        <v>9.5163359556893201E-3</v>
      </c>
    </row>
    <row r="22" spans="1:23" x14ac:dyDescent="0.2">
      <c r="A22" s="3">
        <v>233</v>
      </c>
      <c r="B22" s="3">
        <v>233</v>
      </c>
      <c r="C22" s="3" t="s">
        <v>506</v>
      </c>
      <c r="D22" s="3" t="s">
        <v>507</v>
      </c>
      <c r="E22" s="5" t="s">
        <v>379</v>
      </c>
      <c r="F22" s="3" t="s">
        <v>567</v>
      </c>
      <c r="G22" s="3" t="s">
        <v>568</v>
      </c>
      <c r="H22" s="3" t="s">
        <v>92</v>
      </c>
      <c r="I22" s="3" t="s">
        <v>510</v>
      </c>
      <c r="J22" s="3" t="s">
        <v>60</v>
      </c>
      <c r="K22" s="3" t="s">
        <v>61</v>
      </c>
      <c r="L22" s="5" t="s">
        <v>535</v>
      </c>
      <c r="M22" s="3" t="s">
        <v>529</v>
      </c>
      <c r="N22" s="3" t="s">
        <v>96</v>
      </c>
      <c r="O22" s="3" t="s">
        <v>65</v>
      </c>
      <c r="P22" s="154">
        <v>15254</v>
      </c>
      <c r="Q22" s="159">
        <v>3.19</v>
      </c>
      <c r="R22" s="169">
        <v>3602.7</v>
      </c>
      <c r="T22" s="152">
        <v>1753.0830000000001</v>
      </c>
      <c r="U22" s="161">
        <v>1.2819999999999999E-3</v>
      </c>
      <c r="V22" s="161">
        <v>7.3302482481065597E-3</v>
      </c>
      <c r="W22" s="161">
        <v>1.83660103217716E-3</v>
      </c>
    </row>
    <row r="23" spans="1:23" x14ac:dyDescent="0.2">
      <c r="A23" s="3">
        <v>233</v>
      </c>
      <c r="B23" s="3">
        <v>233</v>
      </c>
      <c r="C23" s="3" t="s">
        <v>506</v>
      </c>
      <c r="D23" s="3" t="s">
        <v>507</v>
      </c>
      <c r="E23" s="5" t="s">
        <v>379</v>
      </c>
      <c r="F23" s="3" t="s">
        <v>569</v>
      </c>
      <c r="G23" s="3" t="s">
        <v>570</v>
      </c>
      <c r="H23" s="3" t="s">
        <v>92</v>
      </c>
      <c r="I23" s="3" t="s">
        <v>510</v>
      </c>
      <c r="J23" s="3" t="s">
        <v>60</v>
      </c>
      <c r="K23" s="3" t="s">
        <v>61</v>
      </c>
      <c r="L23" s="3" t="s">
        <v>535</v>
      </c>
      <c r="M23" s="3" t="s">
        <v>526</v>
      </c>
      <c r="N23" s="3" t="s">
        <v>96</v>
      </c>
      <c r="O23" s="3" t="s">
        <v>65</v>
      </c>
      <c r="P23" s="154">
        <v>30800</v>
      </c>
      <c r="Q23" s="159">
        <v>3.19</v>
      </c>
      <c r="R23" s="169">
        <v>6511.2</v>
      </c>
      <c r="T23" s="152">
        <v>6397.384</v>
      </c>
      <c r="U23" s="161">
        <v>9.2999999999999997E-5</v>
      </c>
      <c r="V23" s="161">
        <v>2.6749680133636201E-2</v>
      </c>
      <c r="W23" s="161">
        <v>6.7021591194452602E-3</v>
      </c>
    </row>
    <row r="24" spans="1:23" x14ac:dyDescent="0.2">
      <c r="A24" s="3">
        <v>233</v>
      </c>
      <c r="B24" s="3">
        <v>233</v>
      </c>
      <c r="C24" s="3" t="s">
        <v>560</v>
      </c>
      <c r="D24" s="3" t="s">
        <v>507</v>
      </c>
      <c r="E24" s="5" t="s">
        <v>379</v>
      </c>
      <c r="F24" s="3" t="s">
        <v>571</v>
      </c>
      <c r="G24" s="3" t="s">
        <v>572</v>
      </c>
      <c r="H24" s="3" t="s">
        <v>92</v>
      </c>
      <c r="I24" s="3" t="s">
        <v>510</v>
      </c>
      <c r="J24" s="3" t="s">
        <v>60</v>
      </c>
      <c r="K24" s="3" t="s">
        <v>61</v>
      </c>
      <c r="L24" s="3" t="s">
        <v>407</v>
      </c>
      <c r="M24" s="3" t="s">
        <v>573</v>
      </c>
      <c r="N24" s="3" t="s">
        <v>96</v>
      </c>
      <c r="O24" s="3" t="s">
        <v>65</v>
      </c>
      <c r="P24" s="154">
        <v>31600</v>
      </c>
      <c r="Q24" s="159">
        <v>3.19</v>
      </c>
      <c r="R24" s="169">
        <v>4818.2</v>
      </c>
      <c r="T24" s="152">
        <v>4856.9380000000001</v>
      </c>
      <c r="U24" s="161">
        <v>2.813E-3</v>
      </c>
      <c r="V24" s="161">
        <v>2.0308542078087601E-2</v>
      </c>
      <c r="W24" s="161">
        <v>5.0883255355319498E-3</v>
      </c>
    </row>
    <row r="25" spans="1:23" x14ac:dyDescent="0.2">
      <c r="A25" s="3">
        <v>233</v>
      </c>
      <c r="B25" s="3">
        <v>233</v>
      </c>
      <c r="C25" s="3" t="s">
        <v>506</v>
      </c>
      <c r="D25" s="3" t="s">
        <v>507</v>
      </c>
      <c r="E25" s="5" t="s">
        <v>379</v>
      </c>
      <c r="F25" s="3" t="s">
        <v>574</v>
      </c>
      <c r="G25" s="3" t="s">
        <v>575</v>
      </c>
      <c r="H25" s="3" t="s">
        <v>92</v>
      </c>
      <c r="I25" s="3" t="s">
        <v>510</v>
      </c>
      <c r="J25" s="3" t="s">
        <v>60</v>
      </c>
      <c r="K25" s="3" t="s">
        <v>61</v>
      </c>
      <c r="L25" s="3" t="s">
        <v>535</v>
      </c>
      <c r="M25" s="3" t="s">
        <v>544</v>
      </c>
      <c r="N25" s="3" t="s">
        <v>96</v>
      </c>
      <c r="O25" s="3" t="s">
        <v>65</v>
      </c>
      <c r="P25" s="154">
        <v>726060</v>
      </c>
      <c r="Q25" s="159">
        <v>3.19</v>
      </c>
      <c r="R25" s="169">
        <v>1691.6</v>
      </c>
      <c r="T25" s="152">
        <v>39179.678999999996</v>
      </c>
      <c r="U25" s="161">
        <v>5.3782000000000003E-2</v>
      </c>
      <c r="V25" s="161">
        <v>0.16382381266096999</v>
      </c>
      <c r="W25" s="161">
        <v>4.1046220161241202E-2</v>
      </c>
    </row>
    <row r="26" spans="1:23" x14ac:dyDescent="0.2">
      <c r="A26" s="3">
        <v>233</v>
      </c>
      <c r="B26" s="3">
        <v>233</v>
      </c>
      <c r="C26" s="3" t="s">
        <v>506</v>
      </c>
      <c r="D26" s="3" t="s">
        <v>507</v>
      </c>
      <c r="E26" s="5" t="s">
        <v>379</v>
      </c>
      <c r="F26" s="3" t="s">
        <v>576</v>
      </c>
      <c r="G26" s="9" t="s">
        <v>577</v>
      </c>
      <c r="H26" s="3" t="s">
        <v>92</v>
      </c>
      <c r="I26" s="3" t="s">
        <v>510</v>
      </c>
      <c r="J26" s="3" t="s">
        <v>60</v>
      </c>
      <c r="K26" s="3" t="s">
        <v>429</v>
      </c>
      <c r="L26" s="3" t="s">
        <v>423</v>
      </c>
      <c r="M26" s="3" t="s">
        <v>547</v>
      </c>
      <c r="N26" s="3" t="s">
        <v>96</v>
      </c>
      <c r="O26" s="3" t="s">
        <v>65</v>
      </c>
      <c r="P26" s="154">
        <v>6248</v>
      </c>
      <c r="Q26" s="159">
        <v>3.19</v>
      </c>
      <c r="R26" s="169">
        <v>9681</v>
      </c>
      <c r="T26" s="152">
        <v>1929.5319999999999</v>
      </c>
      <c r="U26" s="161">
        <v>3.5199999999999999E-4</v>
      </c>
      <c r="V26" s="161">
        <v>8.0680407340033792E-3</v>
      </c>
      <c r="W26" s="161">
        <v>2.02145567764986E-3</v>
      </c>
    </row>
    <row r="27" spans="1:23" x14ac:dyDescent="0.2">
      <c r="A27" s="3">
        <v>233</v>
      </c>
      <c r="B27" s="3">
        <v>233</v>
      </c>
      <c r="C27" s="3" t="s">
        <v>530</v>
      </c>
      <c r="D27" s="3" t="s">
        <v>531</v>
      </c>
      <c r="E27" s="5" t="s">
        <v>379</v>
      </c>
      <c r="F27" s="3" t="s">
        <v>578</v>
      </c>
      <c r="G27" s="3" t="s">
        <v>579</v>
      </c>
      <c r="H27" s="3" t="s">
        <v>92</v>
      </c>
      <c r="I27" s="3" t="s">
        <v>510</v>
      </c>
      <c r="J27" s="3" t="s">
        <v>60</v>
      </c>
      <c r="K27" s="3" t="s">
        <v>61</v>
      </c>
      <c r="L27" s="3" t="s">
        <v>382</v>
      </c>
      <c r="M27" s="3" t="s">
        <v>544</v>
      </c>
      <c r="N27" s="3" t="s">
        <v>96</v>
      </c>
      <c r="O27" s="3" t="s">
        <v>65</v>
      </c>
      <c r="P27" s="154">
        <v>202500</v>
      </c>
      <c r="Q27" s="159">
        <v>3.19</v>
      </c>
      <c r="R27" s="169">
        <v>1375</v>
      </c>
      <c r="T27" s="152">
        <v>8882.1560000000009</v>
      </c>
      <c r="U27" s="161">
        <v>9.2999999999999997E-5</v>
      </c>
      <c r="V27" s="161">
        <v>3.7139372947638999E-2</v>
      </c>
      <c r="W27" s="161">
        <v>9.3053070484570705E-3</v>
      </c>
    </row>
    <row r="28" spans="1:23" x14ac:dyDescent="0.2">
      <c r="A28" s="3">
        <v>233</v>
      </c>
      <c r="B28" s="3">
        <v>233</v>
      </c>
      <c r="C28" s="3" t="s">
        <v>580</v>
      </c>
      <c r="D28" s="3" t="s">
        <v>581</v>
      </c>
      <c r="E28" s="5" t="s">
        <v>379</v>
      </c>
      <c r="F28" s="3" t="s">
        <v>582</v>
      </c>
      <c r="G28" s="3" t="s">
        <v>583</v>
      </c>
      <c r="H28" s="3" t="s">
        <v>92</v>
      </c>
      <c r="I28" s="3" t="s">
        <v>510</v>
      </c>
      <c r="J28" s="3" t="s">
        <v>60</v>
      </c>
      <c r="K28" s="3" t="s">
        <v>584</v>
      </c>
      <c r="L28" s="3" t="s">
        <v>535</v>
      </c>
      <c r="M28" s="3" t="s">
        <v>523</v>
      </c>
      <c r="N28" s="3" t="s">
        <v>96</v>
      </c>
      <c r="O28" s="3" t="s">
        <v>65</v>
      </c>
      <c r="P28" s="154">
        <v>6885</v>
      </c>
      <c r="Q28" s="159">
        <v>3.19</v>
      </c>
      <c r="R28" s="169">
        <v>7926</v>
      </c>
      <c r="T28" s="152">
        <v>1740.799</v>
      </c>
      <c r="U28" s="161">
        <v>7.5699999999999997E-4</v>
      </c>
      <c r="V28" s="161">
        <v>7.2788849304883897E-3</v>
      </c>
      <c r="W28" s="161">
        <v>1.8237319015610199E-3</v>
      </c>
    </row>
    <row r="29" spans="1:23" x14ac:dyDescent="0.2">
      <c r="A29" s="3">
        <v>233</v>
      </c>
      <c r="B29" s="3">
        <v>233</v>
      </c>
      <c r="C29" s="3" t="s">
        <v>580</v>
      </c>
      <c r="D29" s="3" t="s">
        <v>581</v>
      </c>
      <c r="E29" s="5" t="s">
        <v>379</v>
      </c>
      <c r="F29" s="3" t="s">
        <v>585</v>
      </c>
      <c r="G29" s="3" t="s">
        <v>583</v>
      </c>
      <c r="H29" s="3" t="s">
        <v>92</v>
      </c>
      <c r="I29" s="3" t="s">
        <v>510</v>
      </c>
      <c r="J29" s="3" t="s">
        <v>60</v>
      </c>
      <c r="K29" s="3" t="s">
        <v>584</v>
      </c>
      <c r="L29" s="3" t="s">
        <v>535</v>
      </c>
      <c r="M29" s="3" t="s">
        <v>523</v>
      </c>
      <c r="N29" s="3" t="s">
        <v>96</v>
      </c>
      <c r="O29" s="3" t="s">
        <v>393</v>
      </c>
      <c r="P29" s="154">
        <v>26845</v>
      </c>
      <c r="Q29" s="159">
        <v>3.7454999999999998</v>
      </c>
      <c r="R29" s="169">
        <v>6729</v>
      </c>
      <c r="T29" s="152">
        <v>6765.8710000000001</v>
      </c>
      <c r="U29" s="161">
        <v>2.9499999999999999E-3</v>
      </c>
      <c r="V29" s="161">
        <v>2.82904526440599E-2</v>
      </c>
      <c r="W29" s="161">
        <v>7.0882012134118998E-3</v>
      </c>
    </row>
    <row r="30" spans="1:23" x14ac:dyDescent="0.2">
      <c r="A30" s="3">
        <v>233</v>
      </c>
      <c r="B30" s="3">
        <v>233</v>
      </c>
      <c r="C30" s="3" t="s">
        <v>580</v>
      </c>
      <c r="D30" s="3" t="s">
        <v>581</v>
      </c>
      <c r="E30" s="5" t="s">
        <v>379</v>
      </c>
      <c r="F30" s="3" t="s">
        <v>586</v>
      </c>
      <c r="G30" s="3" t="s">
        <v>587</v>
      </c>
      <c r="H30" s="3" t="s">
        <v>92</v>
      </c>
      <c r="I30" s="3" t="s">
        <v>510</v>
      </c>
      <c r="J30" s="3" t="s">
        <v>60</v>
      </c>
      <c r="K30" s="3" t="s">
        <v>61</v>
      </c>
      <c r="L30" s="3" t="s">
        <v>423</v>
      </c>
      <c r="M30" s="3" t="s">
        <v>544</v>
      </c>
      <c r="N30" s="3" t="s">
        <v>96</v>
      </c>
      <c r="O30" s="3" t="s">
        <v>65</v>
      </c>
      <c r="P30" s="154">
        <v>2269</v>
      </c>
      <c r="Q30" s="159">
        <v>3.19</v>
      </c>
      <c r="R30" s="169">
        <v>62713</v>
      </c>
      <c r="T30" s="152">
        <v>4539.2359999999999</v>
      </c>
      <c r="U30" s="161">
        <v>3.0000000000000001E-6</v>
      </c>
      <c r="V30" s="161">
        <v>1.8980118244361899E-2</v>
      </c>
      <c r="W30" s="161">
        <v>4.7554876149581704E-3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 x14ac:dyDescent="0.2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 x14ac:dyDescent="0.2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588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86</v>
      </c>
      <c r="M1" s="21" t="s">
        <v>8</v>
      </c>
      <c r="N1" s="21" t="s">
        <v>483</v>
      </c>
      <c r="O1" s="21" t="s">
        <v>80</v>
      </c>
      <c r="P1" s="21" t="s">
        <v>11</v>
      </c>
      <c r="Q1" s="21" t="s">
        <v>17</v>
      </c>
      <c r="R1" s="21" t="s">
        <v>18</v>
      </c>
      <c r="S1" s="21" t="s">
        <v>19</v>
      </c>
      <c r="T1" s="21" t="s">
        <v>20</v>
      </c>
      <c r="U1" s="21" t="s">
        <v>23</v>
      </c>
      <c r="V1" s="21" t="s">
        <v>24</v>
      </c>
      <c r="W1" s="21" t="s">
        <v>25</v>
      </c>
    </row>
    <row r="2" spans="1:23" x14ac:dyDescent="0.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M2" s="20"/>
      <c r="N2" s="22"/>
      <c r="O2" s="22"/>
      <c r="P2" s="20"/>
      <c r="Q2" s="20"/>
      <c r="R2" s="20"/>
      <c r="S2" s="20"/>
      <c r="T2" s="20"/>
      <c r="U2" s="20"/>
      <c r="V2" s="20"/>
      <c r="W2" s="20"/>
    </row>
    <row r="3" spans="1:23" x14ac:dyDescent="0.2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M3" s="20"/>
      <c r="N3" s="22"/>
      <c r="O3" s="22"/>
      <c r="P3" s="20"/>
      <c r="Q3" s="20"/>
      <c r="R3" s="20"/>
      <c r="S3" s="20"/>
      <c r="T3" s="20"/>
      <c r="U3" s="20"/>
      <c r="V3" s="20"/>
      <c r="W3" s="20"/>
    </row>
    <row r="4" spans="1:23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M4" s="20"/>
      <c r="N4" s="22"/>
      <c r="O4" s="22"/>
      <c r="P4" s="20"/>
      <c r="Q4" s="20"/>
      <c r="R4" s="20"/>
      <c r="S4" s="20"/>
      <c r="T4" s="20"/>
      <c r="U4" s="20"/>
      <c r="V4" s="20"/>
      <c r="W4" s="20"/>
    </row>
    <row r="5" spans="1:23" x14ac:dyDescent="0.2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M5" s="20"/>
      <c r="N5" s="22"/>
      <c r="O5" s="22"/>
      <c r="P5" s="20"/>
      <c r="Q5" s="20"/>
      <c r="R5" s="20"/>
      <c r="S5" s="20"/>
      <c r="T5" s="20"/>
      <c r="U5" s="20"/>
      <c r="V5" s="20"/>
      <c r="W5" s="20"/>
    </row>
    <row r="6" spans="1:23" x14ac:dyDescent="0.2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M6" s="20"/>
      <c r="N6" s="22"/>
      <c r="O6" s="22"/>
      <c r="P6" s="20"/>
      <c r="Q6" s="20"/>
      <c r="R6" s="20"/>
      <c r="S6" s="20"/>
      <c r="T6" s="20"/>
      <c r="U6" s="20"/>
      <c r="V6" s="20"/>
      <c r="W6" s="20"/>
    </row>
    <row r="7" spans="1:23" x14ac:dyDescent="0.2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M7" s="20"/>
      <c r="N7" s="22"/>
      <c r="O7" s="22"/>
      <c r="P7" s="20"/>
      <c r="Q7" s="20"/>
      <c r="R7" s="20"/>
      <c r="S7" s="20"/>
      <c r="T7" s="20"/>
      <c r="U7" s="20"/>
      <c r="V7" s="20"/>
      <c r="W7" s="20"/>
    </row>
    <row r="8" spans="1:23" x14ac:dyDescent="0.2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M8" s="20"/>
      <c r="N8" s="22"/>
      <c r="O8" s="22"/>
      <c r="P8" s="20"/>
      <c r="Q8" s="20"/>
      <c r="R8" s="20"/>
      <c r="S8" s="20"/>
      <c r="T8" s="20"/>
      <c r="U8" s="20"/>
      <c r="V8" s="20"/>
      <c r="W8" s="20"/>
    </row>
    <row r="9" spans="1:23" x14ac:dyDescent="0.2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M9" s="20"/>
      <c r="N9" s="22"/>
      <c r="O9" s="22"/>
      <c r="P9" s="20"/>
      <c r="Q9" s="20"/>
      <c r="R9" s="20"/>
      <c r="S9" s="20"/>
      <c r="T9" s="20"/>
      <c r="U9" s="20"/>
      <c r="V9" s="20"/>
      <c r="W9" s="20"/>
    </row>
    <row r="10" spans="1:23" x14ac:dyDescent="0.2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M10" s="20"/>
      <c r="N10" s="22"/>
      <c r="O10" s="22"/>
      <c r="P10" s="20"/>
      <c r="Q10" s="20"/>
      <c r="R10" s="20"/>
      <c r="S10" s="20"/>
      <c r="T10" s="20"/>
      <c r="U10" s="20"/>
      <c r="V10" s="20"/>
      <c r="W10" s="20"/>
    </row>
    <row r="11" spans="1:23" x14ac:dyDescent="0.2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M11" s="20"/>
      <c r="N11" s="22"/>
      <c r="O11" s="22"/>
      <c r="P11" s="20"/>
      <c r="Q11" s="20"/>
      <c r="R11" s="20"/>
      <c r="S11" s="20"/>
      <c r="T11" s="20"/>
      <c r="U11" s="20"/>
      <c r="V11" s="20"/>
      <c r="W11" s="20"/>
    </row>
    <row r="12" spans="1:23" x14ac:dyDescent="0.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M12" s="20"/>
      <c r="N12" s="22"/>
      <c r="O12" s="22"/>
      <c r="P12" s="20"/>
      <c r="Q12" s="20"/>
      <c r="R12" s="20"/>
      <c r="S12" s="20"/>
      <c r="T12" s="20"/>
      <c r="U12" s="20"/>
      <c r="V12" s="20"/>
      <c r="W12" s="20"/>
    </row>
    <row r="13" spans="1:23" x14ac:dyDescent="0.2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M13" s="20"/>
      <c r="N13" s="22"/>
      <c r="O13" s="22"/>
      <c r="P13" s="20"/>
      <c r="Q13" s="20"/>
      <c r="R13" s="20"/>
      <c r="S13" s="20"/>
      <c r="T13" s="20"/>
      <c r="U13" s="20"/>
      <c r="V13" s="20"/>
      <c r="W13" s="20"/>
    </row>
    <row r="14" spans="1:23" x14ac:dyDescent="0.2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M14" s="20"/>
      <c r="N14" s="22"/>
      <c r="O14" s="22"/>
      <c r="P14" s="20"/>
      <c r="Q14" s="20"/>
      <c r="R14" s="20"/>
      <c r="S14" s="20"/>
      <c r="T14" s="20"/>
      <c r="U14" s="20"/>
      <c r="V14" s="20"/>
      <c r="W14" s="20"/>
    </row>
    <row r="15" spans="1:23" x14ac:dyDescent="0.2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M15" s="20"/>
      <c r="N15" s="22"/>
      <c r="O15" s="22"/>
      <c r="P15" s="20"/>
      <c r="Q15" s="20"/>
      <c r="R15" s="20"/>
      <c r="S15" s="20"/>
      <c r="T15" s="20"/>
      <c r="U15" s="20"/>
      <c r="V15" s="20"/>
      <c r="W15" s="20"/>
    </row>
    <row r="16" spans="1:23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M16" s="20"/>
      <c r="N16" s="22"/>
      <c r="O16" s="22"/>
      <c r="P16" s="20"/>
      <c r="Q16" s="20"/>
      <c r="R16" s="20"/>
      <c r="S16" s="20"/>
      <c r="T16" s="20"/>
      <c r="U16" s="20"/>
      <c r="V16" s="20"/>
      <c r="W16" s="20"/>
    </row>
    <row r="17" spans="1:23" x14ac:dyDescent="0.2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M17" s="20"/>
      <c r="N17" s="22"/>
      <c r="O17" s="22"/>
      <c r="P17" s="20"/>
      <c r="Q17" s="20"/>
      <c r="R17" s="20"/>
      <c r="S17" s="20"/>
      <c r="T17" s="20"/>
      <c r="U17" s="20"/>
      <c r="V17" s="20"/>
      <c r="W17" s="20"/>
    </row>
    <row r="18" spans="1:23" x14ac:dyDescent="0.2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M18" s="20"/>
      <c r="N18" s="22"/>
      <c r="O18" s="22"/>
      <c r="P18" s="20"/>
      <c r="Q18" s="20"/>
      <c r="R18" s="20"/>
      <c r="S18" s="20"/>
      <c r="T18" s="20"/>
      <c r="U18" s="20"/>
      <c r="V18" s="20"/>
      <c r="W18" s="20"/>
    </row>
    <row r="19" spans="1:23" x14ac:dyDescent="0.2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M19" s="20"/>
      <c r="N19" s="22"/>
      <c r="O19" s="22"/>
      <c r="P19" s="20"/>
      <c r="Q19" s="20"/>
      <c r="R19" s="20"/>
      <c r="S19" s="20"/>
      <c r="T19" s="20"/>
      <c r="U19" s="20"/>
      <c r="V19" s="20"/>
      <c r="W19" s="20"/>
    </row>
    <row r="20" spans="1:23" x14ac:dyDescent="0.2">
      <c r="E20" s="20"/>
      <c r="H20" s="20"/>
      <c r="I20" s="20"/>
      <c r="J20" s="20"/>
      <c r="K20" s="20"/>
      <c r="M20" s="20"/>
      <c r="N20" s="22"/>
      <c r="O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 x14ac:dyDescent="0.2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6</v>
      </c>
      <c r="J1" s="21" t="s">
        <v>7</v>
      </c>
      <c r="K1" s="21" t="s">
        <v>86</v>
      </c>
      <c r="L1" s="21" t="s">
        <v>8</v>
      </c>
      <c r="M1" s="21" t="s">
        <v>589</v>
      </c>
      <c r="N1" s="21" t="s">
        <v>79</v>
      </c>
      <c r="O1" s="173" t="s">
        <v>590</v>
      </c>
      <c r="P1" s="21" t="s">
        <v>80</v>
      </c>
      <c r="Q1" s="21" t="s">
        <v>11</v>
      </c>
      <c r="R1" s="164" t="s">
        <v>591</v>
      </c>
      <c r="S1" s="21" t="s">
        <v>592</v>
      </c>
      <c r="T1" s="21" t="s">
        <v>17</v>
      </c>
      <c r="U1" s="158" t="s">
        <v>18</v>
      </c>
      <c r="V1" s="164" t="s">
        <v>19</v>
      </c>
      <c r="W1" s="21" t="s">
        <v>20</v>
      </c>
      <c r="X1" s="160" t="s">
        <v>24</v>
      </c>
      <c r="Y1" s="160" t="s">
        <v>25</v>
      </c>
    </row>
    <row r="2" spans="1:25" x14ac:dyDescent="0.2">
      <c r="A2" s="29">
        <v>233</v>
      </c>
      <c r="B2" s="22">
        <v>233</v>
      </c>
      <c r="C2" s="22" t="s">
        <v>137</v>
      </c>
      <c r="D2" s="22" t="s">
        <v>138</v>
      </c>
      <c r="E2" s="20" t="s">
        <v>89</v>
      </c>
      <c r="F2" s="22" t="s">
        <v>593</v>
      </c>
      <c r="G2" s="22" t="s">
        <v>594</v>
      </c>
      <c r="H2" s="20" t="s">
        <v>92</v>
      </c>
      <c r="I2" s="20" t="s">
        <v>30</v>
      </c>
      <c r="J2" s="20" t="s">
        <v>30</v>
      </c>
      <c r="K2" s="22" t="s">
        <v>94</v>
      </c>
      <c r="L2" s="20" t="s">
        <v>31</v>
      </c>
      <c r="M2" s="23" t="s">
        <v>292</v>
      </c>
      <c r="N2" s="22" t="s">
        <v>107</v>
      </c>
      <c r="O2" s="174" t="s">
        <v>595</v>
      </c>
      <c r="P2" s="22" t="s">
        <v>96</v>
      </c>
      <c r="Q2" s="20" t="s">
        <v>34</v>
      </c>
      <c r="R2" s="172">
        <v>58000</v>
      </c>
      <c r="S2" s="156">
        <v>1</v>
      </c>
      <c r="T2" s="155">
        <v>2210</v>
      </c>
      <c r="U2" s="166">
        <v>1</v>
      </c>
      <c r="V2" s="168">
        <v>19020</v>
      </c>
      <c r="W2" s="155">
        <v>420.34199999999998</v>
      </c>
      <c r="X2" s="167">
        <v>1</v>
      </c>
      <c r="Y2" s="167">
        <v>4.4036732357219502E-4</v>
      </c>
    </row>
    <row r="3" spans="1:25" x14ac:dyDescent="0.2">
      <c r="A3" s="22"/>
      <c r="B3" s="22"/>
      <c r="C3" s="22"/>
      <c r="D3" s="22"/>
      <c r="E3" s="20"/>
      <c r="F3" s="22"/>
      <c r="G3" s="22"/>
      <c r="H3" s="20"/>
      <c r="I3" s="20"/>
      <c r="J3" s="20"/>
      <c r="K3" s="22"/>
      <c r="L3" s="20"/>
      <c r="M3" s="22"/>
      <c r="N3" s="22"/>
      <c r="O3" s="22"/>
      <c r="P3" s="22"/>
      <c r="Q3" s="20"/>
      <c r="R3" s="20"/>
      <c r="S3" s="20"/>
      <c r="T3" s="22"/>
      <c r="U3" s="22"/>
      <c r="V3" s="22"/>
      <c r="W3" s="22"/>
      <c r="X3" s="22"/>
      <c r="Y3" s="22"/>
    </row>
    <row r="4" spans="1:25" x14ac:dyDescent="0.2">
      <c r="A4" s="22"/>
      <c r="B4" s="22"/>
      <c r="C4" s="22"/>
      <c r="D4" s="22"/>
      <c r="E4" s="20"/>
      <c r="F4" s="22"/>
      <c r="G4" s="22"/>
      <c r="H4" s="20"/>
      <c r="I4" s="20"/>
      <c r="J4" s="20"/>
      <c r="K4" s="22"/>
      <c r="L4" s="20"/>
      <c r="M4" s="22"/>
      <c r="N4" s="22"/>
      <c r="O4" s="22"/>
      <c r="P4" s="22"/>
      <c r="Q4" s="20"/>
      <c r="R4" s="20"/>
      <c r="S4" s="20"/>
      <c r="T4" s="22"/>
      <c r="U4" s="22"/>
      <c r="V4" s="22"/>
      <c r="W4" s="22"/>
      <c r="X4" s="22"/>
      <c r="Y4" s="22"/>
    </row>
    <row r="5" spans="1:25" x14ac:dyDescent="0.2">
      <c r="A5" s="22"/>
      <c r="B5" s="22"/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 x14ac:dyDescent="0.2">
      <c r="A6" s="22"/>
      <c r="B6" s="22"/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 x14ac:dyDescent="0.2">
      <c r="A7" s="22"/>
      <c r="B7" s="22"/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 x14ac:dyDescent="0.2">
      <c r="A8" s="22"/>
      <c r="B8" s="22"/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 x14ac:dyDescent="0.2">
      <c r="A9" s="22"/>
      <c r="B9" s="22"/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 x14ac:dyDescent="0.2">
      <c r="A10" s="22"/>
      <c r="B10" s="22"/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 x14ac:dyDescent="0.2">
      <c r="A11" s="29"/>
      <c r="B11" s="22"/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 x14ac:dyDescent="0.2">
      <c r="A12" s="22"/>
      <c r="B12" s="22"/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 x14ac:dyDescent="0.2">
      <c r="A13" s="22"/>
      <c r="B13" s="22"/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 x14ac:dyDescent="0.2">
      <c r="A14" s="22"/>
      <c r="B14" s="22"/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 x14ac:dyDescent="0.2">
      <c r="A15" s="22"/>
      <c r="B15" s="22"/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 x14ac:dyDescent="0.2">
      <c r="A16" s="22"/>
      <c r="B16" s="22"/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 x14ac:dyDescent="0.2">
      <c r="A17" s="22"/>
      <c r="B17" s="22"/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 x14ac:dyDescent="0.2">
      <c r="A18" s="22"/>
      <c r="B18" s="22"/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 x14ac:dyDescent="0.2">
      <c r="A19" s="22"/>
      <c r="B19" s="22"/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 x14ac:dyDescent="0.2">
      <c r="E20" s="20"/>
      <c r="H20" s="20"/>
      <c r="I20" s="20"/>
      <c r="J20" s="20"/>
      <c r="K20" s="22"/>
      <c r="L20" s="20"/>
      <c r="N20" s="22"/>
      <c r="P20" s="22"/>
    </row>
    <row r="21" spans="1:25" x14ac:dyDescent="0.2">
      <c r="H21" s="44"/>
      <c r="L21" s="44"/>
    </row>
    <row r="22" spans="1:25" x14ac:dyDescent="0.2">
      <c r="L22" s="5"/>
    </row>
    <row r="23" spans="1:25" x14ac:dyDescent="0.2">
      <c r="H23" s="41"/>
    </row>
    <row r="24" spans="1:25" x14ac:dyDescent="0.2">
      <c r="H24" s="41"/>
    </row>
    <row r="25" spans="1:25" x14ac:dyDescent="0.2">
      <c r="H25" s="41"/>
    </row>
    <row r="26" spans="1:25" x14ac:dyDescent="0.2">
      <c r="H26" s="41"/>
    </row>
    <row r="27" spans="1:25" x14ac:dyDescent="0.2">
      <c r="H27" s="41"/>
    </row>
    <row r="28" spans="1:25" x14ac:dyDescent="0.2">
      <c r="H28" s="4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 x14ac:dyDescent="0.2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79</v>
      </c>
      <c r="N1" s="21" t="s">
        <v>596</v>
      </c>
      <c r="O1" s="21" t="s">
        <v>590</v>
      </c>
      <c r="P1" s="21" t="s">
        <v>80</v>
      </c>
      <c r="Q1" s="21" t="s">
        <v>11</v>
      </c>
      <c r="R1" s="21" t="s">
        <v>591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24</v>
      </c>
      <c r="X1" s="21" t="s">
        <v>25</v>
      </c>
    </row>
    <row r="2" spans="1:24" x14ac:dyDescent="0.2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0"/>
      <c r="M2" s="22"/>
      <c r="N2" s="22"/>
      <c r="O2" s="22"/>
      <c r="P2" s="22"/>
      <c r="Q2" s="20"/>
      <c r="R2" s="20"/>
      <c r="S2" s="22"/>
      <c r="T2" s="22"/>
      <c r="U2" s="22"/>
      <c r="V2" s="22"/>
      <c r="W2" s="22"/>
      <c r="X2" s="22"/>
    </row>
    <row r="3" spans="1:24" x14ac:dyDescent="0.2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0"/>
      <c r="M3" s="22"/>
      <c r="N3" s="22"/>
      <c r="O3" s="22"/>
      <c r="P3" s="22"/>
      <c r="Q3" s="20"/>
      <c r="R3" s="20"/>
      <c r="S3" s="22"/>
      <c r="T3" s="22"/>
      <c r="U3" s="22"/>
      <c r="V3" s="22"/>
      <c r="W3" s="22"/>
      <c r="X3" s="22"/>
    </row>
    <row r="4" spans="1:24" x14ac:dyDescent="0.2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0"/>
      <c r="M4" s="22"/>
      <c r="N4" s="22"/>
      <c r="O4" s="22"/>
      <c r="P4" s="22"/>
      <c r="Q4" s="20"/>
      <c r="R4" s="20"/>
      <c r="S4" s="22"/>
      <c r="T4" s="22"/>
      <c r="U4" s="22"/>
      <c r="V4" s="22"/>
      <c r="W4" s="22"/>
      <c r="X4" s="22"/>
    </row>
    <row r="5" spans="1:24" x14ac:dyDescent="0.2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0"/>
      <c r="M5" s="22"/>
      <c r="N5" s="22"/>
      <c r="O5" s="22"/>
      <c r="P5" s="22"/>
      <c r="Q5" s="20"/>
      <c r="R5" s="20"/>
      <c r="S5" s="22"/>
      <c r="T5" s="22"/>
      <c r="U5" s="22"/>
      <c r="V5" s="22"/>
      <c r="W5" s="22"/>
      <c r="X5" s="22"/>
    </row>
    <row r="6" spans="1:24" x14ac:dyDescent="0.2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2"/>
    </row>
    <row r="7" spans="1:24" x14ac:dyDescent="0.2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2"/>
      <c r="P7" s="22"/>
      <c r="Q7" s="20"/>
      <c r="R7" s="20"/>
      <c r="S7" s="22"/>
      <c r="T7" s="22"/>
      <c r="U7" s="22"/>
      <c r="V7" s="22"/>
      <c r="W7" s="22"/>
      <c r="X7" s="22"/>
    </row>
    <row r="8" spans="1:24" x14ac:dyDescent="0.2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 x14ac:dyDescent="0.2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 x14ac:dyDescent="0.2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 x14ac:dyDescent="0.2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 x14ac:dyDescent="0.2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 x14ac:dyDescent="0.2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 x14ac:dyDescent="0.2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 x14ac:dyDescent="0.2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 x14ac:dyDescent="0.2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 x14ac:dyDescent="0.2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 x14ac:dyDescent="0.2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 x14ac:dyDescent="0.2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 x14ac:dyDescent="0.2">
      <c r="E20" s="20"/>
      <c r="H20" s="20"/>
      <c r="I20" s="22"/>
      <c r="J20" s="20"/>
      <c r="K20" s="20"/>
      <c r="L20" s="20"/>
      <c r="M20" s="22"/>
      <c r="P20" s="22"/>
    </row>
    <row r="21" spans="1:24" s="41" customFormat="1" x14ac:dyDescent="0.2">
      <c r="E21" s="40"/>
      <c r="H21" s="44"/>
      <c r="L21" s="44"/>
    </row>
    <row r="22" spans="1:24" x14ac:dyDescent="0.2">
      <c r="L22" s="5"/>
    </row>
    <row r="23" spans="1:24" x14ac:dyDescent="0.2">
      <c r="H23" s="41"/>
    </row>
    <row r="24" spans="1:24" x14ac:dyDescent="0.2">
      <c r="H24" s="41"/>
    </row>
    <row r="25" spans="1:24" x14ac:dyDescent="0.2">
      <c r="H25" s="41"/>
    </row>
    <row r="26" spans="1:24" x14ac:dyDescent="0.2">
      <c r="H26" s="41"/>
    </row>
    <row r="27" spans="1:24" x14ac:dyDescent="0.2">
      <c r="H27" s="41"/>
    </row>
    <row r="30" spans="1:24" x14ac:dyDescent="0.2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 x14ac:dyDescent="0.2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6</v>
      </c>
      <c r="J1" s="21" t="s">
        <v>7</v>
      </c>
      <c r="K1" s="21" t="s">
        <v>8</v>
      </c>
      <c r="L1" s="21" t="s">
        <v>596</v>
      </c>
      <c r="M1" s="21" t="s">
        <v>80</v>
      </c>
      <c r="N1" s="21" t="s">
        <v>11</v>
      </c>
      <c r="O1" s="21" t="s">
        <v>17</v>
      </c>
      <c r="P1" s="21" t="s">
        <v>18</v>
      </c>
      <c r="Q1" s="21" t="s">
        <v>19</v>
      </c>
      <c r="R1" s="21" t="s">
        <v>20</v>
      </c>
      <c r="S1" s="21" t="s">
        <v>24</v>
      </c>
      <c r="T1" s="21" t="s">
        <v>25</v>
      </c>
    </row>
    <row r="2" spans="1:20" x14ac:dyDescent="0.2">
      <c r="A2" s="22"/>
      <c r="B2" s="22"/>
      <c r="E2" s="20"/>
      <c r="F2" s="22"/>
      <c r="G2" s="22"/>
      <c r="H2" s="20"/>
      <c r="I2" s="20"/>
      <c r="J2" s="20"/>
      <c r="K2" s="20"/>
      <c r="L2" s="23"/>
      <c r="M2" s="22"/>
      <c r="N2" s="20"/>
      <c r="O2" s="22"/>
      <c r="P2" s="22"/>
      <c r="Q2" s="22"/>
      <c r="R2" s="22"/>
      <c r="S2" s="22"/>
      <c r="T2" s="22"/>
    </row>
    <row r="3" spans="1:20" x14ac:dyDescent="0.2">
      <c r="A3" s="22"/>
      <c r="B3" s="22"/>
      <c r="E3" s="20"/>
      <c r="F3" s="22"/>
      <c r="G3" s="22"/>
      <c r="H3" s="20"/>
      <c r="I3" s="20"/>
      <c r="J3" s="20"/>
      <c r="K3" s="20"/>
      <c r="L3" s="23"/>
      <c r="M3" s="22"/>
      <c r="N3" s="20"/>
      <c r="O3" s="22"/>
      <c r="P3" s="22"/>
      <c r="Q3" s="22"/>
      <c r="R3" s="22"/>
      <c r="S3" s="22"/>
      <c r="T3" s="22"/>
    </row>
    <row r="4" spans="1:20" x14ac:dyDescent="0.2">
      <c r="A4" s="22"/>
      <c r="B4" s="22"/>
      <c r="E4" s="20"/>
      <c r="F4" s="22"/>
      <c r="G4" s="22"/>
      <c r="H4" s="20"/>
      <c r="I4" s="20"/>
      <c r="J4" s="20"/>
      <c r="K4" s="20"/>
      <c r="L4" s="23"/>
      <c r="M4" s="22"/>
      <c r="N4" s="20"/>
      <c r="O4" s="22"/>
      <c r="P4" s="22"/>
      <c r="Q4" s="22"/>
      <c r="R4" s="22"/>
      <c r="S4" s="22"/>
      <c r="T4" s="22"/>
    </row>
    <row r="5" spans="1:20" x14ac:dyDescent="0.2">
      <c r="A5" s="22"/>
      <c r="B5" s="22"/>
      <c r="E5" s="20"/>
      <c r="F5" s="22"/>
      <c r="G5" s="22"/>
      <c r="H5" s="20"/>
      <c r="I5" s="20"/>
      <c r="J5" s="20"/>
      <c r="K5" s="20"/>
      <c r="L5" s="23"/>
      <c r="M5" s="22"/>
      <c r="N5" s="20"/>
      <c r="O5" s="22"/>
      <c r="P5" s="22"/>
      <c r="Q5" s="22"/>
      <c r="R5" s="22"/>
      <c r="S5" s="22"/>
      <c r="T5" s="22"/>
    </row>
    <row r="6" spans="1:20" x14ac:dyDescent="0.2">
      <c r="A6" s="22"/>
      <c r="B6" s="22"/>
      <c r="E6" s="20"/>
      <c r="F6" s="22"/>
      <c r="G6" s="22"/>
      <c r="H6" s="20"/>
      <c r="I6" s="20"/>
      <c r="J6" s="20"/>
      <c r="K6" s="20"/>
      <c r="L6" s="23"/>
      <c r="M6" s="22"/>
      <c r="N6" s="20"/>
      <c r="O6" s="22"/>
      <c r="P6" s="22"/>
      <c r="Q6" s="22"/>
      <c r="R6" s="22"/>
      <c r="S6" s="22"/>
      <c r="T6" s="22"/>
    </row>
    <row r="7" spans="1:20" x14ac:dyDescent="0.2">
      <c r="A7" s="22"/>
      <c r="B7" s="22"/>
      <c r="E7" s="20"/>
      <c r="F7" s="22"/>
      <c r="G7" s="22"/>
      <c r="H7" s="20"/>
      <c r="I7" s="20"/>
      <c r="J7" s="20"/>
      <c r="K7" s="20"/>
      <c r="L7" s="23"/>
      <c r="M7" s="22"/>
      <c r="N7" s="20"/>
      <c r="O7" s="22"/>
      <c r="P7" s="22"/>
      <c r="Q7" s="22"/>
      <c r="R7" s="22"/>
      <c r="S7" s="22"/>
      <c r="T7" s="22"/>
    </row>
    <row r="8" spans="1:20" x14ac:dyDescent="0.2">
      <c r="A8" s="22"/>
      <c r="B8" s="22"/>
      <c r="E8" s="20"/>
      <c r="F8" s="22"/>
      <c r="G8" s="22"/>
      <c r="H8" s="20"/>
      <c r="I8" s="20"/>
      <c r="J8" s="20"/>
      <c r="K8" s="20"/>
      <c r="L8" s="23"/>
      <c r="M8" s="22"/>
      <c r="N8" s="20"/>
      <c r="O8" s="22"/>
      <c r="P8" s="22"/>
      <c r="Q8" s="22"/>
      <c r="R8" s="22"/>
      <c r="S8" s="22"/>
      <c r="T8" s="22"/>
    </row>
    <row r="9" spans="1:20" x14ac:dyDescent="0.2">
      <c r="A9" s="22"/>
      <c r="B9" s="22"/>
      <c r="E9" s="20"/>
      <c r="F9" s="22"/>
      <c r="G9" s="22"/>
      <c r="H9" s="20"/>
      <c r="I9" s="20"/>
      <c r="J9" s="20"/>
      <c r="K9" s="20"/>
      <c r="L9" s="23"/>
      <c r="M9" s="22"/>
      <c r="N9" s="20"/>
      <c r="O9" s="22"/>
      <c r="P9" s="22"/>
      <c r="Q9" s="22"/>
      <c r="R9" s="22"/>
      <c r="S9" s="22"/>
      <c r="T9" s="22"/>
    </row>
    <row r="10" spans="1:20" x14ac:dyDescent="0.2">
      <c r="A10" s="22"/>
      <c r="B10" s="22"/>
      <c r="E10" s="20"/>
      <c r="F10" s="22"/>
      <c r="G10" s="22"/>
      <c r="H10" s="20"/>
      <c r="I10" s="20"/>
      <c r="J10" s="20"/>
      <c r="K10" s="20"/>
      <c r="L10" s="23"/>
      <c r="M10" s="22"/>
      <c r="N10" s="20"/>
      <c r="O10" s="22"/>
      <c r="P10" s="22"/>
      <c r="Q10" s="22"/>
      <c r="R10" s="22"/>
      <c r="S10" s="22"/>
      <c r="T10" s="22"/>
    </row>
    <row r="11" spans="1:20" x14ac:dyDescent="0.2">
      <c r="A11" s="22"/>
      <c r="B11" s="22"/>
      <c r="E11" s="20"/>
      <c r="F11" s="22"/>
      <c r="G11" s="22"/>
      <c r="H11" s="20"/>
      <c r="I11" s="20"/>
      <c r="J11" s="20"/>
      <c r="K11" s="20"/>
      <c r="L11" s="23"/>
      <c r="M11" s="22"/>
      <c r="N11" s="20"/>
      <c r="O11" s="22"/>
      <c r="P11" s="22"/>
      <c r="Q11" s="22"/>
      <c r="R11" s="22"/>
      <c r="S11" s="22"/>
      <c r="T11" s="22"/>
    </row>
    <row r="12" spans="1:20" x14ac:dyDescent="0.2">
      <c r="A12" s="22"/>
      <c r="B12" s="22"/>
      <c r="E12" s="20"/>
      <c r="F12" s="22"/>
      <c r="G12" s="22"/>
      <c r="H12" s="20"/>
      <c r="I12" s="20"/>
      <c r="J12" s="20"/>
      <c r="K12" s="20"/>
      <c r="L12" s="23"/>
      <c r="M12" s="22"/>
      <c r="N12" s="20"/>
      <c r="O12" s="22"/>
      <c r="P12" s="22"/>
      <c r="Q12" s="22"/>
      <c r="R12" s="22"/>
      <c r="S12" s="22"/>
      <c r="T12" s="22"/>
    </row>
    <row r="13" spans="1:20" x14ac:dyDescent="0.2">
      <c r="A13" s="22"/>
      <c r="B13" s="22"/>
      <c r="E13" s="20"/>
      <c r="F13" s="22"/>
      <c r="G13" s="22"/>
      <c r="H13" s="20"/>
      <c r="I13" s="20"/>
      <c r="J13" s="20"/>
      <c r="K13" s="20"/>
      <c r="L13" s="23"/>
      <c r="M13" s="22"/>
      <c r="N13" s="20"/>
      <c r="O13" s="22"/>
      <c r="P13" s="22"/>
      <c r="Q13" s="22"/>
      <c r="R13" s="22"/>
      <c r="S13" s="22"/>
      <c r="T13" s="22"/>
    </row>
    <row r="14" spans="1:20" x14ac:dyDescent="0.2">
      <c r="A14" s="22"/>
      <c r="B14" s="22"/>
      <c r="E14" s="20"/>
      <c r="F14" s="22"/>
      <c r="G14" s="22"/>
      <c r="H14" s="20"/>
      <c r="I14" s="20"/>
      <c r="J14" s="20"/>
      <c r="K14" s="20"/>
      <c r="L14" s="23"/>
      <c r="M14" s="22"/>
      <c r="N14" s="20"/>
      <c r="O14" s="22"/>
      <c r="P14" s="22"/>
      <c r="Q14" s="22"/>
      <c r="R14" s="22"/>
      <c r="S14" s="22"/>
      <c r="T14" s="22"/>
    </row>
    <row r="15" spans="1:20" x14ac:dyDescent="0.2">
      <c r="A15" s="22"/>
      <c r="B15" s="22"/>
      <c r="E15" s="20"/>
      <c r="F15" s="22"/>
      <c r="G15" s="22"/>
      <c r="H15" s="20"/>
      <c r="I15" s="20"/>
      <c r="J15" s="20"/>
      <c r="K15" s="20"/>
      <c r="L15" s="23"/>
      <c r="M15" s="22"/>
      <c r="N15" s="20"/>
      <c r="O15" s="22"/>
      <c r="P15" s="22"/>
      <c r="Q15" s="22"/>
      <c r="R15" s="22"/>
      <c r="S15" s="22"/>
      <c r="T15" s="22"/>
    </row>
    <row r="16" spans="1:20" x14ac:dyDescent="0.2">
      <c r="A16" s="22"/>
      <c r="B16" s="22"/>
      <c r="E16" s="20"/>
      <c r="F16" s="22"/>
      <c r="G16" s="22"/>
      <c r="H16" s="20"/>
      <c r="I16" s="20"/>
      <c r="J16" s="20"/>
      <c r="K16" s="20"/>
      <c r="L16" s="23"/>
      <c r="M16" s="22"/>
      <c r="N16" s="20"/>
      <c r="O16" s="22"/>
      <c r="P16" s="22"/>
      <c r="Q16" s="22"/>
      <c r="R16" s="22"/>
      <c r="S16" s="22"/>
      <c r="T16" s="22"/>
    </row>
    <row r="17" spans="1:20" x14ac:dyDescent="0.2">
      <c r="A17" s="22"/>
      <c r="B17" s="22"/>
      <c r="E17" s="20"/>
      <c r="F17" s="22"/>
      <c r="G17" s="22"/>
      <c r="H17" s="20"/>
      <c r="I17" s="20"/>
      <c r="J17" s="20"/>
      <c r="K17" s="20"/>
      <c r="L17" s="23"/>
      <c r="M17" s="22"/>
      <c r="N17" s="20"/>
      <c r="O17" s="22"/>
      <c r="P17" s="22"/>
      <c r="Q17" s="22"/>
      <c r="R17" s="22"/>
      <c r="S17" s="22"/>
      <c r="T17" s="22"/>
    </row>
    <row r="18" spans="1:20" x14ac:dyDescent="0.2">
      <c r="A18" s="22"/>
      <c r="B18" s="22"/>
      <c r="E18" s="20"/>
      <c r="F18" s="22"/>
      <c r="G18" s="22"/>
      <c r="H18" s="20"/>
      <c r="I18" s="20"/>
      <c r="J18" s="20"/>
      <c r="K18" s="20"/>
      <c r="L18" s="23"/>
      <c r="M18" s="22"/>
      <c r="N18" s="20"/>
      <c r="O18" s="22"/>
      <c r="P18" s="22"/>
      <c r="Q18" s="22"/>
      <c r="R18" s="22"/>
      <c r="S18" s="22"/>
      <c r="T18" s="22"/>
    </row>
    <row r="19" spans="1:20" x14ac:dyDescent="0.2">
      <c r="A19" s="22"/>
      <c r="B19" s="22"/>
      <c r="E19" s="20"/>
      <c r="F19" s="22"/>
      <c r="G19" s="22"/>
      <c r="H19" s="20"/>
      <c r="I19" s="20"/>
      <c r="J19" s="20"/>
      <c r="K19" s="20"/>
      <c r="L19" s="23"/>
      <c r="M19" s="22"/>
      <c r="N19" s="20"/>
      <c r="O19" s="22"/>
      <c r="P19" s="22"/>
      <c r="Q19" s="22"/>
      <c r="R19" s="22"/>
      <c r="S19" s="22"/>
      <c r="T19" s="22"/>
    </row>
    <row r="20" spans="1:20" x14ac:dyDescent="0.2">
      <c r="E20" s="20"/>
      <c r="H20" s="20"/>
      <c r="J20" s="20"/>
      <c r="K20" s="20"/>
      <c r="L20" s="23"/>
      <c r="M20" s="22"/>
    </row>
    <row r="21" spans="1:20" s="41" customFormat="1" x14ac:dyDescent="0.2">
      <c r="E21" s="40"/>
      <c r="H21" s="44"/>
      <c r="K21" s="44"/>
    </row>
    <row r="22" spans="1:20" x14ac:dyDescent="0.2">
      <c r="K22" s="5"/>
    </row>
    <row r="23" spans="1:20" x14ac:dyDescent="0.2">
      <c r="H23" s="41"/>
    </row>
    <row r="24" spans="1:20" x14ac:dyDescent="0.2">
      <c r="H24" s="41"/>
    </row>
    <row r="25" spans="1:20" x14ac:dyDescent="0.2">
      <c r="H25" s="41"/>
    </row>
    <row r="26" spans="1:20" x14ac:dyDescent="0.2">
      <c r="H26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 x14ac:dyDescent="0.2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86</v>
      </c>
      <c r="M1" s="21" t="s">
        <v>8</v>
      </c>
      <c r="N1" s="21" t="s">
        <v>596</v>
      </c>
      <c r="O1" s="21" t="s">
        <v>80</v>
      </c>
      <c r="P1" s="21" t="s">
        <v>12</v>
      </c>
      <c r="Q1" s="21" t="s">
        <v>14</v>
      </c>
      <c r="R1" s="21" t="s">
        <v>15</v>
      </c>
      <c r="S1" s="21" t="s">
        <v>9</v>
      </c>
      <c r="T1" s="21" t="s">
        <v>10</v>
      </c>
      <c r="U1" s="21" t="s">
        <v>81</v>
      </c>
      <c r="V1" s="21" t="s">
        <v>11</v>
      </c>
      <c r="W1" s="21" t="s">
        <v>17</v>
      </c>
      <c r="X1" s="21" t="s">
        <v>18</v>
      </c>
      <c r="Y1" s="21" t="s">
        <v>19</v>
      </c>
      <c r="Z1" s="21" t="s">
        <v>20</v>
      </c>
      <c r="AA1" s="21" t="s">
        <v>24</v>
      </c>
      <c r="AB1" s="21" t="s">
        <v>25</v>
      </c>
    </row>
    <row r="2" spans="1:28" x14ac:dyDescent="0.2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0"/>
      <c r="N2" s="23"/>
      <c r="O2" s="22"/>
      <c r="P2" s="22"/>
      <c r="Q2" s="22"/>
      <c r="R2" s="22"/>
      <c r="S2" s="22"/>
      <c r="T2" s="22"/>
      <c r="U2" s="22"/>
      <c r="V2" s="20"/>
      <c r="W2" s="22"/>
      <c r="X2" s="22"/>
      <c r="Y2" s="22"/>
      <c r="Z2" s="22"/>
      <c r="AA2" s="22"/>
      <c r="AB2" s="22"/>
    </row>
    <row r="3" spans="1:28" x14ac:dyDescent="0.2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0"/>
      <c r="N3" s="23"/>
      <c r="O3" s="22"/>
      <c r="P3" s="22"/>
      <c r="Q3" s="22"/>
      <c r="R3" s="22"/>
      <c r="S3" s="22"/>
      <c r="T3" s="22"/>
      <c r="U3" s="22"/>
      <c r="V3" s="20"/>
      <c r="W3" s="22"/>
      <c r="X3" s="22"/>
      <c r="Y3" s="22"/>
      <c r="Z3" s="22"/>
      <c r="AA3" s="22"/>
      <c r="AB3" s="22"/>
    </row>
    <row r="4" spans="1:28" x14ac:dyDescent="0.2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3"/>
      <c r="O4" s="22"/>
      <c r="P4" s="22"/>
      <c r="Q4" s="22"/>
      <c r="R4" s="22"/>
      <c r="S4" s="22"/>
      <c r="T4" s="22"/>
      <c r="U4" s="22"/>
      <c r="V4" s="20"/>
      <c r="W4" s="22"/>
      <c r="X4" s="22"/>
      <c r="Y4" s="22"/>
      <c r="Z4" s="22"/>
      <c r="AA4" s="22"/>
      <c r="AB4" s="22"/>
    </row>
    <row r="5" spans="1:28" x14ac:dyDescent="0.2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3"/>
      <c r="O5" s="22"/>
      <c r="P5" s="22"/>
      <c r="Q5" s="22"/>
      <c r="R5" s="22"/>
      <c r="S5" s="22"/>
      <c r="T5" s="22"/>
      <c r="U5" s="22"/>
      <c r="V5" s="20"/>
      <c r="W5" s="22"/>
      <c r="X5" s="22"/>
      <c r="Y5" s="22"/>
      <c r="Z5" s="22"/>
      <c r="AA5" s="22"/>
      <c r="AB5" s="22"/>
    </row>
    <row r="6" spans="1:28" x14ac:dyDescent="0.2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3"/>
      <c r="O6" s="22"/>
      <c r="P6" s="22"/>
      <c r="Q6" s="22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 x14ac:dyDescent="0.2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3"/>
      <c r="O7" s="22"/>
      <c r="P7" s="22"/>
      <c r="Q7" s="22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 x14ac:dyDescent="0.2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3"/>
      <c r="O8" s="22"/>
      <c r="P8" s="22"/>
      <c r="Q8" s="22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 x14ac:dyDescent="0.2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3"/>
      <c r="O9" s="22"/>
      <c r="P9" s="22"/>
      <c r="Q9" s="22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 x14ac:dyDescent="0.2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3"/>
      <c r="O10" s="22"/>
      <c r="P10" s="22"/>
      <c r="Q10" s="22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 x14ac:dyDescent="0.2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3"/>
      <c r="O11" s="22"/>
      <c r="P11" s="22"/>
      <c r="Q11" s="22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 x14ac:dyDescent="0.2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3"/>
      <c r="O12" s="22"/>
      <c r="P12" s="22"/>
      <c r="Q12" s="22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 x14ac:dyDescent="0.2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3"/>
      <c r="O13" s="22"/>
      <c r="P13" s="22"/>
      <c r="Q13" s="22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 x14ac:dyDescent="0.2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3"/>
      <c r="O14" s="22"/>
      <c r="P14" s="22"/>
      <c r="Q14" s="22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 x14ac:dyDescent="0.2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3"/>
      <c r="O15" s="22"/>
      <c r="P15" s="22"/>
      <c r="Q15" s="22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 x14ac:dyDescent="0.2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3"/>
      <c r="O16" s="22"/>
      <c r="P16" s="22"/>
      <c r="Q16" s="22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 x14ac:dyDescent="0.2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3"/>
      <c r="O17" s="22"/>
      <c r="P17" s="22"/>
      <c r="Q17" s="22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 x14ac:dyDescent="0.2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3"/>
      <c r="O18" s="22"/>
      <c r="P18" s="22"/>
      <c r="Q18" s="22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 x14ac:dyDescent="0.2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3"/>
      <c r="O19" s="22"/>
      <c r="P19" s="22"/>
      <c r="Q19" s="22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 x14ac:dyDescent="0.2">
      <c r="E20" s="20"/>
      <c r="H20" s="20"/>
      <c r="I20" s="22"/>
      <c r="J20" s="20"/>
      <c r="K20" s="20"/>
      <c r="L20" s="22"/>
      <c r="M20" s="20"/>
      <c r="N20" s="23"/>
      <c r="O20" s="22"/>
      <c r="T20" s="22"/>
      <c r="U20" s="22"/>
    </row>
    <row r="21" spans="1:28" s="41" customFormat="1" x14ac:dyDescent="0.2">
      <c r="E21" s="40"/>
      <c r="H21" s="44"/>
      <c r="M21" s="44"/>
      <c r="N21" s="23"/>
    </row>
    <row r="22" spans="1:28" x14ac:dyDescent="0.2">
      <c r="M22" s="5"/>
    </row>
    <row r="23" spans="1:28" x14ac:dyDescent="0.2">
      <c r="H23" s="41"/>
    </row>
    <row r="24" spans="1:28" x14ac:dyDescent="0.2">
      <c r="H24" s="41"/>
    </row>
    <row r="25" spans="1:28" x14ac:dyDescent="0.2">
      <c r="H25" s="41"/>
    </row>
    <row r="26" spans="1:28" x14ac:dyDescent="0.2">
      <c r="H26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 x14ac:dyDescent="0.2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78</v>
      </c>
      <c r="G1" s="21" t="s">
        <v>5</v>
      </c>
      <c r="H1" s="21" t="s">
        <v>6</v>
      </c>
      <c r="I1" s="21" t="s">
        <v>7</v>
      </c>
      <c r="J1" s="21" t="s">
        <v>597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5" x14ac:dyDescent="0.2">
      <c r="A2" s="22"/>
      <c r="B2" s="22"/>
      <c r="C2" s="22"/>
      <c r="D2" s="22"/>
      <c r="E2" s="22"/>
      <c r="F2" s="22"/>
      <c r="G2" s="22"/>
      <c r="H2" s="30"/>
      <c r="I2" s="20"/>
      <c r="J2" s="22"/>
      <c r="K2" s="39"/>
      <c r="L2" s="23"/>
      <c r="M2" s="30"/>
      <c r="N2" s="22"/>
      <c r="O2" s="22"/>
      <c r="P2" s="22"/>
      <c r="Q2" s="22"/>
      <c r="R2" s="22"/>
      <c r="S2" s="23"/>
      <c r="T2" s="22"/>
      <c r="U2" s="22"/>
      <c r="V2" s="22"/>
      <c r="W2" s="20"/>
      <c r="X2" s="22"/>
      <c r="Y2" s="22"/>
    </row>
    <row r="3" spans="1:25" x14ac:dyDescent="0.2">
      <c r="A3" s="22"/>
      <c r="B3" s="22"/>
      <c r="C3" s="22"/>
      <c r="D3" s="22"/>
      <c r="E3" s="22"/>
      <c r="F3" s="22"/>
      <c r="G3" s="22"/>
      <c r="H3" s="30"/>
      <c r="I3" s="20"/>
      <c r="J3" s="22"/>
      <c r="K3" s="22"/>
      <c r="L3" s="23"/>
      <c r="M3" s="20"/>
      <c r="N3" s="22"/>
      <c r="O3" s="22"/>
      <c r="P3" s="22"/>
      <c r="Q3" s="22"/>
      <c r="R3" s="22"/>
      <c r="S3" s="22"/>
      <c r="T3" s="22"/>
      <c r="U3" s="22"/>
      <c r="V3" s="22"/>
      <c r="W3" s="20"/>
      <c r="X3" s="22"/>
      <c r="Y3" s="22"/>
    </row>
    <row r="4" spans="1:25" x14ac:dyDescent="0.2">
      <c r="A4" s="22"/>
      <c r="B4" s="22"/>
      <c r="C4" s="22"/>
      <c r="D4" s="22"/>
      <c r="E4" s="22"/>
      <c r="F4" s="22"/>
      <c r="G4" s="22"/>
      <c r="H4" s="30"/>
      <c r="I4" s="20"/>
      <c r="J4" s="22"/>
      <c r="K4" s="22"/>
      <c r="L4" s="23"/>
      <c r="M4" s="20"/>
      <c r="N4" s="22"/>
      <c r="O4" s="22"/>
      <c r="P4" s="22"/>
      <c r="Q4" s="22"/>
      <c r="R4" s="22"/>
      <c r="S4" s="22"/>
      <c r="T4" s="22"/>
      <c r="U4" s="22"/>
      <c r="V4" s="22"/>
      <c r="W4" s="20"/>
      <c r="X4" s="22"/>
      <c r="Y4" s="22"/>
    </row>
    <row r="5" spans="1:25" x14ac:dyDescent="0.2">
      <c r="A5" s="22"/>
      <c r="B5" s="22"/>
      <c r="C5" s="22"/>
      <c r="D5" s="22"/>
      <c r="E5" s="22"/>
      <c r="F5" s="22"/>
      <c r="G5" s="22"/>
      <c r="H5" s="30"/>
      <c r="I5" s="20"/>
      <c r="J5" s="22"/>
      <c r="K5" s="20"/>
      <c r="L5" s="23"/>
      <c r="N5" s="22"/>
      <c r="O5" s="22"/>
      <c r="P5" s="20"/>
      <c r="Q5" s="20"/>
      <c r="R5" s="22"/>
      <c r="T5" s="22"/>
      <c r="U5" s="22"/>
      <c r="V5" s="22"/>
      <c r="W5" s="22"/>
      <c r="X5" s="22"/>
      <c r="Y5" s="22"/>
    </row>
    <row r="6" spans="1:25" x14ac:dyDescent="0.2">
      <c r="A6" s="22"/>
      <c r="B6" s="22"/>
      <c r="C6" s="22"/>
      <c r="D6" s="22"/>
      <c r="E6" s="22"/>
      <c r="F6" s="22"/>
      <c r="G6" s="22"/>
      <c r="H6" s="30"/>
      <c r="I6" s="20"/>
      <c r="J6" s="22"/>
      <c r="K6" s="22"/>
      <c r="L6" s="23"/>
      <c r="M6" s="20"/>
      <c r="N6" s="22"/>
      <c r="O6" s="22"/>
      <c r="P6" s="22"/>
      <c r="Q6" s="22"/>
      <c r="R6" s="22"/>
      <c r="S6" s="22"/>
      <c r="T6" s="22"/>
      <c r="U6" s="22"/>
      <c r="V6" s="22"/>
      <c r="W6" s="20"/>
      <c r="X6" s="22"/>
      <c r="Y6" s="22"/>
    </row>
    <row r="7" spans="1:25" x14ac:dyDescent="0.2">
      <c r="A7" s="22"/>
      <c r="B7" s="22"/>
      <c r="C7" s="22"/>
      <c r="D7" s="22"/>
      <c r="E7" s="22"/>
      <c r="F7" s="22"/>
      <c r="G7" s="22"/>
      <c r="H7" s="30"/>
      <c r="I7" s="20"/>
      <c r="J7" s="22"/>
      <c r="K7" s="22"/>
      <c r="L7" s="23"/>
      <c r="M7" s="20"/>
      <c r="N7" s="22"/>
      <c r="O7" s="22"/>
      <c r="P7" s="22"/>
      <c r="Q7" s="22"/>
      <c r="R7" s="22"/>
      <c r="S7" s="22"/>
      <c r="T7" s="22"/>
      <c r="U7" s="22"/>
      <c r="V7" s="22"/>
      <c r="W7" s="20"/>
      <c r="X7" s="22"/>
      <c r="Y7" s="22"/>
    </row>
    <row r="8" spans="1:25" x14ac:dyDescent="0.2">
      <c r="A8" s="22"/>
      <c r="B8" s="22"/>
      <c r="C8" s="22"/>
      <c r="D8" s="22"/>
      <c r="E8" s="22"/>
      <c r="F8" s="22"/>
      <c r="G8" s="22"/>
      <c r="H8" s="30"/>
      <c r="I8" s="20"/>
      <c r="J8" s="22"/>
      <c r="K8" s="22"/>
      <c r="L8" s="23"/>
      <c r="M8" s="20"/>
      <c r="N8" s="22"/>
      <c r="O8" s="22"/>
      <c r="P8" s="22"/>
      <c r="Q8" s="22"/>
      <c r="R8" s="22"/>
      <c r="S8" s="22"/>
      <c r="T8" s="22"/>
      <c r="U8" s="22"/>
      <c r="V8" s="22"/>
      <c r="W8" s="20"/>
      <c r="X8" s="22"/>
      <c r="Y8" s="22"/>
    </row>
    <row r="9" spans="1:25" x14ac:dyDescent="0.2">
      <c r="A9" s="22"/>
      <c r="B9" s="22"/>
      <c r="C9" s="22"/>
      <c r="D9" s="22"/>
      <c r="E9" s="22"/>
      <c r="F9" s="22"/>
      <c r="G9" s="22"/>
      <c r="H9" s="30"/>
      <c r="I9" s="20"/>
      <c r="J9" s="22"/>
      <c r="K9" s="22"/>
      <c r="L9" s="23"/>
      <c r="M9" s="20"/>
      <c r="N9" s="22"/>
      <c r="O9" s="22"/>
      <c r="P9" s="22"/>
      <c r="Q9" s="22"/>
      <c r="R9" s="22"/>
      <c r="S9" s="22"/>
      <c r="T9" s="22"/>
      <c r="U9" s="22"/>
      <c r="V9" s="22"/>
      <c r="W9" s="20"/>
      <c r="X9" s="22"/>
      <c r="Y9" s="22"/>
    </row>
    <row r="10" spans="1:25" x14ac:dyDescent="0.2">
      <c r="A10" s="22"/>
      <c r="B10" s="22"/>
      <c r="C10" s="22"/>
      <c r="D10" s="22"/>
      <c r="E10" s="22"/>
      <c r="F10" s="22"/>
      <c r="G10" s="22"/>
      <c r="H10" s="30"/>
      <c r="I10" s="20"/>
      <c r="J10" s="22"/>
      <c r="K10" s="22"/>
      <c r="L10" s="23"/>
      <c r="M10" s="20"/>
      <c r="N10" s="22"/>
      <c r="O10" s="22"/>
      <c r="P10" s="22"/>
      <c r="Q10" s="22"/>
      <c r="R10" s="22"/>
      <c r="S10" s="22"/>
      <c r="T10" s="22"/>
      <c r="U10" s="22"/>
      <c r="V10" s="22"/>
      <c r="W10" s="20"/>
      <c r="X10" s="22"/>
      <c r="Y10" s="22"/>
    </row>
    <row r="11" spans="1:25" x14ac:dyDescent="0.2">
      <c r="A11" s="22"/>
      <c r="B11" s="22"/>
      <c r="C11" s="22"/>
      <c r="D11" s="22"/>
      <c r="E11" s="22"/>
      <c r="F11" s="22"/>
      <c r="G11" s="22"/>
      <c r="H11" s="30"/>
      <c r="I11" s="20"/>
      <c r="J11" s="22"/>
      <c r="K11" s="22"/>
      <c r="L11" s="23"/>
      <c r="M11" s="20"/>
      <c r="N11" s="22"/>
      <c r="O11" s="22"/>
      <c r="P11" s="22"/>
      <c r="Q11" s="22"/>
      <c r="R11" s="22"/>
      <c r="S11" s="22"/>
      <c r="T11" s="22"/>
      <c r="U11" s="22"/>
      <c r="V11" s="22"/>
      <c r="W11" s="20"/>
      <c r="X11" s="22"/>
      <c r="Y11" s="22"/>
    </row>
    <row r="12" spans="1:25" x14ac:dyDescent="0.2">
      <c r="A12" s="22"/>
      <c r="B12" s="22"/>
      <c r="C12" s="22"/>
      <c r="D12" s="22"/>
      <c r="E12" s="22"/>
      <c r="F12" s="22"/>
      <c r="G12" s="22"/>
      <c r="H12" s="30"/>
      <c r="I12" s="20"/>
      <c r="J12" s="22"/>
      <c r="K12" s="22"/>
      <c r="L12" s="23"/>
      <c r="M12" s="20"/>
      <c r="N12" s="22"/>
      <c r="O12" s="22"/>
      <c r="P12" s="22"/>
      <c r="Q12" s="22"/>
      <c r="R12" s="22"/>
      <c r="S12" s="22"/>
      <c r="T12" s="22"/>
      <c r="U12" s="22"/>
      <c r="V12" s="22"/>
      <c r="W12" s="20"/>
      <c r="X12" s="22"/>
      <c r="Y12" s="22"/>
    </row>
    <row r="13" spans="1:25" x14ac:dyDescent="0.2">
      <c r="A13" s="22"/>
      <c r="B13" s="22"/>
      <c r="C13" s="22"/>
      <c r="D13" s="22"/>
      <c r="E13" s="22"/>
      <c r="F13" s="22"/>
      <c r="G13" s="22"/>
      <c r="H13" s="30"/>
      <c r="I13" s="20"/>
      <c r="J13" s="22"/>
      <c r="K13" s="22"/>
      <c r="L13" s="23"/>
      <c r="M13" s="20"/>
      <c r="N13" s="22"/>
      <c r="O13" s="22"/>
      <c r="P13" s="22"/>
      <c r="Q13" s="22"/>
      <c r="R13" s="22"/>
      <c r="S13" s="22"/>
      <c r="T13" s="22"/>
      <c r="U13" s="22"/>
      <c r="V13" s="22"/>
      <c r="W13" s="20"/>
      <c r="X13" s="22"/>
      <c r="Y13" s="22"/>
    </row>
    <row r="14" spans="1:25" x14ac:dyDescent="0.2">
      <c r="A14" s="22"/>
      <c r="B14" s="22"/>
      <c r="C14" s="22"/>
      <c r="D14" s="22"/>
      <c r="E14" s="22"/>
      <c r="F14" s="22"/>
      <c r="G14" s="22"/>
      <c r="H14" s="30"/>
      <c r="I14" s="20"/>
      <c r="J14" s="22"/>
      <c r="K14" s="22"/>
      <c r="L14" s="23"/>
      <c r="M14" s="20"/>
      <c r="N14" s="22"/>
      <c r="O14" s="22"/>
      <c r="P14" s="22"/>
      <c r="Q14" s="22"/>
      <c r="R14" s="22"/>
      <c r="S14" s="22"/>
      <c r="T14" s="22"/>
      <c r="U14" s="22"/>
      <c r="V14" s="22"/>
      <c r="W14" s="20"/>
      <c r="X14" s="22"/>
      <c r="Y14" s="22"/>
    </row>
    <row r="15" spans="1:25" x14ac:dyDescent="0.2">
      <c r="A15" s="22"/>
      <c r="B15" s="22"/>
      <c r="C15" s="22"/>
      <c r="D15" s="22"/>
      <c r="E15" s="22"/>
      <c r="F15" s="22"/>
      <c r="G15" s="22"/>
      <c r="H15" s="30"/>
      <c r="I15" s="20"/>
      <c r="J15" s="22"/>
      <c r="K15" s="22"/>
      <c r="L15" s="23"/>
      <c r="M15" s="20"/>
      <c r="N15" s="22"/>
      <c r="O15" s="22"/>
      <c r="P15" s="22"/>
      <c r="Q15" s="22"/>
      <c r="R15" s="22"/>
      <c r="S15" s="22"/>
      <c r="T15" s="22"/>
      <c r="U15" s="22"/>
      <c r="V15" s="22"/>
      <c r="W15" s="20"/>
      <c r="X15" s="22"/>
      <c r="Y15" s="22"/>
    </row>
    <row r="16" spans="1:25" x14ac:dyDescent="0.2">
      <c r="A16" s="22"/>
      <c r="B16" s="22"/>
      <c r="C16" s="22"/>
      <c r="D16" s="22"/>
      <c r="E16" s="22"/>
      <c r="F16" s="22"/>
      <c r="G16" s="22"/>
      <c r="H16" s="30"/>
      <c r="I16" s="20"/>
      <c r="J16" s="22"/>
      <c r="K16" s="22"/>
      <c r="L16" s="23"/>
      <c r="M16" s="20"/>
      <c r="N16" s="22"/>
      <c r="O16" s="22"/>
      <c r="P16" s="22"/>
      <c r="Q16" s="22"/>
      <c r="R16" s="22"/>
      <c r="S16" s="22"/>
      <c r="T16" s="22"/>
      <c r="U16" s="22"/>
      <c r="V16" s="22"/>
      <c r="W16" s="20"/>
      <c r="X16" s="22"/>
      <c r="Y16" s="22"/>
    </row>
    <row r="17" spans="1:25" x14ac:dyDescent="0.2">
      <c r="A17" s="22"/>
      <c r="B17" s="22"/>
      <c r="C17" s="22"/>
      <c r="D17" s="22"/>
      <c r="E17" s="22"/>
      <c r="F17" s="22"/>
      <c r="G17" s="22"/>
      <c r="H17" s="30"/>
      <c r="I17" s="20"/>
      <c r="J17" s="22"/>
      <c r="K17" s="22"/>
      <c r="L17" s="23"/>
      <c r="M17" s="20"/>
      <c r="N17" s="22"/>
      <c r="O17" s="22"/>
      <c r="P17" s="22"/>
      <c r="Q17" s="22"/>
      <c r="R17" s="22"/>
      <c r="S17" s="22"/>
      <c r="T17" s="22"/>
      <c r="U17" s="22"/>
      <c r="V17" s="22"/>
      <c r="W17" s="20"/>
      <c r="X17" s="22"/>
      <c r="Y17" s="22"/>
    </row>
    <row r="18" spans="1:25" x14ac:dyDescent="0.2">
      <c r="A18" s="22"/>
      <c r="B18" s="22"/>
      <c r="C18" s="22"/>
      <c r="D18" s="22"/>
      <c r="E18" s="22"/>
      <c r="F18" s="22"/>
      <c r="G18" s="22"/>
      <c r="H18" s="30"/>
      <c r="I18" s="20"/>
      <c r="J18" s="22"/>
      <c r="K18" s="22"/>
      <c r="L18" s="23"/>
      <c r="M18" s="20"/>
      <c r="N18" s="22"/>
      <c r="O18" s="22"/>
      <c r="P18" s="22"/>
      <c r="Q18" s="22"/>
      <c r="R18" s="22"/>
      <c r="S18" s="22"/>
      <c r="T18" s="22"/>
      <c r="U18" s="22"/>
      <c r="V18" s="22"/>
      <c r="W18" s="20"/>
      <c r="X18" s="22"/>
      <c r="Y18" s="22"/>
    </row>
    <row r="19" spans="1:25" x14ac:dyDescent="0.2">
      <c r="A19" s="22"/>
      <c r="B19" s="22"/>
      <c r="C19" s="22"/>
      <c r="D19" s="22"/>
      <c r="E19" s="22"/>
      <c r="F19" s="22"/>
      <c r="G19" s="22"/>
      <c r="H19" s="30"/>
      <c r="I19" s="20"/>
      <c r="J19" s="22"/>
      <c r="K19" s="22"/>
      <c r="L19" s="23"/>
      <c r="M19" s="20"/>
      <c r="N19" s="22"/>
      <c r="O19" s="22"/>
      <c r="P19" s="22"/>
      <c r="Q19" s="22"/>
      <c r="R19" s="22"/>
      <c r="S19" s="22"/>
      <c r="T19" s="22"/>
      <c r="U19" s="22"/>
      <c r="V19" s="22"/>
      <c r="W19" s="20"/>
      <c r="X19" s="22"/>
      <c r="Y19" s="22"/>
    </row>
    <row r="20" spans="1:25" x14ac:dyDescent="0.2">
      <c r="F20" s="22"/>
      <c r="G20" s="22"/>
      <c r="H20" s="30"/>
      <c r="I20" s="20"/>
      <c r="L20" s="23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E28" sqref="E28"/>
    </sheetView>
  </sheetViews>
  <sheetFormatPr defaultColWidth="0" defaultRowHeight="14.25" x14ac:dyDescent="0.2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 x14ac:dyDescent="0.2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597</v>
      </c>
      <c r="G1" s="21" t="s">
        <v>12</v>
      </c>
      <c r="H1" s="21" t="s">
        <v>598</v>
      </c>
      <c r="I1" s="21" t="s">
        <v>13</v>
      </c>
      <c r="J1" s="21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</row>
    <row r="2" spans="1:18" x14ac:dyDescent="0.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0"/>
      <c r="Q2" s="22"/>
      <c r="R2" s="22"/>
    </row>
    <row r="3" spans="1:18" x14ac:dyDescent="0.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0"/>
      <c r="Q3" s="22"/>
      <c r="R3" s="22"/>
    </row>
    <row r="4" spans="1:18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0"/>
      <c r="Q4" s="22"/>
      <c r="R4" s="22"/>
    </row>
    <row r="5" spans="1:18" x14ac:dyDescent="0.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x14ac:dyDescent="0.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0"/>
      <c r="Q6" s="22"/>
      <c r="R6" s="22"/>
    </row>
    <row r="7" spans="1:18" x14ac:dyDescent="0.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0"/>
      <c r="Q7" s="22"/>
      <c r="R7" s="22"/>
    </row>
    <row r="8" spans="1:18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0"/>
      <c r="Q8" s="22"/>
      <c r="R8" s="22"/>
    </row>
    <row r="9" spans="1:18" x14ac:dyDescent="0.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0"/>
      <c r="Q9" s="22"/>
      <c r="R9" s="22"/>
    </row>
    <row r="10" spans="1:18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0"/>
      <c r="Q10" s="22"/>
      <c r="R10" s="22"/>
    </row>
    <row r="11" spans="1:18" x14ac:dyDescent="0.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0"/>
      <c r="Q11" s="22"/>
      <c r="R11" s="22"/>
    </row>
    <row r="12" spans="1:18" x14ac:dyDescent="0.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0"/>
      <c r="Q12" s="22"/>
      <c r="R12" s="22"/>
    </row>
    <row r="13" spans="1:18" x14ac:dyDescent="0.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0"/>
      <c r="Q13" s="22"/>
      <c r="R13" s="22"/>
    </row>
    <row r="14" spans="1:18" x14ac:dyDescent="0.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0"/>
      <c r="Q14" s="22"/>
      <c r="R14" s="22"/>
    </row>
    <row r="15" spans="1:18" x14ac:dyDescent="0.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0"/>
      <c r="Q15" s="22"/>
      <c r="R15" s="22"/>
    </row>
    <row r="16" spans="1:18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0"/>
      <c r="Q16" s="22"/>
      <c r="R16" s="22"/>
    </row>
    <row r="17" spans="1:18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0"/>
      <c r="Q17" s="22"/>
      <c r="R17" s="22"/>
    </row>
    <row r="18" spans="1:18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0"/>
      <c r="Q18" s="22"/>
      <c r="R18" s="22"/>
    </row>
    <row r="19" spans="1:18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0"/>
      <c r="Q19" s="22"/>
      <c r="R19" s="22"/>
    </row>
    <row r="20" spans="1:18" x14ac:dyDescent="0.2">
      <c r="C20" s="22"/>
      <c r="H20" s="22"/>
      <c r="P20" s="20"/>
    </row>
    <row r="21" spans="1:18" s="41" customFormat="1" x14ac:dyDescent="0.2">
      <c r="C21" s="40"/>
    </row>
    <row r="22" spans="1:18" x14ac:dyDescent="0.2">
      <c r="H22" s="3"/>
    </row>
    <row r="23" spans="1:18" x14ac:dyDescent="0.2">
      <c r="H23" s="3"/>
    </row>
    <row r="24" spans="1:18" x14ac:dyDescent="0.2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 x14ac:dyDescent="0.2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 x14ac:dyDescent="0.2">
      <c r="A1" s="21" t="s">
        <v>599</v>
      </c>
      <c r="B1" s="21" t="s">
        <v>1</v>
      </c>
      <c r="C1" s="21" t="s">
        <v>5</v>
      </c>
      <c r="D1" s="21" t="s">
        <v>600</v>
      </c>
      <c r="E1" s="21" t="s">
        <v>601</v>
      </c>
      <c r="F1" s="21" t="s">
        <v>602</v>
      </c>
      <c r="G1" s="21" t="s">
        <v>25</v>
      </c>
    </row>
    <row r="2" spans="1:7" x14ac:dyDescent="0.2">
      <c r="A2" s="22"/>
      <c r="B2" s="22"/>
      <c r="C2" s="23"/>
      <c r="D2" s="137"/>
      <c r="E2" s="40"/>
      <c r="F2" s="40"/>
      <c r="G2" s="29"/>
    </row>
    <row r="3" spans="1:7" x14ac:dyDescent="0.2">
      <c r="A3" s="22"/>
      <c r="B3" s="22"/>
      <c r="C3" s="23"/>
      <c r="G3" s="22"/>
    </row>
    <row r="4" spans="1:7" x14ac:dyDescent="0.2">
      <c r="A4" s="22"/>
      <c r="B4" s="22"/>
      <c r="C4" s="23"/>
      <c r="G4" s="22"/>
    </row>
    <row r="5" spans="1:7" x14ac:dyDescent="0.2">
      <c r="A5" s="22"/>
      <c r="B5" s="22"/>
      <c r="C5" s="23"/>
      <c r="G5" s="22"/>
    </row>
    <row r="6" spans="1:7" x14ac:dyDescent="0.2">
      <c r="A6" s="22"/>
      <c r="B6" s="22"/>
      <c r="C6" s="23"/>
      <c r="G6" s="22"/>
    </row>
    <row r="7" spans="1:7" x14ac:dyDescent="0.2">
      <c r="A7" s="22"/>
      <c r="B7" s="22"/>
      <c r="C7" s="23"/>
      <c r="G7" s="22"/>
    </row>
    <row r="8" spans="1:7" x14ac:dyDescent="0.2">
      <c r="A8" s="22"/>
      <c r="B8" s="22"/>
      <c r="C8" s="23"/>
      <c r="G8" s="22"/>
    </row>
    <row r="9" spans="1:7" x14ac:dyDescent="0.2">
      <c r="A9" s="22"/>
      <c r="B9" s="22"/>
      <c r="C9" s="23"/>
      <c r="G9" s="22"/>
    </row>
    <row r="10" spans="1:7" x14ac:dyDescent="0.2">
      <c r="A10" s="22"/>
      <c r="B10" s="22"/>
      <c r="C10" s="23"/>
      <c r="G10" s="22"/>
    </row>
    <row r="11" spans="1:7" x14ac:dyDescent="0.2">
      <c r="A11" s="22"/>
      <c r="B11" s="22"/>
      <c r="C11" s="23"/>
      <c r="G11" s="22"/>
    </row>
    <row r="12" spans="1:7" x14ac:dyDescent="0.2">
      <c r="A12" s="22"/>
      <c r="B12" s="22"/>
      <c r="C12" s="23"/>
      <c r="G12" s="22"/>
    </row>
    <row r="13" spans="1:7" x14ac:dyDescent="0.2">
      <c r="A13" s="22"/>
      <c r="B13" s="22"/>
      <c r="C13" s="23"/>
      <c r="G13" s="22"/>
    </row>
    <row r="14" spans="1:7" x14ac:dyDescent="0.2">
      <c r="A14" s="22"/>
      <c r="B14" s="22"/>
      <c r="C14" s="23"/>
      <c r="G14" s="22"/>
    </row>
    <row r="15" spans="1:7" x14ac:dyDescent="0.2">
      <c r="A15" s="22"/>
      <c r="B15" s="22"/>
      <c r="C15" s="23"/>
      <c r="G15" s="22"/>
    </row>
    <row r="16" spans="1:7" x14ac:dyDescent="0.2">
      <c r="A16" s="22"/>
      <c r="B16" s="22"/>
      <c r="C16" s="23"/>
      <c r="G16" s="22"/>
    </row>
    <row r="17" spans="1:7" x14ac:dyDescent="0.2">
      <c r="A17" s="22"/>
      <c r="B17" s="22"/>
      <c r="C17" s="23"/>
      <c r="G17" s="22"/>
    </row>
    <row r="18" spans="1:7" x14ac:dyDescent="0.2">
      <c r="A18" s="22"/>
      <c r="B18" s="22"/>
      <c r="C18" s="23"/>
      <c r="G18" s="22"/>
    </row>
    <row r="19" spans="1:7" x14ac:dyDescent="0.2">
      <c r="A19" s="22"/>
      <c r="B19" s="22"/>
      <c r="C19" s="23"/>
      <c r="G19" s="22"/>
    </row>
    <row r="20" spans="1:7" x14ac:dyDescent="0.2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 x14ac:dyDescent="0.2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79</v>
      </c>
      <c r="M1" s="21" t="s">
        <v>80</v>
      </c>
      <c r="N1" s="21" t="s">
        <v>597</v>
      </c>
      <c r="O1" s="21" t="s">
        <v>9</v>
      </c>
      <c r="P1" s="21" t="s">
        <v>10</v>
      </c>
      <c r="Q1" s="21" t="s">
        <v>81</v>
      </c>
      <c r="R1" s="21" t="s">
        <v>11</v>
      </c>
      <c r="S1" s="21" t="s">
        <v>12</v>
      </c>
      <c r="T1" s="21" t="s">
        <v>598</v>
      </c>
      <c r="U1" s="21" t="s">
        <v>82</v>
      </c>
      <c r="V1" s="21" t="s">
        <v>13</v>
      </c>
      <c r="W1" s="21" t="s">
        <v>14</v>
      </c>
      <c r="X1" s="21" t="s">
        <v>15</v>
      </c>
      <c r="Y1" s="21" t="s">
        <v>83</v>
      </c>
      <c r="Z1" s="21" t="s">
        <v>84</v>
      </c>
      <c r="AA1" s="21" t="s">
        <v>603</v>
      </c>
      <c r="AB1" s="21" t="s">
        <v>604</v>
      </c>
      <c r="AC1" s="21" t="s">
        <v>605</v>
      </c>
      <c r="AD1" s="21" t="s">
        <v>606</v>
      </c>
      <c r="AE1" s="21" t="s">
        <v>607</v>
      </c>
      <c r="AF1" s="21" t="s">
        <v>17</v>
      </c>
      <c r="AG1" s="21" t="s">
        <v>18</v>
      </c>
      <c r="AH1" s="21" t="s">
        <v>19</v>
      </c>
      <c r="AI1" s="21" t="s">
        <v>20</v>
      </c>
      <c r="AJ1" s="21" t="s">
        <v>21</v>
      </c>
      <c r="AK1" s="21" t="s">
        <v>85</v>
      </c>
      <c r="AL1" s="21" t="s">
        <v>22</v>
      </c>
      <c r="AM1" s="21" t="s">
        <v>24</v>
      </c>
      <c r="AN1" s="21" t="s">
        <v>25</v>
      </c>
    </row>
    <row r="2" spans="1:40" x14ac:dyDescent="0.2">
      <c r="A2" s="29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3"/>
      <c r="AA2" s="22"/>
      <c r="AB2" s="22"/>
      <c r="AC2" s="23"/>
      <c r="AD2" s="23"/>
      <c r="AE2" s="22"/>
      <c r="AF2" s="22"/>
      <c r="AG2" s="22"/>
      <c r="AH2" s="22"/>
      <c r="AI2" s="22"/>
      <c r="AK2" s="39"/>
      <c r="AL2" s="22"/>
    </row>
    <row r="3" spans="1:40" x14ac:dyDescent="0.2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C3" s="40"/>
      <c r="AF3" s="22"/>
      <c r="AG3" s="23"/>
      <c r="AH3" s="22"/>
      <c r="AI3" s="22"/>
      <c r="AK3" s="22"/>
      <c r="AL3" s="22"/>
    </row>
    <row r="4" spans="1:40" x14ac:dyDescent="0.2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3"/>
      <c r="AE4" s="22"/>
      <c r="AF4" s="22"/>
      <c r="AG4" s="22"/>
      <c r="AH4" s="22"/>
      <c r="AI4" s="22"/>
      <c r="AK4" s="22"/>
      <c r="AL4" s="22"/>
    </row>
    <row r="5" spans="1:40" x14ac:dyDescent="0.2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3"/>
      <c r="AE5" s="22"/>
      <c r="AF5" s="22"/>
      <c r="AG5" s="22"/>
      <c r="AH5" s="22"/>
      <c r="AI5" s="22"/>
      <c r="AK5" s="22"/>
      <c r="AL5" s="22"/>
    </row>
    <row r="6" spans="1:40" x14ac:dyDescent="0.2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3"/>
      <c r="AE6" s="22"/>
      <c r="AF6" s="22"/>
      <c r="AG6" s="22"/>
      <c r="AH6" s="22"/>
      <c r="AI6" s="22"/>
      <c r="AK6" s="22"/>
      <c r="AL6" s="22"/>
    </row>
    <row r="7" spans="1:40" x14ac:dyDescent="0.2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3"/>
      <c r="AE7" s="22"/>
      <c r="AF7" s="22"/>
      <c r="AG7" s="22"/>
      <c r="AH7" s="22"/>
      <c r="AI7" s="22"/>
      <c r="AK7" s="22"/>
      <c r="AL7" s="22"/>
    </row>
    <row r="8" spans="1:40" x14ac:dyDescent="0.2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3"/>
      <c r="AE8" s="22"/>
      <c r="AF8" s="22"/>
      <c r="AG8" s="22"/>
      <c r="AH8" s="22"/>
      <c r="AI8" s="22"/>
      <c r="AK8" s="22"/>
      <c r="AL8" s="22"/>
    </row>
    <row r="9" spans="1:40" x14ac:dyDescent="0.2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3"/>
      <c r="AE9" s="22"/>
      <c r="AF9" s="22"/>
      <c r="AG9" s="22"/>
      <c r="AH9" s="22"/>
      <c r="AL9" s="22"/>
    </row>
    <row r="10" spans="1:40" x14ac:dyDescent="0.2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3"/>
      <c r="AE10" s="22"/>
      <c r="AF10" s="22"/>
      <c r="AG10" s="22"/>
      <c r="AH10" s="22"/>
      <c r="AL10" s="22"/>
    </row>
    <row r="11" spans="1:40" x14ac:dyDescent="0.2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3"/>
      <c r="AE11" s="22"/>
      <c r="AF11" s="22"/>
      <c r="AG11" s="22"/>
      <c r="AH11" s="22"/>
      <c r="AI11" s="22"/>
      <c r="AK11" s="22"/>
      <c r="AL11" s="22"/>
    </row>
    <row r="12" spans="1:40" x14ac:dyDescent="0.2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3"/>
      <c r="AE12" s="22"/>
      <c r="AF12" s="22"/>
      <c r="AG12" s="22"/>
      <c r="AH12" s="22"/>
      <c r="AI12" s="22"/>
      <c r="AK12" s="22"/>
      <c r="AL12" s="22"/>
    </row>
    <row r="13" spans="1:40" x14ac:dyDescent="0.2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3"/>
      <c r="AE13" s="22"/>
      <c r="AF13" s="22"/>
      <c r="AG13" s="22"/>
      <c r="AH13" s="22"/>
      <c r="AI13" s="22"/>
      <c r="AK13" s="22"/>
      <c r="AL13" s="22"/>
    </row>
    <row r="14" spans="1:40" x14ac:dyDescent="0.2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3"/>
      <c r="AE14" s="22"/>
      <c r="AF14" s="22"/>
      <c r="AG14" s="22"/>
      <c r="AH14" s="22"/>
      <c r="AI14" s="22"/>
      <c r="AK14" s="22"/>
      <c r="AL14" s="22"/>
    </row>
    <row r="15" spans="1:40" x14ac:dyDescent="0.2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3"/>
      <c r="AE15" s="22"/>
      <c r="AF15" s="22"/>
      <c r="AG15" s="22"/>
      <c r="AH15" s="22"/>
      <c r="AI15" s="22"/>
      <c r="AK15" s="22"/>
      <c r="AL15" s="22"/>
    </row>
    <row r="16" spans="1:40" x14ac:dyDescent="0.2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3"/>
      <c r="AE16" s="22"/>
      <c r="AF16" s="22"/>
      <c r="AG16" s="22"/>
      <c r="AH16" s="22"/>
      <c r="AI16" s="22"/>
      <c r="AK16" s="22"/>
      <c r="AL16" s="22"/>
    </row>
    <row r="17" spans="1:38" x14ac:dyDescent="0.2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3"/>
      <c r="AE17" s="22"/>
      <c r="AF17" s="22"/>
      <c r="AG17" s="22"/>
      <c r="AH17" s="22"/>
      <c r="AI17" s="22"/>
      <c r="AK17" s="22"/>
      <c r="AL17" s="22"/>
    </row>
    <row r="18" spans="1:38" x14ac:dyDescent="0.2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3"/>
      <c r="AE18" s="22"/>
      <c r="AF18" s="22"/>
      <c r="AG18" s="22"/>
      <c r="AH18" s="22"/>
      <c r="AI18" s="22"/>
      <c r="AK18" s="22"/>
      <c r="AL18" s="22"/>
    </row>
    <row r="19" spans="1:38" x14ac:dyDescent="0.2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3"/>
      <c r="AE19" s="22"/>
      <c r="AF19" s="22"/>
      <c r="AG19" s="22"/>
      <c r="AH19" s="22"/>
      <c r="AI19" s="22"/>
      <c r="AK19" s="22"/>
      <c r="AL19" s="22"/>
    </row>
    <row r="20" spans="1:38" x14ac:dyDescent="0.2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 x14ac:dyDescent="0.2">
      <c r="Y21" s="44"/>
      <c r="AL21" s="3"/>
    </row>
    <row r="22" spans="1:38" x14ac:dyDescent="0.2">
      <c r="T22" s="3"/>
      <c r="U22" s="3"/>
      <c r="AL22" s="3"/>
    </row>
    <row r="23" spans="1:38" x14ac:dyDescent="0.2">
      <c r="T23" s="3"/>
      <c r="U23" s="3"/>
    </row>
    <row r="24" spans="1:38" x14ac:dyDescent="0.2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T19" sqref="T19:T26"/>
    </sheetView>
  </sheetViews>
  <sheetFormatPr defaultColWidth="0" defaultRowHeight="14.25" x14ac:dyDescent="0.2"/>
  <cols>
    <col min="1" max="4" width="11.625" style="3" customWidth="1"/>
    <col min="5" max="5" width="11.625" style="5" customWidth="1"/>
    <col min="6" max="6" width="11.625" style="3" customWidth="1"/>
    <col min="7" max="7" width="16.625" style="3" customWidth="1"/>
    <col min="8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 x14ac:dyDescent="0.2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86</v>
      </c>
      <c r="M1" s="21" t="s">
        <v>79</v>
      </c>
      <c r="N1" s="21" t="s">
        <v>80</v>
      </c>
      <c r="O1" s="173" t="s">
        <v>597</v>
      </c>
      <c r="P1" s="21" t="s">
        <v>9</v>
      </c>
      <c r="Q1" s="21" t="s">
        <v>10</v>
      </c>
      <c r="R1" s="21" t="s">
        <v>81</v>
      </c>
      <c r="S1" s="21" t="s">
        <v>11</v>
      </c>
      <c r="T1" s="21" t="s">
        <v>12</v>
      </c>
      <c r="U1" s="21" t="s">
        <v>13</v>
      </c>
      <c r="V1" s="160" t="s">
        <v>15</v>
      </c>
      <c r="W1" s="160" t="s">
        <v>14</v>
      </c>
      <c r="X1" s="21" t="s">
        <v>83</v>
      </c>
      <c r="Y1" s="21" t="s">
        <v>84</v>
      </c>
      <c r="Z1" s="21" t="s">
        <v>603</v>
      </c>
      <c r="AA1" s="21" t="s">
        <v>604</v>
      </c>
      <c r="AB1" s="173" t="s">
        <v>606</v>
      </c>
      <c r="AC1" s="173" t="s">
        <v>607</v>
      </c>
      <c r="AD1" s="21" t="s">
        <v>17</v>
      </c>
      <c r="AE1" s="158" t="s">
        <v>18</v>
      </c>
      <c r="AF1" s="164" t="s">
        <v>19</v>
      </c>
      <c r="AG1" s="21" t="s">
        <v>20</v>
      </c>
      <c r="AH1" s="21" t="s">
        <v>21</v>
      </c>
      <c r="AI1" s="21" t="s">
        <v>85</v>
      </c>
      <c r="AJ1" s="21" t="s">
        <v>22</v>
      </c>
      <c r="AK1" s="160" t="s">
        <v>24</v>
      </c>
      <c r="AL1" s="160" t="s">
        <v>25</v>
      </c>
    </row>
    <row r="2" spans="1:38" x14ac:dyDescent="0.2">
      <c r="A2" s="3">
        <v>233</v>
      </c>
      <c r="B2" s="22">
        <v>233</v>
      </c>
      <c r="C2" s="22" t="s">
        <v>608</v>
      </c>
      <c r="D2" s="22" t="s">
        <v>609</v>
      </c>
      <c r="E2" s="20" t="s">
        <v>89</v>
      </c>
      <c r="F2" s="22" t="s">
        <v>610</v>
      </c>
      <c r="G2" s="22" t="s">
        <v>611</v>
      </c>
      <c r="H2" s="22" t="s">
        <v>92</v>
      </c>
      <c r="I2" s="22" t="s">
        <v>106</v>
      </c>
      <c r="J2" s="20" t="s">
        <v>30</v>
      </c>
      <c r="K2" s="20" t="s">
        <v>30</v>
      </c>
      <c r="L2" s="22" t="s">
        <v>612</v>
      </c>
      <c r="M2" s="22" t="s">
        <v>613</v>
      </c>
      <c r="N2" s="22" t="s">
        <v>96</v>
      </c>
      <c r="O2" s="174" t="s">
        <v>614</v>
      </c>
      <c r="P2" s="22" t="s">
        <v>615</v>
      </c>
      <c r="Q2" s="22" t="s">
        <v>109</v>
      </c>
      <c r="R2" s="22" t="s">
        <v>99</v>
      </c>
      <c r="S2" s="20" t="s">
        <v>34</v>
      </c>
      <c r="T2" s="155">
        <v>2.4700000000000002</v>
      </c>
      <c r="U2" s="22" t="s">
        <v>616</v>
      </c>
      <c r="V2" s="167">
        <v>1E-4</v>
      </c>
      <c r="W2" s="161">
        <v>5.3499999999999999E-2</v>
      </c>
      <c r="X2" s="20" t="s">
        <v>617</v>
      </c>
      <c r="Y2" s="30" t="s">
        <v>96</v>
      </c>
      <c r="Z2" s="22" t="s">
        <v>618</v>
      </c>
      <c r="AA2" s="22" t="s">
        <v>619</v>
      </c>
      <c r="AB2" s="175" t="s">
        <v>620</v>
      </c>
      <c r="AC2" s="22"/>
      <c r="AD2" s="155">
        <v>626824.15</v>
      </c>
      <c r="AE2" s="166">
        <v>1</v>
      </c>
      <c r="AF2" s="168">
        <v>13.23</v>
      </c>
      <c r="AG2" s="155">
        <v>82.929000000000002</v>
      </c>
      <c r="AH2" s="22"/>
      <c r="AI2" s="39"/>
      <c r="AJ2" s="23" t="s">
        <v>36</v>
      </c>
      <c r="AK2" s="161">
        <v>1.4948510190223099E-2</v>
      </c>
      <c r="AL2" s="161">
        <v>8.6879610259566397E-5</v>
      </c>
    </row>
    <row r="3" spans="1:38" x14ac:dyDescent="0.2">
      <c r="A3" s="22">
        <v>233</v>
      </c>
      <c r="B3" s="22">
        <v>233</v>
      </c>
      <c r="C3" s="22" t="s">
        <v>621</v>
      </c>
      <c r="D3" s="22" t="s">
        <v>622</v>
      </c>
      <c r="E3" s="20" t="s">
        <v>623</v>
      </c>
      <c r="F3" s="22" t="s">
        <v>624</v>
      </c>
      <c r="G3" s="22" t="s">
        <v>625</v>
      </c>
      <c r="H3" s="22" t="s">
        <v>92</v>
      </c>
      <c r="I3" s="22" t="s">
        <v>392</v>
      </c>
      <c r="J3" s="20" t="s">
        <v>30</v>
      </c>
      <c r="K3" s="20" t="s">
        <v>30</v>
      </c>
      <c r="L3" s="22" t="s">
        <v>612</v>
      </c>
      <c r="M3" s="22" t="s">
        <v>613</v>
      </c>
      <c r="N3" s="22" t="s">
        <v>96</v>
      </c>
      <c r="O3" s="174" t="s">
        <v>626</v>
      </c>
      <c r="P3" s="22" t="s">
        <v>615</v>
      </c>
      <c r="Q3" s="22" t="s">
        <v>98</v>
      </c>
      <c r="R3" s="22" t="s">
        <v>99</v>
      </c>
      <c r="S3" s="20" t="s">
        <v>34</v>
      </c>
      <c r="T3" s="155">
        <v>0.01</v>
      </c>
      <c r="U3" s="22" t="s">
        <v>627</v>
      </c>
      <c r="V3" s="167">
        <v>0</v>
      </c>
      <c r="W3" s="161">
        <v>6.6000000000000003E-2</v>
      </c>
      <c r="X3" s="20" t="s">
        <v>617</v>
      </c>
      <c r="Y3" s="20" t="s">
        <v>628</v>
      </c>
      <c r="Z3" s="22" t="s">
        <v>618</v>
      </c>
      <c r="AA3" s="22" t="s">
        <v>629</v>
      </c>
      <c r="AB3" s="175" t="s">
        <v>630</v>
      </c>
      <c r="AC3" s="22"/>
      <c r="AD3" s="155">
        <v>135000</v>
      </c>
      <c r="AE3" s="166">
        <v>1</v>
      </c>
      <c r="AF3" s="168">
        <v>0</v>
      </c>
      <c r="AG3" s="155">
        <v>0</v>
      </c>
      <c r="AH3" s="22"/>
      <c r="AI3" s="22"/>
      <c r="AJ3" s="23" t="s">
        <v>36</v>
      </c>
      <c r="AK3" s="161">
        <v>2.43347066745248E-10</v>
      </c>
      <c r="AL3" s="161">
        <v>1.4143147409073199E-12</v>
      </c>
    </row>
    <row r="4" spans="1:38" x14ac:dyDescent="0.2">
      <c r="A4" s="22">
        <v>233</v>
      </c>
      <c r="B4" s="22">
        <v>233</v>
      </c>
      <c r="C4" s="22" t="s">
        <v>621</v>
      </c>
      <c r="D4" s="22" t="s">
        <v>622</v>
      </c>
      <c r="E4" s="20" t="s">
        <v>623</v>
      </c>
      <c r="F4" s="22" t="s">
        <v>631</v>
      </c>
      <c r="G4" s="22" t="s">
        <v>632</v>
      </c>
      <c r="H4" s="22" t="s">
        <v>92</v>
      </c>
      <c r="I4" s="22" t="s">
        <v>392</v>
      </c>
      <c r="J4" s="20" t="s">
        <v>30</v>
      </c>
      <c r="K4" s="20" t="s">
        <v>30</v>
      </c>
      <c r="L4" s="22" t="s">
        <v>612</v>
      </c>
      <c r="M4" s="22" t="s">
        <v>613</v>
      </c>
      <c r="N4" s="22" t="s">
        <v>96</v>
      </c>
      <c r="O4" s="175" t="s">
        <v>626</v>
      </c>
      <c r="P4" s="22" t="s">
        <v>615</v>
      </c>
      <c r="Q4" s="22" t="s">
        <v>98</v>
      </c>
      <c r="R4" s="22" t="s">
        <v>99</v>
      </c>
      <c r="S4" s="22" t="s">
        <v>34</v>
      </c>
      <c r="T4" s="155">
        <v>0.01</v>
      </c>
      <c r="U4" s="22" t="s">
        <v>627</v>
      </c>
      <c r="V4" s="167">
        <v>0</v>
      </c>
      <c r="W4" s="161">
        <v>6.6000000000000003E-2</v>
      </c>
      <c r="X4" s="20" t="s">
        <v>617</v>
      </c>
      <c r="Y4" s="20" t="s">
        <v>628</v>
      </c>
      <c r="Z4" s="22" t="s">
        <v>618</v>
      </c>
      <c r="AA4" s="22" t="s">
        <v>629</v>
      </c>
      <c r="AB4" s="175" t="s">
        <v>630</v>
      </c>
      <c r="AD4" s="152">
        <v>135000</v>
      </c>
      <c r="AE4" s="166">
        <v>1</v>
      </c>
      <c r="AF4" s="168">
        <v>0</v>
      </c>
      <c r="AG4" s="155">
        <v>0</v>
      </c>
      <c r="AH4" s="22"/>
      <c r="AI4" s="22"/>
      <c r="AJ4" s="23" t="s">
        <v>36</v>
      </c>
      <c r="AK4" s="161">
        <v>2.43347066745248E-10</v>
      </c>
      <c r="AL4" s="161">
        <v>1.4143147409073199E-12</v>
      </c>
    </row>
    <row r="5" spans="1:38" x14ac:dyDescent="0.2">
      <c r="A5" s="22">
        <v>233</v>
      </c>
      <c r="B5" s="22">
        <v>233</v>
      </c>
      <c r="C5" s="22" t="s">
        <v>621</v>
      </c>
      <c r="D5" s="22" t="s">
        <v>622</v>
      </c>
      <c r="E5" s="20" t="s">
        <v>623</v>
      </c>
      <c r="F5" s="22" t="s">
        <v>633</v>
      </c>
      <c r="G5" s="22" t="s">
        <v>634</v>
      </c>
      <c r="H5" s="22" t="s">
        <v>92</v>
      </c>
      <c r="I5" s="22" t="s">
        <v>392</v>
      </c>
      <c r="J5" s="20" t="s">
        <v>30</v>
      </c>
      <c r="K5" s="20" t="s">
        <v>30</v>
      </c>
      <c r="L5" s="22" t="s">
        <v>612</v>
      </c>
      <c r="M5" s="22" t="s">
        <v>613</v>
      </c>
      <c r="N5" s="22" t="s">
        <v>96</v>
      </c>
      <c r="O5" s="174" t="s">
        <v>626</v>
      </c>
      <c r="P5" s="22" t="s">
        <v>615</v>
      </c>
      <c r="Q5" s="22" t="s">
        <v>98</v>
      </c>
      <c r="R5" s="22" t="s">
        <v>99</v>
      </c>
      <c r="S5" s="20" t="s">
        <v>34</v>
      </c>
      <c r="T5" s="155">
        <v>0.01</v>
      </c>
      <c r="U5" s="22" t="s">
        <v>627</v>
      </c>
      <c r="V5" s="167">
        <v>0</v>
      </c>
      <c r="W5" s="161">
        <v>6.6000000000000003E-2</v>
      </c>
      <c r="X5" s="20" t="s">
        <v>617</v>
      </c>
      <c r="Y5" s="20" t="s">
        <v>628</v>
      </c>
      <c r="Z5" s="22" t="s">
        <v>618</v>
      </c>
      <c r="AA5" s="22" t="s">
        <v>629</v>
      </c>
      <c r="AB5" s="175" t="s">
        <v>635</v>
      </c>
      <c r="AC5" s="22"/>
      <c r="AD5" s="155">
        <v>135000</v>
      </c>
      <c r="AE5" s="166">
        <v>1</v>
      </c>
      <c r="AF5" s="168">
        <v>0</v>
      </c>
      <c r="AG5" s="152">
        <v>0</v>
      </c>
      <c r="AJ5" s="23" t="s">
        <v>36</v>
      </c>
      <c r="AK5" s="161">
        <v>2.43347066745248E-10</v>
      </c>
      <c r="AL5" s="161">
        <v>1.4143147409073199E-12</v>
      </c>
    </row>
    <row r="6" spans="1:38" x14ac:dyDescent="0.2">
      <c r="A6" s="22">
        <v>233</v>
      </c>
      <c r="B6" s="22">
        <v>233</v>
      </c>
      <c r="C6" s="22" t="s">
        <v>621</v>
      </c>
      <c r="D6" s="22" t="s">
        <v>622</v>
      </c>
      <c r="E6" s="20" t="s">
        <v>623</v>
      </c>
      <c r="F6" s="22" t="s">
        <v>636</v>
      </c>
      <c r="G6" s="22" t="s">
        <v>637</v>
      </c>
      <c r="H6" s="22" t="s">
        <v>92</v>
      </c>
      <c r="I6" s="22" t="s">
        <v>392</v>
      </c>
      <c r="J6" s="20" t="s">
        <v>30</v>
      </c>
      <c r="K6" s="20" t="s">
        <v>30</v>
      </c>
      <c r="L6" s="22" t="s">
        <v>612</v>
      </c>
      <c r="M6" s="22" t="s">
        <v>613</v>
      </c>
      <c r="N6" s="22" t="s">
        <v>96</v>
      </c>
      <c r="O6" s="174" t="s">
        <v>626</v>
      </c>
      <c r="P6" s="22" t="s">
        <v>615</v>
      </c>
      <c r="Q6" s="22" t="s">
        <v>98</v>
      </c>
      <c r="R6" s="22" t="s">
        <v>99</v>
      </c>
      <c r="S6" s="20" t="s">
        <v>34</v>
      </c>
      <c r="T6" s="155">
        <v>0.01</v>
      </c>
      <c r="U6" s="22" t="s">
        <v>627</v>
      </c>
      <c r="V6" s="167">
        <v>0</v>
      </c>
      <c r="W6" s="161">
        <v>6.6000000000000003E-2</v>
      </c>
      <c r="X6" s="20" t="s">
        <v>617</v>
      </c>
      <c r="Y6" s="20" t="s">
        <v>628</v>
      </c>
      <c r="Z6" s="22" t="s">
        <v>618</v>
      </c>
      <c r="AA6" s="22" t="s">
        <v>629</v>
      </c>
      <c r="AB6" s="175" t="s">
        <v>630</v>
      </c>
      <c r="AC6" s="22"/>
      <c r="AD6" s="155">
        <v>135000</v>
      </c>
      <c r="AE6" s="166">
        <v>1</v>
      </c>
      <c r="AF6" s="168">
        <v>0</v>
      </c>
      <c r="AG6" s="152">
        <v>0</v>
      </c>
      <c r="AJ6" s="23" t="s">
        <v>36</v>
      </c>
      <c r="AK6" s="161">
        <v>2.43347066745248E-10</v>
      </c>
      <c r="AL6" s="161">
        <v>1.4143147409073199E-12</v>
      </c>
    </row>
    <row r="7" spans="1:38" x14ac:dyDescent="0.2">
      <c r="A7" s="22">
        <v>233</v>
      </c>
      <c r="B7" s="22">
        <v>233</v>
      </c>
      <c r="C7" s="22" t="s">
        <v>621</v>
      </c>
      <c r="D7" s="22" t="s">
        <v>622</v>
      </c>
      <c r="E7" s="20" t="s">
        <v>623</v>
      </c>
      <c r="F7" s="22" t="s">
        <v>638</v>
      </c>
      <c r="G7" s="22" t="s">
        <v>625</v>
      </c>
      <c r="H7" s="22" t="s">
        <v>92</v>
      </c>
      <c r="I7" s="22" t="s">
        <v>392</v>
      </c>
      <c r="J7" s="20" t="s">
        <v>30</v>
      </c>
      <c r="K7" s="20" t="s">
        <v>30</v>
      </c>
      <c r="L7" s="22" t="s">
        <v>612</v>
      </c>
      <c r="M7" s="22" t="s">
        <v>613</v>
      </c>
      <c r="N7" s="22" t="s">
        <v>96</v>
      </c>
      <c r="O7" s="174" t="s">
        <v>626</v>
      </c>
      <c r="P7" s="22" t="s">
        <v>615</v>
      </c>
      <c r="Q7" s="22" t="s">
        <v>98</v>
      </c>
      <c r="R7" s="22" t="s">
        <v>99</v>
      </c>
      <c r="S7" s="20" t="s">
        <v>34</v>
      </c>
      <c r="T7" s="155">
        <v>0.01</v>
      </c>
      <c r="U7" s="22" t="s">
        <v>627</v>
      </c>
      <c r="V7" s="167">
        <v>0</v>
      </c>
      <c r="W7" s="161">
        <v>6.6000000000000003E-2</v>
      </c>
      <c r="X7" s="20" t="s">
        <v>617</v>
      </c>
      <c r="Y7" s="20" t="s">
        <v>628</v>
      </c>
      <c r="Z7" s="22" t="s">
        <v>618</v>
      </c>
      <c r="AA7" s="22" t="s">
        <v>629</v>
      </c>
      <c r="AB7" s="175" t="s">
        <v>635</v>
      </c>
      <c r="AC7" s="22"/>
      <c r="AD7" s="155">
        <v>135000</v>
      </c>
      <c r="AE7" s="166">
        <v>1</v>
      </c>
      <c r="AF7" s="168">
        <v>0</v>
      </c>
      <c r="AG7" s="155">
        <v>0</v>
      </c>
      <c r="AH7" s="22"/>
      <c r="AI7" s="22"/>
      <c r="AJ7" s="23" t="s">
        <v>36</v>
      </c>
      <c r="AK7" s="161">
        <v>2.43347066745248E-10</v>
      </c>
      <c r="AL7" s="161">
        <v>1.4143147409073199E-12</v>
      </c>
    </row>
    <row r="8" spans="1:38" x14ac:dyDescent="0.2">
      <c r="A8" s="22">
        <v>233</v>
      </c>
      <c r="B8" s="22">
        <v>233</v>
      </c>
      <c r="C8" s="22" t="s">
        <v>639</v>
      </c>
      <c r="D8" s="22" t="s">
        <v>640</v>
      </c>
      <c r="E8" s="20" t="s">
        <v>89</v>
      </c>
      <c r="F8" s="22" t="s">
        <v>641</v>
      </c>
      <c r="G8" s="22" t="s">
        <v>642</v>
      </c>
      <c r="H8" s="22" t="s">
        <v>92</v>
      </c>
      <c r="I8" s="22" t="s">
        <v>106</v>
      </c>
      <c r="J8" s="20" t="s">
        <v>30</v>
      </c>
      <c r="K8" s="20" t="s">
        <v>30</v>
      </c>
      <c r="L8" s="22" t="s">
        <v>612</v>
      </c>
      <c r="M8" s="22" t="s">
        <v>643</v>
      </c>
      <c r="N8" s="22" t="s">
        <v>96</v>
      </c>
      <c r="O8" s="205">
        <v>37621</v>
      </c>
      <c r="P8" s="22" t="s">
        <v>644</v>
      </c>
      <c r="Q8" s="22" t="s">
        <v>644</v>
      </c>
      <c r="R8" s="22" t="s">
        <v>644</v>
      </c>
      <c r="S8" s="20" t="s">
        <v>34</v>
      </c>
      <c r="T8" s="155">
        <v>0</v>
      </c>
      <c r="U8" s="22" t="s">
        <v>645</v>
      </c>
      <c r="V8" s="167">
        <v>0</v>
      </c>
      <c r="W8" s="161">
        <v>0</v>
      </c>
      <c r="X8" s="20" t="s">
        <v>101</v>
      </c>
      <c r="Y8" s="20" t="s">
        <v>628</v>
      </c>
      <c r="Z8" s="22" t="s">
        <v>392</v>
      </c>
      <c r="AA8" s="22" t="s">
        <v>619</v>
      </c>
      <c r="AB8" s="175" t="s">
        <v>646</v>
      </c>
      <c r="AC8" s="22"/>
      <c r="AD8" s="155">
        <v>44213.79</v>
      </c>
      <c r="AE8" s="166">
        <v>1</v>
      </c>
      <c r="AF8" s="168">
        <v>0</v>
      </c>
      <c r="AG8" s="155">
        <v>0</v>
      </c>
      <c r="AH8" s="22"/>
      <c r="AI8" s="22"/>
      <c r="AJ8" s="23" t="s">
        <v>36</v>
      </c>
      <c r="AK8" s="161">
        <v>7.9698489675484202E-9</v>
      </c>
      <c r="AL8" s="161">
        <v>4.6320159221022598E-11</v>
      </c>
    </row>
    <row r="9" spans="1:38" x14ac:dyDescent="0.2">
      <c r="A9" s="22">
        <v>233</v>
      </c>
      <c r="B9" s="22">
        <v>233</v>
      </c>
      <c r="C9" s="22" t="s">
        <v>639</v>
      </c>
      <c r="D9" s="22" t="s">
        <v>640</v>
      </c>
      <c r="E9" s="20" t="s">
        <v>89</v>
      </c>
      <c r="F9" s="22" t="s">
        <v>647</v>
      </c>
      <c r="G9" s="22" t="s">
        <v>648</v>
      </c>
      <c r="H9" s="22" t="s">
        <v>92</v>
      </c>
      <c r="I9" s="22" t="s">
        <v>106</v>
      </c>
      <c r="J9" s="20" t="s">
        <v>30</v>
      </c>
      <c r="K9" s="20" t="s">
        <v>30</v>
      </c>
      <c r="L9" s="22" t="s">
        <v>612</v>
      </c>
      <c r="M9" s="22" t="s">
        <v>643</v>
      </c>
      <c r="N9" s="22" t="s">
        <v>96</v>
      </c>
      <c r="O9" s="205">
        <v>37763</v>
      </c>
      <c r="P9" s="22" t="s">
        <v>644</v>
      </c>
      <c r="Q9" s="22" t="s">
        <v>644</v>
      </c>
      <c r="R9" s="22" t="s">
        <v>644</v>
      </c>
      <c r="S9" s="20" t="s">
        <v>34</v>
      </c>
      <c r="T9" s="155">
        <v>0.01</v>
      </c>
      <c r="U9" s="22" t="s">
        <v>649</v>
      </c>
      <c r="V9" s="167">
        <v>1E-4</v>
      </c>
      <c r="W9" s="161">
        <v>0</v>
      </c>
      <c r="X9" s="20" t="s">
        <v>101</v>
      </c>
      <c r="Y9" s="20" t="s">
        <v>628</v>
      </c>
      <c r="Z9" s="22" t="s">
        <v>392</v>
      </c>
      <c r="AA9" s="22" t="s">
        <v>619</v>
      </c>
      <c r="AB9" s="175" t="s">
        <v>650</v>
      </c>
      <c r="AC9" s="22"/>
      <c r="AD9" s="155">
        <v>8842.75</v>
      </c>
      <c r="AE9" s="166">
        <v>1</v>
      </c>
      <c r="AF9" s="168">
        <v>0</v>
      </c>
      <c r="AG9" s="155">
        <v>0</v>
      </c>
      <c r="AH9" s="22"/>
      <c r="AI9" s="22"/>
      <c r="AJ9" s="23" t="s">
        <v>36</v>
      </c>
      <c r="AK9" s="161">
        <v>1.5939683514529899E-11</v>
      </c>
      <c r="AL9" s="161">
        <v>9.2640234630801206E-14</v>
      </c>
    </row>
    <row r="10" spans="1:38" x14ac:dyDescent="0.2">
      <c r="A10" s="22">
        <v>233</v>
      </c>
      <c r="B10" s="22">
        <v>233</v>
      </c>
      <c r="C10" s="22" t="s">
        <v>202</v>
      </c>
      <c r="D10" s="22" t="s">
        <v>203</v>
      </c>
      <c r="E10" s="20" t="s">
        <v>89</v>
      </c>
      <c r="F10" s="22" t="s">
        <v>651</v>
      </c>
      <c r="G10" s="22" t="s">
        <v>652</v>
      </c>
      <c r="H10" s="22" t="s">
        <v>33</v>
      </c>
      <c r="I10" s="22" t="s">
        <v>106</v>
      </c>
      <c r="J10" s="20" t="s">
        <v>30</v>
      </c>
      <c r="K10" s="20" t="s">
        <v>30</v>
      </c>
      <c r="L10" s="22" t="s">
        <v>612</v>
      </c>
      <c r="M10" s="22" t="s">
        <v>206</v>
      </c>
      <c r="N10" s="22" t="s">
        <v>96</v>
      </c>
      <c r="O10" s="22" t="s">
        <v>653</v>
      </c>
      <c r="P10" s="22" t="s">
        <v>117</v>
      </c>
      <c r="Q10" s="22" t="s">
        <v>109</v>
      </c>
      <c r="R10" s="22" t="s">
        <v>99</v>
      </c>
      <c r="S10" s="20" t="s">
        <v>34</v>
      </c>
      <c r="T10" s="155">
        <v>0.54</v>
      </c>
      <c r="U10" s="22" t="s">
        <v>654</v>
      </c>
      <c r="V10" s="167">
        <v>2.495E-2</v>
      </c>
      <c r="W10" s="161">
        <v>6.6000000000000003E-2</v>
      </c>
      <c r="X10" s="20" t="s">
        <v>101</v>
      </c>
      <c r="Y10" s="20" t="s">
        <v>96</v>
      </c>
      <c r="Z10" s="22" t="s">
        <v>655</v>
      </c>
      <c r="AA10" s="22" t="s">
        <v>619</v>
      </c>
      <c r="AB10" s="175" t="s">
        <v>620</v>
      </c>
      <c r="AC10" s="22"/>
      <c r="AD10" s="155">
        <v>200000</v>
      </c>
      <c r="AE10" s="166">
        <v>1</v>
      </c>
      <c r="AF10" s="168">
        <v>156.49</v>
      </c>
      <c r="AG10" s="155">
        <v>312.98</v>
      </c>
      <c r="AH10" s="22"/>
      <c r="AI10" s="22"/>
      <c r="AJ10" s="23" t="s">
        <v>36</v>
      </c>
      <c r="AK10" s="161">
        <v>5.6416862925872301E-2</v>
      </c>
      <c r="AL10" s="161">
        <v>3.2789053896975701E-4</v>
      </c>
    </row>
    <row r="11" spans="1:38" x14ac:dyDescent="0.2">
      <c r="A11" s="22">
        <v>233</v>
      </c>
      <c r="B11" s="22">
        <v>233</v>
      </c>
      <c r="C11" s="22" t="s">
        <v>656</v>
      </c>
      <c r="D11" s="22" t="s">
        <v>657</v>
      </c>
      <c r="E11" s="20" t="s">
        <v>89</v>
      </c>
      <c r="F11" s="22" t="s">
        <v>658</v>
      </c>
      <c r="G11" s="22" t="s">
        <v>659</v>
      </c>
      <c r="H11" s="22" t="s">
        <v>33</v>
      </c>
      <c r="I11" s="22" t="s">
        <v>392</v>
      </c>
      <c r="J11" s="20" t="s">
        <v>30</v>
      </c>
      <c r="K11" s="20" t="s">
        <v>30</v>
      </c>
      <c r="L11" s="22" t="s">
        <v>612</v>
      </c>
      <c r="M11" s="22" t="s">
        <v>392</v>
      </c>
      <c r="N11" s="22" t="s">
        <v>96</v>
      </c>
      <c r="O11" s="22" t="s">
        <v>660</v>
      </c>
      <c r="P11" s="22" t="s">
        <v>661</v>
      </c>
      <c r="Q11" s="22" t="s">
        <v>33</v>
      </c>
      <c r="R11" s="22" t="s">
        <v>99</v>
      </c>
      <c r="S11" s="20" t="s">
        <v>34</v>
      </c>
      <c r="T11" s="155">
        <v>0.01</v>
      </c>
      <c r="U11" s="22" t="s">
        <v>662</v>
      </c>
      <c r="V11" s="167">
        <v>1E-4</v>
      </c>
      <c r="W11" s="161">
        <v>0</v>
      </c>
      <c r="X11" s="20" t="s">
        <v>617</v>
      </c>
      <c r="Y11" s="20" t="s">
        <v>628</v>
      </c>
      <c r="Z11" s="22" t="s">
        <v>392</v>
      </c>
      <c r="AA11" s="22" t="s">
        <v>619</v>
      </c>
      <c r="AB11" s="175" t="s">
        <v>663</v>
      </c>
      <c r="AC11" s="22"/>
      <c r="AD11" s="155">
        <v>4000000</v>
      </c>
      <c r="AE11" s="166">
        <v>1</v>
      </c>
      <c r="AF11" s="168">
        <v>0</v>
      </c>
      <c r="AG11" s="155">
        <v>0</v>
      </c>
      <c r="AH11" s="22"/>
      <c r="AI11" s="22"/>
      <c r="AJ11" s="23" t="s">
        <v>36</v>
      </c>
      <c r="AK11" s="161">
        <v>7.2102834591184502E-9</v>
      </c>
      <c r="AL11" s="161">
        <v>4.1905621952809398E-11</v>
      </c>
    </row>
    <row r="12" spans="1:38" x14ac:dyDescent="0.2">
      <c r="A12" s="22">
        <v>233</v>
      </c>
      <c r="B12" s="22">
        <v>233</v>
      </c>
      <c r="C12" s="22" t="s">
        <v>664</v>
      </c>
      <c r="D12" s="22" t="s">
        <v>665</v>
      </c>
      <c r="E12" s="20" t="s">
        <v>89</v>
      </c>
      <c r="F12" s="22" t="s">
        <v>666</v>
      </c>
      <c r="G12" s="22" t="s">
        <v>667</v>
      </c>
      <c r="H12" s="22" t="s">
        <v>33</v>
      </c>
      <c r="I12" s="22" t="s">
        <v>106</v>
      </c>
      <c r="J12" s="20" t="s">
        <v>30</v>
      </c>
      <c r="K12" s="20" t="s">
        <v>30</v>
      </c>
      <c r="L12" s="22" t="s">
        <v>612</v>
      </c>
      <c r="M12" s="22" t="s">
        <v>668</v>
      </c>
      <c r="N12" s="22" t="s">
        <v>96</v>
      </c>
      <c r="O12" s="22" t="s">
        <v>669</v>
      </c>
      <c r="P12" s="22" t="s">
        <v>117</v>
      </c>
      <c r="Q12" s="22" t="s">
        <v>109</v>
      </c>
      <c r="R12" s="22" t="s">
        <v>99</v>
      </c>
      <c r="S12" s="20" t="s">
        <v>34</v>
      </c>
      <c r="T12" s="155">
        <v>0.99</v>
      </c>
      <c r="U12" s="22" t="s">
        <v>670</v>
      </c>
      <c r="V12" s="167">
        <v>2.4E-2</v>
      </c>
      <c r="W12" s="161">
        <v>5.1694999999999998E-2</v>
      </c>
      <c r="X12" s="20" t="s">
        <v>101</v>
      </c>
      <c r="Y12" s="20" t="s">
        <v>628</v>
      </c>
      <c r="Z12" s="22" t="s">
        <v>655</v>
      </c>
      <c r="AA12" s="22" t="s">
        <v>619</v>
      </c>
      <c r="AB12" s="175" t="s">
        <v>620</v>
      </c>
      <c r="AC12" s="22"/>
      <c r="AD12" s="155">
        <v>3319195.37</v>
      </c>
      <c r="AE12" s="166">
        <v>1</v>
      </c>
      <c r="AF12" s="168">
        <v>155.21</v>
      </c>
      <c r="AG12" s="155">
        <v>5151.723</v>
      </c>
      <c r="AH12" s="22"/>
      <c r="AI12" s="22"/>
      <c r="AJ12" s="23" t="s">
        <v>36</v>
      </c>
      <c r="AK12" s="161">
        <v>0.92863460243575402</v>
      </c>
      <c r="AL12" s="161">
        <v>5.3971540512400299E-3</v>
      </c>
    </row>
    <row r="13" spans="1:38" x14ac:dyDescent="0.2">
      <c r="A13" s="22">
        <v>233</v>
      </c>
      <c r="B13" s="22">
        <v>233</v>
      </c>
      <c r="C13" s="22" t="s">
        <v>671</v>
      </c>
      <c r="D13" s="22" t="s">
        <v>672</v>
      </c>
      <c r="E13" s="20" t="s">
        <v>89</v>
      </c>
      <c r="F13" s="22" t="s">
        <v>673</v>
      </c>
      <c r="G13" s="22" t="s">
        <v>674</v>
      </c>
      <c r="H13" s="22" t="s">
        <v>92</v>
      </c>
      <c r="I13" s="22" t="s">
        <v>106</v>
      </c>
      <c r="J13" s="20" t="s">
        <v>30</v>
      </c>
      <c r="K13" s="20" t="s">
        <v>30</v>
      </c>
      <c r="L13" s="22" t="s">
        <v>612</v>
      </c>
      <c r="M13" s="22" t="s">
        <v>668</v>
      </c>
      <c r="N13" s="22" t="s">
        <v>96</v>
      </c>
      <c r="O13" s="205">
        <v>37843</v>
      </c>
      <c r="P13" s="22" t="s">
        <v>644</v>
      </c>
      <c r="Q13" s="22" t="s">
        <v>644</v>
      </c>
      <c r="R13" s="22" t="s">
        <v>644</v>
      </c>
      <c r="S13" s="20" t="s">
        <v>34</v>
      </c>
      <c r="T13" s="155">
        <v>0.01</v>
      </c>
      <c r="U13" s="22" t="s">
        <v>675</v>
      </c>
      <c r="V13" s="167">
        <v>1E-4</v>
      </c>
      <c r="W13" s="161">
        <v>0</v>
      </c>
      <c r="X13" s="20" t="s">
        <v>617</v>
      </c>
      <c r="Y13" s="20" t="s">
        <v>628</v>
      </c>
      <c r="Z13" s="22" t="s">
        <v>392</v>
      </c>
      <c r="AA13" s="22" t="s">
        <v>619</v>
      </c>
      <c r="AB13" s="175" t="s">
        <v>676</v>
      </c>
      <c r="AC13" s="22"/>
      <c r="AD13" s="155">
        <v>44577.13</v>
      </c>
      <c r="AE13" s="166">
        <v>1</v>
      </c>
      <c r="AF13" s="168">
        <v>0</v>
      </c>
      <c r="AG13" s="155">
        <v>0</v>
      </c>
      <c r="AH13" s="22"/>
      <c r="AI13" s="22"/>
      <c r="AJ13" s="23" t="s">
        <v>36</v>
      </c>
      <c r="AK13" s="161">
        <v>8.0353435773493207E-9</v>
      </c>
      <c r="AL13" s="161">
        <v>4.6700808938030898E-11</v>
      </c>
    </row>
    <row r="14" spans="1:38" x14ac:dyDescent="0.2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22"/>
      <c r="X14" s="20"/>
      <c r="Y14" s="20"/>
      <c r="Z14" s="22"/>
      <c r="AA14" s="22"/>
      <c r="AC14" s="22"/>
      <c r="AD14" s="22"/>
      <c r="AE14" s="22"/>
      <c r="AF14" s="22"/>
      <c r="AG14" s="22"/>
      <c r="AH14" s="22"/>
      <c r="AI14" s="22"/>
      <c r="AJ14" s="23"/>
    </row>
    <row r="15" spans="1:38" x14ac:dyDescent="0.2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22"/>
      <c r="X15" s="20"/>
      <c r="Y15" s="20"/>
      <c r="Z15" s="22"/>
      <c r="AA15" s="22"/>
      <c r="AC15" s="22"/>
      <c r="AD15" s="22"/>
      <c r="AE15" s="22"/>
      <c r="AF15" s="22"/>
      <c r="AG15" s="22"/>
      <c r="AH15" s="22"/>
      <c r="AI15" s="22"/>
      <c r="AJ15" s="23"/>
    </row>
    <row r="16" spans="1:38" x14ac:dyDescent="0.2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22"/>
      <c r="X16" s="20"/>
      <c r="Y16" s="20"/>
      <c r="Z16" s="22"/>
      <c r="AA16" s="22"/>
      <c r="AC16" s="22"/>
      <c r="AD16" s="22"/>
      <c r="AE16" s="22"/>
      <c r="AF16" s="22"/>
      <c r="AG16" s="22"/>
      <c r="AH16" s="22"/>
      <c r="AI16" s="22"/>
      <c r="AJ16" s="23"/>
    </row>
    <row r="17" spans="1:36" x14ac:dyDescent="0.2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X17" s="20"/>
      <c r="Y17" s="20"/>
      <c r="Z17" s="22"/>
      <c r="AA17" s="22"/>
      <c r="AC17" s="22"/>
      <c r="AD17" s="22"/>
      <c r="AE17" s="22"/>
      <c r="AF17" s="22"/>
      <c r="AG17" s="22"/>
      <c r="AH17" s="22"/>
      <c r="AI17" s="22"/>
      <c r="AJ17" s="23"/>
    </row>
    <row r="18" spans="1:36" x14ac:dyDescent="0.2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22"/>
      <c r="X18" s="20"/>
      <c r="Y18" s="20"/>
      <c r="Z18" s="22"/>
      <c r="AA18" s="22"/>
      <c r="AC18" s="22"/>
      <c r="AD18" s="22"/>
      <c r="AE18" s="22"/>
      <c r="AF18" s="22"/>
      <c r="AG18" s="22"/>
      <c r="AH18" s="22"/>
      <c r="AI18" s="22"/>
      <c r="AJ18" s="23"/>
    </row>
    <row r="19" spans="1:36" x14ac:dyDescent="0.2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3"/>
    </row>
    <row r="20" spans="1:36" x14ac:dyDescent="0.2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3"/>
    </row>
    <row r="21" spans="1:36" x14ac:dyDescent="0.2">
      <c r="L21" s="41"/>
      <c r="X21" s="44"/>
    </row>
    <row r="22" spans="1:36" x14ac:dyDescent="0.2">
      <c r="L22" s="3"/>
    </row>
    <row r="23" spans="1:36" x14ac:dyDescent="0.2">
      <c r="L23" s="3"/>
    </row>
    <row r="24" spans="1:36" x14ac:dyDescent="0.2">
      <c r="L24" s="3"/>
    </row>
    <row r="25" spans="1:36" x14ac:dyDescent="0.2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N1" workbookViewId="0">
      <selection activeCell="O9" sqref="O9"/>
    </sheetView>
  </sheetViews>
  <sheetFormatPr defaultColWidth="0" defaultRowHeight="14.25" x14ac:dyDescent="0.2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 x14ac:dyDescent="0.2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86</v>
      </c>
      <c r="M1" s="21" t="s">
        <v>79</v>
      </c>
      <c r="N1" s="21" t="s">
        <v>80</v>
      </c>
      <c r="O1" s="173" t="s">
        <v>597</v>
      </c>
      <c r="P1" s="21" t="s">
        <v>11</v>
      </c>
      <c r="Q1" s="21" t="s">
        <v>603</v>
      </c>
      <c r="R1" s="21" t="s">
        <v>604</v>
      </c>
      <c r="S1" s="173" t="s">
        <v>606</v>
      </c>
      <c r="T1" s="173" t="s">
        <v>607</v>
      </c>
      <c r="U1" s="21" t="s">
        <v>17</v>
      </c>
      <c r="V1" s="158" t="s">
        <v>18</v>
      </c>
      <c r="W1" s="164" t="s">
        <v>19</v>
      </c>
      <c r="X1" s="21" t="s">
        <v>20</v>
      </c>
      <c r="Y1" s="160" t="s">
        <v>24</v>
      </c>
      <c r="Z1" s="160" t="s">
        <v>25</v>
      </c>
    </row>
    <row r="2" spans="1:26" x14ac:dyDescent="0.2">
      <c r="A2" s="22">
        <v>233</v>
      </c>
      <c r="B2" s="22">
        <v>233</v>
      </c>
      <c r="C2" s="22" t="s">
        <v>677</v>
      </c>
      <c r="D2" s="22" t="s">
        <v>678</v>
      </c>
      <c r="E2" s="20" t="s">
        <v>89</v>
      </c>
      <c r="F2" s="22" t="s">
        <v>679</v>
      </c>
      <c r="G2" s="22" t="s">
        <v>680</v>
      </c>
      <c r="H2" s="20" t="s">
        <v>92</v>
      </c>
      <c r="I2" s="22" t="s">
        <v>681</v>
      </c>
      <c r="J2" s="20" t="s">
        <v>30</v>
      </c>
      <c r="K2" s="20" t="s">
        <v>30</v>
      </c>
      <c r="L2" s="22" t="s">
        <v>612</v>
      </c>
      <c r="M2" s="22" t="s">
        <v>613</v>
      </c>
      <c r="N2" s="22" t="s">
        <v>96</v>
      </c>
      <c r="O2" s="23"/>
      <c r="P2" s="20" t="s">
        <v>34</v>
      </c>
      <c r="Q2" s="22" t="s">
        <v>392</v>
      </c>
      <c r="R2" s="22" t="s">
        <v>619</v>
      </c>
      <c r="S2" s="174" t="s">
        <v>682</v>
      </c>
      <c r="T2" s="22"/>
      <c r="U2" s="155">
        <v>81826</v>
      </c>
      <c r="V2" s="166">
        <v>1</v>
      </c>
      <c r="W2" s="168">
        <v>0</v>
      </c>
      <c r="X2" s="155">
        <v>0</v>
      </c>
      <c r="Y2" s="167">
        <v>1</v>
      </c>
      <c r="Z2" s="167">
        <v>8.5724235547764397E-13</v>
      </c>
    </row>
    <row r="3" spans="1:26" x14ac:dyDescent="0.2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0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x14ac:dyDescent="0.2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P4" s="20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x14ac:dyDescent="0.2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0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x14ac:dyDescent="0.2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0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x14ac:dyDescent="0.2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0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x14ac:dyDescent="0.2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0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x14ac:dyDescent="0.2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0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x14ac:dyDescent="0.2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0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x14ac:dyDescent="0.2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x14ac:dyDescent="0.2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x14ac:dyDescent="0.2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x14ac:dyDescent="0.2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x14ac:dyDescent="0.2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x14ac:dyDescent="0.2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x14ac:dyDescent="0.2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x14ac:dyDescent="0.2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x14ac:dyDescent="0.2">
      <c r="A19" s="5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x14ac:dyDescent="0.2">
      <c r="E20" s="20"/>
      <c r="H20" s="5"/>
      <c r="I20" s="22"/>
      <c r="J20" s="20"/>
      <c r="K20" s="20"/>
      <c r="L20" s="22"/>
      <c r="M20" s="22"/>
      <c r="N20" s="22"/>
      <c r="R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>
      <selection activeCell="A2" sqref="A2"/>
    </sheetView>
  </sheetViews>
  <sheetFormatPr defaultColWidth="0" defaultRowHeight="14.25" x14ac:dyDescent="0.2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 x14ac:dyDescent="0.2">
      <c r="A1" s="21" t="s">
        <v>0</v>
      </c>
      <c r="B1" s="21" t="s">
        <v>1</v>
      </c>
      <c r="C1" s="21" t="s">
        <v>683</v>
      </c>
      <c r="D1" s="21" t="s">
        <v>684</v>
      </c>
      <c r="E1" s="21" t="s">
        <v>685</v>
      </c>
      <c r="F1" s="21" t="s">
        <v>686</v>
      </c>
      <c r="G1" s="21" t="s">
        <v>687</v>
      </c>
      <c r="H1" s="21" t="s">
        <v>688</v>
      </c>
      <c r="I1" s="21" t="s">
        <v>5</v>
      </c>
      <c r="J1" s="21" t="s">
        <v>689</v>
      </c>
      <c r="K1" s="21" t="s">
        <v>6</v>
      </c>
      <c r="L1" s="21" t="s">
        <v>690</v>
      </c>
      <c r="M1" s="21" t="s">
        <v>691</v>
      </c>
      <c r="N1" s="21" t="s">
        <v>7</v>
      </c>
      <c r="O1" s="21" t="s">
        <v>80</v>
      </c>
      <c r="P1" s="176" t="s">
        <v>597</v>
      </c>
      <c r="Q1" s="21" t="s">
        <v>11</v>
      </c>
      <c r="R1" s="21" t="s">
        <v>603</v>
      </c>
      <c r="S1" s="21" t="s">
        <v>604</v>
      </c>
      <c r="T1" s="173" t="s">
        <v>606</v>
      </c>
      <c r="U1" s="158" t="s">
        <v>18</v>
      </c>
      <c r="V1" s="117" t="s">
        <v>692</v>
      </c>
      <c r="W1" s="21" t="s">
        <v>20</v>
      </c>
      <c r="X1" s="160" t="s">
        <v>693</v>
      </c>
      <c r="Y1" s="160" t="s">
        <v>24</v>
      </c>
      <c r="Z1" s="160" t="s">
        <v>25</v>
      </c>
    </row>
    <row r="2" spans="1:26" x14ac:dyDescent="0.2">
      <c r="A2" s="22">
        <v>233</v>
      </c>
      <c r="B2" s="22">
        <v>233</v>
      </c>
      <c r="C2" s="23" t="s">
        <v>694</v>
      </c>
      <c r="D2" s="23" t="s">
        <v>695</v>
      </c>
      <c r="E2" s="23" t="s">
        <v>340</v>
      </c>
      <c r="F2" s="23" t="s">
        <v>696</v>
      </c>
      <c r="G2" s="23">
        <v>29994282</v>
      </c>
      <c r="H2" s="23" t="s">
        <v>33</v>
      </c>
      <c r="I2" s="3" t="s">
        <v>697</v>
      </c>
      <c r="J2" s="23" t="s">
        <v>698</v>
      </c>
      <c r="K2" s="20" t="s">
        <v>30</v>
      </c>
      <c r="L2" s="23" t="s">
        <v>30</v>
      </c>
      <c r="M2" s="23" t="s">
        <v>699</v>
      </c>
      <c r="N2" s="20" t="s">
        <v>30</v>
      </c>
      <c r="O2" s="22" t="s">
        <v>96</v>
      </c>
      <c r="P2" s="177" t="s">
        <v>700</v>
      </c>
      <c r="Q2" s="20" t="s">
        <v>65</v>
      </c>
      <c r="R2" s="22" t="s">
        <v>701</v>
      </c>
      <c r="S2" s="22" t="s">
        <v>619</v>
      </c>
      <c r="T2" s="174" t="s">
        <v>702</v>
      </c>
      <c r="U2" s="166">
        <v>3.19</v>
      </c>
      <c r="V2" s="155">
        <v>4726.5600000000004</v>
      </c>
      <c r="W2" s="155">
        <v>15077.726000000001</v>
      </c>
      <c r="X2" s="167">
        <v>1.1939E-2</v>
      </c>
      <c r="Y2" s="167">
        <v>0.165767024348804</v>
      </c>
      <c r="Z2" s="167">
        <v>1.5796037456548201E-2</v>
      </c>
    </row>
    <row r="3" spans="1:26" x14ac:dyDescent="0.2">
      <c r="A3" s="22">
        <v>233</v>
      </c>
      <c r="B3" s="22">
        <v>233</v>
      </c>
      <c r="C3" s="22" t="s">
        <v>703</v>
      </c>
      <c r="D3" s="3" t="s">
        <v>704</v>
      </c>
      <c r="E3" s="23" t="s">
        <v>340</v>
      </c>
      <c r="F3" s="22" t="s">
        <v>705</v>
      </c>
      <c r="G3" s="22">
        <v>8917762</v>
      </c>
      <c r="H3" s="23" t="s">
        <v>33</v>
      </c>
      <c r="I3" s="3" t="s">
        <v>697</v>
      </c>
      <c r="J3" s="22" t="s">
        <v>706</v>
      </c>
      <c r="K3" s="20" t="s">
        <v>30</v>
      </c>
      <c r="L3" s="23" t="s">
        <v>30</v>
      </c>
      <c r="M3" s="23" t="s">
        <v>707</v>
      </c>
      <c r="N3" s="20" t="s">
        <v>30</v>
      </c>
      <c r="O3" s="22" t="s">
        <v>96</v>
      </c>
      <c r="P3" s="177" t="s">
        <v>708</v>
      </c>
      <c r="Q3" s="20" t="s">
        <v>65</v>
      </c>
      <c r="R3" s="22" t="s">
        <v>701</v>
      </c>
      <c r="S3" s="22" t="s">
        <v>619</v>
      </c>
      <c r="T3" s="178" t="s">
        <v>709</v>
      </c>
      <c r="U3" s="166">
        <v>3.19</v>
      </c>
      <c r="V3" s="155">
        <v>2418.9929999999999</v>
      </c>
      <c r="W3" s="155">
        <v>7716.5879999999997</v>
      </c>
      <c r="X3" s="179">
        <v>1.3901999999999999E-2</v>
      </c>
      <c r="Y3" s="167">
        <v>8.4837445035720396E-2</v>
      </c>
      <c r="Z3" s="167">
        <v>8.0842101423156502E-3</v>
      </c>
    </row>
    <row r="4" spans="1:26" x14ac:dyDescent="0.2">
      <c r="A4" s="22">
        <v>233</v>
      </c>
      <c r="B4" s="22">
        <v>233</v>
      </c>
      <c r="C4" s="22" t="s">
        <v>710</v>
      </c>
      <c r="D4" s="3" t="s">
        <v>711</v>
      </c>
      <c r="E4" s="23" t="s">
        <v>340</v>
      </c>
      <c r="F4" s="22" t="s">
        <v>712</v>
      </c>
      <c r="G4" s="22">
        <v>8917764</v>
      </c>
      <c r="H4" s="23" t="s">
        <v>33</v>
      </c>
      <c r="I4" s="3" t="s">
        <v>697</v>
      </c>
      <c r="J4" s="22" t="s">
        <v>706</v>
      </c>
      <c r="K4" s="20" t="s">
        <v>30</v>
      </c>
      <c r="L4" s="23" t="s">
        <v>30</v>
      </c>
      <c r="M4" s="23" t="s">
        <v>713</v>
      </c>
      <c r="N4" s="20" t="s">
        <v>30</v>
      </c>
      <c r="O4" s="22" t="s">
        <v>96</v>
      </c>
      <c r="P4" s="177" t="s">
        <v>714</v>
      </c>
      <c r="Q4" s="20" t="s">
        <v>65</v>
      </c>
      <c r="R4" s="22" t="s">
        <v>701</v>
      </c>
      <c r="S4" s="22" t="s">
        <v>619</v>
      </c>
      <c r="T4" s="174" t="s">
        <v>715</v>
      </c>
      <c r="U4" s="166">
        <v>3.19</v>
      </c>
      <c r="V4" s="155">
        <v>852.63499999999999</v>
      </c>
      <c r="W4" s="155">
        <v>2719.9059999999999</v>
      </c>
      <c r="X4" s="179">
        <v>8.1399999999999997E-3</v>
      </c>
      <c r="Y4" s="167">
        <v>2.99030938265883E-2</v>
      </c>
      <c r="Z4" s="167">
        <v>2.8494834362083501E-3</v>
      </c>
    </row>
    <row r="5" spans="1:26" x14ac:dyDescent="0.2">
      <c r="A5" s="22">
        <v>233</v>
      </c>
      <c r="B5" s="22">
        <v>233</v>
      </c>
      <c r="C5" s="22" t="s">
        <v>716</v>
      </c>
      <c r="D5" s="3" t="s">
        <v>717</v>
      </c>
      <c r="E5" s="23" t="s">
        <v>89</v>
      </c>
      <c r="F5" s="22" t="s">
        <v>718</v>
      </c>
      <c r="G5" s="22">
        <v>892162703</v>
      </c>
      <c r="H5" s="23" t="s">
        <v>33</v>
      </c>
      <c r="I5" s="3" t="s">
        <v>697</v>
      </c>
      <c r="J5" s="22" t="s">
        <v>719</v>
      </c>
      <c r="K5" s="20" t="s">
        <v>30</v>
      </c>
      <c r="L5" s="23" t="s">
        <v>30</v>
      </c>
      <c r="M5" s="23" t="s">
        <v>30</v>
      </c>
      <c r="N5" s="20" t="s">
        <v>30</v>
      </c>
      <c r="O5" s="22" t="s">
        <v>96</v>
      </c>
      <c r="P5" s="177" t="s">
        <v>660</v>
      </c>
      <c r="Q5" s="20" t="s">
        <v>65</v>
      </c>
      <c r="R5" s="22" t="s">
        <v>701</v>
      </c>
      <c r="S5" s="22" t="s">
        <v>619</v>
      </c>
      <c r="T5" s="174" t="s">
        <v>720</v>
      </c>
      <c r="U5" s="166">
        <v>3.19</v>
      </c>
      <c r="V5" s="155">
        <v>0</v>
      </c>
      <c r="W5" s="155">
        <v>0</v>
      </c>
      <c r="X5" s="179">
        <v>0</v>
      </c>
      <c r="Y5" s="167">
        <v>3.50713892220448E-10</v>
      </c>
      <c r="Z5" s="167">
        <v>3.3419733507365395E-11</v>
      </c>
    </row>
    <row r="6" spans="1:26" x14ac:dyDescent="0.2">
      <c r="A6" s="22">
        <v>233</v>
      </c>
      <c r="B6" s="22">
        <v>233</v>
      </c>
      <c r="C6" s="22" t="s">
        <v>721</v>
      </c>
      <c r="D6" s="3" t="s">
        <v>722</v>
      </c>
      <c r="E6" s="23" t="s">
        <v>340</v>
      </c>
      <c r="F6" s="22" t="s">
        <v>723</v>
      </c>
      <c r="G6" s="22">
        <v>800070395</v>
      </c>
      <c r="H6" s="23" t="s">
        <v>33</v>
      </c>
      <c r="I6" s="3" t="s">
        <v>697</v>
      </c>
      <c r="J6" s="22" t="s">
        <v>698</v>
      </c>
      <c r="K6" s="20" t="s">
        <v>60</v>
      </c>
      <c r="L6" s="23" t="s">
        <v>30</v>
      </c>
      <c r="M6" s="23" t="s">
        <v>724</v>
      </c>
      <c r="N6" s="20" t="s">
        <v>30</v>
      </c>
      <c r="O6" s="22" t="s">
        <v>96</v>
      </c>
      <c r="P6" s="177" t="s">
        <v>725</v>
      </c>
      <c r="Q6" s="20" t="s">
        <v>65</v>
      </c>
      <c r="R6" s="22" t="s">
        <v>701</v>
      </c>
      <c r="S6" s="22" t="s">
        <v>619</v>
      </c>
      <c r="T6" s="174" t="s">
        <v>726</v>
      </c>
      <c r="U6" s="166">
        <v>3.19</v>
      </c>
      <c r="V6" s="155">
        <v>1927.904</v>
      </c>
      <c r="W6" s="155">
        <v>6150.0140000000001</v>
      </c>
      <c r="X6" s="167">
        <v>1.0841E-2</v>
      </c>
      <c r="Y6" s="167">
        <v>6.7614270981044805E-2</v>
      </c>
      <c r="Z6" s="167">
        <v>6.4430037349674299E-3</v>
      </c>
    </row>
    <row r="7" spans="1:26" x14ac:dyDescent="0.2">
      <c r="A7" s="22">
        <v>233</v>
      </c>
      <c r="B7" s="22">
        <v>233</v>
      </c>
      <c r="C7" s="22" t="s">
        <v>727</v>
      </c>
      <c r="D7" s="3" t="s">
        <v>728</v>
      </c>
      <c r="E7" s="23" t="s">
        <v>340</v>
      </c>
      <c r="F7" s="22" t="s">
        <v>729</v>
      </c>
      <c r="G7" s="22">
        <v>800070385</v>
      </c>
      <c r="H7" s="23" t="s">
        <v>33</v>
      </c>
      <c r="I7" s="3" t="s">
        <v>697</v>
      </c>
      <c r="J7" s="22" t="s">
        <v>706</v>
      </c>
      <c r="K7" s="20" t="s">
        <v>60</v>
      </c>
      <c r="L7" s="23" t="s">
        <v>30</v>
      </c>
      <c r="M7" s="23" t="s">
        <v>730</v>
      </c>
      <c r="N7" s="20" t="s">
        <v>30</v>
      </c>
      <c r="O7" s="22" t="s">
        <v>628</v>
      </c>
      <c r="P7" s="177" t="s">
        <v>660</v>
      </c>
      <c r="Q7" s="20" t="s">
        <v>65</v>
      </c>
      <c r="R7" s="22" t="s">
        <v>701</v>
      </c>
      <c r="S7" s="22" t="s">
        <v>619</v>
      </c>
      <c r="T7" s="174" t="s">
        <v>731</v>
      </c>
      <c r="U7" s="166">
        <v>3.19</v>
      </c>
      <c r="V7" s="155">
        <v>6.0289999999999999</v>
      </c>
      <c r="W7" s="155">
        <v>19.233000000000001</v>
      </c>
      <c r="X7" s="167">
        <v>0</v>
      </c>
      <c r="Y7" s="167">
        <v>2.1144540561970801E-4</v>
      </c>
      <c r="Z7" s="167">
        <v>2.0148757331590598E-5</v>
      </c>
    </row>
    <row r="8" spans="1:26" x14ac:dyDescent="0.2">
      <c r="A8" s="22">
        <v>233</v>
      </c>
      <c r="B8" s="22">
        <v>233</v>
      </c>
      <c r="C8" s="22" t="s">
        <v>732</v>
      </c>
      <c r="D8" s="3" t="s">
        <v>733</v>
      </c>
      <c r="E8" s="23" t="s">
        <v>89</v>
      </c>
      <c r="F8" s="22" t="s">
        <v>734</v>
      </c>
      <c r="G8" s="22">
        <v>800069247</v>
      </c>
      <c r="H8" s="23" t="s">
        <v>33</v>
      </c>
      <c r="I8" s="3" t="s">
        <v>697</v>
      </c>
      <c r="J8" s="22" t="s">
        <v>719</v>
      </c>
      <c r="K8" s="20" t="s">
        <v>30</v>
      </c>
      <c r="L8" s="23" t="s">
        <v>30</v>
      </c>
      <c r="M8" s="23" t="s">
        <v>30</v>
      </c>
      <c r="N8" s="20" t="s">
        <v>30</v>
      </c>
      <c r="O8" s="22" t="s">
        <v>628</v>
      </c>
      <c r="P8" s="177" t="s">
        <v>660</v>
      </c>
      <c r="Q8" s="20" t="s">
        <v>65</v>
      </c>
      <c r="R8" s="22" t="s">
        <v>701</v>
      </c>
      <c r="S8" s="22" t="s">
        <v>619</v>
      </c>
      <c r="T8" s="174" t="s">
        <v>663</v>
      </c>
      <c r="U8" s="166">
        <v>3.19</v>
      </c>
      <c r="V8" s="155">
        <v>0</v>
      </c>
      <c r="W8" s="155">
        <v>0</v>
      </c>
      <c r="X8" s="167">
        <v>0</v>
      </c>
      <c r="Y8" s="167">
        <v>1.68843319361237E-10</v>
      </c>
      <c r="Z8" s="167">
        <v>1.6089179421511799E-11</v>
      </c>
    </row>
    <row r="9" spans="1:26" x14ac:dyDescent="0.2">
      <c r="A9" s="22">
        <v>233</v>
      </c>
      <c r="B9" s="22">
        <v>233</v>
      </c>
      <c r="C9" s="22" t="s">
        <v>735</v>
      </c>
      <c r="D9" s="3" t="s">
        <v>736</v>
      </c>
      <c r="E9" s="23" t="s">
        <v>340</v>
      </c>
      <c r="F9" s="22" t="s">
        <v>737</v>
      </c>
      <c r="G9" s="22">
        <v>8917763</v>
      </c>
      <c r="H9" s="23" t="s">
        <v>33</v>
      </c>
      <c r="I9" s="3" t="s">
        <v>697</v>
      </c>
      <c r="J9" s="22" t="s">
        <v>719</v>
      </c>
      <c r="K9" s="20" t="s">
        <v>60</v>
      </c>
      <c r="L9" s="23" t="s">
        <v>30</v>
      </c>
      <c r="M9" s="23" t="s">
        <v>738</v>
      </c>
      <c r="N9" s="20" t="s">
        <v>30</v>
      </c>
      <c r="O9" s="22" t="s">
        <v>96</v>
      </c>
      <c r="P9" s="177" t="s">
        <v>739</v>
      </c>
      <c r="Q9" s="20" t="s">
        <v>65</v>
      </c>
      <c r="R9" s="22" t="s">
        <v>701</v>
      </c>
      <c r="S9" s="22" t="s">
        <v>619</v>
      </c>
      <c r="T9" s="174" t="s">
        <v>740</v>
      </c>
      <c r="U9" s="166">
        <v>3.19</v>
      </c>
      <c r="V9" s="155">
        <v>1278.4849999999999</v>
      </c>
      <c r="W9" s="155">
        <v>4078.3670000000002</v>
      </c>
      <c r="X9" s="167">
        <v>6.0780000000000001E-3</v>
      </c>
      <c r="Y9" s="167">
        <v>4.4838244484896497E-2</v>
      </c>
      <c r="Z9" s="167">
        <v>4.2726627455106402E-3</v>
      </c>
    </row>
    <row r="10" spans="1:26" x14ac:dyDescent="0.2">
      <c r="A10" s="22">
        <v>233</v>
      </c>
      <c r="B10" s="22">
        <v>233</v>
      </c>
      <c r="C10" s="22" t="s">
        <v>741</v>
      </c>
      <c r="D10" s="3" t="s">
        <v>742</v>
      </c>
      <c r="E10" s="23" t="s">
        <v>623</v>
      </c>
      <c r="F10" s="22" t="s">
        <v>743</v>
      </c>
      <c r="G10" s="22">
        <v>29994847</v>
      </c>
      <c r="H10" s="23" t="s">
        <v>33</v>
      </c>
      <c r="I10" s="3" t="s">
        <v>744</v>
      </c>
      <c r="J10" s="22" t="s">
        <v>719</v>
      </c>
      <c r="K10" s="20" t="s">
        <v>60</v>
      </c>
      <c r="L10" s="23" t="s">
        <v>61</v>
      </c>
      <c r="M10" s="23" t="s">
        <v>61</v>
      </c>
      <c r="N10" s="20" t="s">
        <v>61</v>
      </c>
      <c r="O10" s="22" t="s">
        <v>96</v>
      </c>
      <c r="P10" s="177" t="s">
        <v>715</v>
      </c>
      <c r="Q10" s="20" t="s">
        <v>65</v>
      </c>
      <c r="R10" s="22" t="s">
        <v>701</v>
      </c>
      <c r="S10" s="22" t="s">
        <v>619</v>
      </c>
      <c r="T10" s="174" t="s">
        <v>620</v>
      </c>
      <c r="U10" s="166">
        <v>3.19</v>
      </c>
      <c r="V10" s="155">
        <v>4962.9399999999996</v>
      </c>
      <c r="W10" s="155">
        <v>15831.779</v>
      </c>
      <c r="X10" s="167">
        <v>0</v>
      </c>
      <c r="Y10" s="167">
        <v>0.17405720044628201</v>
      </c>
      <c r="Z10" s="167">
        <v>1.658601322327E-2</v>
      </c>
    </row>
    <row r="11" spans="1:26" x14ac:dyDescent="0.2">
      <c r="A11" s="22">
        <v>233</v>
      </c>
      <c r="B11" s="22">
        <v>233</v>
      </c>
      <c r="C11" s="22" t="s">
        <v>745</v>
      </c>
      <c r="D11" s="3" t="s">
        <v>746</v>
      </c>
      <c r="E11" s="23" t="s">
        <v>623</v>
      </c>
      <c r="F11" s="22" t="s">
        <v>747</v>
      </c>
      <c r="G11" s="22">
        <v>865637</v>
      </c>
      <c r="H11" s="23" t="s">
        <v>33</v>
      </c>
      <c r="I11" s="3" t="s">
        <v>744</v>
      </c>
      <c r="J11" s="22" t="s">
        <v>748</v>
      </c>
      <c r="K11" s="20" t="s">
        <v>60</v>
      </c>
      <c r="L11" s="23" t="s">
        <v>749</v>
      </c>
      <c r="M11" s="23" t="s">
        <v>750</v>
      </c>
      <c r="N11" s="20" t="s">
        <v>61</v>
      </c>
      <c r="O11" s="22" t="s">
        <v>96</v>
      </c>
      <c r="P11" s="177" t="s">
        <v>751</v>
      </c>
      <c r="Q11" s="20" t="s">
        <v>65</v>
      </c>
      <c r="R11" s="22" t="s">
        <v>701</v>
      </c>
      <c r="S11" s="22" t="s">
        <v>619</v>
      </c>
      <c r="T11" s="174" t="s">
        <v>726</v>
      </c>
      <c r="U11" s="166">
        <v>3.19</v>
      </c>
      <c r="V11" s="155">
        <v>2877.587</v>
      </c>
      <c r="W11" s="155">
        <v>9179.5030000000006</v>
      </c>
      <c r="X11" s="167">
        <v>5.0081000000000001E-2</v>
      </c>
      <c r="Y11" s="167">
        <v>0.100920973374639</v>
      </c>
      <c r="Z11" s="167">
        <v>9.6168190376797694E-3</v>
      </c>
    </row>
    <row r="12" spans="1:26" x14ac:dyDescent="0.2">
      <c r="A12" s="22">
        <v>233</v>
      </c>
      <c r="B12" s="22">
        <v>233</v>
      </c>
      <c r="C12" s="22" t="s">
        <v>752</v>
      </c>
      <c r="D12" s="3" t="s">
        <v>753</v>
      </c>
      <c r="E12" s="23" t="s">
        <v>340</v>
      </c>
      <c r="F12" s="22" t="s">
        <v>754</v>
      </c>
      <c r="G12" s="22">
        <v>29994457</v>
      </c>
      <c r="H12" s="23" t="s">
        <v>33</v>
      </c>
      <c r="I12" s="3" t="s">
        <v>744</v>
      </c>
      <c r="J12" s="22" t="s">
        <v>755</v>
      </c>
      <c r="K12" s="20" t="s">
        <v>60</v>
      </c>
      <c r="L12" s="23" t="s">
        <v>749</v>
      </c>
      <c r="M12" s="23" t="s">
        <v>756</v>
      </c>
      <c r="N12" s="20" t="s">
        <v>61</v>
      </c>
      <c r="O12" s="22" t="s">
        <v>96</v>
      </c>
      <c r="P12" s="177" t="s">
        <v>757</v>
      </c>
      <c r="Q12" s="20" t="s">
        <v>34</v>
      </c>
      <c r="R12" s="22" t="s">
        <v>701</v>
      </c>
      <c r="S12" s="22" t="s">
        <v>619</v>
      </c>
      <c r="T12" s="174" t="s">
        <v>620</v>
      </c>
      <c r="U12" s="166">
        <v>1</v>
      </c>
      <c r="V12" s="155">
        <v>3749.7289999999998</v>
      </c>
      <c r="W12" s="155">
        <v>3749.7289999999998</v>
      </c>
      <c r="X12" s="167">
        <v>1.9000000000000001E-5</v>
      </c>
      <c r="Y12" s="167">
        <v>4.1225142706884398E-2</v>
      </c>
      <c r="Z12" s="167">
        <v>3.9283681474504796E-3</v>
      </c>
    </row>
    <row r="13" spans="1:26" x14ac:dyDescent="0.2">
      <c r="A13" s="22">
        <v>233</v>
      </c>
      <c r="B13" s="22">
        <v>233</v>
      </c>
      <c r="C13" s="22" t="s">
        <v>758</v>
      </c>
      <c r="D13" s="3" t="s">
        <v>759</v>
      </c>
      <c r="E13" s="23" t="s">
        <v>89</v>
      </c>
      <c r="F13" s="22" t="s">
        <v>758</v>
      </c>
      <c r="G13" s="22">
        <v>29994435</v>
      </c>
      <c r="H13" s="23" t="s">
        <v>33</v>
      </c>
      <c r="I13" s="3" t="s">
        <v>697</v>
      </c>
      <c r="J13" s="22" t="s">
        <v>755</v>
      </c>
      <c r="K13" s="20" t="s">
        <v>60</v>
      </c>
      <c r="L13" s="23" t="s">
        <v>749</v>
      </c>
      <c r="M13" s="23" t="s">
        <v>760</v>
      </c>
      <c r="N13" s="20" t="s">
        <v>402</v>
      </c>
      <c r="O13" s="22" t="s">
        <v>96</v>
      </c>
      <c r="P13" s="177" t="s">
        <v>649</v>
      </c>
      <c r="Q13" s="20" t="s">
        <v>65</v>
      </c>
      <c r="R13" s="22" t="s">
        <v>701</v>
      </c>
      <c r="S13" s="22" t="s">
        <v>619</v>
      </c>
      <c r="T13" s="174" t="s">
        <v>761</v>
      </c>
      <c r="U13" s="166">
        <v>3.19</v>
      </c>
      <c r="V13" s="155">
        <v>4935.5810000000001</v>
      </c>
      <c r="W13" s="155">
        <v>15744.503000000001</v>
      </c>
      <c r="X13" s="167">
        <v>8.8999999999999995E-5</v>
      </c>
      <c r="Y13" s="167">
        <v>0.17309767902047399</v>
      </c>
      <c r="Z13" s="167">
        <v>1.6494579861043902E-2</v>
      </c>
    </row>
    <row r="14" spans="1:26" x14ac:dyDescent="0.2">
      <c r="A14" s="22">
        <v>233</v>
      </c>
      <c r="B14" s="22">
        <v>233</v>
      </c>
      <c r="C14" s="22" t="s">
        <v>762</v>
      </c>
      <c r="D14" s="3" t="s">
        <v>763</v>
      </c>
      <c r="E14" s="23" t="s">
        <v>89</v>
      </c>
      <c r="F14" s="22" t="s">
        <v>764</v>
      </c>
      <c r="G14" s="22">
        <v>827727</v>
      </c>
      <c r="H14" s="23" t="s">
        <v>33</v>
      </c>
      <c r="I14" s="3" t="s">
        <v>744</v>
      </c>
      <c r="J14" s="22" t="s">
        <v>755</v>
      </c>
      <c r="K14" s="20" t="s">
        <v>60</v>
      </c>
      <c r="L14" s="23" t="s">
        <v>749</v>
      </c>
      <c r="M14" s="23" t="s">
        <v>765</v>
      </c>
      <c r="N14" s="20" t="s">
        <v>61</v>
      </c>
      <c r="O14" s="22" t="s">
        <v>96</v>
      </c>
      <c r="P14" s="177" t="s">
        <v>766</v>
      </c>
      <c r="Q14" s="20" t="s">
        <v>65</v>
      </c>
      <c r="R14" s="22" t="s">
        <v>701</v>
      </c>
      <c r="S14" s="22" t="s">
        <v>619</v>
      </c>
      <c r="T14" s="174" t="s">
        <v>620</v>
      </c>
      <c r="U14" s="166">
        <v>3.19</v>
      </c>
      <c r="V14" s="155">
        <v>1030.8019999999999</v>
      </c>
      <c r="W14" s="155">
        <v>3288.2579999999998</v>
      </c>
      <c r="X14" s="167">
        <v>1.044E-3</v>
      </c>
      <c r="Y14" s="167">
        <v>3.61516581372677E-2</v>
      </c>
      <c r="Z14" s="167">
        <v>3.44491281239992E-3</v>
      </c>
    </row>
    <row r="15" spans="1:26" x14ac:dyDescent="0.2">
      <c r="A15" s="22">
        <v>233</v>
      </c>
      <c r="B15" s="22">
        <v>233</v>
      </c>
      <c r="C15" s="22" t="s">
        <v>762</v>
      </c>
      <c r="D15" s="3" t="s">
        <v>763</v>
      </c>
      <c r="E15" s="23" t="s">
        <v>89</v>
      </c>
      <c r="F15" s="22" t="s">
        <v>767</v>
      </c>
      <c r="G15" s="22">
        <v>826410</v>
      </c>
      <c r="H15" s="23" t="s">
        <v>33</v>
      </c>
      <c r="I15" s="3" t="s">
        <v>744</v>
      </c>
      <c r="J15" s="22" t="s">
        <v>755</v>
      </c>
      <c r="K15" s="20" t="s">
        <v>60</v>
      </c>
      <c r="L15" s="23" t="s">
        <v>749</v>
      </c>
      <c r="M15" s="23" t="s">
        <v>765</v>
      </c>
      <c r="N15" s="20" t="s">
        <v>61</v>
      </c>
      <c r="O15" s="22" t="s">
        <v>96</v>
      </c>
      <c r="P15" s="177" t="s">
        <v>768</v>
      </c>
      <c r="Q15" s="20" t="s">
        <v>65</v>
      </c>
      <c r="R15" s="22" t="s">
        <v>701</v>
      </c>
      <c r="S15" s="22" t="s">
        <v>619</v>
      </c>
      <c r="T15" s="174" t="s">
        <v>620</v>
      </c>
      <c r="U15" s="166">
        <v>3.19</v>
      </c>
      <c r="V15" s="155">
        <v>1039.028</v>
      </c>
      <c r="W15" s="155">
        <v>3314.4989999999998</v>
      </c>
      <c r="X15" s="167">
        <v>1.0510000000000001E-3</v>
      </c>
      <c r="Y15" s="167">
        <v>3.6440155387138802E-2</v>
      </c>
      <c r="Z15" s="167">
        <v>3.4724038853861101E-3</v>
      </c>
    </row>
    <row r="16" spans="1:26" x14ac:dyDescent="0.2">
      <c r="A16" s="22">
        <v>233</v>
      </c>
      <c r="B16" s="22">
        <v>233</v>
      </c>
      <c r="C16" s="22" t="s">
        <v>762</v>
      </c>
      <c r="D16" s="3" t="s">
        <v>763</v>
      </c>
      <c r="E16" s="23" t="s">
        <v>89</v>
      </c>
      <c r="F16" s="22" t="s">
        <v>767</v>
      </c>
      <c r="G16" s="22">
        <v>830958</v>
      </c>
      <c r="H16" s="23" t="s">
        <v>33</v>
      </c>
      <c r="I16" s="3" t="s">
        <v>744</v>
      </c>
      <c r="J16" s="22" t="s">
        <v>755</v>
      </c>
      <c r="K16" s="20" t="s">
        <v>60</v>
      </c>
      <c r="L16" s="23" t="s">
        <v>749</v>
      </c>
      <c r="M16" s="23" t="s">
        <v>765</v>
      </c>
      <c r="N16" s="20" t="s">
        <v>61</v>
      </c>
      <c r="O16" s="22" t="s">
        <v>96</v>
      </c>
      <c r="P16" s="177" t="s">
        <v>769</v>
      </c>
      <c r="Q16" s="20" t="s">
        <v>65</v>
      </c>
      <c r="R16" s="22" t="s">
        <v>701</v>
      </c>
      <c r="S16" s="22" t="s">
        <v>619</v>
      </c>
      <c r="T16" s="174" t="s">
        <v>620</v>
      </c>
      <c r="U16" s="166">
        <v>3.19</v>
      </c>
      <c r="V16" s="155">
        <v>1271.6569999999999</v>
      </c>
      <c r="W16" s="155">
        <v>4056.5859999999998</v>
      </c>
      <c r="X16" s="167">
        <v>1.2869999999999999E-3</v>
      </c>
      <c r="Y16" s="167">
        <v>4.4598777574493598E-2</v>
      </c>
      <c r="Z16" s="167">
        <v>4.24984380247183E-3</v>
      </c>
    </row>
    <row r="17" spans="1:26" x14ac:dyDescent="0.2">
      <c r="A17" s="22">
        <v>233</v>
      </c>
      <c r="B17" s="22">
        <v>233</v>
      </c>
      <c r="C17" s="22" t="s">
        <v>770</v>
      </c>
      <c r="D17" s="3" t="s">
        <v>763</v>
      </c>
      <c r="E17" s="23" t="s">
        <v>89</v>
      </c>
      <c r="F17" s="22" t="s">
        <v>771</v>
      </c>
      <c r="G17" s="22">
        <v>856063</v>
      </c>
      <c r="H17" s="23" t="s">
        <v>33</v>
      </c>
      <c r="I17" s="3" t="s">
        <v>744</v>
      </c>
      <c r="J17" s="22" t="s">
        <v>719</v>
      </c>
      <c r="K17" s="20" t="s">
        <v>60</v>
      </c>
      <c r="L17" s="23" t="s">
        <v>61</v>
      </c>
      <c r="M17" s="23" t="s">
        <v>61</v>
      </c>
      <c r="N17" s="20" t="s">
        <v>61</v>
      </c>
      <c r="O17" s="22" t="s">
        <v>96</v>
      </c>
      <c r="P17" s="177" t="s">
        <v>772</v>
      </c>
      <c r="Q17" s="20" t="s">
        <v>65</v>
      </c>
      <c r="R17" s="22" t="s">
        <v>701</v>
      </c>
      <c r="S17" s="22" t="s">
        <v>619</v>
      </c>
      <c r="T17" s="174" t="s">
        <v>772</v>
      </c>
      <c r="U17" s="166">
        <v>3.19</v>
      </c>
      <c r="V17" s="155">
        <v>9.6059999999999999</v>
      </c>
      <c r="W17" s="155">
        <v>30.643000000000001</v>
      </c>
      <c r="X17" s="167">
        <v>0</v>
      </c>
      <c r="Y17" s="167">
        <v>3.3688875058911802E-4</v>
      </c>
      <c r="Z17" s="167">
        <v>3.2102327612505103E-5</v>
      </c>
    </row>
    <row r="18" spans="1:26" x14ac:dyDescent="0.2">
      <c r="A18" s="22"/>
      <c r="B18" s="22"/>
      <c r="C18" s="22"/>
      <c r="E18" s="23"/>
      <c r="F18" s="22"/>
      <c r="G18" s="22"/>
      <c r="H18" s="23"/>
      <c r="J18" s="22"/>
      <c r="K18" s="20"/>
      <c r="L18" s="23"/>
      <c r="M18" s="23"/>
      <c r="N18" s="20"/>
      <c r="O18" s="22"/>
      <c r="Q18" s="20"/>
      <c r="R18" s="22"/>
      <c r="S18" s="22"/>
      <c r="T18" s="23"/>
      <c r="U18" s="22"/>
      <c r="V18" s="22"/>
      <c r="W18" s="22"/>
      <c r="X18" s="22"/>
      <c r="Y18" s="22"/>
      <c r="Z18" s="22"/>
    </row>
    <row r="19" spans="1:26" x14ac:dyDescent="0.2">
      <c r="A19" s="22"/>
      <c r="B19" s="22"/>
      <c r="C19" s="22"/>
      <c r="E19" s="23"/>
      <c r="F19" s="22"/>
      <c r="G19" s="22"/>
      <c r="H19" s="23"/>
      <c r="J19" s="22"/>
      <c r="K19" s="20"/>
      <c r="L19" s="23"/>
      <c r="M19" s="23"/>
      <c r="N19" s="20"/>
      <c r="O19" s="22"/>
      <c r="Q19" s="20"/>
      <c r="R19" s="22"/>
      <c r="S19" s="22"/>
      <c r="T19" s="23"/>
      <c r="U19" s="22"/>
      <c r="V19" s="22"/>
      <c r="W19" s="22"/>
      <c r="X19" s="22"/>
      <c r="Y19" s="22"/>
      <c r="Z19" s="22"/>
    </row>
    <row r="20" spans="1:26" x14ac:dyDescent="0.2">
      <c r="E20" s="23"/>
      <c r="H20" s="23"/>
      <c r="J20" s="22"/>
      <c r="K20" s="20"/>
      <c r="L20" s="23"/>
      <c r="M20" s="23"/>
      <c r="N20" s="20"/>
      <c r="O20" s="22"/>
      <c r="R20" s="22"/>
      <c r="S20" s="2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 x14ac:dyDescent="0.2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6</v>
      </c>
      <c r="J1" s="21" t="s">
        <v>7</v>
      </c>
      <c r="K1" s="21" t="s">
        <v>86</v>
      </c>
      <c r="L1" s="21" t="s">
        <v>589</v>
      </c>
      <c r="M1" s="21" t="s">
        <v>79</v>
      </c>
      <c r="N1" s="21" t="s">
        <v>590</v>
      </c>
      <c r="O1" s="21" t="s">
        <v>80</v>
      </c>
      <c r="P1" s="21" t="s">
        <v>597</v>
      </c>
      <c r="Q1" s="21" t="s">
        <v>11</v>
      </c>
      <c r="R1" s="21" t="s">
        <v>603</v>
      </c>
      <c r="S1" s="21" t="s">
        <v>604</v>
      </c>
      <c r="T1" s="21" t="s">
        <v>606</v>
      </c>
      <c r="U1" s="21" t="s">
        <v>591</v>
      </c>
      <c r="V1" s="21" t="s">
        <v>592</v>
      </c>
      <c r="W1" s="21" t="s">
        <v>17</v>
      </c>
      <c r="X1" s="21" t="s">
        <v>19</v>
      </c>
      <c r="Y1" s="21" t="s">
        <v>18</v>
      </c>
      <c r="Z1" s="21" t="s">
        <v>20</v>
      </c>
      <c r="AA1" s="21" t="s">
        <v>24</v>
      </c>
      <c r="AB1" s="21" t="s">
        <v>25</v>
      </c>
    </row>
    <row r="2" spans="1:28" x14ac:dyDescent="0.2">
      <c r="A2" s="22"/>
      <c r="B2" s="22"/>
      <c r="C2" s="22"/>
      <c r="D2" s="22"/>
      <c r="E2" s="20"/>
      <c r="F2" s="22"/>
      <c r="G2" s="22"/>
      <c r="H2" s="22"/>
      <c r="I2" s="20"/>
      <c r="J2" s="20"/>
      <c r="K2" s="22"/>
      <c r="L2" s="23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x14ac:dyDescent="0.2">
      <c r="A3" s="22"/>
      <c r="B3" s="22"/>
      <c r="C3" s="22"/>
      <c r="D3" s="22"/>
      <c r="E3" s="20"/>
      <c r="F3" s="22"/>
      <c r="G3" s="22"/>
      <c r="H3" s="22"/>
      <c r="I3" s="20"/>
      <c r="J3" s="20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x14ac:dyDescent="0.2">
      <c r="A4" s="22"/>
      <c r="B4" s="22"/>
      <c r="C4" s="22"/>
      <c r="D4" s="22"/>
      <c r="E4" s="20"/>
      <c r="F4" s="22"/>
      <c r="G4" s="22"/>
      <c r="H4" s="22"/>
      <c r="I4" s="20"/>
      <c r="J4" s="20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x14ac:dyDescent="0.2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x14ac:dyDescent="0.2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x14ac:dyDescent="0.2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x14ac:dyDescent="0.2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x14ac:dyDescent="0.2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x14ac:dyDescent="0.2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x14ac:dyDescent="0.2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x14ac:dyDescent="0.2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x14ac:dyDescent="0.2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x14ac:dyDescent="0.2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x14ac:dyDescent="0.2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x14ac:dyDescent="0.2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x14ac:dyDescent="0.2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x14ac:dyDescent="0.2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x14ac:dyDescent="0.2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x14ac:dyDescent="0.2">
      <c r="E20" s="20"/>
      <c r="H20" s="22"/>
      <c r="I20" s="20"/>
      <c r="J20" s="20"/>
      <c r="K20" s="22"/>
      <c r="M20" s="22"/>
      <c r="O20" s="22"/>
      <c r="S20" s="22"/>
    </row>
    <row r="23" spans="1:28" x14ac:dyDescent="0.2">
      <c r="H23" s="41"/>
    </row>
    <row r="24" spans="1:28" x14ac:dyDescent="0.2">
      <c r="H24" s="41"/>
      <c r="K24" s="3"/>
    </row>
    <row r="25" spans="1:28" x14ac:dyDescent="0.2">
      <c r="H25" s="41"/>
    </row>
    <row r="26" spans="1:28" x14ac:dyDescent="0.2">
      <c r="H26" s="4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 x14ac:dyDescent="0.2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79</v>
      </c>
      <c r="M1" s="21" t="s">
        <v>596</v>
      </c>
      <c r="N1" s="21" t="s">
        <v>590</v>
      </c>
      <c r="O1" s="21" t="s">
        <v>80</v>
      </c>
      <c r="P1" s="21" t="s">
        <v>597</v>
      </c>
      <c r="Q1" s="21" t="s">
        <v>11</v>
      </c>
      <c r="R1" s="21" t="s">
        <v>603</v>
      </c>
      <c r="S1" s="21" t="s">
        <v>604</v>
      </c>
      <c r="T1" s="21" t="s">
        <v>606</v>
      </c>
      <c r="U1" s="21" t="s">
        <v>591</v>
      </c>
      <c r="V1" s="21" t="s">
        <v>592</v>
      </c>
      <c r="W1" s="21" t="s">
        <v>17</v>
      </c>
      <c r="X1" s="21" t="s">
        <v>19</v>
      </c>
      <c r="Y1" s="21" t="s">
        <v>18</v>
      </c>
      <c r="Z1" s="21" t="s">
        <v>773</v>
      </c>
      <c r="AA1" s="21" t="s">
        <v>24</v>
      </c>
      <c r="AB1" s="21" t="s">
        <v>25</v>
      </c>
    </row>
    <row r="2" spans="1:28" x14ac:dyDescent="0.2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x14ac:dyDescent="0.2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x14ac:dyDescent="0.2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x14ac:dyDescent="0.2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x14ac:dyDescent="0.2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x14ac:dyDescent="0.2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x14ac:dyDescent="0.2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x14ac:dyDescent="0.2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x14ac:dyDescent="0.2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x14ac:dyDescent="0.2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x14ac:dyDescent="0.2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x14ac:dyDescent="0.2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x14ac:dyDescent="0.2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x14ac:dyDescent="0.2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x14ac:dyDescent="0.2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x14ac:dyDescent="0.2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x14ac:dyDescent="0.2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x14ac:dyDescent="0.2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x14ac:dyDescent="0.2">
      <c r="E20" s="20"/>
      <c r="H20" s="22"/>
      <c r="I20" s="22"/>
      <c r="J20" s="20"/>
      <c r="K20" s="20"/>
      <c r="L20" s="22"/>
      <c r="M20" s="22"/>
      <c r="O20" s="22"/>
      <c r="R20" s="22"/>
      <c r="S20" s="22"/>
    </row>
    <row r="21" spans="1:28" s="41" customFormat="1" x14ac:dyDescent="0.2">
      <c r="H21" s="40"/>
    </row>
    <row r="23" spans="1:28" x14ac:dyDescent="0.2">
      <c r="H23" s="41"/>
    </row>
    <row r="24" spans="1:28" x14ac:dyDescent="0.2">
      <c r="H24" s="41"/>
    </row>
    <row r="25" spans="1:28" x14ac:dyDescent="0.2">
      <c r="H25" s="41"/>
    </row>
    <row r="26" spans="1:28" x14ac:dyDescent="0.2">
      <c r="H26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5"/>
  <sheetViews>
    <sheetView rightToLeft="1" zoomScale="90" zoomScaleNormal="90" workbookViewId="0">
      <selection activeCell="F3" sqref="F3"/>
    </sheetView>
  </sheetViews>
  <sheetFormatPr defaultColWidth="0" defaultRowHeight="14.25" x14ac:dyDescent="0.2"/>
  <cols>
    <col min="1" max="6" width="11.625" style="9" customWidth="1"/>
    <col min="7" max="7" width="17.875" style="9" customWidth="1"/>
    <col min="8" max="13" width="11.625" style="9" customWidth="1"/>
    <col min="14" max="14" width="18.75" style="9" customWidth="1"/>
    <col min="15" max="20" width="11.625" style="9" customWidth="1"/>
    <col min="21" max="21" width="18.625" style="9" customWidth="1"/>
    <col min="22" max="22" width="20.375" style="9" customWidth="1"/>
    <col min="23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 x14ac:dyDescent="0.2">
      <c r="A1" s="21" t="s">
        <v>0</v>
      </c>
      <c r="B1" s="21" t="s">
        <v>1</v>
      </c>
      <c r="C1" s="21" t="s">
        <v>5</v>
      </c>
      <c r="D1" s="21" t="s">
        <v>774</v>
      </c>
      <c r="E1" s="21" t="s">
        <v>775</v>
      </c>
      <c r="F1" s="21" t="s">
        <v>18</v>
      </c>
      <c r="G1" s="21" t="s">
        <v>776</v>
      </c>
      <c r="H1" s="21" t="s">
        <v>777</v>
      </c>
      <c r="I1" s="21" t="s">
        <v>778</v>
      </c>
      <c r="J1" s="21" t="s">
        <v>779</v>
      </c>
      <c r="K1" s="21" t="s">
        <v>780</v>
      </c>
      <c r="L1" s="21" t="s">
        <v>781</v>
      </c>
      <c r="M1" s="21" t="s">
        <v>18</v>
      </c>
      <c r="N1" s="21" t="s">
        <v>782</v>
      </c>
      <c r="O1" s="21" t="s">
        <v>783</v>
      </c>
      <c r="P1" s="21" t="s">
        <v>784</v>
      </c>
      <c r="Q1" s="21" t="s">
        <v>785</v>
      </c>
      <c r="R1" s="21" t="s">
        <v>786</v>
      </c>
      <c r="S1" s="21" t="s">
        <v>6</v>
      </c>
      <c r="T1" s="21" t="s">
        <v>7</v>
      </c>
      <c r="U1" s="21" t="s">
        <v>787</v>
      </c>
      <c r="V1" s="21" t="s">
        <v>788</v>
      </c>
      <c r="W1" s="21" t="s">
        <v>789</v>
      </c>
      <c r="X1" s="21" t="s">
        <v>790</v>
      </c>
      <c r="Y1" s="21" t="s">
        <v>80</v>
      </c>
      <c r="Z1" s="21" t="s">
        <v>791</v>
      </c>
      <c r="AA1" s="21" t="s">
        <v>792</v>
      </c>
      <c r="AB1" s="21" t="s">
        <v>793</v>
      </c>
      <c r="AC1" s="21" t="s">
        <v>794</v>
      </c>
      <c r="AD1" s="21" t="s">
        <v>795</v>
      </c>
      <c r="AE1" s="21" t="s">
        <v>796</v>
      </c>
      <c r="AF1" s="21" t="s">
        <v>82</v>
      </c>
      <c r="AG1" s="21" t="s">
        <v>797</v>
      </c>
      <c r="AH1" s="21" t="s">
        <v>798</v>
      </c>
      <c r="AI1" s="21" t="s">
        <v>799</v>
      </c>
      <c r="AJ1" s="21" t="s">
        <v>800</v>
      </c>
      <c r="AK1" s="21" t="s">
        <v>801</v>
      </c>
      <c r="AL1" s="21" t="s">
        <v>802</v>
      </c>
      <c r="AM1" s="21" t="s">
        <v>803</v>
      </c>
      <c r="AN1" s="21" t="s">
        <v>24</v>
      </c>
      <c r="AO1" s="21" t="s">
        <v>25</v>
      </c>
    </row>
    <row r="2" spans="1:41" s="186" customFormat="1" x14ac:dyDescent="0.2">
      <c r="A2" s="183">
        <v>233</v>
      </c>
      <c r="B2" s="183">
        <v>233</v>
      </c>
      <c r="C2" s="183" t="s">
        <v>1587</v>
      </c>
      <c r="D2" s="200">
        <v>39031499</v>
      </c>
      <c r="E2" s="183" t="s">
        <v>34</v>
      </c>
      <c r="F2" s="183">
        <v>111.2664</v>
      </c>
      <c r="G2" s="184">
        <v>20000000</v>
      </c>
      <c r="H2" s="185">
        <v>20509.59</v>
      </c>
      <c r="J2" s="187"/>
      <c r="K2" s="186">
        <v>39031499</v>
      </c>
      <c r="L2" s="183" t="s">
        <v>34</v>
      </c>
      <c r="M2" s="186">
        <v>1</v>
      </c>
      <c r="N2" s="188">
        <f>-20000000*1.0263</f>
        <v>-20526000</v>
      </c>
      <c r="O2" s="189">
        <f>-H2-R2</f>
        <v>-20491.974999999999</v>
      </c>
      <c r="R2" s="193">
        <v>-17.614999999999998</v>
      </c>
      <c r="S2" s="186" t="s">
        <v>30</v>
      </c>
      <c r="T2" s="190" t="s">
        <v>30</v>
      </c>
      <c r="U2" s="183" t="s">
        <v>1318</v>
      </c>
      <c r="V2" s="183" t="s">
        <v>392</v>
      </c>
      <c r="W2" s="186" t="s">
        <v>30</v>
      </c>
      <c r="X2" s="183" t="s">
        <v>1813</v>
      </c>
      <c r="Y2" s="183" t="s">
        <v>628</v>
      </c>
      <c r="Z2" s="194">
        <v>45680</v>
      </c>
      <c r="AA2" s="191">
        <v>46045</v>
      </c>
      <c r="AB2" s="183" t="s">
        <v>1461</v>
      </c>
      <c r="AC2" s="183" t="s">
        <v>1463</v>
      </c>
      <c r="AD2" s="183" t="s">
        <v>96</v>
      </c>
      <c r="AE2" s="183" t="s">
        <v>1477</v>
      </c>
      <c r="AF2" s="183" t="s">
        <v>1472</v>
      </c>
      <c r="AG2" s="183" t="s">
        <v>1460</v>
      </c>
      <c r="AH2" s="186">
        <v>2.63</v>
      </c>
      <c r="AI2" s="195">
        <v>108.4</v>
      </c>
      <c r="AJ2" s="195">
        <v>108.4</v>
      </c>
      <c r="AK2" s="183" t="s">
        <v>96</v>
      </c>
      <c r="AL2" s="186" t="s">
        <v>1814</v>
      </c>
      <c r="AM2" s="186" t="s">
        <v>1815</v>
      </c>
      <c r="AN2" s="192">
        <v>2.7562874495838972E-2</v>
      </c>
      <c r="AO2" s="192">
        <v>8.1375686579046667E-5</v>
      </c>
    </row>
    <row r="3" spans="1:41" s="186" customFormat="1" x14ac:dyDescent="0.2">
      <c r="A3" s="183">
        <v>233</v>
      </c>
      <c r="B3" s="183">
        <v>233</v>
      </c>
      <c r="C3" s="183" t="s">
        <v>1588</v>
      </c>
      <c r="D3" s="199">
        <v>7430527</v>
      </c>
      <c r="E3" s="183" t="s">
        <v>65</v>
      </c>
      <c r="F3" s="183">
        <v>3.19</v>
      </c>
      <c r="G3" s="184">
        <v>-46352500</v>
      </c>
      <c r="H3" s="201">
        <v>-46242.170931034489</v>
      </c>
      <c r="J3" s="187"/>
      <c r="K3" s="186">
        <v>7430527</v>
      </c>
      <c r="L3" s="183" t="s">
        <v>34</v>
      </c>
      <c r="M3" s="186">
        <v>1</v>
      </c>
      <c r="N3" s="188">
        <v>152499725</v>
      </c>
      <c r="O3" s="198">
        <v>152127.74796000001</v>
      </c>
      <c r="R3" s="193">
        <v>4615.2226899999996</v>
      </c>
      <c r="S3" s="186" t="s">
        <v>30</v>
      </c>
      <c r="T3" s="190" t="s">
        <v>30</v>
      </c>
      <c r="U3" s="183" t="s">
        <v>1320</v>
      </c>
      <c r="V3" s="183" t="s">
        <v>1480</v>
      </c>
      <c r="W3" s="186" t="s">
        <v>1492</v>
      </c>
      <c r="X3" s="183" t="s">
        <v>65</v>
      </c>
      <c r="Y3" s="183" t="s">
        <v>628</v>
      </c>
      <c r="Z3" s="194">
        <v>45950</v>
      </c>
      <c r="AA3" s="191">
        <v>46045</v>
      </c>
      <c r="AB3" s="183" t="s">
        <v>1461</v>
      </c>
      <c r="AC3" s="183" t="s">
        <v>1816</v>
      </c>
      <c r="AD3" s="183" t="s">
        <v>96</v>
      </c>
      <c r="AE3" s="183" t="s">
        <v>1477</v>
      </c>
      <c r="AF3" s="183" t="s">
        <v>1466</v>
      </c>
      <c r="AG3" s="183" t="s">
        <v>1460</v>
      </c>
      <c r="AH3" s="196">
        <v>3.73</v>
      </c>
      <c r="AI3" s="195">
        <v>3.3109999999999999</v>
      </c>
      <c r="AJ3" s="195">
        <v>3.29</v>
      </c>
      <c r="AK3" s="183" t="s">
        <v>96</v>
      </c>
      <c r="AL3" s="186" t="s">
        <v>1814</v>
      </c>
      <c r="AM3" s="186" t="s">
        <v>1815</v>
      </c>
      <c r="AN3" s="192">
        <v>0.58515395329337749</v>
      </c>
      <c r="AO3" s="192">
        <v>-1.8395095142253806E-3</v>
      </c>
    </row>
    <row r="4" spans="1:41" s="186" customFormat="1" x14ac:dyDescent="0.2">
      <c r="A4" s="183">
        <v>233</v>
      </c>
      <c r="B4" s="183">
        <v>233</v>
      </c>
      <c r="C4" s="183" t="s">
        <v>1588</v>
      </c>
      <c r="D4" s="199">
        <v>8079675</v>
      </c>
      <c r="E4" s="183" t="s">
        <v>65</v>
      </c>
      <c r="F4" s="183">
        <v>3.19</v>
      </c>
      <c r="G4" s="184">
        <v>-11552500</v>
      </c>
      <c r="H4" s="201">
        <v>-11426.973391849528</v>
      </c>
      <c r="J4" s="187"/>
      <c r="K4" s="186">
        <v>8079675</v>
      </c>
      <c r="L4" s="183" t="s">
        <v>34</v>
      </c>
      <c r="M4" s="186">
        <v>1</v>
      </c>
      <c r="N4" s="188">
        <v>37060420</v>
      </c>
      <c r="O4" s="198">
        <v>36640.345600000001</v>
      </c>
      <c r="R4" s="193">
        <v>188.30047999999999</v>
      </c>
      <c r="S4" s="186" t="s">
        <v>30</v>
      </c>
      <c r="T4" s="190" t="s">
        <v>30</v>
      </c>
      <c r="U4" s="183" t="s">
        <v>1320</v>
      </c>
      <c r="V4" s="183" t="s">
        <v>1480</v>
      </c>
      <c r="W4" s="186" t="s">
        <v>1492</v>
      </c>
      <c r="X4" s="183" t="s">
        <v>65</v>
      </c>
      <c r="Y4" s="183" t="s">
        <v>628</v>
      </c>
      <c r="Z4" s="194">
        <v>46000</v>
      </c>
      <c r="AA4" s="191">
        <v>46129</v>
      </c>
      <c r="AB4" s="183" t="s">
        <v>1461</v>
      </c>
      <c r="AC4" s="183" t="s">
        <v>1816</v>
      </c>
      <c r="AD4" s="183" t="s">
        <v>96</v>
      </c>
      <c r="AE4" s="183" t="s">
        <v>1477</v>
      </c>
      <c r="AF4" s="183" t="s">
        <v>1466</v>
      </c>
      <c r="AG4" s="183" t="s">
        <v>1460</v>
      </c>
      <c r="AH4" s="196">
        <v>3.67577</v>
      </c>
      <c r="AI4" s="195">
        <v>3.2130000000000001</v>
      </c>
      <c r="AJ4" s="195">
        <v>3.2080000000000002</v>
      </c>
      <c r="AK4" s="183" t="s">
        <v>96</v>
      </c>
      <c r="AL4" s="186" t="s">
        <v>1814</v>
      </c>
      <c r="AM4" s="186" t="s">
        <v>1815</v>
      </c>
      <c r="AN4" s="192">
        <v>0.28178682942213629</v>
      </c>
      <c r="AO4" s="192">
        <v>9.7566313682384484E-3</v>
      </c>
    </row>
    <row r="5" spans="1:41" s="186" customFormat="1" x14ac:dyDescent="0.2">
      <c r="A5" s="183">
        <v>233</v>
      </c>
      <c r="B5" s="183">
        <v>233</v>
      </c>
      <c r="C5" s="183" t="s">
        <v>1588</v>
      </c>
      <c r="D5" s="199">
        <v>8116361</v>
      </c>
      <c r="E5" s="183" t="s">
        <v>65</v>
      </c>
      <c r="F5" s="183">
        <v>3.19</v>
      </c>
      <c r="G5" s="184">
        <v>2000000</v>
      </c>
      <c r="H5" s="201">
        <v>1995.2395642633228</v>
      </c>
      <c r="J5" s="187"/>
      <c r="K5" s="186">
        <v>8116361</v>
      </c>
      <c r="L5" s="183" t="s">
        <v>34</v>
      </c>
      <c r="M5" s="186">
        <v>1</v>
      </c>
      <c r="N5" s="188">
        <v>-6431200</v>
      </c>
      <c r="O5" s="198">
        <v>6415.5130300000001</v>
      </c>
      <c r="R5" s="193">
        <v>-50.698819999999998</v>
      </c>
      <c r="S5" s="186" t="s">
        <v>30</v>
      </c>
      <c r="T5" s="190" t="s">
        <v>30</v>
      </c>
      <c r="U5" s="183" t="s">
        <v>1320</v>
      </c>
      <c r="V5" s="183" t="s">
        <v>1480</v>
      </c>
      <c r="W5" s="186" t="s">
        <v>1492</v>
      </c>
      <c r="X5" s="183" t="s">
        <v>65</v>
      </c>
      <c r="Y5" s="183" t="s">
        <v>628</v>
      </c>
      <c r="Z5" s="194">
        <v>46002</v>
      </c>
      <c r="AA5" s="191">
        <v>46045</v>
      </c>
      <c r="AB5" s="183" t="s">
        <v>1461</v>
      </c>
      <c r="AC5" s="183" t="s">
        <v>1816</v>
      </c>
      <c r="AD5" s="183" t="s">
        <v>96</v>
      </c>
      <c r="AE5" s="183" t="s">
        <v>1477</v>
      </c>
      <c r="AF5" s="183" t="s">
        <v>1466</v>
      </c>
      <c r="AG5" s="183" t="s">
        <v>1460</v>
      </c>
      <c r="AH5" s="196">
        <v>3.73</v>
      </c>
      <c r="AI5" s="195">
        <v>3.2109999999999999</v>
      </c>
      <c r="AJ5" s="195">
        <v>3.2155999999999998</v>
      </c>
      <c r="AK5" s="183" t="s">
        <v>96</v>
      </c>
      <c r="AL5" s="186" t="s">
        <v>1814</v>
      </c>
      <c r="AM5" s="186" t="s">
        <v>1815</v>
      </c>
      <c r="AN5" s="192">
        <v>0.28178682942213629</v>
      </c>
      <c r="AO5" s="192">
        <v>9.7566313682384484E-3</v>
      </c>
    </row>
    <row r="6" spans="1:41" s="186" customFormat="1" x14ac:dyDescent="0.2">
      <c r="A6" s="183">
        <v>233</v>
      </c>
      <c r="B6" s="183">
        <v>233</v>
      </c>
      <c r="C6" s="183" t="s">
        <v>1588</v>
      </c>
      <c r="D6" s="199">
        <v>7430583</v>
      </c>
      <c r="E6" s="183" t="s">
        <v>393</v>
      </c>
      <c r="F6" s="183">
        <v>3.7454999999999998</v>
      </c>
      <c r="G6" s="184">
        <v>-4396000</v>
      </c>
      <c r="H6" s="201">
        <v>-4390.5273448137768</v>
      </c>
      <c r="J6" s="187"/>
      <c r="K6" s="186">
        <v>7430583</v>
      </c>
      <c r="L6" s="183" t="s">
        <v>34</v>
      </c>
      <c r="M6" s="186">
        <v>1</v>
      </c>
      <c r="N6" s="188">
        <v>16933392</v>
      </c>
      <c r="O6" s="198">
        <v>16892.088100000001</v>
      </c>
      <c r="R6" s="193">
        <v>447.36793999999998</v>
      </c>
      <c r="S6" s="186" t="s">
        <v>30</v>
      </c>
      <c r="T6" s="190" t="s">
        <v>30</v>
      </c>
      <c r="U6" s="183" t="s">
        <v>1320</v>
      </c>
      <c r="V6" s="183" t="s">
        <v>1480</v>
      </c>
      <c r="W6" s="186" t="s">
        <v>1492</v>
      </c>
      <c r="X6" s="183" t="s">
        <v>393</v>
      </c>
      <c r="Y6" s="183" t="s">
        <v>628</v>
      </c>
      <c r="Z6" s="194">
        <v>45950</v>
      </c>
      <c r="AA6" s="191">
        <v>46045</v>
      </c>
      <c r="AB6" s="183" t="s">
        <v>1461</v>
      </c>
      <c r="AC6" s="183" t="s">
        <v>1816</v>
      </c>
      <c r="AD6" s="183" t="s">
        <v>96</v>
      </c>
      <c r="AE6" s="183" t="s">
        <v>1477</v>
      </c>
      <c r="AF6" s="183" t="s">
        <v>1469</v>
      </c>
      <c r="AG6" s="183" t="s">
        <v>1460</v>
      </c>
      <c r="AH6" s="196">
        <v>1.9497800000000001</v>
      </c>
      <c r="AI6" s="197">
        <v>3.8578999999999999</v>
      </c>
      <c r="AJ6" s="195">
        <v>3.8519999999999999</v>
      </c>
      <c r="AK6" s="183" t="s">
        <v>96</v>
      </c>
      <c r="AL6" s="186" t="s">
        <v>1814</v>
      </c>
      <c r="AM6" s="186" t="s">
        <v>1815</v>
      </c>
      <c r="AN6" s="192">
        <v>0.10549634278864738</v>
      </c>
      <c r="AO6" s="192">
        <v>2.7752275471945278E-4</v>
      </c>
    </row>
    <row r="7" spans="1:41" s="186" customFormat="1" x14ac:dyDescent="0.2">
      <c r="A7" s="183">
        <v>233</v>
      </c>
      <c r="B7" s="183">
        <v>233</v>
      </c>
      <c r="C7" s="183" t="s">
        <v>1588</v>
      </c>
      <c r="D7" s="199">
        <v>8116400</v>
      </c>
      <c r="E7" s="183" t="s">
        <v>393</v>
      </c>
      <c r="F7" s="183">
        <v>3.7454999999999998</v>
      </c>
      <c r="G7" s="184">
        <v>1000000</v>
      </c>
      <c r="H7" s="201">
        <v>998.7550820985183</v>
      </c>
      <c r="J7" s="187"/>
      <c r="K7" s="186">
        <v>8116400</v>
      </c>
      <c r="L7" s="183" t="s">
        <v>34</v>
      </c>
      <c r="M7" s="186">
        <v>1</v>
      </c>
      <c r="N7" s="188">
        <v>-3784000</v>
      </c>
      <c r="O7" s="198">
        <v>3774.77007</v>
      </c>
      <c r="R7" s="193">
        <v>-33.93291</v>
      </c>
      <c r="S7" s="186" t="s">
        <v>30</v>
      </c>
      <c r="T7" s="190" t="s">
        <v>30</v>
      </c>
      <c r="U7" s="183" t="s">
        <v>1320</v>
      </c>
      <c r="V7" s="183" t="s">
        <v>1480</v>
      </c>
      <c r="W7" s="186" t="s">
        <v>1492</v>
      </c>
      <c r="X7" s="183" t="s">
        <v>393</v>
      </c>
      <c r="Y7" s="183" t="s">
        <v>628</v>
      </c>
      <c r="Z7" s="194">
        <v>46002</v>
      </c>
      <c r="AA7" s="191">
        <v>46045</v>
      </c>
      <c r="AB7" s="183" t="s">
        <v>1461</v>
      </c>
      <c r="AC7" s="183" t="s">
        <v>1816</v>
      </c>
      <c r="AD7" s="183" t="s">
        <v>96</v>
      </c>
      <c r="AE7" s="183" t="s">
        <v>1477</v>
      </c>
      <c r="AF7" s="183" t="s">
        <v>1469</v>
      </c>
      <c r="AG7" s="183" t="s">
        <v>1460</v>
      </c>
      <c r="AH7" s="196">
        <v>1.9497800000000001</v>
      </c>
      <c r="AI7" s="197">
        <v>3.7608000000000001</v>
      </c>
      <c r="AJ7" s="195">
        <v>3.7839999999999998</v>
      </c>
      <c r="AK7" s="183" t="s">
        <v>96</v>
      </c>
      <c r="AL7" s="186" t="s">
        <v>1814</v>
      </c>
      <c r="AM7" s="186" t="s">
        <v>1815</v>
      </c>
      <c r="AN7" s="192">
        <v>0.10549634278864738</v>
      </c>
      <c r="AO7" s="192">
        <v>2.7752275471945278E-4</v>
      </c>
    </row>
    <row r="8" spans="1:41" x14ac:dyDescent="0.2">
      <c r="A8" s="11"/>
      <c r="B8" s="11"/>
      <c r="C8" s="11"/>
      <c r="D8" s="2"/>
      <c r="E8" s="11"/>
      <c r="F8" s="11"/>
      <c r="G8" s="11"/>
      <c r="H8" s="14"/>
      <c r="J8" s="12"/>
      <c r="L8" s="11"/>
      <c r="R8" s="13"/>
      <c r="T8" s="20"/>
      <c r="U8" s="28"/>
      <c r="V8" s="10"/>
      <c r="X8" s="10"/>
      <c r="Y8" s="10"/>
      <c r="Z8" s="1"/>
      <c r="AA8" s="27"/>
      <c r="AB8" s="10"/>
      <c r="AC8" s="10"/>
      <c r="AD8" s="10"/>
      <c r="AE8" s="10"/>
      <c r="AF8" s="10"/>
      <c r="AG8" s="11"/>
      <c r="AI8" s="11"/>
      <c r="AJ8" s="10"/>
      <c r="AK8" s="10"/>
      <c r="AN8" s="22"/>
      <c r="AO8" s="22"/>
    </row>
    <row r="9" spans="1:41" x14ac:dyDescent="0.2">
      <c r="A9" s="11"/>
      <c r="B9" s="11"/>
      <c r="C9" s="11"/>
      <c r="D9" s="2"/>
      <c r="E9" s="11"/>
      <c r="F9" s="11"/>
      <c r="G9" s="11"/>
      <c r="H9" s="14"/>
      <c r="J9" s="12"/>
      <c r="L9" s="11"/>
      <c r="R9" s="13"/>
      <c r="T9" s="20"/>
      <c r="U9" s="28"/>
      <c r="V9" s="10"/>
      <c r="X9" s="10"/>
      <c r="Y9" s="10"/>
      <c r="Z9" s="1"/>
      <c r="AA9" s="27"/>
      <c r="AB9" s="10"/>
      <c r="AC9" s="10"/>
      <c r="AD9" s="10"/>
      <c r="AE9" s="10"/>
      <c r="AF9" s="10"/>
      <c r="AG9" s="11"/>
      <c r="AI9" s="11"/>
      <c r="AJ9" s="10"/>
      <c r="AK9" s="10"/>
      <c r="AN9" s="22"/>
      <c r="AO9" s="22"/>
    </row>
    <row r="10" spans="1:41" x14ac:dyDescent="0.2">
      <c r="A10" s="11"/>
      <c r="B10" s="11"/>
      <c r="C10" s="11"/>
      <c r="D10" s="2"/>
      <c r="E10" s="11"/>
      <c r="F10" s="11"/>
      <c r="G10" s="11"/>
      <c r="H10" s="14"/>
      <c r="J10" s="12"/>
      <c r="L10" s="11"/>
      <c r="R10" s="13"/>
      <c r="T10" s="20"/>
      <c r="U10" s="28"/>
      <c r="V10" s="10"/>
      <c r="X10" s="10"/>
      <c r="Y10" s="10"/>
      <c r="Z10" s="1"/>
      <c r="AA10" s="27"/>
      <c r="AB10" s="10"/>
      <c r="AC10" s="10"/>
      <c r="AD10" s="10"/>
      <c r="AE10" s="10"/>
      <c r="AF10" s="10"/>
      <c r="AG10" s="11"/>
      <c r="AI10" s="11"/>
      <c r="AJ10" s="10"/>
      <c r="AK10" s="10"/>
      <c r="AN10" s="22"/>
      <c r="AO10" s="22"/>
    </row>
    <row r="11" spans="1:41" x14ac:dyDescent="0.2">
      <c r="A11" s="11"/>
      <c r="B11" s="11"/>
      <c r="C11" s="11"/>
      <c r="D11" s="2"/>
      <c r="E11" s="11"/>
      <c r="F11" s="11"/>
      <c r="G11" s="11"/>
      <c r="H11" s="14"/>
      <c r="J11" s="12"/>
      <c r="L11" s="11"/>
      <c r="R11" s="13"/>
      <c r="T11" s="20"/>
      <c r="U11" s="28"/>
      <c r="V11" s="10"/>
      <c r="X11" s="10"/>
      <c r="Y11" s="10"/>
      <c r="Z11" s="1"/>
      <c r="AA11" s="27"/>
      <c r="AB11" s="10"/>
      <c r="AC11" s="10"/>
      <c r="AD11" s="10"/>
      <c r="AE11" s="10"/>
      <c r="AF11" s="10"/>
      <c r="AG11" s="11"/>
      <c r="AI11" s="11"/>
      <c r="AJ11" s="10"/>
      <c r="AK11" s="10"/>
      <c r="AN11" s="22"/>
      <c r="AO11" s="22"/>
    </row>
    <row r="12" spans="1:41" x14ac:dyDescent="0.2">
      <c r="A12" s="11"/>
      <c r="B12" s="11"/>
      <c r="C12" s="11"/>
      <c r="D12" s="2"/>
      <c r="E12" s="11"/>
      <c r="F12" s="11"/>
      <c r="G12" s="11"/>
      <c r="H12" s="14"/>
      <c r="J12" s="12"/>
      <c r="L12" s="11"/>
      <c r="R12" s="13"/>
      <c r="T12" s="20"/>
      <c r="U12" s="28"/>
      <c r="V12" s="10"/>
      <c r="X12" s="10"/>
      <c r="Y12" s="10"/>
      <c r="Z12" s="1"/>
      <c r="AA12" s="27"/>
      <c r="AB12" s="10"/>
      <c r="AC12" s="10"/>
      <c r="AD12" s="10"/>
      <c r="AE12" s="10"/>
      <c r="AF12" s="10"/>
      <c r="AG12" s="11"/>
      <c r="AI12" s="11"/>
      <c r="AJ12" s="10"/>
      <c r="AK12" s="10"/>
      <c r="AN12" s="22"/>
      <c r="AO12" s="22"/>
    </row>
    <row r="13" spans="1:41" x14ac:dyDescent="0.2">
      <c r="A13" s="11"/>
      <c r="B13" s="11"/>
      <c r="C13" s="11"/>
      <c r="D13" s="2"/>
      <c r="E13" s="11"/>
      <c r="F13" s="11"/>
      <c r="G13" s="11"/>
      <c r="H13" s="14"/>
      <c r="J13" s="12"/>
      <c r="L13" s="11"/>
      <c r="R13" s="13"/>
      <c r="T13" s="20"/>
      <c r="U13" s="28"/>
      <c r="V13" s="10"/>
      <c r="X13" s="10"/>
      <c r="Y13" s="10"/>
      <c r="Z13" s="1"/>
      <c r="AA13" s="27"/>
      <c r="AB13" s="10"/>
      <c r="AC13" s="10"/>
      <c r="AD13" s="10"/>
      <c r="AE13" s="10"/>
      <c r="AF13" s="10"/>
      <c r="AG13" s="11"/>
      <c r="AI13" s="11"/>
      <c r="AJ13" s="10"/>
      <c r="AK13" s="10"/>
      <c r="AN13" s="22"/>
      <c r="AO13" s="22"/>
    </row>
    <row r="14" spans="1:41" x14ac:dyDescent="0.2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20"/>
      <c r="U14" s="28"/>
      <c r="V14" s="10"/>
      <c r="X14" s="10"/>
      <c r="Y14" s="10"/>
      <c r="Z14" s="1"/>
      <c r="AA14" s="27"/>
      <c r="AB14" s="10"/>
      <c r="AC14" s="10"/>
      <c r="AD14" s="10"/>
      <c r="AE14" s="10"/>
      <c r="AF14" s="10"/>
      <c r="AG14" s="11"/>
      <c r="AI14" s="11"/>
      <c r="AJ14" s="10"/>
      <c r="AK14" s="10"/>
      <c r="AN14" s="22"/>
      <c r="AO14" s="22"/>
    </row>
    <row r="15" spans="1:41" x14ac:dyDescent="0.2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0"/>
      <c r="U15" s="28"/>
      <c r="V15" s="10"/>
      <c r="X15" s="10"/>
      <c r="Y15" s="10"/>
      <c r="Z15" s="1"/>
      <c r="AA15" s="27"/>
      <c r="AB15" s="10"/>
      <c r="AC15" s="10"/>
      <c r="AD15" s="10"/>
      <c r="AE15" s="10"/>
      <c r="AF15" s="10"/>
      <c r="AG15" s="11"/>
      <c r="AI15" s="11"/>
      <c r="AJ15" s="10"/>
      <c r="AK15" s="10"/>
      <c r="AN15" s="22"/>
      <c r="AO15" s="22"/>
    </row>
    <row r="16" spans="1:41" x14ac:dyDescent="0.2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0"/>
      <c r="U16" s="28"/>
      <c r="V16" s="10"/>
      <c r="X16" s="10"/>
      <c r="Y16" s="10"/>
      <c r="Z16" s="1"/>
      <c r="AA16" s="27"/>
      <c r="AB16" s="10"/>
      <c r="AC16" s="10"/>
      <c r="AD16" s="10"/>
      <c r="AE16" s="10"/>
      <c r="AF16" s="10"/>
      <c r="AG16" s="11"/>
      <c r="AI16" s="11"/>
      <c r="AJ16" s="10"/>
      <c r="AK16" s="10"/>
      <c r="AN16" s="22"/>
      <c r="AO16" s="22"/>
    </row>
    <row r="17" spans="1:41" x14ac:dyDescent="0.2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0"/>
      <c r="U17" s="28"/>
      <c r="V17" s="10"/>
      <c r="X17" s="10"/>
      <c r="Y17" s="10"/>
      <c r="Z17" s="1"/>
      <c r="AA17" s="27"/>
      <c r="AB17" s="10"/>
      <c r="AC17" s="10"/>
      <c r="AD17" s="10"/>
      <c r="AE17" s="10"/>
      <c r="AF17" s="10"/>
      <c r="AG17" s="11"/>
      <c r="AI17" s="11"/>
      <c r="AJ17" s="10"/>
      <c r="AK17" s="10"/>
      <c r="AN17" s="22"/>
      <c r="AO17" s="22"/>
    </row>
    <row r="18" spans="1:41" x14ac:dyDescent="0.2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0"/>
      <c r="U18" s="28"/>
      <c r="V18" s="10"/>
      <c r="X18" s="10"/>
      <c r="Y18" s="10"/>
      <c r="Z18" s="1"/>
      <c r="AA18" s="27"/>
      <c r="AB18" s="10"/>
      <c r="AC18" s="10"/>
      <c r="AD18" s="10"/>
      <c r="AE18" s="10"/>
      <c r="AF18" s="10"/>
      <c r="AG18" s="11"/>
      <c r="AI18" s="11"/>
      <c r="AJ18" s="10"/>
      <c r="AK18" s="10"/>
      <c r="AN18" s="22"/>
      <c r="AO18" s="22"/>
    </row>
    <row r="19" spans="1:41" x14ac:dyDescent="0.2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0"/>
      <c r="U19" s="28"/>
      <c r="V19" s="10"/>
      <c r="X19" s="10"/>
      <c r="Y19" s="10"/>
      <c r="Z19" s="1"/>
      <c r="AA19" s="27"/>
      <c r="AB19" s="10"/>
      <c r="AC19" s="10"/>
      <c r="AD19" s="10"/>
      <c r="AE19" s="10"/>
      <c r="AF19" s="10"/>
      <c r="AG19" s="11"/>
      <c r="AI19" s="11"/>
      <c r="AJ19" s="10"/>
      <c r="AK19" s="10"/>
      <c r="AN19" s="22"/>
      <c r="AO19" s="22"/>
    </row>
    <row r="20" spans="1:41" x14ac:dyDescent="0.2">
      <c r="A20" s="11"/>
      <c r="B20" s="11"/>
      <c r="C20" s="11"/>
      <c r="D20" s="2"/>
      <c r="E20" s="11"/>
      <c r="F20" s="11"/>
      <c r="G20" s="11"/>
      <c r="H20" s="14"/>
      <c r="J20" s="12"/>
      <c r="L20" s="11"/>
      <c r="R20" s="13"/>
      <c r="T20" s="20"/>
      <c r="U20" s="28"/>
      <c r="V20" s="10"/>
      <c r="X20" s="10"/>
      <c r="Y20" s="10"/>
      <c r="Z20" s="1"/>
      <c r="AA20" s="27"/>
      <c r="AB20" s="10"/>
      <c r="AC20" s="10"/>
      <c r="AD20" s="10"/>
      <c r="AE20" s="10"/>
      <c r="AF20" s="10"/>
      <c r="AG20" s="11"/>
      <c r="AI20" s="11"/>
      <c r="AJ20" s="10"/>
      <c r="AK20" s="10"/>
      <c r="AN20" s="22"/>
      <c r="AO20" s="22"/>
    </row>
    <row r="21" spans="1:41" x14ac:dyDescent="0.2">
      <c r="C21" s="11"/>
      <c r="E21" s="11"/>
      <c r="T21" s="20"/>
      <c r="U21" s="28"/>
      <c r="V21" s="10"/>
      <c r="Y21" s="10"/>
      <c r="AB21" s="10"/>
      <c r="AC21" s="10"/>
      <c r="AD21" s="10"/>
      <c r="AE21" s="10"/>
      <c r="AF21" s="10"/>
      <c r="AG21" s="11"/>
      <c r="AK21" s="10"/>
    </row>
    <row r="23" spans="1:41" x14ac:dyDescent="0.2">
      <c r="C23" s="11"/>
      <c r="E23" s="11"/>
      <c r="T23" s="20"/>
      <c r="AE23" s="10"/>
      <c r="AF23" s="10"/>
    </row>
    <row r="24" spans="1:41" x14ac:dyDescent="0.2">
      <c r="C24" s="11"/>
      <c r="E24" s="11"/>
      <c r="T24" s="20"/>
      <c r="AE24" s="10"/>
      <c r="AF24" s="10"/>
    </row>
    <row r="25" spans="1:41" x14ac:dyDescent="0.2">
      <c r="C25" s="11"/>
      <c r="E25" s="11"/>
      <c r="T25" s="20"/>
      <c r="AE25" s="10"/>
      <c r="AF25" s="10"/>
    </row>
    <row r="26" spans="1:41" x14ac:dyDescent="0.2">
      <c r="C26" s="11"/>
      <c r="E26" s="11"/>
      <c r="T26" s="20"/>
      <c r="AE26" s="10"/>
      <c r="AF26" s="10"/>
    </row>
    <row r="27" spans="1:41" x14ac:dyDescent="0.2">
      <c r="C27" s="11"/>
      <c r="E27" s="11"/>
      <c r="T27" s="20"/>
      <c r="AE27" s="10"/>
      <c r="AF27" s="10"/>
    </row>
    <row r="28" spans="1:41" x14ac:dyDescent="0.2">
      <c r="C28" s="11"/>
      <c r="E28" s="11"/>
      <c r="T28" s="20"/>
    </row>
    <row r="29" spans="1:41" x14ac:dyDescent="0.2">
      <c r="C29" s="11"/>
      <c r="E29" s="11"/>
      <c r="T29" s="20"/>
    </row>
    <row r="30" spans="1:41" x14ac:dyDescent="0.2">
      <c r="C30" s="11"/>
      <c r="E30" s="11"/>
      <c r="T30" s="20"/>
    </row>
    <row r="31" spans="1:41" x14ac:dyDescent="0.2">
      <c r="C31" s="11"/>
      <c r="E31" s="11"/>
      <c r="T31" s="20"/>
    </row>
    <row r="32" spans="1:41" x14ac:dyDescent="0.2">
      <c r="C32" s="11"/>
      <c r="E32" s="11"/>
      <c r="T32" s="20"/>
    </row>
    <row r="33" spans="3:20" x14ac:dyDescent="0.2">
      <c r="C33" s="11"/>
      <c r="E33" s="11"/>
      <c r="T33" s="20"/>
    </row>
    <row r="34" spans="3:20" x14ac:dyDescent="0.2">
      <c r="C34" s="11"/>
      <c r="T34" s="20"/>
    </row>
    <row r="35" spans="3:20" x14ac:dyDescent="0.2">
      <c r="C35" s="11"/>
      <c r="T35" s="20"/>
    </row>
  </sheetData>
  <dataValidations count="14">
    <dataValidation type="list" allowBlank="1" showInputMessage="1" showErrorMessage="1" sqref="U23:U35 U2:U21" xr:uid="{00000000-0002-0000-1600-000000000000}">
      <formula1>Underlying_Asset</formula1>
    </dataValidation>
    <dataValidation type="list" allowBlank="1" showInputMessage="1" showErrorMessage="1" sqref="AG23:AG1048576 AB23:AB1048576 AB2:AB21 AG2:AG21" xr:uid="{00000000-0002-0000-1600-000001000000}">
      <formula1>Reset_frequency</formula1>
    </dataValidation>
    <dataValidation type="list" allowBlank="1" showInputMessage="1" showErrorMessage="1" sqref="S23:S26 S2:S21" xr:uid="{00000000-0002-0000-1600-000002000000}">
      <formula1>israel_abroad</formula1>
    </dataValidation>
    <dataValidation type="list" allowBlank="1" showInputMessage="1" showErrorMessage="1" sqref="Y23:Y35 AD23:AD1048576 AL23:AL1048576 AL21 Y2:Y21 AD2:AD21" xr:uid="{00000000-0002-0000-1600-000003000000}">
      <formula1>Holding_interest</formula1>
    </dataValidation>
    <dataValidation type="list" allowBlank="1" showInputMessage="1" showErrorMessage="1" sqref="AC23:AC35 AC2:AC21" xr:uid="{00000000-0002-0000-1600-000004000000}">
      <formula1>Delivery</formula1>
    </dataValidation>
    <dataValidation type="list" allowBlank="1" showInputMessage="1" showErrorMessage="1" sqref="E24:E33" xr:uid="{00000000-0002-0000-1600-000005000000}">
      <formula1>Currency_Abbreviation</formula1>
    </dataValidation>
    <dataValidation type="list" allowBlank="1" showInputMessage="1" showErrorMessage="1" sqref="V2:V21" xr:uid="{00000000-0002-0000-1600-000006000000}">
      <formula1>Leading_factor</formula1>
    </dataValidation>
    <dataValidation type="list" allowBlank="1" showInputMessage="1" showErrorMessage="1" sqref="T23:T35 T2:T21" xr:uid="{00000000-0002-0000-1600-000007000000}">
      <formula1>Country_list</formula1>
    </dataValidation>
    <dataValidation type="list" allowBlank="1" showInputMessage="1" showErrorMessage="1" sqref="W2:W21" xr:uid="{00000000-0002-0000-1600-000008000000}">
      <formula1>Additional_Factor</formula1>
    </dataValidation>
    <dataValidation allowBlank="1" showInputMessage="1" showErrorMessage="1" sqref="M2:N20 P2:R20 I2:K20 D2:D20 Z2:Z20" xr:uid="{00000000-0002-0000-1600-000009000000}"/>
    <dataValidation type="list" allowBlank="1" showInputMessage="1" showErrorMessage="1" sqref="AF23:AF27" xr:uid="{00000000-0002-0000-1600-00000A000000}">
      <formula1>Underlying_Interest_Rates_Der</formula1>
    </dataValidation>
    <dataValidation type="list" allowBlank="1" showInputMessage="1" showErrorMessage="1" sqref="AF2:AF21" xr:uid="{00000000-0002-0000-1600-00000B000000}">
      <formula1>Underlying_Interest_Rates</formula1>
    </dataValidation>
    <dataValidation type="list" allowBlank="1" showInputMessage="1" showErrorMessage="1" sqref="AK2:AK21" xr:uid="{00000000-0002-0000-1600-00000C000000}">
      <formula1>Penalty</formula1>
    </dataValidation>
    <dataValidation type="list" allowBlank="1" showInputMessage="1" showErrorMessage="1" sqref="C23:C35 AE23:AE27 AE3:AE21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C8:C21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workbookViewId="0">
      <selection activeCell="A2" sqref="A2"/>
    </sheetView>
  </sheetViews>
  <sheetFormatPr defaultColWidth="0" defaultRowHeight="14.25" x14ac:dyDescent="0.2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 x14ac:dyDescent="0.2">
      <c r="A1" s="21" t="s">
        <v>0</v>
      </c>
      <c r="B1" s="21" t="s">
        <v>1</v>
      </c>
      <c r="C1" s="21" t="s">
        <v>804</v>
      </c>
      <c r="D1" s="21" t="s">
        <v>805</v>
      </c>
      <c r="E1" s="21" t="s">
        <v>806</v>
      </c>
      <c r="F1" s="21" t="s">
        <v>807</v>
      </c>
      <c r="G1" s="21" t="s">
        <v>5</v>
      </c>
      <c r="H1" s="21" t="s">
        <v>808</v>
      </c>
      <c r="I1" s="21" t="s">
        <v>6</v>
      </c>
      <c r="J1" s="21" t="s">
        <v>7</v>
      </c>
      <c r="K1" s="21" t="s">
        <v>79</v>
      </c>
      <c r="L1" s="21" t="s">
        <v>80</v>
      </c>
      <c r="M1" s="21" t="s">
        <v>809</v>
      </c>
      <c r="N1" s="21" t="s">
        <v>810</v>
      </c>
      <c r="O1" s="21" t="s">
        <v>811</v>
      </c>
      <c r="P1" s="21" t="s">
        <v>9</v>
      </c>
      <c r="Q1" s="21" t="s">
        <v>10</v>
      </c>
      <c r="R1" s="21" t="s">
        <v>812</v>
      </c>
      <c r="S1" s="21" t="s">
        <v>11</v>
      </c>
      <c r="T1" s="21" t="s">
        <v>12</v>
      </c>
      <c r="U1" s="21" t="s">
        <v>813</v>
      </c>
      <c r="V1" s="21" t="s">
        <v>14</v>
      </c>
      <c r="W1" s="21" t="s">
        <v>598</v>
      </c>
      <c r="X1" s="21" t="s">
        <v>82</v>
      </c>
      <c r="Y1" s="21" t="s">
        <v>814</v>
      </c>
      <c r="Z1" s="21" t="s">
        <v>15</v>
      </c>
      <c r="AA1" s="21" t="s">
        <v>13</v>
      </c>
      <c r="AB1" s="21" t="s">
        <v>83</v>
      </c>
      <c r="AC1" s="21" t="s">
        <v>815</v>
      </c>
      <c r="AD1" s="21" t="s">
        <v>816</v>
      </c>
      <c r="AE1" s="21" t="s">
        <v>817</v>
      </c>
      <c r="AF1" s="21" t="s">
        <v>818</v>
      </c>
      <c r="AG1" s="21" t="s">
        <v>819</v>
      </c>
      <c r="AH1" s="21" t="s">
        <v>820</v>
      </c>
      <c r="AI1" s="21" t="s">
        <v>821</v>
      </c>
      <c r="AJ1" s="21" t="s">
        <v>822</v>
      </c>
      <c r="AK1" s="21" t="s">
        <v>603</v>
      </c>
      <c r="AL1" s="21" t="s">
        <v>605</v>
      </c>
      <c r="AM1" s="21" t="s">
        <v>604</v>
      </c>
      <c r="AN1" s="21" t="s">
        <v>606</v>
      </c>
      <c r="AO1" s="21" t="s">
        <v>607</v>
      </c>
      <c r="AP1" s="21" t="s">
        <v>823</v>
      </c>
      <c r="AQ1" s="21" t="s">
        <v>824</v>
      </c>
      <c r="AR1" s="21" t="s">
        <v>825</v>
      </c>
      <c r="AS1" s="21" t="s">
        <v>18</v>
      </c>
      <c r="AT1" s="21" t="s">
        <v>20</v>
      </c>
      <c r="AU1" s="21" t="s">
        <v>826</v>
      </c>
      <c r="AV1" s="21" t="s">
        <v>21</v>
      </c>
      <c r="AW1" s="21" t="s">
        <v>85</v>
      </c>
      <c r="AX1" s="21" t="s">
        <v>84</v>
      </c>
      <c r="AY1" s="21" t="s">
        <v>22</v>
      </c>
      <c r="AZ1" s="21" t="s">
        <v>24</v>
      </c>
      <c r="BA1" s="21" t="s">
        <v>25</v>
      </c>
    </row>
    <row r="2" spans="1:53" x14ac:dyDescent="0.2">
      <c r="C2" s="23"/>
      <c r="D2" s="23"/>
      <c r="E2" s="23"/>
      <c r="F2" s="23"/>
      <c r="G2" s="22"/>
      <c r="H2" s="41"/>
      <c r="I2" s="20"/>
      <c r="J2" s="30"/>
      <c r="K2" s="22"/>
      <c r="L2" s="22"/>
      <c r="M2" s="23"/>
      <c r="N2" s="23"/>
      <c r="O2" s="23"/>
      <c r="P2" s="22"/>
      <c r="Q2" s="22"/>
      <c r="R2" s="22"/>
      <c r="S2" s="20"/>
      <c r="T2" s="22"/>
      <c r="U2" s="22"/>
      <c r="V2" s="22"/>
      <c r="W2" s="23"/>
      <c r="X2" s="23"/>
      <c r="Y2" s="23"/>
      <c r="Z2" s="22"/>
      <c r="AA2" s="22"/>
      <c r="AB2" s="20"/>
      <c r="AC2" s="23"/>
      <c r="AD2" s="23"/>
      <c r="AE2" s="23"/>
      <c r="AF2" s="22"/>
      <c r="AG2" s="23"/>
      <c r="AH2" s="23"/>
      <c r="AI2" s="41"/>
      <c r="AK2" s="22"/>
      <c r="AL2" s="23"/>
      <c r="AM2" s="22"/>
      <c r="AP2" s="41"/>
      <c r="AR2" s="23"/>
      <c r="AS2" s="22"/>
      <c r="AT2" s="22"/>
      <c r="AU2" s="39"/>
      <c r="AV2" s="29"/>
      <c r="AW2" s="39"/>
      <c r="AX2" s="30"/>
      <c r="AY2" s="22"/>
      <c r="AZ2" s="22"/>
      <c r="BA2" s="22"/>
    </row>
    <row r="3" spans="1:53" x14ac:dyDescent="0.2">
      <c r="C3" s="22"/>
      <c r="D3" s="23"/>
      <c r="E3" s="22"/>
      <c r="F3" s="22"/>
      <c r="G3" s="22"/>
      <c r="I3" s="20"/>
      <c r="J3" s="20"/>
      <c r="K3" s="22"/>
      <c r="L3" s="22"/>
      <c r="M3" s="23"/>
      <c r="N3" s="23"/>
      <c r="O3" s="22"/>
      <c r="P3" s="22"/>
      <c r="Q3" s="22"/>
      <c r="R3" s="22"/>
      <c r="S3" s="20"/>
      <c r="T3" s="22"/>
      <c r="U3" s="22"/>
      <c r="V3" s="22"/>
      <c r="W3" s="22"/>
      <c r="X3" s="22"/>
      <c r="Y3" s="22"/>
      <c r="Z3" s="22"/>
      <c r="AA3" s="22"/>
      <c r="AB3" s="20"/>
      <c r="AC3" s="22"/>
      <c r="AD3" s="22"/>
      <c r="AE3" s="22"/>
      <c r="AF3" s="22"/>
      <c r="AG3" s="22"/>
      <c r="AH3" s="22"/>
      <c r="AI3" s="41"/>
      <c r="AK3" s="22"/>
      <c r="AL3" s="23"/>
      <c r="AM3" s="22"/>
      <c r="AR3" s="22"/>
      <c r="AS3" s="22"/>
      <c r="AT3" s="22"/>
      <c r="AU3" s="22"/>
      <c r="AV3" s="22"/>
      <c r="AW3" s="22"/>
      <c r="AX3" s="20"/>
      <c r="AY3" s="22"/>
      <c r="AZ3" s="22"/>
      <c r="BA3" s="22"/>
    </row>
    <row r="4" spans="1:53" x14ac:dyDescent="0.2">
      <c r="C4" s="22"/>
      <c r="D4" s="23"/>
      <c r="E4" s="22"/>
      <c r="F4" s="22"/>
      <c r="G4" s="22"/>
      <c r="I4" s="20"/>
      <c r="J4" s="20"/>
      <c r="K4" s="22"/>
      <c r="L4" s="22"/>
      <c r="M4" s="23"/>
      <c r="N4" s="23"/>
      <c r="O4" s="22"/>
      <c r="P4" s="22"/>
      <c r="Q4" s="22"/>
      <c r="R4" s="22"/>
      <c r="S4" s="20"/>
      <c r="T4" s="22"/>
      <c r="U4" s="22"/>
      <c r="V4" s="22"/>
      <c r="W4" s="22"/>
      <c r="X4" s="22"/>
      <c r="Y4" s="22"/>
      <c r="Z4" s="22"/>
      <c r="AA4" s="22"/>
      <c r="AB4" s="20"/>
      <c r="AC4" s="22"/>
      <c r="AD4" s="22"/>
      <c r="AE4" s="22"/>
      <c r="AF4" s="22"/>
      <c r="AG4" s="22"/>
      <c r="AH4" s="22"/>
      <c r="AK4" s="22"/>
      <c r="AL4" s="22"/>
      <c r="AM4" s="22"/>
      <c r="AR4" s="22"/>
      <c r="AS4" s="22"/>
      <c r="AT4" s="22"/>
      <c r="AU4" s="29"/>
      <c r="AV4" s="29"/>
      <c r="AW4" s="29"/>
      <c r="AX4" s="20"/>
      <c r="AY4" s="22"/>
      <c r="AZ4" s="22"/>
      <c r="BA4" s="22"/>
    </row>
    <row r="5" spans="1:53" x14ac:dyDescent="0.2">
      <c r="C5" s="22"/>
      <c r="D5" s="23"/>
      <c r="E5" s="22"/>
      <c r="F5" s="22"/>
      <c r="G5" s="22"/>
      <c r="I5" s="20"/>
      <c r="J5" s="20"/>
      <c r="K5" s="22"/>
      <c r="L5" s="22"/>
      <c r="M5" s="23"/>
      <c r="N5" s="23"/>
      <c r="O5" s="22"/>
      <c r="P5" s="22"/>
      <c r="Q5" s="22"/>
      <c r="R5" s="22"/>
      <c r="S5" s="20"/>
      <c r="T5" s="22"/>
      <c r="U5" s="22"/>
      <c r="V5" s="22"/>
      <c r="W5" s="22"/>
      <c r="X5" s="22"/>
      <c r="Y5" s="22"/>
      <c r="Z5" s="22"/>
      <c r="AA5" s="22"/>
      <c r="AB5" s="20"/>
      <c r="AC5" s="22"/>
      <c r="AD5" s="22"/>
      <c r="AE5" s="22"/>
      <c r="AF5" s="22"/>
      <c r="AG5" s="22"/>
      <c r="AH5" s="22"/>
      <c r="AK5" s="22"/>
      <c r="AL5" s="22"/>
      <c r="AM5" s="22"/>
      <c r="AR5" s="22"/>
      <c r="AS5" s="22"/>
      <c r="AT5" s="22"/>
      <c r="AU5" s="29"/>
      <c r="AV5" s="29"/>
      <c r="AW5" s="29"/>
      <c r="AX5" s="20"/>
      <c r="AY5" s="22"/>
      <c r="AZ5" s="22"/>
      <c r="BA5" s="22"/>
    </row>
    <row r="6" spans="1:53" x14ac:dyDescent="0.2">
      <c r="C6" s="22"/>
      <c r="D6" s="23"/>
      <c r="E6" s="22"/>
      <c r="F6" s="22"/>
      <c r="G6" s="22"/>
      <c r="I6" s="20"/>
      <c r="J6" s="20"/>
      <c r="K6" s="22"/>
      <c r="L6" s="22"/>
      <c r="M6" s="23"/>
      <c r="N6" s="23"/>
      <c r="O6" s="22"/>
      <c r="P6" s="22"/>
      <c r="Q6" s="22"/>
      <c r="R6" s="22"/>
      <c r="S6" s="20"/>
      <c r="T6" s="22"/>
      <c r="U6" s="22"/>
      <c r="V6" s="22"/>
      <c r="W6" s="22"/>
      <c r="X6" s="22"/>
      <c r="Y6" s="22"/>
      <c r="Z6" s="22"/>
      <c r="AA6" s="22"/>
      <c r="AB6" s="20"/>
      <c r="AC6" s="22"/>
      <c r="AD6" s="22"/>
      <c r="AE6" s="22"/>
      <c r="AF6" s="22"/>
      <c r="AG6" s="22"/>
      <c r="AH6" s="22"/>
      <c r="AK6" s="22"/>
      <c r="AL6" s="22"/>
      <c r="AM6" s="22"/>
      <c r="AR6" s="22"/>
      <c r="AS6" s="22"/>
      <c r="AT6" s="22"/>
      <c r="AU6" s="29"/>
      <c r="AV6" s="29"/>
      <c r="AW6" s="29"/>
      <c r="AX6" s="20"/>
      <c r="AY6" s="22"/>
      <c r="AZ6" s="22"/>
      <c r="BA6" s="22"/>
    </row>
    <row r="7" spans="1:53" x14ac:dyDescent="0.2">
      <c r="C7" s="22"/>
      <c r="D7" s="23"/>
      <c r="E7" s="22"/>
      <c r="F7" s="22"/>
      <c r="G7" s="22"/>
      <c r="I7" s="20"/>
      <c r="J7" s="20"/>
      <c r="K7" s="22"/>
      <c r="L7" s="22"/>
      <c r="M7" s="23"/>
      <c r="N7" s="23"/>
      <c r="O7" s="22"/>
      <c r="P7" s="22"/>
      <c r="Q7" s="22"/>
      <c r="R7" s="22"/>
      <c r="S7" s="20"/>
      <c r="T7" s="22"/>
      <c r="U7" s="22"/>
      <c r="V7" s="22"/>
      <c r="W7" s="22"/>
      <c r="X7" s="22"/>
      <c r="Y7" s="22"/>
      <c r="Z7" s="22"/>
      <c r="AA7" s="22"/>
      <c r="AB7" s="20"/>
      <c r="AC7" s="22"/>
      <c r="AD7" s="22"/>
      <c r="AE7" s="22"/>
      <c r="AF7" s="22"/>
      <c r="AG7" s="22"/>
      <c r="AH7" s="22"/>
      <c r="AK7" s="22"/>
      <c r="AL7" s="22"/>
      <c r="AM7" s="22"/>
      <c r="AR7" s="22"/>
      <c r="AS7" s="22"/>
      <c r="AT7" s="22"/>
      <c r="AU7" s="29"/>
      <c r="AV7" s="29"/>
      <c r="AW7" s="29"/>
      <c r="AX7" s="20"/>
      <c r="AY7" s="22"/>
      <c r="AZ7" s="22"/>
      <c r="BA7" s="22"/>
    </row>
    <row r="8" spans="1:53" x14ac:dyDescent="0.2">
      <c r="C8" s="22"/>
      <c r="D8" s="23"/>
      <c r="E8" s="22"/>
      <c r="F8" s="22"/>
      <c r="G8" s="22"/>
      <c r="I8" s="20"/>
      <c r="J8" s="20"/>
      <c r="K8" s="22"/>
      <c r="L8" s="22"/>
      <c r="M8" s="23"/>
      <c r="N8" s="23"/>
      <c r="O8" s="22"/>
      <c r="P8" s="22"/>
      <c r="Q8" s="22"/>
      <c r="R8" s="22"/>
      <c r="S8" s="20"/>
      <c r="T8" s="22"/>
      <c r="U8" s="22"/>
      <c r="V8" s="22"/>
      <c r="W8" s="22"/>
      <c r="X8" s="22"/>
      <c r="Y8" s="22"/>
      <c r="Z8" s="22"/>
      <c r="AA8" s="22"/>
      <c r="AB8" s="20"/>
      <c r="AC8" s="22"/>
      <c r="AD8" s="22"/>
      <c r="AE8" s="22"/>
      <c r="AF8" s="22"/>
      <c r="AG8" s="22"/>
      <c r="AH8" s="22"/>
      <c r="AK8" s="22"/>
      <c r="AL8" s="22"/>
      <c r="AM8" s="22"/>
      <c r="AR8" s="22"/>
      <c r="AS8" s="22"/>
      <c r="AT8" s="22"/>
      <c r="AU8" s="22"/>
      <c r="AV8" s="22"/>
      <c r="AW8" s="22"/>
      <c r="AX8" s="20"/>
      <c r="AY8" s="22"/>
      <c r="AZ8" s="22"/>
      <c r="BA8" s="22"/>
    </row>
    <row r="9" spans="1:53" x14ac:dyDescent="0.2">
      <c r="C9" s="22"/>
      <c r="D9" s="23"/>
      <c r="E9" s="22"/>
      <c r="F9" s="22"/>
      <c r="G9" s="22"/>
      <c r="I9" s="20"/>
      <c r="J9" s="20"/>
      <c r="K9" s="22"/>
      <c r="L9" s="22"/>
      <c r="M9" s="23"/>
      <c r="N9" s="23"/>
      <c r="O9" s="22"/>
      <c r="P9" s="22"/>
      <c r="Q9" s="22"/>
      <c r="R9" s="22"/>
      <c r="S9" s="20"/>
      <c r="T9" s="22"/>
      <c r="U9" s="22"/>
      <c r="V9" s="22"/>
      <c r="W9" s="22"/>
      <c r="X9" s="22"/>
      <c r="Y9" s="22"/>
      <c r="Z9" s="22"/>
      <c r="AA9" s="22"/>
      <c r="AB9" s="20"/>
      <c r="AC9" s="22"/>
      <c r="AD9" s="22"/>
      <c r="AE9" s="22"/>
      <c r="AF9" s="22"/>
      <c r="AG9" s="22"/>
      <c r="AH9" s="22"/>
      <c r="AK9" s="22"/>
      <c r="AL9" s="22"/>
      <c r="AM9" s="22"/>
      <c r="AR9" s="22"/>
      <c r="AS9" s="22"/>
      <c r="AT9" s="22"/>
      <c r="AU9" s="29"/>
      <c r="AV9" s="29"/>
      <c r="AW9" s="29"/>
      <c r="AX9" s="20"/>
      <c r="AY9" s="22"/>
      <c r="AZ9" s="22"/>
      <c r="BA9" s="22"/>
    </row>
    <row r="10" spans="1:53" x14ac:dyDescent="0.2">
      <c r="C10" s="22"/>
      <c r="D10" s="23"/>
      <c r="E10" s="22"/>
      <c r="F10" s="22"/>
      <c r="G10" s="22"/>
      <c r="I10" s="20"/>
      <c r="J10" s="20"/>
      <c r="K10" s="22"/>
      <c r="L10" s="22"/>
      <c r="M10" s="23"/>
      <c r="N10" s="23"/>
      <c r="O10" s="22"/>
      <c r="P10" s="22"/>
      <c r="Q10" s="22"/>
      <c r="R10" s="22"/>
      <c r="S10" s="20"/>
      <c r="T10" s="22"/>
      <c r="U10" s="22"/>
      <c r="V10" s="22"/>
      <c r="W10" s="22"/>
      <c r="X10" s="22"/>
      <c r="Y10" s="22"/>
      <c r="Z10" s="22"/>
      <c r="AA10" s="22"/>
      <c r="AB10" s="20"/>
      <c r="AC10" s="22"/>
      <c r="AD10" s="22"/>
      <c r="AE10" s="22"/>
      <c r="AF10" s="22"/>
      <c r="AG10" s="22"/>
      <c r="AH10" s="22"/>
      <c r="AK10" s="22"/>
      <c r="AL10" s="22"/>
      <c r="AM10" s="22"/>
      <c r="AR10" s="22"/>
      <c r="AS10" s="22"/>
      <c r="AT10" s="22"/>
      <c r="AU10" s="22"/>
      <c r="AV10" s="22"/>
      <c r="AW10" s="22"/>
      <c r="AX10" s="20"/>
      <c r="AY10" s="22"/>
      <c r="AZ10" s="22"/>
      <c r="BA10" s="22"/>
    </row>
    <row r="11" spans="1:53" x14ac:dyDescent="0.2">
      <c r="C11" s="22"/>
      <c r="D11" s="23"/>
      <c r="E11" s="22"/>
      <c r="F11" s="22"/>
      <c r="G11" s="22"/>
      <c r="I11" s="20"/>
      <c r="J11" s="20"/>
      <c r="K11" s="22"/>
      <c r="L11" s="22"/>
      <c r="M11" s="23"/>
      <c r="N11" s="23"/>
      <c r="O11" s="22"/>
      <c r="P11" s="22"/>
      <c r="Q11" s="22"/>
      <c r="R11" s="22"/>
      <c r="S11" s="20"/>
      <c r="T11" s="22"/>
      <c r="U11" s="22"/>
      <c r="V11" s="22"/>
      <c r="W11" s="22"/>
      <c r="X11" s="22"/>
      <c r="Y11" s="22"/>
      <c r="Z11" s="22"/>
      <c r="AA11" s="22"/>
      <c r="AB11" s="20"/>
      <c r="AC11" s="22"/>
      <c r="AD11" s="22"/>
      <c r="AE11" s="22"/>
      <c r="AF11" s="22"/>
      <c r="AG11" s="22"/>
      <c r="AH11" s="22"/>
      <c r="AK11" s="22"/>
      <c r="AL11" s="22"/>
      <c r="AM11" s="22"/>
      <c r="AR11" s="22"/>
      <c r="AS11" s="22"/>
      <c r="AT11" s="22"/>
      <c r="AU11" s="22"/>
      <c r="AV11" s="22"/>
      <c r="AW11" s="22"/>
      <c r="AX11" s="20"/>
      <c r="AY11" s="22"/>
      <c r="AZ11" s="22"/>
      <c r="BA11" s="22"/>
    </row>
    <row r="12" spans="1:53" x14ac:dyDescent="0.2">
      <c r="C12" s="22"/>
      <c r="D12" s="23"/>
      <c r="E12" s="22"/>
      <c r="F12" s="22"/>
      <c r="G12" s="22"/>
      <c r="I12" s="20"/>
      <c r="J12" s="20"/>
      <c r="K12" s="22"/>
      <c r="L12" s="22"/>
      <c r="M12" s="23"/>
      <c r="N12" s="23"/>
      <c r="O12" s="22"/>
      <c r="P12" s="22"/>
      <c r="Q12" s="22"/>
      <c r="R12" s="22"/>
      <c r="S12" s="20"/>
      <c r="T12" s="22"/>
      <c r="U12" s="22"/>
      <c r="V12" s="22"/>
      <c r="W12" s="22"/>
      <c r="X12" s="22"/>
      <c r="Y12" s="22"/>
      <c r="Z12" s="22"/>
      <c r="AA12" s="22"/>
      <c r="AB12" s="20"/>
      <c r="AC12" s="22"/>
      <c r="AD12" s="22"/>
      <c r="AE12" s="22"/>
      <c r="AF12" s="22"/>
      <c r="AG12" s="22"/>
      <c r="AH12" s="22"/>
      <c r="AK12" s="22"/>
      <c r="AL12" s="22"/>
      <c r="AM12" s="22"/>
      <c r="AR12" s="22"/>
      <c r="AS12" s="22"/>
      <c r="AT12" s="22"/>
      <c r="AU12" s="22"/>
      <c r="AV12" s="22"/>
      <c r="AW12" s="22"/>
      <c r="AX12" s="20"/>
      <c r="AY12" s="22"/>
      <c r="AZ12" s="22"/>
      <c r="BA12" s="22"/>
    </row>
    <row r="13" spans="1:53" x14ac:dyDescent="0.2">
      <c r="C13" s="22"/>
      <c r="D13" s="23"/>
      <c r="E13" s="22"/>
      <c r="F13" s="22"/>
      <c r="G13" s="22"/>
      <c r="I13" s="20"/>
      <c r="J13" s="20"/>
      <c r="K13" s="22"/>
      <c r="L13" s="22"/>
      <c r="M13" s="23"/>
      <c r="N13" s="23"/>
      <c r="O13" s="22"/>
      <c r="P13" s="22"/>
      <c r="Q13" s="22"/>
      <c r="R13" s="22"/>
      <c r="S13" s="20"/>
      <c r="T13" s="22"/>
      <c r="U13" s="22"/>
      <c r="V13" s="22"/>
      <c r="W13" s="22"/>
      <c r="X13" s="22"/>
      <c r="Y13" s="22"/>
      <c r="Z13" s="22"/>
      <c r="AA13" s="22"/>
      <c r="AB13" s="20"/>
      <c r="AC13" s="22"/>
      <c r="AD13" s="22"/>
      <c r="AE13" s="22"/>
      <c r="AF13" s="22"/>
      <c r="AG13" s="22"/>
      <c r="AH13" s="22"/>
      <c r="AK13" s="22"/>
      <c r="AL13" s="22"/>
      <c r="AM13" s="22"/>
      <c r="AR13" s="22"/>
      <c r="AS13" s="22"/>
      <c r="AT13" s="22"/>
      <c r="AU13" s="22"/>
      <c r="AV13" s="22"/>
      <c r="AW13" s="22"/>
      <c r="AX13" s="20"/>
      <c r="AY13" s="22"/>
      <c r="AZ13" s="22"/>
      <c r="BA13" s="22"/>
    </row>
    <row r="14" spans="1:53" x14ac:dyDescent="0.2">
      <c r="C14" s="22"/>
      <c r="D14" s="23"/>
      <c r="E14" s="22"/>
      <c r="F14" s="22"/>
      <c r="G14" s="22"/>
      <c r="I14" s="20"/>
      <c r="J14" s="20"/>
      <c r="K14" s="22"/>
      <c r="L14" s="22"/>
      <c r="M14" s="23"/>
      <c r="N14" s="23"/>
      <c r="O14" s="22"/>
      <c r="P14" s="22"/>
      <c r="Q14" s="22"/>
      <c r="R14" s="22"/>
      <c r="S14" s="20"/>
      <c r="T14" s="22"/>
      <c r="U14" s="22"/>
      <c r="V14" s="22"/>
      <c r="W14" s="22"/>
      <c r="X14" s="22"/>
      <c r="Y14" s="22"/>
      <c r="Z14" s="22"/>
      <c r="AA14" s="22"/>
      <c r="AB14" s="20"/>
      <c r="AC14" s="22"/>
      <c r="AD14" s="22"/>
      <c r="AE14" s="22"/>
      <c r="AF14" s="22"/>
      <c r="AG14" s="22"/>
      <c r="AH14" s="22"/>
      <c r="AK14" s="22"/>
      <c r="AL14" s="22"/>
      <c r="AM14" s="22"/>
      <c r="AR14" s="22"/>
      <c r="AS14" s="22"/>
      <c r="AT14" s="22"/>
      <c r="AU14" s="22"/>
      <c r="AV14" s="22"/>
      <c r="AW14" s="22"/>
      <c r="AX14" s="20"/>
      <c r="AY14" s="22"/>
      <c r="AZ14" s="22"/>
      <c r="BA14" s="22"/>
    </row>
    <row r="15" spans="1:53" x14ac:dyDescent="0.2">
      <c r="C15" s="22"/>
      <c r="D15" s="23"/>
      <c r="E15" s="22"/>
      <c r="F15" s="22"/>
      <c r="G15" s="22"/>
      <c r="I15" s="20"/>
      <c r="J15" s="20"/>
      <c r="K15" s="22"/>
      <c r="L15" s="22"/>
      <c r="M15" s="23"/>
      <c r="N15" s="23"/>
      <c r="O15" s="22"/>
      <c r="P15" s="22"/>
      <c r="Q15" s="22"/>
      <c r="R15" s="22"/>
      <c r="S15" s="20"/>
      <c r="T15" s="22"/>
      <c r="U15" s="22"/>
      <c r="V15" s="22"/>
      <c r="W15" s="22"/>
      <c r="X15" s="22"/>
      <c r="Y15" s="22"/>
      <c r="Z15" s="22"/>
      <c r="AA15" s="22"/>
      <c r="AB15" s="20"/>
      <c r="AC15" s="22"/>
      <c r="AD15" s="22"/>
      <c r="AE15" s="22"/>
      <c r="AF15" s="22"/>
      <c r="AG15" s="22"/>
      <c r="AH15" s="22"/>
      <c r="AK15" s="22"/>
      <c r="AL15" s="22"/>
      <c r="AM15" s="22"/>
      <c r="AR15" s="22"/>
      <c r="AS15" s="22"/>
      <c r="AT15" s="22"/>
      <c r="AU15" s="22"/>
      <c r="AV15" s="22"/>
      <c r="AW15" s="22"/>
      <c r="AX15" s="20"/>
      <c r="AY15" s="22"/>
      <c r="AZ15" s="22"/>
      <c r="BA15" s="22"/>
    </row>
    <row r="16" spans="1:53" x14ac:dyDescent="0.2">
      <c r="C16" s="22"/>
      <c r="D16" s="23"/>
      <c r="E16" s="22"/>
      <c r="F16" s="22"/>
      <c r="G16" s="22"/>
      <c r="I16" s="20"/>
      <c r="J16" s="20"/>
      <c r="K16" s="22"/>
      <c r="L16" s="22"/>
      <c r="M16" s="23"/>
      <c r="N16" s="23"/>
      <c r="O16" s="22"/>
      <c r="P16" s="22"/>
      <c r="Q16" s="22"/>
      <c r="R16" s="22"/>
      <c r="S16" s="20"/>
      <c r="T16" s="22"/>
      <c r="U16" s="22"/>
      <c r="V16" s="22"/>
      <c r="W16" s="22"/>
      <c r="X16" s="22"/>
      <c r="Y16" s="22"/>
      <c r="Z16" s="22"/>
      <c r="AA16" s="22"/>
      <c r="AB16" s="20"/>
      <c r="AC16" s="22"/>
      <c r="AD16" s="22"/>
      <c r="AE16" s="22"/>
      <c r="AF16" s="22"/>
      <c r="AG16" s="22"/>
      <c r="AH16" s="22"/>
      <c r="AK16" s="22"/>
      <c r="AL16" s="22"/>
      <c r="AM16" s="22"/>
      <c r="AR16" s="22"/>
      <c r="AS16" s="22"/>
      <c r="AT16" s="22"/>
      <c r="AU16" s="22"/>
      <c r="AV16" s="22"/>
      <c r="AW16" s="22"/>
      <c r="AX16" s="20"/>
      <c r="AY16" s="22"/>
      <c r="AZ16" s="22"/>
      <c r="BA16" s="22"/>
    </row>
    <row r="17" spans="3:53" x14ac:dyDescent="0.2">
      <c r="C17" s="22"/>
      <c r="D17" s="23"/>
      <c r="E17" s="22"/>
      <c r="F17" s="22"/>
      <c r="G17" s="22"/>
      <c r="I17" s="20"/>
      <c r="J17" s="20"/>
      <c r="K17" s="22"/>
      <c r="L17" s="22"/>
      <c r="M17" s="23"/>
      <c r="N17" s="23"/>
      <c r="O17" s="22"/>
      <c r="P17" s="22"/>
      <c r="Q17" s="22"/>
      <c r="R17" s="22"/>
      <c r="S17" s="20"/>
      <c r="T17" s="22"/>
      <c r="U17" s="22"/>
      <c r="V17" s="22"/>
      <c r="W17" s="22"/>
      <c r="X17" s="22"/>
      <c r="Y17" s="22"/>
      <c r="Z17" s="22"/>
      <c r="AA17" s="22"/>
      <c r="AB17" s="20"/>
      <c r="AC17" s="22"/>
      <c r="AD17" s="22"/>
      <c r="AE17" s="22"/>
      <c r="AF17" s="22"/>
      <c r="AG17" s="22"/>
      <c r="AH17" s="22"/>
      <c r="AK17" s="22"/>
      <c r="AL17" s="22"/>
      <c r="AM17" s="22"/>
      <c r="AR17" s="22"/>
      <c r="AS17" s="22"/>
      <c r="AT17" s="22"/>
      <c r="AU17" s="22"/>
      <c r="AV17" s="22"/>
      <c r="AW17" s="22"/>
      <c r="AX17" s="20"/>
      <c r="AY17" s="22"/>
      <c r="AZ17" s="22"/>
      <c r="BA17" s="22"/>
    </row>
    <row r="18" spans="3:53" x14ac:dyDescent="0.2">
      <c r="C18" s="22"/>
      <c r="D18" s="23"/>
      <c r="E18" s="22"/>
      <c r="F18" s="22"/>
      <c r="G18" s="22"/>
      <c r="I18" s="20"/>
      <c r="J18" s="20"/>
      <c r="K18" s="22"/>
      <c r="L18" s="22"/>
      <c r="M18" s="23"/>
      <c r="N18" s="23"/>
      <c r="O18" s="22"/>
      <c r="P18" s="22"/>
      <c r="Q18" s="22"/>
      <c r="R18" s="22"/>
      <c r="S18" s="20"/>
      <c r="T18" s="22"/>
      <c r="U18" s="22"/>
      <c r="V18" s="22"/>
      <c r="W18" s="22"/>
      <c r="X18" s="22"/>
      <c r="Y18" s="22"/>
      <c r="Z18" s="22"/>
      <c r="AA18" s="22"/>
      <c r="AB18" s="20"/>
      <c r="AC18" s="22"/>
      <c r="AD18" s="22"/>
      <c r="AE18" s="22"/>
      <c r="AF18" s="22"/>
      <c r="AG18" s="22"/>
      <c r="AH18" s="22"/>
      <c r="AK18" s="22"/>
      <c r="AL18" s="22"/>
      <c r="AM18" s="22"/>
      <c r="AR18" s="22"/>
      <c r="AS18" s="22"/>
      <c r="AT18" s="22"/>
      <c r="AU18" s="22"/>
      <c r="AV18" s="22"/>
      <c r="AW18" s="22"/>
      <c r="AX18" s="20"/>
      <c r="AY18" s="22"/>
      <c r="AZ18" s="22"/>
      <c r="BA18" s="22"/>
    </row>
    <row r="19" spans="3:53" x14ac:dyDescent="0.2">
      <c r="C19" s="22"/>
      <c r="D19" s="23"/>
      <c r="E19" s="22"/>
      <c r="F19" s="22"/>
      <c r="G19" s="22"/>
      <c r="I19" s="20"/>
      <c r="J19" s="20"/>
      <c r="K19" s="22"/>
      <c r="L19" s="22"/>
      <c r="M19" s="23"/>
      <c r="N19" s="23"/>
      <c r="O19" s="22"/>
      <c r="P19" s="22"/>
      <c r="Q19" s="22"/>
      <c r="R19" s="22"/>
      <c r="S19" s="20"/>
      <c r="T19" s="22"/>
      <c r="U19" s="22"/>
      <c r="V19" s="22"/>
      <c r="W19" s="22"/>
      <c r="X19" s="22"/>
      <c r="Y19" s="22"/>
      <c r="Z19" s="22"/>
      <c r="AA19" s="22"/>
      <c r="AB19" s="20"/>
      <c r="AC19" s="22"/>
      <c r="AD19" s="22"/>
      <c r="AE19" s="22"/>
      <c r="AF19" s="22"/>
      <c r="AG19" s="22"/>
      <c r="AH19" s="22"/>
      <c r="AK19" s="22"/>
      <c r="AL19" s="22"/>
      <c r="AM19" s="22"/>
      <c r="AR19" s="22"/>
      <c r="AS19" s="22"/>
      <c r="AT19" s="22"/>
      <c r="AU19" s="22"/>
      <c r="AV19" s="22"/>
      <c r="AW19" s="22"/>
      <c r="AX19" s="20"/>
      <c r="AY19" s="22"/>
      <c r="AZ19" s="22"/>
      <c r="BA19" s="22"/>
    </row>
    <row r="20" spans="3:53" x14ac:dyDescent="0.2">
      <c r="D20" s="23"/>
      <c r="G20" s="22"/>
      <c r="I20" s="20"/>
      <c r="J20" s="20"/>
      <c r="K20" s="22"/>
      <c r="L20" s="22"/>
      <c r="M20" s="23"/>
      <c r="Q20" s="22"/>
      <c r="R20" s="22"/>
      <c r="S20" s="20"/>
      <c r="U20" s="22"/>
      <c r="W20" s="22"/>
      <c r="X20" s="22"/>
      <c r="AB20" s="20"/>
      <c r="AC20" s="22"/>
      <c r="AG20" s="22"/>
      <c r="AH20" s="22"/>
      <c r="AK20" s="22"/>
      <c r="AM20" s="22"/>
      <c r="AX20" s="20"/>
      <c r="AY20" s="22"/>
    </row>
    <row r="21" spans="3:53" s="41" customFormat="1" x14ac:dyDescent="0.2">
      <c r="D21" s="44"/>
      <c r="S21" s="30"/>
      <c r="AB21" s="44"/>
      <c r="AQ21" s="40"/>
      <c r="AX21" s="44"/>
    </row>
    <row r="22" spans="3:53" x14ac:dyDescent="0.2">
      <c r="D22" s="5"/>
      <c r="S22" s="20"/>
    </row>
    <row r="23" spans="3:53" x14ac:dyDescent="0.2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 x14ac:dyDescent="0.2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80</v>
      </c>
      <c r="M1" s="21" t="s">
        <v>596</v>
      </c>
      <c r="N1" s="21" t="s">
        <v>597</v>
      </c>
      <c r="O1" s="21" t="s">
        <v>9</v>
      </c>
      <c r="P1" s="21" t="s">
        <v>10</v>
      </c>
      <c r="Q1" s="21" t="s">
        <v>81</v>
      </c>
      <c r="R1" s="21" t="s">
        <v>11</v>
      </c>
      <c r="S1" s="21" t="s">
        <v>12</v>
      </c>
      <c r="T1" s="21" t="s">
        <v>14</v>
      </c>
      <c r="U1" s="21" t="s">
        <v>15</v>
      </c>
      <c r="V1" s="21" t="s">
        <v>603</v>
      </c>
      <c r="W1" s="21" t="s">
        <v>604</v>
      </c>
      <c r="X1" s="21" t="s">
        <v>606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 x14ac:dyDescent="0.2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3"/>
      <c r="N2" s="22"/>
      <c r="O2" s="22"/>
      <c r="P2" s="22"/>
      <c r="Q2" s="22"/>
      <c r="R2" s="20"/>
      <c r="S2" s="22"/>
      <c r="T2" s="22"/>
      <c r="U2" s="22"/>
      <c r="V2" s="22"/>
      <c r="W2" s="22"/>
      <c r="Y2" s="22"/>
      <c r="Z2" s="22"/>
      <c r="AA2" s="22"/>
      <c r="AB2" s="22"/>
      <c r="AC2" s="22"/>
      <c r="AD2" s="22"/>
    </row>
    <row r="3" spans="1:30" x14ac:dyDescent="0.2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3"/>
      <c r="N3" s="22"/>
      <c r="O3" s="22"/>
      <c r="P3" s="22"/>
      <c r="Q3" s="22"/>
      <c r="R3" s="20"/>
      <c r="S3" s="22"/>
      <c r="T3" s="22"/>
      <c r="U3" s="22"/>
      <c r="V3" s="22"/>
      <c r="W3" s="22"/>
      <c r="Y3" s="22"/>
      <c r="Z3" s="22"/>
      <c r="AA3" s="22"/>
      <c r="AB3" s="22"/>
      <c r="AC3" s="22"/>
      <c r="AD3" s="22"/>
    </row>
    <row r="4" spans="1:30" x14ac:dyDescent="0.2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3"/>
      <c r="N4" s="22"/>
      <c r="O4" s="22"/>
      <c r="P4" s="22"/>
      <c r="Q4" s="22"/>
      <c r="R4" s="20"/>
      <c r="S4" s="22"/>
      <c r="T4" s="22"/>
      <c r="U4" s="22"/>
      <c r="V4" s="22"/>
      <c r="W4" s="22"/>
      <c r="Y4" s="22"/>
      <c r="Z4" s="22"/>
      <c r="AA4" s="22"/>
      <c r="AB4" s="22"/>
      <c r="AC4" s="22"/>
      <c r="AD4" s="22"/>
    </row>
    <row r="5" spans="1:30" x14ac:dyDescent="0.2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3"/>
      <c r="N5" s="22"/>
      <c r="O5" s="22"/>
      <c r="P5" s="22"/>
      <c r="Q5" s="22"/>
      <c r="R5" s="20"/>
      <c r="S5" s="22"/>
      <c r="T5" s="22"/>
      <c r="U5" s="22"/>
      <c r="V5" s="22"/>
      <c r="W5" s="22"/>
      <c r="Y5" s="22"/>
      <c r="Z5" s="22"/>
      <c r="AA5" s="22"/>
      <c r="AB5" s="22"/>
      <c r="AC5" s="22"/>
      <c r="AD5" s="22"/>
    </row>
    <row r="6" spans="1:30" x14ac:dyDescent="0.2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3"/>
      <c r="N6" s="22"/>
      <c r="O6" s="22"/>
      <c r="P6" s="22"/>
      <c r="Q6" s="22"/>
      <c r="R6" s="20"/>
      <c r="S6" s="22"/>
      <c r="T6" s="22"/>
      <c r="U6" s="22"/>
      <c r="V6" s="22"/>
      <c r="W6" s="22"/>
      <c r="Y6" s="22"/>
      <c r="Z6" s="22"/>
      <c r="AA6" s="22"/>
      <c r="AB6" s="22"/>
      <c r="AC6" s="22"/>
      <c r="AD6" s="22"/>
    </row>
    <row r="7" spans="1:30" x14ac:dyDescent="0.2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3"/>
      <c r="N7" s="22"/>
      <c r="O7" s="22"/>
      <c r="P7" s="22"/>
      <c r="Q7" s="22"/>
      <c r="R7" s="20"/>
      <c r="S7" s="22"/>
      <c r="T7" s="22"/>
      <c r="U7" s="22"/>
      <c r="V7" s="22"/>
      <c r="W7" s="22"/>
      <c r="Y7" s="22"/>
      <c r="Z7" s="22"/>
      <c r="AA7" s="22"/>
      <c r="AB7" s="22"/>
      <c r="AC7" s="22"/>
      <c r="AD7" s="22"/>
    </row>
    <row r="8" spans="1:30" x14ac:dyDescent="0.2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3"/>
      <c r="N8" s="22"/>
      <c r="O8" s="22"/>
      <c r="P8" s="22"/>
      <c r="Q8" s="22"/>
      <c r="R8" s="20"/>
      <c r="S8" s="22"/>
      <c r="T8" s="22"/>
      <c r="U8" s="22"/>
      <c r="V8" s="22"/>
      <c r="W8" s="22"/>
      <c r="Y8" s="22"/>
      <c r="Z8" s="22"/>
      <c r="AA8" s="22"/>
      <c r="AB8" s="22"/>
      <c r="AC8" s="22"/>
      <c r="AD8" s="22"/>
    </row>
    <row r="9" spans="1:30" x14ac:dyDescent="0.2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3"/>
      <c r="N9" s="22"/>
      <c r="O9" s="22"/>
      <c r="P9" s="22"/>
      <c r="Q9" s="22"/>
      <c r="R9" s="20"/>
      <c r="S9" s="22"/>
      <c r="T9" s="22"/>
      <c r="U9" s="22"/>
      <c r="V9" s="22"/>
      <c r="W9" s="22"/>
      <c r="Y9" s="22"/>
      <c r="Z9" s="22"/>
      <c r="AA9" s="22"/>
      <c r="AB9" s="22"/>
      <c r="AC9" s="22"/>
      <c r="AD9" s="22"/>
    </row>
    <row r="10" spans="1:30" x14ac:dyDescent="0.2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3"/>
      <c r="N10" s="22"/>
      <c r="O10" s="22"/>
      <c r="P10" s="22"/>
      <c r="Q10" s="22"/>
      <c r="R10" s="20"/>
      <c r="S10" s="22"/>
      <c r="T10" s="22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 x14ac:dyDescent="0.2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3"/>
      <c r="N11" s="22"/>
      <c r="O11" s="22"/>
      <c r="P11" s="22"/>
      <c r="Q11" s="22"/>
      <c r="R11" s="20"/>
      <c r="S11" s="22"/>
      <c r="T11" s="22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 x14ac:dyDescent="0.2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3"/>
      <c r="N12" s="22"/>
      <c r="O12" s="22"/>
      <c r="P12" s="22"/>
      <c r="Q12" s="22"/>
      <c r="R12" s="20"/>
      <c r="S12" s="22"/>
      <c r="T12" s="22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 x14ac:dyDescent="0.2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3"/>
      <c r="N13" s="22"/>
      <c r="O13" s="22"/>
      <c r="P13" s="22"/>
      <c r="Q13" s="22"/>
      <c r="R13" s="20"/>
      <c r="S13" s="22"/>
      <c r="T13" s="22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 x14ac:dyDescent="0.2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3"/>
      <c r="N14" s="22"/>
      <c r="O14" s="22"/>
      <c r="P14" s="22"/>
      <c r="Q14" s="22"/>
      <c r="R14" s="20"/>
      <c r="S14" s="22"/>
      <c r="T14" s="22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 x14ac:dyDescent="0.2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3"/>
      <c r="N15" s="22"/>
      <c r="O15" s="22"/>
      <c r="P15" s="22"/>
      <c r="Q15" s="22"/>
      <c r="R15" s="20"/>
      <c r="S15" s="22"/>
      <c r="T15" s="22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 x14ac:dyDescent="0.2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3"/>
      <c r="N16" s="22"/>
      <c r="O16" s="22"/>
      <c r="P16" s="22"/>
      <c r="Q16" s="22"/>
      <c r="R16" s="20"/>
      <c r="S16" s="22"/>
      <c r="T16" s="22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 x14ac:dyDescent="0.2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3"/>
      <c r="N17" s="22"/>
      <c r="O17" s="22"/>
      <c r="P17" s="22"/>
      <c r="Q17" s="22"/>
      <c r="R17" s="20"/>
      <c r="S17" s="22"/>
      <c r="T17" s="22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 x14ac:dyDescent="0.2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3"/>
      <c r="N18" s="22"/>
      <c r="O18" s="22"/>
      <c r="P18" s="22"/>
      <c r="Q18" s="22"/>
      <c r="R18" s="20"/>
      <c r="S18" s="22"/>
      <c r="T18" s="22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 x14ac:dyDescent="0.2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3"/>
      <c r="N19" s="22"/>
      <c r="O19" s="22"/>
      <c r="P19" s="22"/>
      <c r="Q19" s="22"/>
      <c r="R19" s="20"/>
      <c r="S19" s="22"/>
      <c r="T19" s="22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 x14ac:dyDescent="0.2">
      <c r="E20" s="20"/>
      <c r="H20" s="22"/>
      <c r="I20" s="22"/>
      <c r="J20" s="20"/>
      <c r="K20" s="20"/>
      <c r="L20" s="22"/>
      <c r="M20" s="23"/>
      <c r="P20" s="22"/>
      <c r="Q20" s="22"/>
      <c r="V20" s="22"/>
      <c r="W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 x14ac:dyDescent="0.2"/>
  <cols>
    <col min="1" max="2" width="11.625" style="3" customWidth="1"/>
    <col min="3" max="3" width="11.625" style="41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 x14ac:dyDescent="0.2">
      <c r="A1" s="21" t="s">
        <v>0</v>
      </c>
      <c r="B1" s="21" t="s">
        <v>1</v>
      </c>
      <c r="C1" s="21" t="s">
        <v>827</v>
      </c>
      <c r="D1" s="21" t="s">
        <v>828</v>
      </c>
      <c r="E1" s="21" t="s">
        <v>829</v>
      </c>
      <c r="F1" s="21" t="s">
        <v>5</v>
      </c>
      <c r="G1" s="21" t="s">
        <v>830</v>
      </c>
      <c r="H1" s="21" t="s">
        <v>6</v>
      </c>
      <c r="I1" s="21" t="s">
        <v>7</v>
      </c>
      <c r="J1" s="21" t="s">
        <v>80</v>
      </c>
      <c r="K1" s="21" t="s">
        <v>831</v>
      </c>
      <c r="L1" s="21" t="s">
        <v>10</v>
      </c>
      <c r="M1" s="21" t="s">
        <v>11</v>
      </c>
      <c r="N1" s="21" t="s">
        <v>12</v>
      </c>
      <c r="O1" s="21" t="s">
        <v>14</v>
      </c>
      <c r="P1" s="21" t="s">
        <v>15</v>
      </c>
      <c r="Q1" s="21" t="s">
        <v>832</v>
      </c>
      <c r="R1" s="21" t="s">
        <v>18</v>
      </c>
      <c r="S1" s="21" t="s">
        <v>833</v>
      </c>
      <c r="T1" s="21" t="s">
        <v>20</v>
      </c>
      <c r="U1" s="21" t="s">
        <v>24</v>
      </c>
      <c r="V1" s="21" t="s">
        <v>25</v>
      </c>
    </row>
    <row r="2" spans="1:22" x14ac:dyDescent="0.2">
      <c r="A2" s="22"/>
      <c r="B2" s="22"/>
      <c r="C2" s="23"/>
      <c r="D2" s="41"/>
      <c r="E2" s="30"/>
      <c r="F2" s="22"/>
      <c r="G2" s="22"/>
      <c r="H2" s="30"/>
      <c r="I2" s="30"/>
      <c r="J2" s="22"/>
      <c r="K2" s="23"/>
      <c r="M2" s="20"/>
      <c r="N2" s="22"/>
      <c r="O2" s="23"/>
      <c r="P2" s="22"/>
      <c r="R2" s="22"/>
      <c r="S2" s="23"/>
      <c r="T2" s="22"/>
      <c r="U2" s="22"/>
      <c r="V2" s="22"/>
    </row>
    <row r="3" spans="1:22" x14ac:dyDescent="0.2">
      <c r="A3" s="22"/>
      <c r="B3" s="22"/>
      <c r="C3" s="23"/>
      <c r="E3" s="20"/>
      <c r="F3" s="22"/>
      <c r="G3" s="22"/>
      <c r="H3" s="30"/>
      <c r="I3" s="30"/>
      <c r="J3" s="22"/>
      <c r="K3" s="22"/>
      <c r="M3" s="20"/>
      <c r="N3" s="22"/>
      <c r="O3" s="22"/>
      <c r="P3" s="22"/>
      <c r="R3" s="22"/>
      <c r="T3" s="22"/>
      <c r="U3" s="22"/>
      <c r="V3" s="22"/>
    </row>
    <row r="4" spans="1:22" x14ac:dyDescent="0.2">
      <c r="A4" s="22"/>
      <c r="B4" s="22"/>
      <c r="C4" s="23"/>
      <c r="E4" s="20"/>
      <c r="F4" s="22"/>
      <c r="G4" s="22"/>
      <c r="H4" s="30"/>
      <c r="I4" s="30"/>
      <c r="J4" s="22"/>
      <c r="K4" s="22"/>
      <c r="M4" s="20"/>
      <c r="N4" s="22"/>
      <c r="O4" s="22"/>
      <c r="P4" s="22"/>
      <c r="R4" s="22"/>
      <c r="T4" s="22"/>
      <c r="U4" s="22"/>
      <c r="V4" s="22"/>
    </row>
    <row r="5" spans="1:22" x14ac:dyDescent="0.2">
      <c r="A5" s="22"/>
      <c r="B5" s="22"/>
      <c r="C5" s="23"/>
      <c r="E5" s="20"/>
      <c r="F5" s="22"/>
      <c r="G5" s="22"/>
      <c r="H5" s="30"/>
      <c r="I5" s="30"/>
      <c r="J5" s="22"/>
      <c r="K5" s="22"/>
      <c r="M5" s="20"/>
      <c r="N5" s="22"/>
      <c r="O5" s="22"/>
      <c r="P5" s="22"/>
      <c r="R5" s="22"/>
      <c r="T5" s="22"/>
      <c r="U5" s="22"/>
      <c r="V5" s="22"/>
    </row>
    <row r="6" spans="1:22" x14ac:dyDescent="0.2">
      <c r="A6" s="22"/>
      <c r="B6" s="22"/>
      <c r="C6" s="23"/>
      <c r="E6" s="20"/>
      <c r="F6" s="22"/>
      <c r="G6" s="22"/>
      <c r="H6" s="30"/>
      <c r="I6" s="30"/>
      <c r="J6" s="22"/>
      <c r="K6" s="22"/>
      <c r="M6" s="20"/>
      <c r="N6" s="22"/>
      <c r="O6" s="22"/>
      <c r="P6" s="22"/>
      <c r="R6" s="22"/>
      <c r="T6" s="22"/>
      <c r="U6" s="22"/>
      <c r="V6" s="22"/>
    </row>
    <row r="7" spans="1:22" x14ac:dyDescent="0.2">
      <c r="A7" s="22"/>
      <c r="B7" s="22"/>
      <c r="C7" s="23"/>
      <c r="E7" s="20"/>
      <c r="F7" s="22"/>
      <c r="G7" s="22"/>
      <c r="H7" s="30"/>
      <c r="I7" s="30"/>
      <c r="J7" s="22"/>
      <c r="K7" s="22"/>
      <c r="M7" s="20"/>
      <c r="N7" s="22"/>
      <c r="O7" s="22"/>
      <c r="P7" s="22"/>
      <c r="R7" s="22"/>
      <c r="S7" s="22"/>
      <c r="T7" s="22"/>
      <c r="U7" s="22"/>
      <c r="V7" s="22"/>
    </row>
    <row r="8" spans="1:22" x14ac:dyDescent="0.2">
      <c r="A8" s="22"/>
      <c r="B8" s="22"/>
      <c r="C8" s="23"/>
      <c r="E8" s="20"/>
      <c r="F8" s="22"/>
      <c r="G8" s="22"/>
      <c r="H8" s="30"/>
      <c r="I8" s="30"/>
      <c r="J8" s="22"/>
      <c r="K8" s="22"/>
      <c r="M8" s="20"/>
      <c r="N8" s="22"/>
      <c r="O8" s="22"/>
      <c r="P8" s="22"/>
      <c r="R8" s="22"/>
      <c r="S8" s="22"/>
      <c r="T8" s="22"/>
      <c r="U8" s="22"/>
      <c r="V8" s="22"/>
    </row>
    <row r="9" spans="1:22" x14ac:dyDescent="0.2">
      <c r="A9" s="22"/>
      <c r="B9" s="22"/>
      <c r="C9" s="23"/>
      <c r="E9" s="20"/>
      <c r="F9" s="22"/>
      <c r="G9" s="22"/>
      <c r="H9" s="30"/>
      <c r="I9" s="30"/>
      <c r="J9" s="22"/>
      <c r="K9" s="22"/>
      <c r="M9" s="20"/>
      <c r="N9" s="22"/>
      <c r="O9" s="22"/>
      <c r="P9" s="22"/>
      <c r="R9" s="22"/>
      <c r="S9" s="22"/>
      <c r="T9" s="22"/>
      <c r="U9" s="22"/>
      <c r="V9" s="22"/>
    </row>
    <row r="10" spans="1:22" x14ac:dyDescent="0.2">
      <c r="A10" s="22"/>
      <c r="B10" s="22"/>
      <c r="C10" s="23"/>
      <c r="E10" s="20"/>
      <c r="F10" s="22"/>
      <c r="G10" s="22"/>
      <c r="H10" s="30"/>
      <c r="I10" s="30"/>
      <c r="J10" s="22"/>
      <c r="K10" s="22"/>
      <c r="M10" s="20"/>
      <c r="N10" s="22"/>
      <c r="O10" s="22"/>
      <c r="P10" s="22"/>
      <c r="R10" s="22"/>
      <c r="S10" s="22"/>
      <c r="T10" s="22"/>
      <c r="U10" s="22"/>
      <c r="V10" s="22"/>
    </row>
    <row r="11" spans="1:22" x14ac:dyDescent="0.2">
      <c r="A11" s="22"/>
      <c r="B11" s="22"/>
      <c r="C11" s="23"/>
      <c r="E11" s="20"/>
      <c r="F11" s="22"/>
      <c r="G11" s="22"/>
      <c r="H11" s="30"/>
      <c r="I11" s="30"/>
      <c r="J11" s="22"/>
      <c r="K11" s="22"/>
      <c r="M11" s="20"/>
      <c r="N11" s="22"/>
      <c r="O11" s="22"/>
      <c r="P11" s="22"/>
      <c r="R11" s="22"/>
      <c r="S11" s="22"/>
      <c r="T11" s="22"/>
      <c r="U11" s="22"/>
      <c r="V11" s="22"/>
    </row>
    <row r="12" spans="1:22" x14ac:dyDescent="0.2">
      <c r="A12" s="22"/>
      <c r="B12" s="22"/>
      <c r="C12" s="23"/>
      <c r="E12" s="20"/>
      <c r="F12" s="22"/>
      <c r="G12" s="22"/>
      <c r="H12" s="30"/>
      <c r="I12" s="30"/>
      <c r="J12" s="22"/>
      <c r="K12" s="22"/>
      <c r="M12" s="20"/>
      <c r="N12" s="22"/>
      <c r="O12" s="22"/>
      <c r="P12" s="22"/>
      <c r="R12" s="22"/>
      <c r="S12" s="22"/>
      <c r="T12" s="22"/>
      <c r="U12" s="22"/>
      <c r="V12" s="22"/>
    </row>
    <row r="13" spans="1:22" x14ac:dyDescent="0.2">
      <c r="A13" s="22"/>
      <c r="B13" s="22"/>
      <c r="C13" s="23"/>
      <c r="E13" s="20"/>
      <c r="F13" s="22"/>
      <c r="G13" s="22"/>
      <c r="H13" s="30"/>
      <c r="I13" s="30"/>
      <c r="J13" s="22"/>
      <c r="K13" s="22"/>
      <c r="M13" s="20"/>
      <c r="N13" s="22"/>
      <c r="O13" s="22"/>
      <c r="P13" s="22"/>
      <c r="R13" s="22"/>
      <c r="S13" s="22"/>
      <c r="T13" s="22"/>
      <c r="U13" s="22"/>
      <c r="V13" s="22"/>
    </row>
    <row r="14" spans="1:22" x14ac:dyDescent="0.2">
      <c r="A14" s="22"/>
      <c r="B14" s="22"/>
      <c r="C14" s="23"/>
      <c r="E14" s="20"/>
      <c r="F14" s="22"/>
      <c r="G14" s="22"/>
      <c r="H14" s="30"/>
      <c r="I14" s="30"/>
      <c r="J14" s="22"/>
      <c r="K14" s="22"/>
      <c r="M14" s="20"/>
      <c r="N14" s="22"/>
      <c r="O14" s="22"/>
      <c r="P14" s="22"/>
      <c r="R14" s="22"/>
      <c r="S14" s="22"/>
      <c r="T14" s="22"/>
      <c r="U14" s="22"/>
      <c r="V14" s="22"/>
    </row>
    <row r="15" spans="1:22" x14ac:dyDescent="0.2">
      <c r="A15" s="22"/>
      <c r="B15" s="22"/>
      <c r="C15" s="23"/>
      <c r="E15" s="20"/>
      <c r="F15" s="22"/>
      <c r="G15" s="22"/>
      <c r="H15" s="30"/>
      <c r="I15" s="30"/>
      <c r="J15" s="22"/>
      <c r="K15" s="22"/>
      <c r="M15" s="20"/>
      <c r="N15" s="22"/>
      <c r="O15" s="22"/>
      <c r="P15" s="22"/>
      <c r="R15" s="22"/>
      <c r="S15" s="22"/>
      <c r="T15" s="22"/>
      <c r="U15" s="22"/>
      <c r="V15" s="22"/>
    </row>
    <row r="16" spans="1:22" x14ac:dyDescent="0.2">
      <c r="A16" s="22"/>
      <c r="B16" s="22"/>
      <c r="C16" s="23"/>
      <c r="E16" s="20"/>
      <c r="F16" s="22"/>
      <c r="G16" s="22"/>
      <c r="H16" s="30"/>
      <c r="I16" s="30"/>
      <c r="J16" s="22"/>
      <c r="K16" s="22"/>
      <c r="M16" s="20"/>
      <c r="N16" s="22"/>
      <c r="O16" s="22"/>
      <c r="P16" s="22"/>
      <c r="R16" s="22"/>
      <c r="S16" s="22"/>
      <c r="T16" s="22"/>
      <c r="U16" s="22"/>
      <c r="V16" s="22"/>
    </row>
    <row r="17" spans="1:22" x14ac:dyDescent="0.2">
      <c r="A17" s="22"/>
      <c r="B17" s="22"/>
      <c r="C17" s="23"/>
      <c r="E17" s="20"/>
      <c r="F17" s="22"/>
      <c r="G17" s="22"/>
      <c r="H17" s="30"/>
      <c r="I17" s="30"/>
      <c r="J17" s="22"/>
      <c r="K17" s="22"/>
      <c r="M17" s="20"/>
      <c r="N17" s="22"/>
      <c r="O17" s="22"/>
      <c r="P17" s="22"/>
      <c r="R17" s="22"/>
      <c r="S17" s="22"/>
      <c r="T17" s="22"/>
      <c r="U17" s="22"/>
      <c r="V17" s="22"/>
    </row>
    <row r="18" spans="1:22" x14ac:dyDescent="0.2">
      <c r="A18" s="22"/>
      <c r="B18" s="22"/>
      <c r="C18" s="23"/>
      <c r="E18" s="20"/>
      <c r="F18" s="22"/>
      <c r="G18" s="22"/>
      <c r="H18" s="30"/>
      <c r="I18" s="30"/>
      <c r="J18" s="22"/>
      <c r="K18" s="22"/>
      <c r="M18" s="20"/>
      <c r="N18" s="22"/>
      <c r="O18" s="22"/>
      <c r="P18" s="22"/>
      <c r="R18" s="22"/>
      <c r="S18" s="22"/>
      <c r="T18" s="22"/>
      <c r="U18" s="22"/>
      <c r="V18" s="22"/>
    </row>
    <row r="19" spans="1:22" x14ac:dyDescent="0.2">
      <c r="A19" s="22"/>
      <c r="B19" s="22"/>
      <c r="C19" s="23"/>
      <c r="E19" s="20"/>
      <c r="F19" s="22"/>
      <c r="G19" s="22"/>
      <c r="H19" s="30"/>
      <c r="I19" s="30"/>
      <c r="J19" s="22"/>
      <c r="K19" s="22"/>
      <c r="M19" s="20"/>
      <c r="N19" s="22"/>
      <c r="O19" s="22"/>
      <c r="P19" s="22"/>
      <c r="R19" s="22"/>
      <c r="S19" s="22"/>
      <c r="T19" s="22"/>
      <c r="U19" s="22"/>
      <c r="V19" s="22"/>
    </row>
    <row r="20" spans="1:22" x14ac:dyDescent="0.2">
      <c r="E20" s="20"/>
      <c r="F20" s="22"/>
      <c r="H20" s="30"/>
      <c r="I20" s="30"/>
      <c r="J20" s="22"/>
    </row>
    <row r="21" spans="1:22" s="41" customFormat="1" x14ac:dyDescent="0.2">
      <c r="E21" s="44"/>
      <c r="L21" s="4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 x14ac:dyDescent="0.2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 x14ac:dyDescent="0.2">
      <c r="A1" s="21" t="s">
        <v>0</v>
      </c>
      <c r="B1" s="21" t="s">
        <v>1</v>
      </c>
      <c r="C1" s="21" t="s">
        <v>834</v>
      </c>
      <c r="D1" s="21" t="s">
        <v>5</v>
      </c>
      <c r="E1" s="21" t="s">
        <v>835</v>
      </c>
      <c r="F1" s="21" t="s">
        <v>80</v>
      </c>
      <c r="G1" s="21" t="s">
        <v>597</v>
      </c>
      <c r="H1" s="21" t="s">
        <v>836</v>
      </c>
      <c r="I1" s="21" t="s">
        <v>837</v>
      </c>
      <c r="J1" s="21" t="s">
        <v>838</v>
      </c>
      <c r="K1" s="21" t="s">
        <v>839</v>
      </c>
      <c r="L1" s="21" t="s">
        <v>840</v>
      </c>
      <c r="M1" s="21" t="s">
        <v>603</v>
      </c>
      <c r="N1" s="21" t="s">
        <v>605</v>
      </c>
      <c r="O1" s="21" t="s">
        <v>604</v>
      </c>
      <c r="P1" s="21" t="s">
        <v>606</v>
      </c>
      <c r="Q1" s="21" t="s">
        <v>11</v>
      </c>
      <c r="R1" s="21" t="s">
        <v>826</v>
      </c>
      <c r="S1" s="21" t="s">
        <v>20</v>
      </c>
      <c r="T1" s="21" t="s">
        <v>21</v>
      </c>
      <c r="U1" s="21" t="s">
        <v>85</v>
      </c>
      <c r="V1" s="21" t="s">
        <v>22</v>
      </c>
      <c r="W1" s="21" t="s">
        <v>24</v>
      </c>
      <c r="X1" s="21" t="s">
        <v>25</v>
      </c>
    </row>
    <row r="2" spans="1:24" x14ac:dyDescent="0.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3"/>
      <c r="M2" s="23"/>
      <c r="N2" s="23"/>
      <c r="O2" s="23"/>
      <c r="P2" s="22"/>
      <c r="Q2" s="20"/>
      <c r="R2" s="22"/>
      <c r="S2" s="22"/>
      <c r="T2" s="23"/>
      <c r="U2" s="23"/>
      <c r="V2" s="22"/>
      <c r="W2" s="22"/>
      <c r="X2" s="22"/>
    </row>
    <row r="3" spans="1:24" x14ac:dyDescent="0.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2"/>
      <c r="N3" s="23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 x14ac:dyDescent="0.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3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 x14ac:dyDescent="0.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3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 x14ac:dyDescent="0.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3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3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 x14ac:dyDescent="0.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3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 x14ac:dyDescent="0.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3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 x14ac:dyDescent="0.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 x14ac:dyDescent="0.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 x14ac:dyDescent="0.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 x14ac:dyDescent="0.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3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3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3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 x14ac:dyDescent="0.2">
      <c r="D20" s="22"/>
      <c r="E20" s="22"/>
      <c r="F20" s="22"/>
      <c r="H20" s="22"/>
      <c r="I20" s="22"/>
      <c r="L20" s="23"/>
      <c r="M20" s="22"/>
      <c r="O20" s="22"/>
      <c r="V20" s="22"/>
    </row>
    <row r="21" spans="1:24" s="41" customFormat="1" x14ac:dyDescent="0.2">
      <c r="D21" s="22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 x14ac:dyDescent="0.2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79</v>
      </c>
      <c r="M1" s="21" t="s">
        <v>80</v>
      </c>
      <c r="N1" s="21" t="s">
        <v>11</v>
      </c>
      <c r="O1" s="21" t="s">
        <v>603</v>
      </c>
      <c r="P1" s="21" t="s">
        <v>604</v>
      </c>
      <c r="Q1" s="21" t="s">
        <v>606</v>
      </c>
      <c r="R1" s="21" t="s">
        <v>607</v>
      </c>
      <c r="S1" s="21" t="s">
        <v>841</v>
      </c>
      <c r="T1" s="21" t="s">
        <v>842</v>
      </c>
      <c r="U1" s="21" t="s">
        <v>20</v>
      </c>
      <c r="V1" s="21" t="s">
        <v>24</v>
      </c>
      <c r="W1" s="21" t="s">
        <v>25</v>
      </c>
    </row>
    <row r="2" spans="1:23" x14ac:dyDescent="0.2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3"/>
      <c r="M2" s="22"/>
      <c r="N2" s="20"/>
      <c r="O2" s="22"/>
      <c r="P2" s="22"/>
      <c r="Q2" s="22"/>
      <c r="R2" s="22"/>
      <c r="S2" s="22"/>
      <c r="T2" s="23"/>
      <c r="U2" s="22"/>
      <c r="V2" s="22"/>
      <c r="W2" s="22"/>
    </row>
    <row r="3" spans="1:23" x14ac:dyDescent="0.2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3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 x14ac:dyDescent="0.2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3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 x14ac:dyDescent="0.2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3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 x14ac:dyDescent="0.2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3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 x14ac:dyDescent="0.2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3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 x14ac:dyDescent="0.2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3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 x14ac:dyDescent="0.2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3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 x14ac:dyDescent="0.2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3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 x14ac:dyDescent="0.2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3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 x14ac:dyDescent="0.2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3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 x14ac:dyDescent="0.2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3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 x14ac:dyDescent="0.2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3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 x14ac:dyDescent="0.2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3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 x14ac:dyDescent="0.25">
      <c r="A16" s="31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3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 x14ac:dyDescent="0.2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3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 x14ac:dyDescent="0.2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3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 x14ac:dyDescent="0.2">
      <c r="A19" s="29"/>
      <c r="B19" s="22"/>
      <c r="C19" s="22"/>
      <c r="D19" s="22"/>
      <c r="E19" s="20"/>
      <c r="F19" s="22"/>
      <c r="G19" s="22"/>
      <c r="H19" s="22"/>
      <c r="J19" s="20"/>
      <c r="K19" s="20"/>
      <c r="L19" s="23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 x14ac:dyDescent="0.2">
      <c r="A20" s="9"/>
      <c r="E20" s="20"/>
      <c r="H20" s="22"/>
      <c r="I20" s="22"/>
      <c r="J20" s="20"/>
      <c r="K20" s="20"/>
      <c r="L20" s="23"/>
      <c r="M20" s="22"/>
      <c r="O20" s="22"/>
      <c r="P20" s="22"/>
    </row>
    <row r="22" spans="1:23" x14ac:dyDescent="0.2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topLeftCell="F1" workbookViewId="0">
      <selection activeCell="R2" sqref="R2"/>
    </sheetView>
  </sheetViews>
  <sheetFormatPr defaultColWidth="0" defaultRowHeight="14.25" x14ac:dyDescent="0.2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 x14ac:dyDescent="0.2">
      <c r="A1" s="21" t="s">
        <v>0</v>
      </c>
      <c r="B1" s="21" t="s">
        <v>1</v>
      </c>
      <c r="C1" s="21" t="s">
        <v>843</v>
      </c>
      <c r="D1" s="21" t="s">
        <v>844</v>
      </c>
      <c r="E1" s="21" t="s">
        <v>5</v>
      </c>
      <c r="F1" s="21" t="s">
        <v>6</v>
      </c>
      <c r="G1" s="21" t="s">
        <v>7</v>
      </c>
      <c r="H1" s="21" t="s">
        <v>80</v>
      </c>
      <c r="I1" s="173" t="s">
        <v>845</v>
      </c>
      <c r="J1" s="21" t="s">
        <v>11</v>
      </c>
      <c r="K1" s="173" t="s">
        <v>606</v>
      </c>
      <c r="L1" s="21" t="s">
        <v>832</v>
      </c>
      <c r="M1" s="158" t="s">
        <v>18</v>
      </c>
      <c r="N1" s="21" t="s">
        <v>20</v>
      </c>
      <c r="O1" s="21" t="s">
        <v>21</v>
      </c>
      <c r="P1" s="21" t="s">
        <v>22</v>
      </c>
      <c r="Q1" s="160" t="s">
        <v>24</v>
      </c>
      <c r="R1" s="160" t="s">
        <v>25</v>
      </c>
    </row>
    <row r="2" spans="1:18" x14ac:dyDescent="0.2">
      <c r="A2" s="22">
        <v>233</v>
      </c>
      <c r="B2" s="22">
        <v>233</v>
      </c>
      <c r="C2" s="39" t="s">
        <v>846</v>
      </c>
      <c r="D2" s="39" t="s">
        <v>847</v>
      </c>
      <c r="E2" s="39" t="s">
        <v>848</v>
      </c>
      <c r="F2" s="20" t="s">
        <v>30</v>
      </c>
      <c r="G2" s="20" t="s">
        <v>30</v>
      </c>
      <c r="H2" s="22" t="s">
        <v>96</v>
      </c>
      <c r="I2" s="157"/>
      <c r="J2" s="20" t="s">
        <v>34</v>
      </c>
      <c r="K2" s="174" t="s">
        <v>620</v>
      </c>
      <c r="L2" s="152">
        <v>-150.62799999999999</v>
      </c>
      <c r="M2" s="166">
        <v>1</v>
      </c>
      <c r="N2" s="155">
        <f>-150.628+17.7</f>
        <v>-132.928</v>
      </c>
      <c r="O2" s="22"/>
      <c r="P2" s="20" t="s">
        <v>36</v>
      </c>
      <c r="Q2" s="167">
        <v>1</v>
      </c>
      <c r="R2" s="167">
        <f>N2/'סכום נכסים'!B30</f>
        <v>-1.3851107557118542E-4</v>
      </c>
    </row>
    <row r="3" spans="1:18" x14ac:dyDescent="0.2">
      <c r="A3" s="22"/>
      <c r="B3" s="22"/>
      <c r="C3" s="29"/>
      <c r="D3" s="22"/>
      <c r="E3" s="39"/>
      <c r="F3" s="20"/>
      <c r="G3" s="20"/>
      <c r="H3" s="22"/>
      <c r="I3" s="22"/>
      <c r="J3" s="20"/>
      <c r="K3" s="22"/>
      <c r="M3" s="22"/>
      <c r="N3" s="22"/>
      <c r="O3" s="22"/>
      <c r="P3" s="20"/>
      <c r="Q3" s="22"/>
      <c r="R3" s="22"/>
    </row>
    <row r="4" spans="1:18" x14ac:dyDescent="0.2">
      <c r="A4" s="22"/>
      <c r="B4" s="22"/>
      <c r="C4" s="29"/>
      <c r="D4" s="22"/>
      <c r="E4" s="39"/>
      <c r="F4" s="20"/>
      <c r="G4" s="20"/>
      <c r="H4" s="22"/>
      <c r="I4" s="22"/>
      <c r="J4" s="20"/>
      <c r="K4" s="22"/>
      <c r="M4" s="22"/>
      <c r="N4" s="22"/>
      <c r="O4" s="22"/>
      <c r="P4" s="20"/>
      <c r="Q4" s="22"/>
      <c r="R4" s="22"/>
    </row>
    <row r="5" spans="1:18" x14ac:dyDescent="0.2">
      <c r="A5" s="22"/>
      <c r="B5" s="22"/>
      <c r="C5" s="29"/>
      <c r="D5" s="22"/>
      <c r="E5" s="39"/>
      <c r="F5" s="20"/>
      <c r="G5" s="20"/>
      <c r="H5" s="22"/>
      <c r="I5" s="22"/>
      <c r="J5" s="20"/>
      <c r="K5" s="22"/>
      <c r="M5" s="22"/>
      <c r="N5" s="22"/>
      <c r="O5" s="22"/>
      <c r="P5" s="20"/>
      <c r="Q5" s="22"/>
      <c r="R5" s="22"/>
    </row>
    <row r="6" spans="1:18" x14ac:dyDescent="0.2">
      <c r="A6" s="22"/>
      <c r="B6" s="22"/>
      <c r="C6" s="29"/>
      <c r="D6" s="22"/>
      <c r="E6" s="39"/>
      <c r="F6" s="20"/>
      <c r="G6" s="20"/>
      <c r="H6" s="22"/>
      <c r="I6" s="22"/>
      <c r="J6" s="20"/>
      <c r="K6" s="22"/>
      <c r="M6" s="22"/>
      <c r="N6" s="22"/>
      <c r="O6" s="22"/>
      <c r="P6" s="20"/>
      <c r="Q6" s="22"/>
      <c r="R6" s="22"/>
    </row>
    <row r="7" spans="1:18" x14ac:dyDescent="0.2">
      <c r="A7" s="22"/>
      <c r="B7" s="22"/>
      <c r="C7" s="29"/>
      <c r="D7" s="22"/>
      <c r="E7" s="39"/>
      <c r="F7" s="20"/>
      <c r="G7" s="20"/>
      <c r="H7" s="22"/>
      <c r="I7" s="22"/>
      <c r="J7" s="20"/>
      <c r="K7" s="22"/>
      <c r="M7" s="22"/>
      <c r="N7" s="22"/>
      <c r="O7" s="22"/>
      <c r="P7" s="20"/>
      <c r="Q7" s="22"/>
      <c r="R7" s="22"/>
    </row>
    <row r="8" spans="1:18" x14ac:dyDescent="0.2">
      <c r="A8" s="22"/>
      <c r="B8" s="22"/>
      <c r="C8" s="29"/>
      <c r="D8" s="22"/>
      <c r="E8" s="39"/>
      <c r="F8" s="20"/>
      <c r="G8" s="20"/>
      <c r="H8" s="22"/>
      <c r="I8" s="22"/>
      <c r="J8" s="20"/>
      <c r="K8" s="22"/>
      <c r="M8" s="22"/>
      <c r="N8" s="22"/>
      <c r="O8" s="22"/>
      <c r="P8" s="20"/>
      <c r="Q8" s="22"/>
      <c r="R8" s="22"/>
    </row>
    <row r="9" spans="1:18" x14ac:dyDescent="0.2">
      <c r="A9" s="22"/>
      <c r="B9" s="22"/>
      <c r="C9" s="29"/>
      <c r="D9" s="22"/>
      <c r="E9" s="39"/>
      <c r="F9" s="20"/>
      <c r="G9" s="20"/>
      <c r="H9" s="22"/>
      <c r="I9" s="22"/>
      <c r="J9" s="20"/>
      <c r="K9" s="22"/>
      <c r="M9" s="22"/>
      <c r="N9" s="22"/>
      <c r="O9" s="22"/>
      <c r="P9" s="20"/>
      <c r="Q9" s="22"/>
      <c r="R9" s="22"/>
    </row>
    <row r="10" spans="1:18" x14ac:dyDescent="0.2">
      <c r="A10" s="22"/>
      <c r="B10" s="22"/>
      <c r="C10" s="29"/>
      <c r="D10" s="22"/>
      <c r="E10" s="39"/>
      <c r="F10" s="20"/>
      <c r="G10" s="20"/>
      <c r="H10" s="22"/>
      <c r="I10" s="22"/>
      <c r="J10" s="20"/>
      <c r="K10" s="22"/>
      <c r="M10" s="22"/>
      <c r="N10" s="22"/>
      <c r="O10" s="22"/>
      <c r="P10" s="20"/>
      <c r="Q10" s="22"/>
      <c r="R10" s="22"/>
    </row>
    <row r="11" spans="1:18" x14ac:dyDescent="0.2">
      <c r="A11" s="22"/>
      <c r="B11" s="22"/>
      <c r="C11" s="29"/>
      <c r="D11" s="22"/>
      <c r="E11" s="39"/>
      <c r="F11" s="20"/>
      <c r="G11" s="20"/>
      <c r="H11" s="22"/>
      <c r="I11" s="22"/>
      <c r="J11" s="20"/>
      <c r="K11" s="22"/>
      <c r="M11" s="22"/>
      <c r="N11" s="22"/>
      <c r="O11" s="22"/>
      <c r="P11" s="20"/>
      <c r="Q11" s="22"/>
      <c r="R11" s="22"/>
    </row>
    <row r="12" spans="1:18" x14ac:dyDescent="0.2">
      <c r="A12" s="22"/>
      <c r="B12" s="22"/>
      <c r="C12" s="29"/>
      <c r="D12" s="22"/>
      <c r="E12" s="39"/>
      <c r="F12" s="20"/>
      <c r="G12" s="20"/>
      <c r="H12" s="22"/>
      <c r="I12" s="22"/>
      <c r="J12" s="20"/>
      <c r="K12" s="22"/>
      <c r="M12" s="22"/>
      <c r="N12" s="22"/>
      <c r="O12" s="22"/>
      <c r="P12" s="20"/>
      <c r="Q12" s="22"/>
      <c r="R12" s="22"/>
    </row>
    <row r="13" spans="1:18" x14ac:dyDescent="0.2">
      <c r="A13" s="22"/>
      <c r="B13" s="22"/>
      <c r="C13" s="29"/>
      <c r="D13" s="22"/>
      <c r="E13" s="39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</row>
    <row r="14" spans="1:18" x14ac:dyDescent="0.2">
      <c r="A14" s="22"/>
      <c r="B14" s="22"/>
      <c r="C14" s="29"/>
      <c r="D14" s="22"/>
      <c r="E14" s="39"/>
      <c r="F14" s="20"/>
      <c r="G14" s="20"/>
      <c r="H14" s="22"/>
      <c r="I14" s="22"/>
      <c r="J14" s="20"/>
      <c r="K14" s="22"/>
      <c r="M14" s="22"/>
      <c r="N14" s="22"/>
      <c r="O14" s="22"/>
      <c r="P14" s="20"/>
      <c r="Q14" s="22"/>
      <c r="R14" s="22"/>
    </row>
    <row r="15" spans="1:18" x14ac:dyDescent="0.2">
      <c r="A15" s="22"/>
      <c r="B15" s="22"/>
      <c r="C15" s="29"/>
      <c r="D15" s="22"/>
      <c r="E15" s="39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</row>
    <row r="16" spans="1:18" x14ac:dyDescent="0.2">
      <c r="A16" s="22"/>
      <c r="B16" s="22"/>
      <c r="C16" s="29"/>
      <c r="D16" s="22"/>
      <c r="E16" s="39"/>
      <c r="F16" s="20"/>
      <c r="G16" s="20"/>
      <c r="H16" s="22"/>
      <c r="I16" s="22"/>
      <c r="J16" s="20"/>
      <c r="K16" s="22"/>
      <c r="M16" s="22"/>
      <c r="N16" s="22"/>
      <c r="O16" s="22"/>
      <c r="P16" s="20"/>
      <c r="Q16" s="22"/>
      <c r="R16" s="22"/>
    </row>
    <row r="17" spans="1:18" x14ac:dyDescent="0.2">
      <c r="A17" s="22"/>
      <c r="B17" s="22"/>
      <c r="C17" s="29"/>
      <c r="D17" s="22"/>
      <c r="E17" s="39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</row>
    <row r="18" spans="1:18" x14ac:dyDescent="0.2">
      <c r="A18" s="22"/>
      <c r="B18" s="22"/>
      <c r="C18" s="29"/>
      <c r="D18" s="22"/>
      <c r="E18" s="39"/>
      <c r="F18" s="20"/>
      <c r="G18" s="20"/>
      <c r="H18" s="22"/>
      <c r="I18" s="22"/>
      <c r="J18" s="20"/>
      <c r="K18" s="22"/>
      <c r="M18" s="22"/>
      <c r="N18" s="22"/>
      <c r="O18" s="22"/>
      <c r="P18" s="20"/>
      <c r="Q18" s="22"/>
      <c r="R18" s="22"/>
    </row>
    <row r="19" spans="1:18" x14ac:dyDescent="0.2">
      <c r="A19" s="22"/>
      <c r="B19" s="22"/>
      <c r="C19" s="29"/>
      <c r="D19" s="22"/>
      <c r="E19" s="39"/>
      <c r="F19" s="20"/>
      <c r="G19" s="20"/>
      <c r="H19" s="22"/>
      <c r="I19" s="22"/>
      <c r="J19" s="20"/>
      <c r="K19" s="22"/>
      <c r="M19" s="22"/>
      <c r="N19" s="22"/>
      <c r="O19" s="22"/>
      <c r="P19" s="20"/>
      <c r="Q19" s="22"/>
      <c r="R19" s="22"/>
    </row>
    <row r="20" spans="1:18" x14ac:dyDescent="0.2">
      <c r="E20" s="39"/>
      <c r="F20" s="20"/>
      <c r="G20" s="20"/>
      <c r="H20" s="22"/>
      <c r="P20" s="20"/>
    </row>
    <row r="21" spans="1:18" s="41" customFormat="1" x14ac:dyDescent="0.2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 x14ac:dyDescent="0.2">
      <c r="A1" s="21" t="s">
        <v>0</v>
      </c>
      <c r="B1" s="21" t="s">
        <v>1</v>
      </c>
      <c r="C1" s="21" t="s">
        <v>804</v>
      </c>
      <c r="D1" s="21" t="s">
        <v>805</v>
      </c>
      <c r="E1" s="21" t="s">
        <v>806</v>
      </c>
      <c r="F1" s="21" t="s">
        <v>807</v>
      </c>
      <c r="G1" s="21" t="s">
        <v>849</v>
      </c>
      <c r="H1" s="21" t="s">
        <v>6</v>
      </c>
      <c r="I1" s="21" t="s">
        <v>7</v>
      </c>
      <c r="J1" s="21" t="s">
        <v>80</v>
      </c>
      <c r="K1" s="21" t="s">
        <v>9</v>
      </c>
      <c r="L1" s="21" t="s">
        <v>10</v>
      </c>
      <c r="M1" s="21" t="s">
        <v>812</v>
      </c>
      <c r="N1" s="21" t="s">
        <v>11</v>
      </c>
      <c r="O1" s="21" t="s">
        <v>18</v>
      </c>
      <c r="P1" s="21" t="s">
        <v>14</v>
      </c>
      <c r="Q1" s="21" t="s">
        <v>813</v>
      </c>
      <c r="R1" s="21" t="s">
        <v>850</v>
      </c>
      <c r="S1" s="21" t="s">
        <v>851</v>
      </c>
      <c r="T1" s="21" t="s">
        <v>852</v>
      </c>
    </row>
    <row r="2" spans="1:20" ht="14.1" customHeight="1" x14ac:dyDescent="0.2">
      <c r="A2" s="6"/>
      <c r="B2" s="6"/>
      <c r="C2" s="43"/>
      <c r="D2" s="23"/>
      <c r="E2" s="43"/>
      <c r="F2" s="43"/>
      <c r="G2" s="30"/>
      <c r="H2" s="20"/>
      <c r="I2" s="30"/>
      <c r="J2" s="22"/>
      <c r="K2" s="22"/>
      <c r="L2" s="22"/>
      <c r="M2" s="22"/>
      <c r="N2" s="6"/>
      <c r="O2" s="6"/>
      <c r="Q2" s="23"/>
      <c r="R2" s="30"/>
      <c r="S2" s="30"/>
      <c r="T2" s="30"/>
    </row>
    <row r="3" spans="1:20" ht="14.1" customHeight="1" x14ac:dyDescent="0.2">
      <c r="A3" s="6"/>
      <c r="B3" s="6"/>
      <c r="C3" s="6"/>
      <c r="D3" s="23"/>
      <c r="E3" s="6"/>
      <c r="F3" s="6"/>
      <c r="H3" s="20"/>
      <c r="I3" s="20"/>
      <c r="J3" s="22"/>
      <c r="K3" s="22"/>
      <c r="L3" s="22"/>
      <c r="M3" s="22"/>
      <c r="N3" s="6"/>
      <c r="O3" s="6"/>
      <c r="P3" s="6"/>
      <c r="Q3" s="22"/>
      <c r="R3" s="6"/>
      <c r="S3" s="6"/>
      <c r="T3" s="6"/>
    </row>
    <row r="4" spans="1:20" ht="14.1" customHeight="1" x14ac:dyDescent="0.2">
      <c r="A4" s="6"/>
      <c r="B4" s="6"/>
      <c r="C4" s="6"/>
      <c r="D4" s="23"/>
      <c r="E4" s="6"/>
      <c r="F4" s="6"/>
      <c r="H4" s="20"/>
      <c r="I4" s="20"/>
      <c r="J4" s="22"/>
      <c r="K4" s="22"/>
      <c r="L4" s="22"/>
      <c r="M4" s="22"/>
      <c r="N4" s="6"/>
      <c r="O4" s="6"/>
      <c r="P4" s="6"/>
      <c r="Q4" s="22"/>
      <c r="R4" s="6"/>
      <c r="S4" s="6"/>
      <c r="T4" s="6"/>
    </row>
    <row r="5" spans="1:20" ht="14.1" customHeight="1" x14ac:dyDescent="0.2">
      <c r="A5" s="6"/>
      <c r="B5" s="6"/>
      <c r="C5" s="6"/>
      <c r="D5" s="23"/>
      <c r="E5" s="6"/>
      <c r="F5" s="6"/>
      <c r="H5" s="20"/>
      <c r="I5" s="20"/>
      <c r="J5" s="22"/>
      <c r="K5" s="22"/>
      <c r="L5" s="22"/>
      <c r="M5" s="22"/>
      <c r="N5" s="6"/>
      <c r="O5" s="42"/>
      <c r="P5" s="6"/>
      <c r="Q5" s="22"/>
      <c r="R5" s="6"/>
      <c r="S5" s="6"/>
      <c r="T5" s="6"/>
    </row>
    <row r="6" spans="1:20" ht="14.1" customHeight="1" x14ac:dyDescent="0.2">
      <c r="A6" s="6"/>
      <c r="B6" s="6"/>
      <c r="C6" s="6"/>
      <c r="D6" s="23"/>
      <c r="E6" s="6"/>
      <c r="F6" s="6"/>
      <c r="H6" s="20"/>
      <c r="I6" s="20"/>
      <c r="J6" s="22"/>
      <c r="K6" s="22"/>
      <c r="L6" s="22"/>
      <c r="M6" s="22"/>
      <c r="N6" s="6"/>
      <c r="O6" s="42"/>
      <c r="P6" s="6"/>
      <c r="Q6" s="22"/>
      <c r="R6" s="6"/>
      <c r="S6" s="6"/>
      <c r="T6" s="6"/>
    </row>
    <row r="7" spans="1:20" ht="14.1" customHeight="1" x14ac:dyDescent="0.2">
      <c r="A7" s="6"/>
      <c r="B7" s="6"/>
      <c r="C7" s="6"/>
      <c r="D7" s="23"/>
      <c r="E7" s="6"/>
      <c r="F7" s="6"/>
      <c r="H7" s="20"/>
      <c r="I7" s="20"/>
      <c r="J7" s="22"/>
      <c r="K7" s="22"/>
      <c r="L7" s="22"/>
      <c r="M7" s="22"/>
      <c r="N7" s="6"/>
      <c r="O7" s="6"/>
      <c r="P7" s="6"/>
      <c r="Q7" s="22"/>
      <c r="R7" s="6"/>
      <c r="S7" s="6"/>
      <c r="T7" s="6"/>
    </row>
    <row r="8" spans="1:20" ht="14.1" customHeight="1" x14ac:dyDescent="0.2">
      <c r="A8" s="6"/>
      <c r="B8" s="6"/>
      <c r="C8" s="6"/>
      <c r="D8" s="23"/>
      <c r="E8" s="6"/>
      <c r="F8" s="6"/>
      <c r="H8" s="20"/>
      <c r="I8" s="20"/>
      <c r="J8" s="22"/>
      <c r="K8" s="22"/>
      <c r="L8" s="22"/>
      <c r="M8" s="22"/>
      <c r="N8" s="42"/>
      <c r="O8" s="6"/>
      <c r="P8" s="6"/>
      <c r="Q8" s="22"/>
      <c r="R8" s="6"/>
      <c r="S8" s="6"/>
      <c r="T8" s="6"/>
    </row>
    <row r="9" spans="1:20" ht="14.1" customHeight="1" x14ac:dyDescent="0.2">
      <c r="A9" s="6"/>
      <c r="B9" s="6"/>
      <c r="C9" s="6"/>
      <c r="D9" s="23"/>
      <c r="E9" s="6"/>
      <c r="F9" s="6"/>
      <c r="H9" s="20"/>
      <c r="I9" s="20"/>
      <c r="J9" s="22"/>
      <c r="K9" s="22"/>
      <c r="L9" s="22"/>
      <c r="M9" s="22"/>
      <c r="N9" s="6"/>
      <c r="O9" s="6"/>
      <c r="P9" s="6"/>
      <c r="Q9" s="22"/>
      <c r="R9" s="6"/>
      <c r="S9" s="6"/>
      <c r="T9" s="6"/>
    </row>
    <row r="10" spans="1:20" ht="13.7" customHeight="1" x14ac:dyDescent="0.2">
      <c r="A10" s="6"/>
      <c r="B10" s="6"/>
      <c r="C10" s="6"/>
      <c r="D10" s="23"/>
      <c r="E10" s="6"/>
      <c r="F10" s="6"/>
      <c r="H10" s="20"/>
      <c r="I10" s="20"/>
      <c r="J10" s="22"/>
      <c r="K10" s="22"/>
      <c r="L10" s="22"/>
      <c r="M10" s="22"/>
      <c r="N10" s="6"/>
      <c r="O10" s="6"/>
      <c r="P10" s="6"/>
      <c r="Q10" s="22"/>
      <c r="R10" s="6"/>
      <c r="S10" s="6"/>
      <c r="T10" s="6"/>
    </row>
    <row r="11" spans="1:20" ht="13.7" customHeight="1" x14ac:dyDescent="0.2">
      <c r="A11" s="6"/>
      <c r="B11" s="6"/>
      <c r="C11" s="6"/>
      <c r="D11" s="23"/>
      <c r="E11" s="6"/>
      <c r="F11" s="6"/>
      <c r="H11" s="20"/>
      <c r="I11" s="20"/>
      <c r="J11" s="22"/>
      <c r="K11" s="22"/>
      <c r="L11" s="22"/>
      <c r="M11" s="22"/>
      <c r="N11" s="6"/>
      <c r="O11" s="6"/>
      <c r="P11" s="6"/>
      <c r="Q11" s="22"/>
      <c r="R11" s="6"/>
      <c r="S11" s="6"/>
      <c r="T11" s="6"/>
    </row>
    <row r="12" spans="1:20" ht="14.1" customHeight="1" x14ac:dyDescent="0.2">
      <c r="A12" s="6"/>
      <c r="B12" s="6"/>
      <c r="C12" s="6"/>
      <c r="D12" s="23"/>
      <c r="E12" s="6"/>
      <c r="F12" s="6"/>
      <c r="H12" s="20"/>
      <c r="I12" s="20"/>
      <c r="J12" s="22"/>
      <c r="K12" s="22"/>
      <c r="L12" s="22"/>
      <c r="M12" s="22"/>
      <c r="N12" s="6"/>
      <c r="O12" s="6"/>
      <c r="P12" s="6"/>
      <c r="Q12" s="22"/>
      <c r="R12" s="6"/>
      <c r="S12" s="6"/>
      <c r="T12" s="6"/>
    </row>
    <row r="13" spans="1:20" ht="14.1" customHeight="1" x14ac:dyDescent="0.2">
      <c r="A13" s="6"/>
      <c r="B13" s="6"/>
      <c r="C13" s="6"/>
      <c r="D13" s="23"/>
      <c r="E13" s="6"/>
      <c r="F13" s="6"/>
      <c r="H13" s="20"/>
      <c r="I13" s="20"/>
      <c r="J13" s="22"/>
      <c r="K13" s="22"/>
      <c r="L13" s="22"/>
      <c r="M13" s="22"/>
      <c r="N13" s="6"/>
      <c r="O13" s="6"/>
      <c r="P13" s="6"/>
      <c r="Q13" s="22"/>
      <c r="R13" s="6"/>
      <c r="S13" s="6"/>
      <c r="T13" s="6"/>
    </row>
    <row r="14" spans="1:20" ht="14.1" customHeight="1" x14ac:dyDescent="0.2">
      <c r="A14" s="6"/>
      <c r="B14" s="6"/>
      <c r="C14" s="6"/>
      <c r="D14" s="23"/>
      <c r="E14" s="6"/>
      <c r="F14" s="6"/>
      <c r="H14" s="20"/>
      <c r="I14" s="20"/>
      <c r="J14" s="22"/>
      <c r="K14" s="22"/>
      <c r="L14" s="22"/>
      <c r="M14" s="22"/>
      <c r="N14" s="6"/>
      <c r="O14" s="6"/>
      <c r="P14" s="6"/>
      <c r="Q14" s="22"/>
      <c r="R14" s="6"/>
      <c r="S14" s="6"/>
      <c r="T14" s="6"/>
    </row>
    <row r="15" spans="1:20" ht="14.1" customHeight="1" x14ac:dyDescent="0.2">
      <c r="A15" s="6"/>
      <c r="B15" s="6"/>
      <c r="C15" s="6"/>
      <c r="D15" s="23"/>
      <c r="E15" s="6"/>
      <c r="F15" s="6"/>
      <c r="H15" s="20"/>
      <c r="I15" s="20"/>
      <c r="J15" s="22"/>
      <c r="K15" s="22"/>
      <c r="L15" s="22"/>
      <c r="M15" s="22"/>
      <c r="N15" s="6"/>
      <c r="O15" s="6"/>
      <c r="P15" s="6"/>
      <c r="Q15" s="22"/>
      <c r="R15" s="6"/>
      <c r="S15" s="6"/>
      <c r="T15" s="6"/>
    </row>
    <row r="16" spans="1:20" ht="14.1" customHeight="1" x14ac:dyDescent="0.2">
      <c r="A16" s="6"/>
      <c r="B16" s="6"/>
      <c r="C16" s="6"/>
      <c r="D16" s="23"/>
      <c r="E16" s="6"/>
      <c r="F16" s="6"/>
      <c r="H16" s="20"/>
      <c r="I16" s="20"/>
      <c r="J16" s="22"/>
      <c r="K16" s="22"/>
      <c r="L16" s="22"/>
      <c r="M16" s="22"/>
      <c r="N16" s="6"/>
      <c r="O16" s="6"/>
      <c r="P16" s="6"/>
      <c r="Q16" s="22"/>
      <c r="R16" s="6"/>
      <c r="S16" s="6"/>
      <c r="T16" s="6"/>
    </row>
    <row r="17" spans="1:20" ht="14.1" customHeight="1" x14ac:dyDescent="0.2">
      <c r="A17" s="6"/>
      <c r="B17" s="6"/>
      <c r="C17" s="6"/>
      <c r="D17" s="23"/>
      <c r="E17" s="6"/>
      <c r="F17" s="6"/>
      <c r="H17" s="20"/>
      <c r="I17" s="20"/>
      <c r="J17" s="22"/>
      <c r="K17" s="22"/>
      <c r="L17" s="22"/>
      <c r="M17" s="22"/>
      <c r="N17" s="6"/>
      <c r="O17" s="6"/>
      <c r="P17" s="6"/>
      <c r="Q17" s="22"/>
      <c r="R17" s="6"/>
      <c r="S17" s="6"/>
      <c r="T17" s="6"/>
    </row>
    <row r="18" spans="1:20" ht="14.1" customHeight="1" x14ac:dyDescent="0.2">
      <c r="D18" s="23"/>
      <c r="H18" s="20"/>
      <c r="I18" s="20"/>
      <c r="J18" s="22"/>
      <c r="K18" s="22"/>
      <c r="L18" s="22"/>
      <c r="M18" s="22"/>
      <c r="Q18" s="22"/>
    </row>
    <row r="19" spans="1:20" ht="14.1" customHeight="1" x14ac:dyDescent="0.2">
      <c r="D19" s="23"/>
      <c r="H19" s="20"/>
      <c r="I19" s="20"/>
      <c r="J19" s="22"/>
      <c r="K19" s="22"/>
      <c r="L19" s="22"/>
      <c r="M19" s="22"/>
      <c r="Q19" s="22"/>
    </row>
    <row r="20" spans="1:20" ht="14.1" customHeight="1" x14ac:dyDescent="0.2">
      <c r="D20" s="23"/>
      <c r="H20" s="20"/>
      <c r="I20" s="20"/>
      <c r="J20" s="22"/>
      <c r="L20" s="22"/>
      <c r="M20" s="22"/>
      <c r="Q20" s="22"/>
    </row>
    <row r="21" spans="1:20" s="41" customFormat="1" ht="14.1" customHeight="1" x14ac:dyDescent="0.2">
      <c r="D21" s="44"/>
    </row>
    <row r="22" spans="1:20" ht="14.1" customHeight="1" x14ac:dyDescent="0.2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8"/>
  <sheetViews>
    <sheetView rightToLeft="1" workbookViewId="0">
      <selection activeCell="L24" sqref="L24"/>
    </sheetView>
  </sheetViews>
  <sheetFormatPr defaultColWidth="0" defaultRowHeight="14.1" customHeight="1" x14ac:dyDescent="0.2"/>
  <cols>
    <col min="1" max="2" width="11.625" style="3" customWidth="1"/>
    <col min="3" max="3" width="14.75" style="3" bestFit="1" customWidth="1"/>
    <col min="4" max="6" width="11.625" style="3" customWidth="1"/>
    <col min="7" max="7" width="25.875" style="3" bestFit="1" customWidth="1"/>
    <col min="8" max="8" width="11.625" style="3" customWidth="1"/>
    <col min="9" max="9" width="12.625" style="3" customWidth="1"/>
    <col min="10" max="11" width="11.625" style="3" customWidth="1"/>
    <col min="12" max="12" width="12.375" style="3" customWidth="1"/>
    <col min="13" max="13" width="11.625" style="3" customWidth="1"/>
    <col min="14" max="14" width="13.5" style="3" bestFit="1" customWidth="1"/>
    <col min="15" max="15" width="12.375" style="3" bestFit="1" customWidth="1"/>
    <col min="16" max="17" width="11.625" style="3" customWidth="1"/>
    <col min="18" max="18" width="11.625" style="3" hidden="1" customWidth="1"/>
    <col min="19" max="16384" width="11.625" style="3" hidden="1"/>
  </cols>
  <sheetData>
    <row r="1" spans="1:17" ht="63.75" x14ac:dyDescent="0.2">
      <c r="A1" s="21" t="s">
        <v>0</v>
      </c>
      <c r="B1" s="21" t="s">
        <v>1</v>
      </c>
      <c r="C1" s="21" t="s">
        <v>5</v>
      </c>
      <c r="D1" s="21" t="s">
        <v>683</v>
      </c>
      <c r="E1" s="21" t="s">
        <v>684</v>
      </c>
      <c r="F1" s="21" t="s">
        <v>685</v>
      </c>
      <c r="G1" s="21" t="s">
        <v>686</v>
      </c>
      <c r="H1" s="21" t="s">
        <v>687</v>
      </c>
      <c r="I1" s="21" t="s">
        <v>688</v>
      </c>
      <c r="J1" s="21" t="s">
        <v>11</v>
      </c>
      <c r="K1" s="21" t="s">
        <v>853</v>
      </c>
      <c r="L1" s="21" t="s">
        <v>854</v>
      </c>
      <c r="M1" s="21" t="s">
        <v>855</v>
      </c>
      <c r="N1" s="21" t="s">
        <v>856</v>
      </c>
      <c r="O1" s="21" t="s">
        <v>857</v>
      </c>
      <c r="P1" s="21" t="s">
        <v>858</v>
      </c>
      <c r="Q1" s="21" t="s">
        <v>859</v>
      </c>
    </row>
    <row r="2" spans="1:17" s="186" customFormat="1" ht="14.1" customHeight="1" x14ac:dyDescent="0.2">
      <c r="A2" s="186">
        <v>233</v>
      </c>
      <c r="B2" s="186">
        <v>233</v>
      </c>
      <c r="C2" s="186" t="s">
        <v>1643</v>
      </c>
      <c r="D2" s="186" t="s">
        <v>694</v>
      </c>
      <c r="E2" s="186" t="s">
        <v>695</v>
      </c>
      <c r="F2" s="206" t="s">
        <v>340</v>
      </c>
      <c r="G2" s="195" t="s">
        <v>1817</v>
      </c>
      <c r="H2" s="186">
        <v>29994282</v>
      </c>
      <c r="I2" s="206" t="s">
        <v>33</v>
      </c>
      <c r="J2" s="186" t="s">
        <v>65</v>
      </c>
      <c r="K2" s="207">
        <v>44347</v>
      </c>
      <c r="L2" s="188">
        <v>6000000</v>
      </c>
      <c r="M2" s="188">
        <v>19140</v>
      </c>
      <c r="N2" s="188">
        <v>2241600</v>
      </c>
      <c r="O2" s="188">
        <v>7150.7039999999997</v>
      </c>
      <c r="P2" s="192">
        <v>0.37359999999999999</v>
      </c>
      <c r="Q2" s="207">
        <v>48733</v>
      </c>
    </row>
    <row r="3" spans="1:17" s="186" customFormat="1" ht="14.1" customHeight="1" x14ac:dyDescent="0.2">
      <c r="A3" s="186">
        <v>233</v>
      </c>
      <c r="B3" s="186">
        <v>233</v>
      </c>
      <c r="C3" s="186" t="s">
        <v>1643</v>
      </c>
      <c r="D3" s="186" t="s">
        <v>703</v>
      </c>
      <c r="E3" s="186">
        <v>540281839</v>
      </c>
      <c r="F3" s="206" t="s">
        <v>340</v>
      </c>
      <c r="G3" s="195" t="s">
        <v>1818</v>
      </c>
      <c r="H3" s="186">
        <v>8917762</v>
      </c>
      <c r="I3" s="206" t="s">
        <v>33</v>
      </c>
      <c r="J3" s="186" t="s">
        <v>65</v>
      </c>
      <c r="K3" s="207">
        <v>43300</v>
      </c>
      <c r="L3" s="188">
        <v>3000000</v>
      </c>
      <c r="M3" s="188">
        <v>9570</v>
      </c>
      <c r="N3" s="188">
        <v>97146</v>
      </c>
      <c r="O3" s="188">
        <v>309.89573999999999</v>
      </c>
      <c r="P3" s="192">
        <v>3.2382000000000001E-2</v>
      </c>
      <c r="Q3" s="207">
        <v>46935</v>
      </c>
    </row>
    <row r="4" spans="1:17" s="186" customFormat="1" ht="13.7" customHeight="1" x14ac:dyDescent="0.2">
      <c r="A4" s="186">
        <v>233</v>
      </c>
      <c r="B4" s="186">
        <v>233</v>
      </c>
      <c r="C4" s="186" t="s">
        <v>1643</v>
      </c>
      <c r="D4" s="186" t="s">
        <v>710</v>
      </c>
      <c r="E4" s="186">
        <v>540310885</v>
      </c>
      <c r="F4" s="206" t="s">
        <v>340</v>
      </c>
      <c r="G4" s="195" t="s">
        <v>1819</v>
      </c>
      <c r="H4" s="186">
        <v>8917764</v>
      </c>
      <c r="I4" s="206" t="s">
        <v>33</v>
      </c>
      <c r="J4" s="186" t="s">
        <v>65</v>
      </c>
      <c r="K4" s="207">
        <v>44258</v>
      </c>
      <c r="L4" s="188">
        <v>1500000</v>
      </c>
      <c r="M4" s="188">
        <v>4785</v>
      </c>
      <c r="N4" s="188">
        <v>165000</v>
      </c>
      <c r="O4" s="188">
        <v>526.35</v>
      </c>
      <c r="P4" s="192">
        <v>0.11</v>
      </c>
      <c r="Q4" s="207">
        <v>47908</v>
      </c>
    </row>
    <row r="5" spans="1:17" s="186" customFormat="1" ht="13.7" customHeight="1" x14ac:dyDescent="0.2">
      <c r="A5" s="186">
        <v>233</v>
      </c>
      <c r="B5" s="186">
        <v>233</v>
      </c>
      <c r="C5" s="186" t="s">
        <v>1643</v>
      </c>
      <c r="D5" s="186" t="s">
        <v>721</v>
      </c>
      <c r="E5" s="186">
        <v>540283272</v>
      </c>
      <c r="F5" s="206" t="s">
        <v>340</v>
      </c>
      <c r="G5" s="195" t="s">
        <v>1820</v>
      </c>
      <c r="H5" s="186">
        <v>800070395</v>
      </c>
      <c r="I5" s="206" t="s">
        <v>33</v>
      </c>
      <c r="J5" s="186" t="s">
        <v>65</v>
      </c>
      <c r="K5" s="207">
        <v>44200</v>
      </c>
      <c r="L5" s="188">
        <v>2000000</v>
      </c>
      <c r="M5" s="188">
        <v>6380</v>
      </c>
      <c r="N5" s="188">
        <v>230000</v>
      </c>
      <c r="O5" s="188">
        <v>733.7</v>
      </c>
      <c r="P5" s="192">
        <v>0.115</v>
      </c>
      <c r="Q5" s="207">
        <v>47849</v>
      </c>
    </row>
    <row r="6" spans="1:17" s="186" customFormat="1" ht="14.1" customHeight="1" x14ac:dyDescent="0.2">
      <c r="A6" s="186">
        <v>233</v>
      </c>
      <c r="B6" s="186">
        <v>233</v>
      </c>
      <c r="C6" s="186" t="s">
        <v>1643</v>
      </c>
      <c r="D6" s="186" t="s">
        <v>735</v>
      </c>
      <c r="E6" s="186">
        <v>540278827</v>
      </c>
      <c r="F6" s="206" t="s">
        <v>340</v>
      </c>
      <c r="G6" s="195" t="s">
        <v>1821</v>
      </c>
      <c r="H6" s="186">
        <v>8917763</v>
      </c>
      <c r="I6" s="206" t="s">
        <v>33</v>
      </c>
      <c r="J6" s="186" t="s">
        <v>65</v>
      </c>
      <c r="K6" s="207">
        <v>43539</v>
      </c>
      <c r="L6" s="188">
        <v>3000000</v>
      </c>
      <c r="M6" s="188">
        <v>9570</v>
      </c>
      <c r="N6" s="188">
        <v>390000</v>
      </c>
      <c r="O6" s="188">
        <v>1244.0999999999999</v>
      </c>
      <c r="P6" s="192">
        <v>0.12999999999999998</v>
      </c>
      <c r="Q6" s="207">
        <v>47178</v>
      </c>
    </row>
    <row r="7" spans="1:17" s="186" customFormat="1" ht="14.1" customHeight="1" x14ac:dyDescent="0.2">
      <c r="A7" s="186">
        <v>233</v>
      </c>
      <c r="B7" s="186">
        <v>233</v>
      </c>
      <c r="C7" s="186" t="s">
        <v>1643</v>
      </c>
      <c r="D7" s="186" t="s">
        <v>745</v>
      </c>
      <c r="E7" s="186" t="s">
        <v>1822</v>
      </c>
      <c r="F7" s="206" t="s">
        <v>33</v>
      </c>
      <c r="G7" s="195" t="s">
        <v>747</v>
      </c>
      <c r="H7" s="186">
        <v>865637</v>
      </c>
      <c r="I7" s="206" t="s">
        <v>33</v>
      </c>
      <c r="J7" s="186" t="s">
        <v>65</v>
      </c>
      <c r="K7" s="207">
        <v>44922</v>
      </c>
      <c r="L7" s="188">
        <v>4000000</v>
      </c>
      <c r="M7" s="188">
        <v>12760</v>
      </c>
      <c r="N7" s="188">
        <v>280000</v>
      </c>
      <c r="O7" s="188">
        <v>893.2</v>
      </c>
      <c r="P7" s="192">
        <v>7.0000000000000007E-2</v>
      </c>
      <c r="Q7" s="207">
        <v>47453</v>
      </c>
    </row>
    <row r="8" spans="1:17" s="186" customFormat="1" ht="14.1" customHeight="1" x14ac:dyDescent="0.2">
      <c r="A8" s="186">
        <v>233</v>
      </c>
      <c r="B8" s="186">
        <v>233</v>
      </c>
      <c r="C8" s="186" t="s">
        <v>1643</v>
      </c>
      <c r="D8" s="186" t="s">
        <v>758</v>
      </c>
      <c r="E8" s="186" t="s">
        <v>1823</v>
      </c>
      <c r="F8" s="206" t="s">
        <v>33</v>
      </c>
      <c r="G8" s="195" t="s">
        <v>758</v>
      </c>
      <c r="H8" s="186">
        <v>29994435</v>
      </c>
      <c r="I8" s="206" t="s">
        <v>33</v>
      </c>
      <c r="J8" s="186" t="s">
        <v>65</v>
      </c>
      <c r="K8" s="207">
        <v>44560</v>
      </c>
      <c r="L8" s="188">
        <v>5000000</v>
      </c>
      <c r="M8" s="188">
        <v>15950</v>
      </c>
      <c r="N8" s="188">
        <v>1283361</v>
      </c>
      <c r="O8" s="188">
        <v>4093.9215899999999</v>
      </c>
      <c r="P8" s="192">
        <v>0.25667220000000002</v>
      </c>
      <c r="Q8" s="207">
        <v>48733</v>
      </c>
    </row>
    <row r="9" spans="1:17" ht="14.1" customHeight="1" x14ac:dyDescent="0.2">
      <c r="A9" s="6"/>
      <c r="B9" s="6"/>
      <c r="C9" s="6"/>
      <c r="D9" s="6"/>
      <c r="E9" s="6"/>
      <c r="F9" s="23"/>
      <c r="G9" s="6"/>
      <c r="I9" s="23"/>
      <c r="K9" s="22"/>
      <c r="P9" s="22"/>
    </row>
    <row r="10" spans="1:17" ht="14.1" customHeight="1" x14ac:dyDescent="0.2">
      <c r="A10" s="6"/>
      <c r="B10" s="6"/>
      <c r="C10" s="6"/>
      <c r="D10" s="6"/>
      <c r="E10" s="6"/>
      <c r="F10" s="23"/>
      <c r="G10" s="6"/>
      <c r="I10" s="23"/>
      <c r="K10" s="22"/>
      <c r="L10" s="188"/>
      <c r="P10" s="22"/>
    </row>
    <row r="11" spans="1:17" ht="14.1" customHeight="1" x14ac:dyDescent="0.2">
      <c r="C11" s="6"/>
      <c r="F11" s="23"/>
      <c r="I11" s="23"/>
      <c r="K11" s="22"/>
      <c r="N11" s="209"/>
      <c r="O11" s="208"/>
    </row>
    <row r="12" spans="1:17" ht="14.1" customHeight="1" x14ac:dyDescent="0.2">
      <c r="C12" s="6"/>
      <c r="F12" s="23"/>
      <c r="I12" s="23"/>
      <c r="K12" s="22"/>
      <c r="M12" s="43"/>
      <c r="N12" s="209"/>
      <c r="O12" s="208"/>
    </row>
    <row r="13" spans="1:17" ht="14.1" customHeight="1" x14ac:dyDescent="0.2">
      <c r="C13" s="6"/>
      <c r="F13" s="23"/>
      <c r="I13" s="23"/>
      <c r="K13" s="22"/>
      <c r="L13" s="43"/>
      <c r="M13" s="43"/>
      <c r="N13" s="209"/>
      <c r="O13" s="208"/>
    </row>
    <row r="14" spans="1:17" ht="14.1" customHeight="1" x14ac:dyDescent="0.2">
      <c r="C14" s="6"/>
      <c r="F14" s="23"/>
      <c r="I14" s="23"/>
      <c r="K14" s="22"/>
      <c r="L14" s="43"/>
      <c r="M14" s="43"/>
      <c r="N14" s="209"/>
      <c r="O14" s="208"/>
    </row>
    <row r="15" spans="1:17" ht="14.1" customHeight="1" x14ac:dyDescent="0.2">
      <c r="C15" s="6"/>
      <c r="F15" s="23"/>
      <c r="I15" s="23"/>
      <c r="K15" s="22"/>
      <c r="L15" s="43"/>
      <c r="M15" s="43"/>
      <c r="N15" s="209"/>
      <c r="O15" s="208"/>
    </row>
    <row r="16" spans="1:17" ht="14.1" customHeight="1" x14ac:dyDescent="0.2">
      <c r="C16" s="6"/>
      <c r="F16" s="23"/>
      <c r="I16" s="23"/>
      <c r="K16" s="22"/>
      <c r="L16" s="43"/>
      <c r="M16" s="43"/>
      <c r="N16" s="209"/>
      <c r="O16" s="208"/>
    </row>
    <row r="17" spans="3:15" ht="14.1" customHeight="1" x14ac:dyDescent="0.2">
      <c r="C17" s="6"/>
      <c r="F17" s="23"/>
      <c r="I17" s="23"/>
      <c r="K17" s="22"/>
      <c r="L17" s="43"/>
      <c r="M17" s="43"/>
      <c r="N17" s="209"/>
      <c r="O17" s="208"/>
    </row>
    <row r="18" spans="3:15" ht="14.1" customHeight="1" x14ac:dyDescent="0.2">
      <c r="C18" s="6"/>
      <c r="F18" s="23"/>
      <c r="I18" s="23"/>
      <c r="K18" s="22"/>
      <c r="L18" s="43"/>
    </row>
    <row r="19" spans="3:15" ht="14.1" customHeight="1" x14ac:dyDescent="0.2">
      <c r="C19" s="6"/>
      <c r="F19" s="23"/>
      <c r="I19" s="23"/>
      <c r="K19" s="22"/>
      <c r="L19" s="43"/>
    </row>
    <row r="20" spans="3:15" ht="14.1" customHeight="1" x14ac:dyDescent="0.2">
      <c r="F20" s="23"/>
      <c r="I20" s="23"/>
    </row>
    <row r="21" spans="3:15" ht="14.1" customHeight="1" x14ac:dyDescent="0.2">
      <c r="L21" s="147"/>
    </row>
    <row r="24" spans="3:15" ht="14.1" customHeight="1" x14ac:dyDescent="0.2">
      <c r="K24" s="9"/>
    </row>
    <row r="25" spans="3:15" ht="14.1" customHeight="1" x14ac:dyDescent="0.2">
      <c r="K25" s="9"/>
    </row>
    <row r="26" spans="3:15" ht="14.1" customHeight="1" x14ac:dyDescent="0.2">
      <c r="K26" s="9"/>
    </row>
    <row r="28" spans="3:15" ht="14.1" customHeight="1" x14ac:dyDescent="0.2">
      <c r="K28" s="9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C9:C19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9" customWidth="1"/>
    <col min="2" max="2" width="30.375" style="18" customWidth="1"/>
    <col min="3" max="3" width="90.875" style="63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0" customFormat="1" ht="45" x14ac:dyDescent="0.2">
      <c r="A1" s="59" t="s">
        <v>860</v>
      </c>
      <c r="B1" s="59" t="s">
        <v>861</v>
      </c>
      <c r="C1" s="59" t="s">
        <v>862</v>
      </c>
      <c r="D1" s="59" t="s">
        <v>863</v>
      </c>
      <c r="E1" s="18"/>
    </row>
    <row r="2" spans="1:5" x14ac:dyDescent="0.2">
      <c r="A2" s="95"/>
      <c r="B2" s="95" t="s">
        <v>864</v>
      </c>
      <c r="C2" s="24" t="s">
        <v>30</v>
      </c>
      <c r="D2" s="24"/>
    </row>
    <row r="3" spans="1:5" x14ac:dyDescent="0.2">
      <c r="A3" s="96"/>
      <c r="B3" s="96"/>
      <c r="C3" s="24" t="s">
        <v>60</v>
      </c>
      <c r="D3" s="24"/>
    </row>
    <row r="4" spans="1:5" ht="42.75" x14ac:dyDescent="0.2">
      <c r="A4" s="88"/>
      <c r="B4" s="114" t="s">
        <v>865</v>
      </c>
      <c r="C4" s="25" t="s">
        <v>30</v>
      </c>
      <c r="D4" s="25"/>
    </row>
    <row r="5" spans="1:5" x14ac:dyDescent="0.2">
      <c r="A5" s="89"/>
      <c r="B5" s="115"/>
      <c r="C5" s="25" t="s">
        <v>866</v>
      </c>
      <c r="D5" s="25"/>
    </row>
    <row r="6" spans="1:5" x14ac:dyDescent="0.2">
      <c r="A6" s="89"/>
      <c r="B6" s="115"/>
      <c r="C6" s="25" t="s">
        <v>867</v>
      </c>
      <c r="D6" s="25"/>
    </row>
    <row r="7" spans="1:5" x14ac:dyDescent="0.2">
      <c r="A7" s="89"/>
      <c r="B7" s="115"/>
      <c r="C7" s="25" t="s">
        <v>868</v>
      </c>
      <c r="D7" s="25"/>
    </row>
    <row r="8" spans="1:5" x14ac:dyDescent="0.2">
      <c r="A8" s="89"/>
      <c r="B8" s="115"/>
      <c r="C8" s="25" t="s">
        <v>869</v>
      </c>
      <c r="D8" s="25"/>
    </row>
    <row r="9" spans="1:5" x14ac:dyDescent="0.2">
      <c r="A9" s="89"/>
      <c r="B9" s="115"/>
      <c r="C9" s="25" t="s">
        <v>870</v>
      </c>
      <c r="D9" s="25"/>
    </row>
    <row r="10" spans="1:5" x14ac:dyDescent="0.2">
      <c r="A10" s="89"/>
      <c r="B10" s="115"/>
      <c r="C10" s="25" t="s">
        <v>871</v>
      </c>
      <c r="D10" s="25"/>
    </row>
    <row r="11" spans="1:5" x14ac:dyDescent="0.2">
      <c r="A11" s="89"/>
      <c r="B11" s="115"/>
      <c r="C11" s="25" t="s">
        <v>872</v>
      </c>
      <c r="D11" s="25"/>
      <c r="E11" s="18" t="s">
        <v>873</v>
      </c>
    </row>
    <row r="12" spans="1:5" x14ac:dyDescent="0.2">
      <c r="A12" s="89"/>
      <c r="B12" s="115"/>
      <c r="C12" s="25" t="s">
        <v>874</v>
      </c>
      <c r="D12" s="25"/>
      <c r="E12" s="18" t="s">
        <v>873</v>
      </c>
    </row>
    <row r="13" spans="1:5" x14ac:dyDescent="0.2">
      <c r="A13" s="89"/>
      <c r="B13" s="115"/>
      <c r="C13" s="25" t="s">
        <v>875</v>
      </c>
      <c r="D13" s="25"/>
    </row>
    <row r="14" spans="1:5" x14ac:dyDescent="0.2">
      <c r="A14" s="89"/>
      <c r="B14" s="115"/>
      <c r="C14" s="25" t="s">
        <v>749</v>
      </c>
      <c r="D14" s="25"/>
    </row>
    <row r="15" spans="1:5" x14ac:dyDescent="0.2">
      <c r="A15" s="89"/>
      <c r="B15" s="115"/>
      <c r="C15" s="25" t="s">
        <v>876</v>
      </c>
      <c r="D15" s="25"/>
    </row>
    <row r="16" spans="1:5" x14ac:dyDescent="0.2">
      <c r="A16" s="89"/>
      <c r="B16" s="115"/>
      <c r="C16" s="25" t="s">
        <v>877</v>
      </c>
      <c r="D16" s="25"/>
    </row>
    <row r="17" spans="1:4" x14ac:dyDescent="0.2">
      <c r="A17" s="89"/>
      <c r="B17" s="115"/>
      <c r="C17" s="25" t="s">
        <v>878</v>
      </c>
      <c r="D17" s="25"/>
    </row>
    <row r="18" spans="1:4" x14ac:dyDescent="0.2">
      <c r="A18" s="89"/>
      <c r="B18" s="115"/>
      <c r="C18" s="25" t="s">
        <v>879</v>
      </c>
      <c r="D18" s="25"/>
    </row>
    <row r="19" spans="1:4" x14ac:dyDescent="0.2">
      <c r="A19" s="89"/>
      <c r="B19" s="115"/>
      <c r="C19" s="25" t="s">
        <v>880</v>
      </c>
      <c r="D19" s="25"/>
    </row>
    <row r="20" spans="1:4" x14ac:dyDescent="0.2">
      <c r="A20" s="89"/>
      <c r="B20" s="115"/>
      <c r="C20" s="25" t="s">
        <v>881</v>
      </c>
      <c r="D20" s="25"/>
    </row>
    <row r="21" spans="1:4" x14ac:dyDescent="0.2">
      <c r="A21" s="89"/>
      <c r="B21" s="115"/>
      <c r="C21" s="25" t="s">
        <v>61</v>
      </c>
      <c r="D21" s="25"/>
    </row>
    <row r="22" spans="1:4" x14ac:dyDescent="0.2">
      <c r="A22" s="89"/>
      <c r="B22" s="115"/>
      <c r="C22" s="25" t="s">
        <v>882</v>
      </c>
      <c r="D22" s="25"/>
    </row>
    <row r="23" spans="1:4" x14ac:dyDescent="0.2">
      <c r="A23" s="89"/>
      <c r="B23" s="115"/>
      <c r="C23" s="25" t="s">
        <v>883</v>
      </c>
      <c r="D23" s="25"/>
    </row>
    <row r="24" spans="1:4" x14ac:dyDescent="0.2">
      <c r="A24" s="89"/>
      <c r="B24" s="115"/>
      <c r="C24" s="25" t="s">
        <v>884</v>
      </c>
      <c r="D24" s="25"/>
    </row>
    <row r="25" spans="1:4" x14ac:dyDescent="0.2">
      <c r="A25" s="89"/>
      <c r="B25" s="115"/>
      <c r="C25" s="25" t="s">
        <v>885</v>
      </c>
      <c r="D25" s="25"/>
    </row>
    <row r="26" spans="1:4" x14ac:dyDescent="0.2">
      <c r="A26" s="89"/>
      <c r="B26" s="115"/>
      <c r="C26" s="25" t="s">
        <v>886</v>
      </c>
      <c r="D26" s="25"/>
    </row>
    <row r="27" spans="1:4" x14ac:dyDescent="0.2">
      <c r="A27" s="89"/>
      <c r="B27" s="115"/>
      <c r="C27" s="25" t="s">
        <v>887</v>
      </c>
      <c r="D27" s="25"/>
    </row>
    <row r="28" spans="1:4" x14ac:dyDescent="0.2">
      <c r="A28" s="89"/>
      <c r="B28" s="115"/>
      <c r="C28" s="25" t="s">
        <v>888</v>
      </c>
      <c r="D28" s="25"/>
    </row>
    <row r="29" spans="1:4" x14ac:dyDescent="0.2">
      <c r="A29" s="89"/>
      <c r="B29" s="115"/>
      <c r="C29" s="25" t="s">
        <v>889</v>
      </c>
      <c r="D29" s="25"/>
    </row>
    <row r="30" spans="1:4" x14ac:dyDescent="0.2">
      <c r="A30" s="89"/>
      <c r="B30" s="115"/>
      <c r="C30" s="25" t="s">
        <v>890</v>
      </c>
      <c r="D30" s="25"/>
    </row>
    <row r="31" spans="1:4" x14ac:dyDescent="0.2">
      <c r="A31" s="89"/>
      <c r="B31" s="115"/>
      <c r="C31" s="25" t="s">
        <v>891</v>
      </c>
      <c r="D31" s="25"/>
    </row>
    <row r="32" spans="1:4" x14ac:dyDescent="0.2">
      <c r="A32" s="89"/>
      <c r="B32" s="115"/>
      <c r="C32" s="25" t="s">
        <v>892</v>
      </c>
      <c r="D32" s="25"/>
    </row>
    <row r="33" spans="1:5" x14ac:dyDescent="0.2">
      <c r="A33" s="89"/>
      <c r="B33" s="115"/>
      <c r="C33" s="25" t="s">
        <v>893</v>
      </c>
      <c r="D33" s="25"/>
    </row>
    <row r="34" spans="1:5" x14ac:dyDescent="0.2">
      <c r="A34" s="89"/>
      <c r="B34" s="115"/>
      <c r="C34" s="25" t="s">
        <v>894</v>
      </c>
      <c r="D34" s="25"/>
    </row>
    <row r="35" spans="1:5" x14ac:dyDescent="0.2">
      <c r="A35" s="89"/>
      <c r="B35" s="115"/>
      <c r="C35" s="25" t="s">
        <v>463</v>
      </c>
      <c r="D35" s="25"/>
    </row>
    <row r="36" spans="1:5" x14ac:dyDescent="0.2">
      <c r="A36" s="89"/>
      <c r="B36" s="115"/>
      <c r="C36" s="25" t="s">
        <v>895</v>
      </c>
      <c r="D36" s="25"/>
      <c r="E36" s="18" t="s">
        <v>873</v>
      </c>
    </row>
    <row r="37" spans="1:5" x14ac:dyDescent="0.2">
      <c r="A37" s="89"/>
      <c r="B37" s="115"/>
      <c r="C37" s="9" t="s">
        <v>896</v>
      </c>
      <c r="D37" s="25"/>
      <c r="E37" s="18" t="s">
        <v>873</v>
      </c>
    </row>
    <row r="38" spans="1:5" x14ac:dyDescent="0.2">
      <c r="A38" s="89"/>
      <c r="B38" s="115"/>
      <c r="C38" s="25" t="s">
        <v>897</v>
      </c>
      <c r="D38" s="25"/>
    </row>
    <row r="39" spans="1:5" x14ac:dyDescent="0.2">
      <c r="A39" s="89"/>
      <c r="B39" s="115"/>
      <c r="C39" s="25" t="s">
        <v>898</v>
      </c>
      <c r="D39" s="25"/>
    </row>
    <row r="40" spans="1:5" x14ac:dyDescent="0.2">
      <c r="A40" s="89"/>
      <c r="B40" s="115"/>
      <c r="C40" s="25" t="s">
        <v>899</v>
      </c>
      <c r="D40" s="25"/>
      <c r="E40" s="18" t="s">
        <v>873</v>
      </c>
    </row>
    <row r="41" spans="1:5" x14ac:dyDescent="0.2">
      <c r="A41" s="89"/>
      <c r="B41" s="115"/>
      <c r="C41" s="25" t="s">
        <v>900</v>
      </c>
      <c r="D41" s="25"/>
    </row>
    <row r="42" spans="1:5" x14ac:dyDescent="0.2">
      <c r="A42" s="89"/>
      <c r="B42" s="115"/>
      <c r="C42" s="25" t="s">
        <v>391</v>
      </c>
      <c r="D42" s="25"/>
    </row>
    <row r="43" spans="1:5" x14ac:dyDescent="0.2">
      <c r="A43" s="89"/>
      <c r="B43" s="115"/>
      <c r="C43" s="25" t="s">
        <v>901</v>
      </c>
      <c r="D43" s="25"/>
    </row>
    <row r="44" spans="1:5" x14ac:dyDescent="0.2">
      <c r="A44" s="89"/>
      <c r="B44" s="115"/>
      <c r="C44" s="25" t="s">
        <v>902</v>
      </c>
      <c r="D44" s="25"/>
    </row>
    <row r="45" spans="1:5" x14ac:dyDescent="0.2">
      <c r="A45" s="89"/>
      <c r="B45" s="115"/>
      <c r="C45" s="25" t="s">
        <v>903</v>
      </c>
      <c r="D45" s="25"/>
    </row>
    <row r="46" spans="1:5" x14ac:dyDescent="0.2">
      <c r="A46" s="89"/>
      <c r="B46" s="115"/>
      <c r="C46" s="25" t="s">
        <v>904</v>
      </c>
      <c r="D46" s="25"/>
      <c r="E46" s="18" t="s">
        <v>873</v>
      </c>
    </row>
    <row r="47" spans="1:5" x14ac:dyDescent="0.2">
      <c r="A47" s="89"/>
      <c r="B47" s="115"/>
      <c r="C47" s="25" t="s">
        <v>905</v>
      </c>
      <c r="D47" s="25"/>
    </row>
    <row r="48" spans="1:5" x14ac:dyDescent="0.2">
      <c r="A48" s="89"/>
      <c r="B48" s="115"/>
      <c r="C48" s="25" t="s">
        <v>906</v>
      </c>
      <c r="D48" s="25"/>
    </row>
    <row r="49" spans="1:5" x14ac:dyDescent="0.2">
      <c r="A49" s="89"/>
      <c r="B49" s="115"/>
      <c r="C49" s="25" t="s">
        <v>907</v>
      </c>
      <c r="D49" s="25"/>
    </row>
    <row r="50" spans="1:5" x14ac:dyDescent="0.2">
      <c r="A50" s="89"/>
      <c r="B50" s="115"/>
      <c r="C50" s="25" t="s">
        <v>908</v>
      </c>
      <c r="D50" s="25"/>
    </row>
    <row r="51" spans="1:5" x14ac:dyDescent="0.2">
      <c r="A51" s="89"/>
      <c r="B51" s="115"/>
      <c r="C51" s="25" t="s">
        <v>909</v>
      </c>
      <c r="D51" s="25"/>
    </row>
    <row r="52" spans="1:5" x14ac:dyDescent="0.2">
      <c r="A52" s="89"/>
      <c r="B52" s="115"/>
      <c r="C52" s="25" t="s">
        <v>910</v>
      </c>
      <c r="D52" s="25"/>
    </row>
    <row r="53" spans="1:5" x14ac:dyDescent="0.2">
      <c r="A53" s="89"/>
      <c r="B53" s="115"/>
      <c r="C53" s="25" t="s">
        <v>911</v>
      </c>
      <c r="D53" s="25"/>
    </row>
    <row r="54" spans="1:5" x14ac:dyDescent="0.2">
      <c r="A54" s="89"/>
      <c r="B54" s="115"/>
      <c r="C54" s="25" t="s">
        <v>912</v>
      </c>
      <c r="D54" s="25"/>
    </row>
    <row r="55" spans="1:5" x14ac:dyDescent="0.2">
      <c r="A55" s="89"/>
      <c r="B55" s="115"/>
      <c r="C55" s="25" t="s">
        <v>913</v>
      </c>
      <c r="D55" s="25"/>
    </row>
    <row r="56" spans="1:5" x14ac:dyDescent="0.2">
      <c r="A56" s="89"/>
      <c r="B56" s="115"/>
      <c r="C56" s="25" t="s">
        <v>914</v>
      </c>
      <c r="D56" s="25"/>
    </row>
    <row r="57" spans="1:5" x14ac:dyDescent="0.2">
      <c r="A57" s="89"/>
      <c r="B57" s="115"/>
      <c r="C57" s="25" t="s">
        <v>915</v>
      </c>
      <c r="D57" s="25"/>
    </row>
    <row r="58" spans="1:5" x14ac:dyDescent="0.2">
      <c r="A58" s="89"/>
      <c r="B58" s="115"/>
      <c r="C58" s="25" t="s">
        <v>916</v>
      </c>
      <c r="D58" s="25"/>
    </row>
    <row r="59" spans="1:5" x14ac:dyDescent="0.2">
      <c r="A59" s="89"/>
      <c r="B59" s="115"/>
      <c r="C59" s="25" t="s">
        <v>917</v>
      </c>
      <c r="D59" s="25"/>
    </row>
    <row r="60" spans="1:5" x14ac:dyDescent="0.2">
      <c r="A60" s="89"/>
      <c r="B60" s="115"/>
      <c r="C60" s="25" t="s">
        <v>918</v>
      </c>
      <c r="D60" s="25"/>
    </row>
    <row r="61" spans="1:5" x14ac:dyDescent="0.2">
      <c r="A61" s="89"/>
      <c r="B61" s="115"/>
      <c r="C61" s="25" t="s">
        <v>919</v>
      </c>
      <c r="D61" s="25"/>
    </row>
    <row r="62" spans="1:5" x14ac:dyDescent="0.2">
      <c r="A62" s="89"/>
      <c r="B62" s="115"/>
      <c r="C62" s="25" t="s">
        <v>920</v>
      </c>
      <c r="D62" s="25"/>
    </row>
    <row r="63" spans="1:5" x14ac:dyDescent="0.2">
      <c r="A63" s="89"/>
      <c r="B63" s="115"/>
      <c r="C63" s="25" t="s">
        <v>921</v>
      </c>
      <c r="D63" s="25"/>
      <c r="E63" s="18" t="s">
        <v>873</v>
      </c>
    </row>
    <row r="64" spans="1:5" x14ac:dyDescent="0.2">
      <c r="A64" s="89"/>
      <c r="B64" s="115"/>
      <c r="C64" s="25" t="s">
        <v>922</v>
      </c>
      <c r="D64" s="25"/>
    </row>
    <row r="65" spans="1:4" x14ac:dyDescent="0.2">
      <c r="A65" s="89"/>
      <c r="B65" s="115"/>
      <c r="C65" s="25" t="s">
        <v>429</v>
      </c>
      <c r="D65" s="25"/>
    </row>
    <row r="66" spans="1:4" x14ac:dyDescent="0.2">
      <c r="A66" s="89"/>
      <c r="B66" s="115"/>
      <c r="C66" s="25" t="s">
        <v>923</v>
      </c>
      <c r="D66" s="25"/>
    </row>
    <row r="67" spans="1:4" x14ac:dyDescent="0.2">
      <c r="A67" s="89"/>
      <c r="B67" s="115"/>
      <c r="C67" s="25" t="s">
        <v>924</v>
      </c>
      <c r="D67" s="25"/>
    </row>
    <row r="68" spans="1:4" x14ac:dyDescent="0.2">
      <c r="A68" s="89"/>
      <c r="B68" s="115"/>
      <c r="C68" s="25" t="s">
        <v>925</v>
      </c>
      <c r="D68" s="25"/>
    </row>
    <row r="69" spans="1:4" x14ac:dyDescent="0.2">
      <c r="A69" s="89"/>
      <c r="B69" s="115"/>
      <c r="C69" s="25" t="s">
        <v>926</v>
      </c>
      <c r="D69" s="25"/>
    </row>
    <row r="70" spans="1:4" x14ac:dyDescent="0.2">
      <c r="A70" s="89"/>
      <c r="B70" s="115"/>
      <c r="C70" s="25" t="s">
        <v>927</v>
      </c>
      <c r="D70" s="25"/>
    </row>
    <row r="71" spans="1:4" x14ac:dyDescent="0.2">
      <c r="A71" s="89"/>
      <c r="B71" s="115"/>
      <c r="C71" s="25" t="s">
        <v>928</v>
      </c>
      <c r="D71" s="25"/>
    </row>
    <row r="72" spans="1:4" x14ac:dyDescent="0.2">
      <c r="A72" s="89"/>
      <c r="B72" s="115"/>
      <c r="C72" s="25" t="s">
        <v>929</v>
      </c>
      <c r="D72" s="25"/>
    </row>
    <row r="73" spans="1:4" x14ac:dyDescent="0.2">
      <c r="A73" s="89"/>
      <c r="B73" s="115"/>
      <c r="C73" s="25" t="s">
        <v>930</v>
      </c>
      <c r="D73" s="25"/>
    </row>
    <row r="74" spans="1:4" x14ac:dyDescent="0.2">
      <c r="A74" s="89"/>
      <c r="B74" s="115"/>
      <c r="C74" s="25" t="s">
        <v>931</v>
      </c>
      <c r="D74" s="25"/>
    </row>
    <row r="75" spans="1:4" x14ac:dyDescent="0.2">
      <c r="A75" s="89"/>
      <c r="B75" s="115"/>
      <c r="C75" s="25" t="s">
        <v>932</v>
      </c>
      <c r="D75" s="25"/>
    </row>
    <row r="76" spans="1:4" x14ac:dyDescent="0.2">
      <c r="A76" s="89"/>
      <c r="B76" s="115"/>
      <c r="C76" s="25" t="s">
        <v>933</v>
      </c>
      <c r="D76" s="25"/>
    </row>
    <row r="77" spans="1:4" x14ac:dyDescent="0.2">
      <c r="A77" s="89"/>
      <c r="B77" s="115"/>
      <c r="C77" s="25" t="s">
        <v>934</v>
      </c>
      <c r="D77" s="25"/>
    </row>
    <row r="78" spans="1:4" x14ac:dyDescent="0.2">
      <c r="A78" s="89"/>
      <c r="B78" s="115"/>
      <c r="C78" s="25" t="s">
        <v>935</v>
      </c>
      <c r="D78" s="25"/>
    </row>
    <row r="79" spans="1:4" x14ac:dyDescent="0.2">
      <c r="A79" s="89"/>
      <c r="B79" s="115"/>
      <c r="C79" s="25" t="s">
        <v>936</v>
      </c>
      <c r="D79" s="25"/>
    </row>
    <row r="80" spans="1:4" x14ac:dyDescent="0.2">
      <c r="A80" s="89"/>
      <c r="B80" s="115"/>
      <c r="C80" s="25" t="s">
        <v>937</v>
      </c>
      <c r="D80" s="25"/>
    </row>
    <row r="81" spans="1:5" x14ac:dyDescent="0.2">
      <c r="A81" s="89"/>
      <c r="B81" s="115"/>
      <c r="C81" s="25" t="s">
        <v>938</v>
      </c>
      <c r="D81" s="25"/>
    </row>
    <row r="82" spans="1:5" x14ac:dyDescent="0.2">
      <c r="A82" s="89"/>
      <c r="B82" s="115"/>
      <c r="C82" s="25" t="s">
        <v>939</v>
      </c>
      <c r="D82" s="25"/>
    </row>
    <row r="83" spans="1:5" x14ac:dyDescent="0.2">
      <c r="A83" s="89"/>
      <c r="B83" s="115"/>
      <c r="C83" s="25" t="s">
        <v>940</v>
      </c>
      <c r="D83" s="25"/>
    </row>
    <row r="84" spans="1:5" x14ac:dyDescent="0.2">
      <c r="A84" s="89"/>
      <c r="B84" s="115"/>
      <c r="C84" s="25" t="s">
        <v>941</v>
      </c>
      <c r="D84" s="25"/>
    </row>
    <row r="85" spans="1:5" x14ac:dyDescent="0.2">
      <c r="A85" s="89"/>
      <c r="B85" s="115"/>
      <c r="C85" s="25" t="s">
        <v>942</v>
      </c>
      <c r="D85" s="25"/>
    </row>
    <row r="86" spans="1:5" x14ac:dyDescent="0.2">
      <c r="A86" s="89"/>
      <c r="B86" s="115"/>
      <c r="C86" s="25" t="s">
        <v>943</v>
      </c>
      <c r="D86" s="25"/>
    </row>
    <row r="87" spans="1:5" x14ac:dyDescent="0.2">
      <c r="A87" s="89"/>
      <c r="B87" s="115"/>
      <c r="C87" s="25" t="s">
        <v>944</v>
      </c>
      <c r="D87" s="25"/>
    </row>
    <row r="88" spans="1:5" x14ac:dyDescent="0.2">
      <c r="A88" s="89"/>
      <c r="B88" s="115"/>
      <c r="C88" s="25" t="s">
        <v>945</v>
      </c>
      <c r="D88" s="25"/>
    </row>
    <row r="89" spans="1:5" x14ac:dyDescent="0.2">
      <c r="A89" s="89"/>
      <c r="B89" s="115"/>
      <c r="C89" s="25" t="s">
        <v>946</v>
      </c>
      <c r="D89" s="25"/>
    </row>
    <row r="90" spans="1:5" x14ac:dyDescent="0.2">
      <c r="A90" s="89"/>
      <c r="B90" s="115"/>
      <c r="C90" s="25" t="s">
        <v>522</v>
      </c>
      <c r="D90" s="25"/>
    </row>
    <row r="91" spans="1:5" x14ac:dyDescent="0.2">
      <c r="A91" s="89"/>
      <c r="B91" s="115"/>
      <c r="C91" s="25" t="s">
        <v>947</v>
      </c>
      <c r="D91" s="25"/>
    </row>
    <row r="92" spans="1:5" x14ac:dyDescent="0.2">
      <c r="A92" s="89"/>
      <c r="B92" s="115"/>
      <c r="C92" s="25" t="s">
        <v>948</v>
      </c>
      <c r="D92" s="25"/>
    </row>
    <row r="93" spans="1:5" x14ac:dyDescent="0.2">
      <c r="A93" s="89"/>
      <c r="B93" s="115"/>
      <c r="C93" s="25" t="s">
        <v>402</v>
      </c>
      <c r="D93" s="25"/>
    </row>
    <row r="94" spans="1:5" x14ac:dyDescent="0.2">
      <c r="A94" s="89"/>
      <c r="B94" s="115"/>
      <c r="C94" s="25" t="s">
        <v>584</v>
      </c>
      <c r="D94" s="25" t="s">
        <v>949</v>
      </c>
      <c r="E94" s="18" t="s">
        <v>873</v>
      </c>
    </row>
    <row r="95" spans="1:5" x14ac:dyDescent="0.2">
      <c r="A95" s="89"/>
      <c r="B95" s="115"/>
      <c r="C95" s="25" t="s">
        <v>563</v>
      </c>
      <c r="D95" s="25" t="s">
        <v>950</v>
      </c>
      <c r="E95" s="18" t="s">
        <v>873</v>
      </c>
    </row>
    <row r="96" spans="1:5" x14ac:dyDescent="0.2">
      <c r="A96" s="89"/>
      <c r="B96" s="115"/>
      <c r="C96" s="25" t="s">
        <v>951</v>
      </c>
      <c r="D96" s="25" t="s">
        <v>950</v>
      </c>
      <c r="E96" s="18" t="s">
        <v>873</v>
      </c>
    </row>
    <row r="97" spans="1:5" x14ac:dyDescent="0.2">
      <c r="A97" s="89"/>
      <c r="B97" s="115"/>
      <c r="C97" s="25" t="s">
        <v>952</v>
      </c>
      <c r="D97" s="25" t="s">
        <v>950</v>
      </c>
      <c r="E97" s="18" t="s">
        <v>873</v>
      </c>
    </row>
    <row r="98" spans="1:5" x14ac:dyDescent="0.2">
      <c r="A98" s="89"/>
      <c r="B98" s="115"/>
      <c r="C98" s="25" t="s">
        <v>953</v>
      </c>
      <c r="D98" s="25" t="s">
        <v>950</v>
      </c>
      <c r="E98" s="18" t="s">
        <v>873</v>
      </c>
    </row>
    <row r="99" spans="1:5" x14ac:dyDescent="0.2">
      <c r="A99" s="89"/>
      <c r="B99" s="115"/>
      <c r="C99" s="25" t="s">
        <v>954</v>
      </c>
      <c r="D99" s="25" t="s">
        <v>950</v>
      </c>
      <c r="E99" s="18" t="s">
        <v>873</v>
      </c>
    </row>
    <row r="100" spans="1:5" x14ac:dyDescent="0.2">
      <c r="A100" s="89"/>
      <c r="B100" s="115"/>
      <c r="C100" s="25" t="s">
        <v>955</v>
      </c>
      <c r="D100" s="25" t="s">
        <v>950</v>
      </c>
      <c r="E100" s="18" t="s">
        <v>873</v>
      </c>
    </row>
    <row r="101" spans="1:5" x14ac:dyDescent="0.2">
      <c r="A101" s="89"/>
      <c r="B101" s="115"/>
      <c r="C101" s="25" t="s">
        <v>956</v>
      </c>
      <c r="D101" s="25" t="s">
        <v>950</v>
      </c>
      <c r="E101" s="18" t="s">
        <v>873</v>
      </c>
    </row>
    <row r="102" spans="1:5" x14ac:dyDescent="0.2">
      <c r="A102" s="89"/>
      <c r="B102" s="115"/>
      <c r="C102" s="25" t="s">
        <v>957</v>
      </c>
      <c r="D102" s="25" t="s">
        <v>950</v>
      </c>
      <c r="E102" s="18" t="s">
        <v>873</v>
      </c>
    </row>
    <row r="103" spans="1:5" x14ac:dyDescent="0.2">
      <c r="A103" s="89"/>
      <c r="B103" s="115"/>
      <c r="C103" s="25" t="s">
        <v>958</v>
      </c>
      <c r="D103" s="25" t="s">
        <v>950</v>
      </c>
      <c r="E103" s="18" t="s">
        <v>873</v>
      </c>
    </row>
    <row r="104" spans="1:5" x14ac:dyDescent="0.2">
      <c r="A104" s="84"/>
      <c r="B104" s="84" t="s">
        <v>77</v>
      </c>
      <c r="C104" s="24" t="s">
        <v>89</v>
      </c>
      <c r="D104" s="24"/>
    </row>
    <row r="105" spans="1:5" x14ac:dyDescent="0.2">
      <c r="A105" s="85"/>
      <c r="B105" s="85"/>
      <c r="C105" s="24" t="s">
        <v>76</v>
      </c>
      <c r="D105" s="24"/>
    </row>
    <row r="106" spans="1:5" x14ac:dyDescent="0.2">
      <c r="A106" s="85"/>
      <c r="B106" s="85"/>
      <c r="C106" s="24" t="s">
        <v>340</v>
      </c>
      <c r="D106" s="24"/>
    </row>
    <row r="107" spans="1:5" x14ac:dyDescent="0.2">
      <c r="A107" s="85"/>
      <c r="B107" s="85"/>
      <c r="C107" s="24" t="s">
        <v>623</v>
      </c>
      <c r="D107" s="24"/>
    </row>
    <row r="108" spans="1:5" x14ac:dyDescent="0.2">
      <c r="A108" s="85"/>
      <c r="B108" s="85"/>
      <c r="C108" s="24" t="s">
        <v>33</v>
      </c>
      <c r="D108" s="24"/>
    </row>
    <row r="109" spans="1:5" x14ac:dyDescent="0.2">
      <c r="A109" s="85"/>
      <c r="B109" s="85"/>
      <c r="C109" s="24" t="s">
        <v>379</v>
      </c>
      <c r="D109" s="24"/>
    </row>
    <row r="110" spans="1:5" x14ac:dyDescent="0.2">
      <c r="A110" s="86"/>
      <c r="B110" s="86"/>
      <c r="C110" s="24" t="s">
        <v>392</v>
      </c>
      <c r="D110" s="24"/>
    </row>
    <row r="111" spans="1:5" x14ac:dyDescent="0.2">
      <c r="A111" s="89"/>
      <c r="B111" s="75" t="s">
        <v>829</v>
      </c>
      <c r="C111" s="25" t="s">
        <v>89</v>
      </c>
      <c r="D111" s="25"/>
    </row>
    <row r="112" spans="1:5" x14ac:dyDescent="0.2">
      <c r="A112" s="89"/>
      <c r="B112" s="76"/>
      <c r="C112" s="25" t="s">
        <v>959</v>
      </c>
      <c r="D112" s="25"/>
    </row>
    <row r="113" spans="1:4" x14ac:dyDescent="0.2">
      <c r="A113" s="89"/>
      <c r="B113" s="77"/>
      <c r="C113" s="25" t="s">
        <v>960</v>
      </c>
      <c r="D113" s="25"/>
    </row>
    <row r="114" spans="1:4" x14ac:dyDescent="0.2">
      <c r="A114" s="102"/>
      <c r="B114" s="102" t="s">
        <v>961</v>
      </c>
      <c r="C114" s="24" t="s">
        <v>89</v>
      </c>
      <c r="D114" s="24"/>
    </row>
    <row r="115" spans="1:4" x14ac:dyDescent="0.2">
      <c r="A115" s="102"/>
      <c r="B115" s="102"/>
      <c r="C115" s="24" t="s">
        <v>340</v>
      </c>
      <c r="D115" s="24"/>
    </row>
    <row r="116" spans="1:4" x14ac:dyDescent="0.2">
      <c r="A116" s="102"/>
      <c r="B116" s="102"/>
      <c r="C116" s="24" t="s">
        <v>623</v>
      </c>
      <c r="D116" s="24"/>
    </row>
    <row r="117" spans="1:4" x14ac:dyDescent="0.2">
      <c r="A117" s="102"/>
      <c r="B117" s="102"/>
      <c r="C117" s="24" t="s">
        <v>379</v>
      </c>
      <c r="D117" s="24"/>
    </row>
    <row r="118" spans="1:4" x14ac:dyDescent="0.2">
      <c r="A118" s="88"/>
      <c r="B118" s="103" t="s">
        <v>805</v>
      </c>
      <c r="C118" s="25" t="s">
        <v>89</v>
      </c>
      <c r="D118" s="25"/>
    </row>
    <row r="119" spans="1:4" x14ac:dyDescent="0.2">
      <c r="A119" s="125"/>
      <c r="B119" s="124"/>
      <c r="C119" s="25" t="s">
        <v>962</v>
      </c>
      <c r="D119" s="25"/>
    </row>
    <row r="120" spans="1:4" x14ac:dyDescent="0.2">
      <c r="A120" s="125"/>
      <c r="B120" s="124"/>
      <c r="C120" s="25" t="s">
        <v>623</v>
      </c>
      <c r="D120" s="25"/>
    </row>
    <row r="121" spans="1:4" x14ac:dyDescent="0.2">
      <c r="A121" s="125"/>
      <c r="B121" s="124"/>
      <c r="C121" s="25" t="s">
        <v>33</v>
      </c>
      <c r="D121" s="25"/>
    </row>
    <row r="122" spans="1:4" x14ac:dyDescent="0.2">
      <c r="A122" s="125"/>
      <c r="B122" s="124"/>
      <c r="C122" s="25" t="s">
        <v>340</v>
      </c>
      <c r="D122" s="25"/>
    </row>
    <row r="123" spans="1:4" x14ac:dyDescent="0.2">
      <c r="A123" s="125"/>
      <c r="B123" s="124"/>
      <c r="C123" s="25" t="s">
        <v>963</v>
      </c>
      <c r="D123" s="25"/>
    </row>
    <row r="124" spans="1:4" x14ac:dyDescent="0.2">
      <c r="A124" s="125"/>
      <c r="B124" s="124"/>
      <c r="C124" s="25" t="s">
        <v>964</v>
      </c>
      <c r="D124" s="25"/>
    </row>
    <row r="125" spans="1:4" x14ac:dyDescent="0.2">
      <c r="A125" s="125"/>
      <c r="B125" s="124"/>
      <c r="C125" s="25" t="s">
        <v>379</v>
      </c>
      <c r="D125" s="25"/>
    </row>
    <row r="126" spans="1:4" x14ac:dyDescent="0.2">
      <c r="A126" s="89"/>
      <c r="B126" s="104"/>
      <c r="C126" s="25" t="s">
        <v>392</v>
      </c>
      <c r="D126" s="25"/>
    </row>
    <row r="127" spans="1:4" x14ac:dyDescent="0.2">
      <c r="A127" s="84"/>
      <c r="B127" s="84" t="s">
        <v>78</v>
      </c>
      <c r="C127" s="24" t="s">
        <v>92</v>
      </c>
      <c r="D127" s="24"/>
    </row>
    <row r="128" spans="1:4" x14ac:dyDescent="0.2">
      <c r="A128" s="85"/>
      <c r="B128" s="85"/>
      <c r="C128" s="24" t="s">
        <v>965</v>
      </c>
      <c r="D128" s="24"/>
    </row>
    <row r="129" spans="1:5" x14ac:dyDescent="0.2">
      <c r="A129" s="85"/>
      <c r="B129" s="85"/>
      <c r="C129" s="24" t="s">
        <v>966</v>
      </c>
      <c r="D129" s="24"/>
    </row>
    <row r="130" spans="1:5" x14ac:dyDescent="0.2">
      <c r="A130" s="85"/>
      <c r="B130" s="85"/>
      <c r="C130" s="24" t="s">
        <v>790</v>
      </c>
      <c r="D130" s="24"/>
    </row>
    <row r="131" spans="1:5" x14ac:dyDescent="0.2">
      <c r="A131" s="85"/>
      <c r="B131" s="85"/>
      <c r="C131" s="24" t="s">
        <v>33</v>
      </c>
      <c r="D131" s="24"/>
    </row>
    <row r="132" spans="1:5" x14ac:dyDescent="0.2">
      <c r="A132" s="89"/>
      <c r="B132" s="76" t="s">
        <v>967</v>
      </c>
      <c r="C132" s="25" t="s">
        <v>92</v>
      </c>
      <c r="D132" s="25"/>
    </row>
    <row r="133" spans="1:5" x14ac:dyDescent="0.2">
      <c r="A133" s="89"/>
      <c r="B133" s="76"/>
      <c r="C133" s="25" t="s">
        <v>33</v>
      </c>
      <c r="D133" s="25"/>
    </row>
    <row r="134" spans="1:5" x14ac:dyDescent="0.2">
      <c r="A134" s="90"/>
      <c r="B134" s="77"/>
      <c r="C134" s="25" t="s">
        <v>392</v>
      </c>
      <c r="D134" s="25"/>
    </row>
    <row r="135" spans="1:5" x14ac:dyDescent="0.2">
      <c r="A135" s="91"/>
      <c r="B135" s="91" t="s">
        <v>86</v>
      </c>
      <c r="C135" s="24" t="s">
        <v>94</v>
      </c>
      <c r="D135" s="24"/>
    </row>
    <row r="136" spans="1:5" x14ac:dyDescent="0.2">
      <c r="A136" s="92"/>
      <c r="B136" s="92"/>
      <c r="C136" s="24" t="s">
        <v>612</v>
      </c>
      <c r="D136" s="24"/>
      <c r="E136" s="18" t="s">
        <v>873</v>
      </c>
    </row>
    <row r="137" spans="1:5" x14ac:dyDescent="0.2">
      <c r="A137" s="92"/>
      <c r="B137" s="92"/>
      <c r="C137" s="24" t="s">
        <v>968</v>
      </c>
      <c r="D137" s="24" t="s">
        <v>969</v>
      </c>
    </row>
    <row r="138" spans="1:5" x14ac:dyDescent="0.2">
      <c r="A138" s="92"/>
      <c r="B138" s="92"/>
      <c r="C138" s="24" t="s">
        <v>970</v>
      </c>
      <c r="D138" s="24" t="s">
        <v>971</v>
      </c>
    </row>
    <row r="139" spans="1:5" x14ac:dyDescent="0.2">
      <c r="A139" s="92"/>
      <c r="B139" s="92"/>
      <c r="C139" s="24" t="s">
        <v>972</v>
      </c>
      <c r="D139" s="24"/>
    </row>
    <row r="140" spans="1:5" x14ac:dyDescent="0.2">
      <c r="A140" s="92"/>
      <c r="B140" s="92"/>
      <c r="C140" s="24" t="s">
        <v>973</v>
      </c>
      <c r="D140" s="24"/>
    </row>
    <row r="141" spans="1:5" x14ac:dyDescent="0.2">
      <c r="A141" s="92"/>
      <c r="B141" s="92"/>
      <c r="C141" s="24" t="s">
        <v>974</v>
      </c>
      <c r="D141" s="24"/>
    </row>
    <row r="142" spans="1:5" x14ac:dyDescent="0.2">
      <c r="A142" s="92"/>
      <c r="B142" s="92"/>
      <c r="C142" s="24" t="s">
        <v>975</v>
      </c>
      <c r="D142" s="24"/>
    </row>
    <row r="143" spans="1:5" x14ac:dyDescent="0.2">
      <c r="A143" s="92"/>
      <c r="B143" s="92"/>
      <c r="C143" s="24" t="s">
        <v>976</v>
      </c>
      <c r="D143" s="24"/>
    </row>
    <row r="144" spans="1:5" x14ac:dyDescent="0.2">
      <c r="A144" s="92"/>
      <c r="B144" s="92"/>
      <c r="C144" s="24" t="s">
        <v>977</v>
      </c>
      <c r="D144" s="24"/>
    </row>
    <row r="145" spans="1:4" x14ac:dyDescent="0.2">
      <c r="A145" s="92"/>
      <c r="B145" s="92"/>
      <c r="C145" s="24" t="s">
        <v>392</v>
      </c>
      <c r="D145" s="24"/>
    </row>
    <row r="146" spans="1:4" x14ac:dyDescent="0.2">
      <c r="A146" s="88"/>
      <c r="B146" s="81" t="s">
        <v>978</v>
      </c>
      <c r="C146" s="25" t="s">
        <v>628</v>
      </c>
      <c r="D146" s="25"/>
    </row>
    <row r="147" spans="1:4" x14ac:dyDescent="0.2">
      <c r="A147" s="90"/>
      <c r="B147" s="83"/>
      <c r="C147" s="25" t="s">
        <v>96</v>
      </c>
      <c r="D147" s="25"/>
    </row>
    <row r="148" spans="1:4" x14ac:dyDescent="0.2">
      <c r="A148" s="70"/>
      <c r="B148" s="123" t="s">
        <v>8</v>
      </c>
      <c r="C148" s="24" t="s">
        <v>31</v>
      </c>
      <c r="D148" s="24" t="s">
        <v>979</v>
      </c>
    </row>
    <row r="149" spans="1:4" x14ac:dyDescent="0.2">
      <c r="A149" s="71"/>
      <c r="B149" s="71"/>
      <c r="C149" s="24" t="s">
        <v>980</v>
      </c>
      <c r="D149" s="24" t="s">
        <v>981</v>
      </c>
    </row>
    <row r="150" spans="1:4" x14ac:dyDescent="0.2">
      <c r="A150" s="71"/>
      <c r="B150" s="71"/>
      <c r="C150" s="24" t="s">
        <v>423</v>
      </c>
      <c r="D150" s="24" t="s">
        <v>982</v>
      </c>
    </row>
    <row r="151" spans="1:4" x14ac:dyDescent="0.2">
      <c r="A151" s="71"/>
      <c r="B151" s="71"/>
      <c r="C151" s="24" t="s">
        <v>382</v>
      </c>
      <c r="D151" s="24" t="s">
        <v>983</v>
      </c>
    </row>
    <row r="152" spans="1:4" x14ac:dyDescent="0.2">
      <c r="A152" s="71"/>
      <c r="B152" s="71"/>
      <c r="C152" s="24" t="s">
        <v>984</v>
      </c>
      <c r="D152" s="24" t="s">
        <v>985</v>
      </c>
    </row>
    <row r="153" spans="1:4" x14ac:dyDescent="0.2">
      <c r="A153" s="71"/>
      <c r="B153" s="71"/>
      <c r="C153" s="24" t="s">
        <v>986</v>
      </c>
      <c r="D153" s="24" t="s">
        <v>987</v>
      </c>
    </row>
    <row r="154" spans="1:4" x14ac:dyDescent="0.2">
      <c r="A154" s="71"/>
      <c r="B154" s="71"/>
      <c r="C154" s="24" t="s">
        <v>988</v>
      </c>
      <c r="D154" s="24" t="s">
        <v>989</v>
      </c>
    </row>
    <row r="155" spans="1:4" x14ac:dyDescent="0.2">
      <c r="A155" s="71"/>
      <c r="B155" s="71"/>
      <c r="C155" s="24" t="s">
        <v>990</v>
      </c>
      <c r="D155" s="24" t="s">
        <v>991</v>
      </c>
    </row>
    <row r="156" spans="1:4" x14ac:dyDescent="0.2">
      <c r="A156" s="71"/>
      <c r="B156" s="71"/>
      <c r="C156" s="24" t="s">
        <v>992</v>
      </c>
      <c r="D156" s="24" t="s">
        <v>993</v>
      </c>
    </row>
    <row r="157" spans="1:4" x14ac:dyDescent="0.2">
      <c r="A157" s="71"/>
      <c r="B157" s="71"/>
      <c r="C157" s="24" t="s">
        <v>994</v>
      </c>
      <c r="D157" s="24" t="s">
        <v>995</v>
      </c>
    </row>
    <row r="158" spans="1:4" x14ac:dyDescent="0.2">
      <c r="A158" s="71"/>
      <c r="B158" s="71"/>
      <c r="C158" s="24" t="s">
        <v>458</v>
      </c>
      <c r="D158" s="24" t="s">
        <v>996</v>
      </c>
    </row>
    <row r="159" spans="1:4" x14ac:dyDescent="0.2">
      <c r="A159" s="71"/>
      <c r="B159" s="71"/>
      <c r="C159" s="24" t="s">
        <v>407</v>
      </c>
      <c r="D159" s="24" t="s">
        <v>997</v>
      </c>
    </row>
    <row r="160" spans="1:4" x14ac:dyDescent="0.2">
      <c r="A160" s="71"/>
      <c r="B160" s="71"/>
      <c r="C160" s="24" t="s">
        <v>998</v>
      </c>
      <c r="D160" s="24" t="s">
        <v>999</v>
      </c>
    </row>
    <row r="161" spans="1:4" x14ac:dyDescent="0.2">
      <c r="A161" s="71"/>
      <c r="B161" s="71"/>
      <c r="C161" s="24" t="s">
        <v>516</v>
      </c>
      <c r="D161" s="24" t="s">
        <v>1000</v>
      </c>
    </row>
    <row r="162" spans="1:4" x14ac:dyDescent="0.2">
      <c r="A162" s="71"/>
      <c r="B162" s="71"/>
      <c r="C162" s="24" t="s">
        <v>464</v>
      </c>
      <c r="D162" s="24" t="s">
        <v>1001</v>
      </c>
    </row>
    <row r="163" spans="1:4" x14ac:dyDescent="0.2">
      <c r="A163" s="71"/>
      <c r="B163" s="71"/>
      <c r="C163" s="24" t="s">
        <v>430</v>
      </c>
      <c r="D163" s="24" t="s">
        <v>1002</v>
      </c>
    </row>
    <row r="164" spans="1:4" x14ac:dyDescent="0.2">
      <c r="A164" s="71"/>
      <c r="B164" s="71"/>
      <c r="C164" s="24" t="s">
        <v>1003</v>
      </c>
      <c r="D164" s="24" t="s">
        <v>1004</v>
      </c>
    </row>
    <row r="165" spans="1:4" x14ac:dyDescent="0.2">
      <c r="A165" s="71"/>
      <c r="B165" s="71"/>
      <c r="C165" s="24" t="s">
        <v>1005</v>
      </c>
      <c r="D165" s="24" t="s">
        <v>1006</v>
      </c>
    </row>
    <row r="166" spans="1:4" x14ac:dyDescent="0.2">
      <c r="A166" s="71"/>
      <c r="B166" s="71"/>
      <c r="C166" s="24" t="s">
        <v>1007</v>
      </c>
      <c r="D166" s="24" t="s">
        <v>1008</v>
      </c>
    </row>
    <row r="167" spans="1:4" x14ac:dyDescent="0.2">
      <c r="A167" s="71"/>
      <c r="B167" s="71"/>
      <c r="C167" s="24" t="s">
        <v>1009</v>
      </c>
      <c r="D167" s="24" t="s">
        <v>1010</v>
      </c>
    </row>
    <row r="168" spans="1:4" x14ac:dyDescent="0.2">
      <c r="A168" s="71"/>
      <c r="B168" s="71"/>
      <c r="C168" s="24" t="s">
        <v>535</v>
      </c>
      <c r="D168" s="24" t="s">
        <v>1011</v>
      </c>
    </row>
    <row r="169" spans="1:4" x14ac:dyDescent="0.2">
      <c r="A169" s="71"/>
      <c r="B169" s="71"/>
      <c r="C169" s="24" t="s">
        <v>1012</v>
      </c>
      <c r="D169" s="24" t="s">
        <v>1013</v>
      </c>
    </row>
    <row r="170" spans="1:4" x14ac:dyDescent="0.2">
      <c r="A170" s="71"/>
      <c r="B170" s="71"/>
      <c r="C170" s="24" t="s">
        <v>1014</v>
      </c>
      <c r="D170" s="24" t="s">
        <v>1015</v>
      </c>
    </row>
    <row r="171" spans="1:4" x14ac:dyDescent="0.2">
      <c r="A171" s="71"/>
      <c r="B171" s="71"/>
      <c r="C171" s="24" t="s">
        <v>1016</v>
      </c>
      <c r="D171" s="24" t="s">
        <v>1017</v>
      </c>
    </row>
    <row r="172" spans="1:4" x14ac:dyDescent="0.2">
      <c r="A172" s="71"/>
      <c r="B172" s="71"/>
      <c r="C172" s="24" t="s">
        <v>1018</v>
      </c>
      <c r="D172" s="24" t="s">
        <v>1019</v>
      </c>
    </row>
    <row r="173" spans="1:4" x14ac:dyDescent="0.2">
      <c r="A173" s="71"/>
      <c r="B173" s="71"/>
      <c r="C173" s="24" t="s">
        <v>1020</v>
      </c>
      <c r="D173" s="24" t="s">
        <v>1021</v>
      </c>
    </row>
    <row r="174" spans="1:4" x14ac:dyDescent="0.2">
      <c r="A174" s="71"/>
      <c r="B174" s="71"/>
      <c r="C174" s="24" t="s">
        <v>1022</v>
      </c>
      <c r="D174" s="24" t="s">
        <v>1023</v>
      </c>
    </row>
    <row r="175" spans="1:4" x14ac:dyDescent="0.2">
      <c r="A175" s="71"/>
      <c r="B175" s="71"/>
      <c r="C175" s="24" t="s">
        <v>1024</v>
      </c>
      <c r="D175" s="24" t="s">
        <v>1025</v>
      </c>
    </row>
    <row r="176" spans="1:4" x14ac:dyDescent="0.2">
      <c r="A176" s="71"/>
      <c r="B176" s="71"/>
      <c r="C176" s="24" t="s">
        <v>1026</v>
      </c>
      <c r="D176" s="24" t="s">
        <v>1027</v>
      </c>
    </row>
    <row r="177" spans="1:5" x14ac:dyDescent="0.2">
      <c r="A177" s="71"/>
      <c r="B177" s="71"/>
      <c r="C177" s="24" t="s">
        <v>1028</v>
      </c>
      <c r="D177" s="24" t="s">
        <v>1029</v>
      </c>
    </row>
    <row r="178" spans="1:5" x14ac:dyDescent="0.2">
      <c r="A178" s="71"/>
      <c r="B178" s="71"/>
      <c r="C178" s="24" t="s">
        <v>1030</v>
      </c>
      <c r="D178" s="24" t="s">
        <v>1031</v>
      </c>
    </row>
    <row r="179" spans="1:5" x14ac:dyDescent="0.2">
      <c r="A179" s="71"/>
      <c r="B179" s="71"/>
      <c r="C179" s="24" t="s">
        <v>1032</v>
      </c>
      <c r="D179" s="24" t="s">
        <v>1033</v>
      </c>
    </row>
    <row r="180" spans="1:5" x14ac:dyDescent="0.2">
      <c r="A180" s="71"/>
      <c r="B180" s="71"/>
      <c r="C180" s="24" t="s">
        <v>62</v>
      </c>
      <c r="D180" s="24" t="s">
        <v>1034</v>
      </c>
      <c r="E180" s="18" t="s">
        <v>873</v>
      </c>
    </row>
    <row r="181" spans="1:5" x14ac:dyDescent="0.2">
      <c r="A181" s="71"/>
      <c r="B181" s="71"/>
      <c r="C181" s="24" t="s">
        <v>392</v>
      </c>
      <c r="D181" s="24" t="s">
        <v>392</v>
      </c>
    </row>
    <row r="182" spans="1:5" x14ac:dyDescent="0.2">
      <c r="A182" s="88"/>
      <c r="B182" s="81" t="s">
        <v>1035</v>
      </c>
      <c r="C182" s="62" t="s">
        <v>99</v>
      </c>
      <c r="D182" s="62"/>
    </row>
    <row r="183" spans="1:5" x14ac:dyDescent="0.2">
      <c r="A183" s="89"/>
      <c r="B183" s="82"/>
      <c r="C183" s="62" t="s">
        <v>1036</v>
      </c>
      <c r="D183" s="62"/>
    </row>
    <row r="184" spans="1:5" x14ac:dyDescent="0.2">
      <c r="A184" s="89"/>
      <c r="B184" s="82"/>
      <c r="C184" s="62" t="s">
        <v>1037</v>
      </c>
      <c r="D184" s="62"/>
    </row>
    <row r="185" spans="1:5" x14ac:dyDescent="0.2">
      <c r="A185" s="90"/>
      <c r="B185" s="83"/>
      <c r="C185" s="64" t="s">
        <v>644</v>
      </c>
      <c r="D185" s="64"/>
    </row>
    <row r="186" spans="1:5" x14ac:dyDescent="0.2">
      <c r="A186" s="84"/>
      <c r="B186" s="84" t="s">
        <v>83</v>
      </c>
      <c r="C186" s="61" t="s">
        <v>617</v>
      </c>
      <c r="D186" s="61"/>
    </row>
    <row r="187" spans="1:5" x14ac:dyDescent="0.2">
      <c r="A187" s="85"/>
      <c r="B187" s="85"/>
      <c r="C187" s="61" t="s">
        <v>101</v>
      </c>
      <c r="D187" s="61"/>
    </row>
    <row r="188" spans="1:5" x14ac:dyDescent="0.2">
      <c r="A188" s="88"/>
      <c r="B188" s="81" t="s">
        <v>10</v>
      </c>
      <c r="C188" s="64" t="s">
        <v>109</v>
      </c>
      <c r="D188" s="64" t="s">
        <v>1038</v>
      </c>
    </row>
    <row r="189" spans="1:5" x14ac:dyDescent="0.2">
      <c r="A189" s="89"/>
      <c r="B189" s="82"/>
      <c r="C189" s="64" t="s">
        <v>98</v>
      </c>
      <c r="D189" s="64" t="s">
        <v>1039</v>
      </c>
    </row>
    <row r="190" spans="1:5" x14ac:dyDescent="0.2">
      <c r="A190" s="89"/>
      <c r="B190" s="82"/>
      <c r="C190" s="64" t="s">
        <v>33</v>
      </c>
      <c r="D190" s="64" t="s">
        <v>33</v>
      </c>
    </row>
    <row r="191" spans="1:5" x14ac:dyDescent="0.2">
      <c r="A191" s="89"/>
      <c r="B191" s="82"/>
      <c r="C191" s="64" t="s">
        <v>1040</v>
      </c>
      <c r="D191" s="64" t="s">
        <v>1041</v>
      </c>
    </row>
    <row r="192" spans="1:5" x14ac:dyDescent="0.2">
      <c r="A192" s="89"/>
      <c r="B192" s="82"/>
      <c r="C192" s="64" t="s">
        <v>1042</v>
      </c>
      <c r="D192" s="64" t="s">
        <v>1043</v>
      </c>
    </row>
    <row r="193" spans="1:4" x14ac:dyDescent="0.2">
      <c r="A193" s="89"/>
      <c r="B193" s="82"/>
      <c r="C193" s="64" t="s">
        <v>1044</v>
      </c>
      <c r="D193" s="64" t="s">
        <v>1045</v>
      </c>
    </row>
    <row r="194" spans="1:4" x14ac:dyDescent="0.2">
      <c r="A194" s="89"/>
      <c r="B194" s="82"/>
      <c r="C194" s="64" t="s">
        <v>64</v>
      </c>
      <c r="D194" s="64" t="s">
        <v>1046</v>
      </c>
    </row>
    <row r="195" spans="1:4" x14ac:dyDescent="0.2">
      <c r="A195" s="89"/>
      <c r="B195" s="82"/>
      <c r="C195" s="64" t="s">
        <v>1047</v>
      </c>
      <c r="D195" s="64" t="s">
        <v>1048</v>
      </c>
    </row>
    <row r="196" spans="1:4" x14ac:dyDescent="0.2">
      <c r="A196" s="89"/>
      <c r="B196" s="82"/>
      <c r="C196" s="64" t="s">
        <v>1049</v>
      </c>
      <c r="D196" s="64" t="s">
        <v>1050</v>
      </c>
    </row>
    <row r="197" spans="1:4" x14ac:dyDescent="0.2">
      <c r="A197" s="89"/>
      <c r="B197" s="82"/>
      <c r="C197" s="64" t="s">
        <v>1051</v>
      </c>
      <c r="D197" s="64" t="s">
        <v>1052</v>
      </c>
    </row>
    <row r="198" spans="1:4" x14ac:dyDescent="0.2">
      <c r="A198" s="89"/>
      <c r="B198" s="82"/>
      <c r="C198" s="64" t="s">
        <v>71</v>
      </c>
      <c r="D198" s="64" t="s">
        <v>1053</v>
      </c>
    </row>
    <row r="199" spans="1:4" x14ac:dyDescent="0.2">
      <c r="A199" s="89"/>
      <c r="B199" s="82"/>
      <c r="C199" s="64" t="s">
        <v>1054</v>
      </c>
      <c r="D199" s="64" t="s">
        <v>1055</v>
      </c>
    </row>
    <row r="200" spans="1:4" x14ac:dyDescent="0.2">
      <c r="A200" s="89"/>
      <c r="B200" s="82"/>
      <c r="C200" s="64" t="s">
        <v>392</v>
      </c>
      <c r="D200" s="64" t="s">
        <v>392</v>
      </c>
    </row>
    <row r="201" spans="1:4" x14ac:dyDescent="0.2">
      <c r="A201" s="90"/>
      <c r="B201" s="83"/>
      <c r="C201" s="64" t="s">
        <v>644</v>
      </c>
      <c r="D201" s="64" t="s">
        <v>1056</v>
      </c>
    </row>
    <row r="202" spans="1:4" x14ac:dyDescent="0.2">
      <c r="A202" s="123"/>
      <c r="B202" s="123" t="s">
        <v>79</v>
      </c>
      <c r="C202" s="24" t="s">
        <v>1057</v>
      </c>
      <c r="D202" s="24"/>
    </row>
    <row r="203" spans="1:4" x14ac:dyDescent="0.2">
      <c r="A203" s="71"/>
      <c r="B203" s="71"/>
      <c r="C203" s="24" t="s">
        <v>1058</v>
      </c>
      <c r="D203" s="24"/>
    </row>
    <row r="204" spans="1:4" x14ac:dyDescent="0.2">
      <c r="A204" s="71"/>
      <c r="B204" s="71"/>
      <c r="C204" s="24" t="s">
        <v>1059</v>
      </c>
      <c r="D204" s="24"/>
    </row>
    <row r="205" spans="1:4" x14ac:dyDescent="0.2">
      <c r="A205" s="71"/>
      <c r="B205" s="71"/>
      <c r="C205" s="24" t="s">
        <v>356</v>
      </c>
      <c r="D205" s="24"/>
    </row>
    <row r="206" spans="1:4" x14ac:dyDescent="0.2">
      <c r="A206" s="71"/>
      <c r="B206" s="71"/>
      <c r="C206" s="24" t="s">
        <v>146</v>
      </c>
      <c r="D206" s="24"/>
    </row>
    <row r="207" spans="1:4" x14ac:dyDescent="0.2">
      <c r="A207" s="71"/>
      <c r="B207" s="71"/>
      <c r="C207" s="24" t="s">
        <v>123</v>
      </c>
      <c r="D207" s="24"/>
    </row>
    <row r="208" spans="1:4" x14ac:dyDescent="0.2">
      <c r="A208" s="71"/>
      <c r="B208" s="71"/>
      <c r="C208" s="24" t="s">
        <v>1060</v>
      </c>
      <c r="D208" s="24"/>
    </row>
    <row r="209" spans="1:5" x14ac:dyDescent="0.2">
      <c r="A209" s="71"/>
      <c r="B209" s="71"/>
      <c r="C209" s="24" t="s">
        <v>230</v>
      </c>
      <c r="D209" s="24"/>
    </row>
    <row r="210" spans="1:5" x14ac:dyDescent="0.2">
      <c r="A210" s="71"/>
      <c r="B210" s="71"/>
      <c r="C210" s="24" t="s">
        <v>1061</v>
      </c>
      <c r="D210" s="24"/>
    </row>
    <row r="211" spans="1:5" x14ac:dyDescent="0.2">
      <c r="A211" s="71"/>
      <c r="B211" s="71"/>
      <c r="C211" s="24" t="s">
        <v>95</v>
      </c>
      <c r="D211" s="24"/>
    </row>
    <row r="212" spans="1:5" x14ac:dyDescent="0.2">
      <c r="A212" s="71"/>
      <c r="B212" s="71"/>
      <c r="C212" s="24" t="s">
        <v>277</v>
      </c>
      <c r="D212" s="24"/>
    </row>
    <row r="213" spans="1:5" x14ac:dyDescent="0.2">
      <c r="A213" s="71"/>
      <c r="B213" s="71"/>
      <c r="C213" s="24" t="s">
        <v>135</v>
      </c>
      <c r="D213" s="24"/>
    </row>
    <row r="214" spans="1:5" x14ac:dyDescent="0.2">
      <c r="A214" s="71"/>
      <c r="B214" s="71"/>
      <c r="C214" s="24" t="s">
        <v>206</v>
      </c>
      <c r="D214" s="24"/>
    </row>
    <row r="215" spans="1:5" x14ac:dyDescent="0.2">
      <c r="A215" s="71"/>
      <c r="B215" s="71"/>
      <c r="C215" s="24" t="s">
        <v>1062</v>
      </c>
      <c r="D215" s="24"/>
    </row>
    <row r="216" spans="1:5" x14ac:dyDescent="0.2">
      <c r="A216" s="71"/>
      <c r="B216" s="71"/>
      <c r="C216" s="24" t="s">
        <v>1063</v>
      </c>
      <c r="D216" s="24"/>
    </row>
    <row r="217" spans="1:5" x14ac:dyDescent="0.2">
      <c r="A217" s="71"/>
      <c r="B217" s="71"/>
      <c r="C217" s="24" t="s">
        <v>613</v>
      </c>
      <c r="D217" s="24"/>
    </row>
    <row r="218" spans="1:5" x14ac:dyDescent="0.2">
      <c r="A218" s="71"/>
      <c r="B218" s="71"/>
      <c r="C218" s="24" t="s">
        <v>1064</v>
      </c>
      <c r="D218" s="24" t="s">
        <v>1065</v>
      </c>
      <c r="E218" s="18" t="s">
        <v>873</v>
      </c>
    </row>
    <row r="219" spans="1:5" x14ac:dyDescent="0.2">
      <c r="A219" s="71"/>
      <c r="B219" s="71"/>
      <c r="C219" s="24" t="s">
        <v>343</v>
      </c>
      <c r="D219" s="24"/>
    </row>
    <row r="220" spans="1:5" x14ac:dyDescent="0.2">
      <c r="A220" s="71"/>
      <c r="B220" s="71"/>
      <c r="C220" s="24" t="s">
        <v>1066</v>
      </c>
      <c r="D220" s="24"/>
    </row>
    <row r="221" spans="1:5" x14ac:dyDescent="0.2">
      <c r="A221" s="71"/>
      <c r="B221" s="71"/>
      <c r="C221" s="24" t="s">
        <v>1067</v>
      </c>
      <c r="D221" s="24"/>
    </row>
    <row r="222" spans="1:5" x14ac:dyDescent="0.2">
      <c r="A222" s="71"/>
      <c r="B222" s="71"/>
      <c r="C222" s="24" t="s">
        <v>1068</v>
      </c>
      <c r="D222" s="24"/>
    </row>
    <row r="223" spans="1:5" x14ac:dyDescent="0.2">
      <c r="A223" s="71"/>
      <c r="B223" s="71"/>
      <c r="C223" s="24" t="s">
        <v>1069</v>
      </c>
      <c r="D223" s="24"/>
    </row>
    <row r="224" spans="1:5" x14ac:dyDescent="0.2">
      <c r="A224" s="71"/>
      <c r="B224" s="71"/>
      <c r="C224" s="24" t="s">
        <v>1070</v>
      </c>
      <c r="D224" s="24"/>
    </row>
    <row r="225" spans="1:4" x14ac:dyDescent="0.2">
      <c r="A225" s="71"/>
      <c r="B225" s="71"/>
      <c r="C225" s="24" t="s">
        <v>1071</v>
      </c>
      <c r="D225" s="24"/>
    </row>
    <row r="226" spans="1:4" x14ac:dyDescent="0.2">
      <c r="A226" s="71"/>
      <c r="B226" s="71"/>
      <c r="C226" s="24" t="s">
        <v>643</v>
      </c>
      <c r="D226" s="24"/>
    </row>
    <row r="227" spans="1:4" x14ac:dyDescent="0.2">
      <c r="A227" s="71"/>
      <c r="B227" s="71"/>
      <c r="C227" s="24" t="s">
        <v>189</v>
      </c>
      <c r="D227" s="24"/>
    </row>
    <row r="228" spans="1:4" x14ac:dyDescent="0.2">
      <c r="A228" s="71"/>
      <c r="B228" s="71"/>
      <c r="C228" s="24" t="s">
        <v>376</v>
      </c>
      <c r="D228" s="24"/>
    </row>
    <row r="229" spans="1:4" x14ac:dyDescent="0.2">
      <c r="A229" s="71"/>
      <c r="B229" s="71"/>
      <c r="C229" s="24" t="s">
        <v>107</v>
      </c>
      <c r="D229" s="24"/>
    </row>
    <row r="230" spans="1:4" x14ac:dyDescent="0.2">
      <c r="A230" s="71"/>
      <c r="B230" s="71"/>
      <c r="C230" s="24" t="s">
        <v>1072</v>
      </c>
      <c r="D230" s="24"/>
    </row>
    <row r="231" spans="1:4" x14ac:dyDescent="0.2">
      <c r="A231" s="71"/>
      <c r="B231" s="71"/>
      <c r="C231" s="24" t="s">
        <v>1073</v>
      </c>
      <c r="D231" s="24"/>
    </row>
    <row r="232" spans="1:4" x14ac:dyDescent="0.2">
      <c r="A232" s="71"/>
      <c r="B232" s="71"/>
      <c r="C232" s="24" t="s">
        <v>309</v>
      </c>
      <c r="D232" s="24"/>
    </row>
    <row r="233" spans="1:4" x14ac:dyDescent="0.2">
      <c r="A233" s="71"/>
      <c r="B233" s="71"/>
      <c r="C233" s="24" t="s">
        <v>1074</v>
      </c>
      <c r="D233" s="24"/>
    </row>
    <row r="234" spans="1:4" x14ac:dyDescent="0.2">
      <c r="A234" s="71"/>
      <c r="B234" s="71"/>
      <c r="C234" s="24" t="s">
        <v>1075</v>
      </c>
      <c r="D234" s="24"/>
    </row>
    <row r="235" spans="1:4" x14ac:dyDescent="0.2">
      <c r="A235" s="71"/>
      <c r="B235" s="71"/>
      <c r="C235" s="24" t="s">
        <v>1076</v>
      </c>
      <c r="D235" s="24"/>
    </row>
    <row r="236" spans="1:4" x14ac:dyDescent="0.2">
      <c r="A236" s="71"/>
      <c r="B236" s="71"/>
      <c r="C236" s="24" t="s">
        <v>1077</v>
      </c>
      <c r="D236" s="24"/>
    </row>
    <row r="237" spans="1:4" x14ac:dyDescent="0.2">
      <c r="A237" s="71"/>
      <c r="B237" s="71"/>
      <c r="C237" s="24" t="s">
        <v>1078</v>
      </c>
      <c r="D237" s="24"/>
    </row>
    <row r="238" spans="1:4" x14ac:dyDescent="0.2">
      <c r="A238" s="71"/>
      <c r="B238" s="71"/>
      <c r="C238" s="24" t="s">
        <v>1079</v>
      </c>
      <c r="D238" s="24"/>
    </row>
    <row r="239" spans="1:4" x14ac:dyDescent="0.2">
      <c r="A239" s="71"/>
      <c r="B239" s="71"/>
      <c r="C239" s="24" t="s">
        <v>1080</v>
      </c>
      <c r="D239" s="24"/>
    </row>
    <row r="240" spans="1:4" x14ac:dyDescent="0.2">
      <c r="A240" s="71"/>
      <c r="B240" s="71"/>
      <c r="C240" s="24" t="s">
        <v>1081</v>
      </c>
      <c r="D240" s="24"/>
    </row>
    <row r="241" spans="1:4" x14ac:dyDescent="0.2">
      <c r="A241" s="71"/>
      <c r="B241" s="71"/>
      <c r="C241" s="24" t="s">
        <v>367</v>
      </c>
      <c r="D241" s="24"/>
    </row>
    <row r="242" spans="1:4" x14ac:dyDescent="0.2">
      <c r="A242" s="71"/>
      <c r="B242" s="71"/>
      <c r="C242" s="24" t="s">
        <v>1082</v>
      </c>
      <c r="D242" s="24"/>
    </row>
    <row r="243" spans="1:4" x14ac:dyDescent="0.2">
      <c r="A243" s="71"/>
      <c r="B243" s="71"/>
      <c r="C243" s="24" t="s">
        <v>668</v>
      </c>
      <c r="D243" s="24"/>
    </row>
    <row r="244" spans="1:4" x14ac:dyDescent="0.2">
      <c r="A244" s="71"/>
      <c r="B244" s="71"/>
      <c r="C244" s="24" t="s">
        <v>200</v>
      </c>
      <c r="D244" s="24"/>
    </row>
    <row r="245" spans="1:4" x14ac:dyDescent="0.2">
      <c r="A245" s="71"/>
      <c r="B245" s="71"/>
      <c r="C245" s="24" t="s">
        <v>1083</v>
      </c>
      <c r="D245" s="24"/>
    </row>
    <row r="246" spans="1:4" x14ac:dyDescent="0.2">
      <c r="A246" s="71"/>
      <c r="B246" s="71"/>
      <c r="C246" s="24" t="s">
        <v>352</v>
      </c>
      <c r="D246" s="24"/>
    </row>
    <row r="247" spans="1:4" x14ac:dyDescent="0.2">
      <c r="A247" s="71"/>
      <c r="B247" s="71"/>
      <c r="C247" s="24" t="s">
        <v>1084</v>
      </c>
      <c r="D247" s="24"/>
    </row>
    <row r="248" spans="1:4" x14ac:dyDescent="0.2">
      <c r="A248" s="71"/>
      <c r="B248" s="71"/>
      <c r="C248" s="24" t="s">
        <v>1085</v>
      </c>
      <c r="D248" s="24"/>
    </row>
    <row r="249" spans="1:4" x14ac:dyDescent="0.2">
      <c r="A249" s="71"/>
      <c r="B249" s="71"/>
      <c r="C249" s="24" t="s">
        <v>1086</v>
      </c>
      <c r="D249" s="24"/>
    </row>
    <row r="250" spans="1:4" x14ac:dyDescent="0.2">
      <c r="A250" s="71"/>
      <c r="B250" s="71"/>
      <c r="C250" s="24" t="s">
        <v>290</v>
      </c>
      <c r="D250" s="24"/>
    </row>
    <row r="251" spans="1:4" x14ac:dyDescent="0.2">
      <c r="A251" s="71"/>
      <c r="B251" s="71"/>
      <c r="C251" s="24" t="s">
        <v>1087</v>
      </c>
      <c r="D251" s="24"/>
    </row>
    <row r="252" spans="1:4" x14ac:dyDescent="0.2">
      <c r="A252" s="71"/>
      <c r="B252" s="71"/>
      <c r="C252" s="24" t="s">
        <v>392</v>
      </c>
      <c r="D252" s="24"/>
    </row>
    <row r="253" spans="1:4" x14ac:dyDescent="0.2">
      <c r="A253" s="71"/>
      <c r="B253" s="71"/>
      <c r="C253" s="24" t="s">
        <v>1088</v>
      </c>
      <c r="D253" s="24"/>
    </row>
    <row r="254" spans="1:4" x14ac:dyDescent="0.2">
      <c r="A254" s="71"/>
      <c r="B254" s="71"/>
      <c r="C254" s="24" t="s">
        <v>1089</v>
      </c>
      <c r="D254" s="24"/>
    </row>
    <row r="255" spans="1:4" x14ac:dyDescent="0.2">
      <c r="A255" s="71"/>
      <c r="B255" s="71"/>
      <c r="C255" s="24" t="s">
        <v>1090</v>
      </c>
      <c r="D255" s="24"/>
    </row>
    <row r="256" spans="1:4" x14ac:dyDescent="0.2">
      <c r="A256" s="71"/>
      <c r="B256" s="71"/>
      <c r="C256" s="24" t="s">
        <v>1091</v>
      </c>
      <c r="D256" s="24"/>
    </row>
    <row r="257" spans="1:5" x14ac:dyDescent="0.2">
      <c r="A257" s="71"/>
      <c r="B257" s="71"/>
      <c r="C257" s="24" t="s">
        <v>1092</v>
      </c>
      <c r="D257" s="24"/>
    </row>
    <row r="258" spans="1:5" x14ac:dyDescent="0.2">
      <c r="A258" s="71"/>
      <c r="B258" s="71"/>
      <c r="C258" s="24" t="s">
        <v>1093</v>
      </c>
      <c r="D258" s="24"/>
    </row>
    <row r="259" spans="1:5" x14ac:dyDescent="0.2">
      <c r="A259" s="71"/>
      <c r="B259" s="71"/>
      <c r="C259" s="24" t="s">
        <v>1094</v>
      </c>
      <c r="D259" s="24"/>
    </row>
    <row r="260" spans="1:5" x14ac:dyDescent="0.2">
      <c r="A260" s="71"/>
      <c r="B260" s="71"/>
      <c r="C260" s="24" t="s">
        <v>1095</v>
      </c>
      <c r="D260" s="24"/>
    </row>
    <row r="261" spans="1:5" x14ac:dyDescent="0.2">
      <c r="A261" s="71"/>
      <c r="B261" s="71"/>
      <c r="C261" s="24" t="s">
        <v>1096</v>
      </c>
      <c r="D261" s="24"/>
    </row>
    <row r="262" spans="1:5" x14ac:dyDescent="0.2">
      <c r="A262" s="71"/>
      <c r="B262" s="71"/>
      <c r="C262" s="24" t="s">
        <v>1097</v>
      </c>
      <c r="D262" s="24"/>
    </row>
    <row r="263" spans="1:5" x14ac:dyDescent="0.2">
      <c r="A263" s="71"/>
      <c r="B263" s="71"/>
      <c r="C263" s="24" t="s">
        <v>1098</v>
      </c>
      <c r="D263" s="24"/>
    </row>
    <row r="264" spans="1:5" x14ac:dyDescent="0.2">
      <c r="A264" s="71"/>
      <c r="B264" s="71"/>
      <c r="C264" s="24" t="s">
        <v>465</v>
      </c>
      <c r="D264" s="24"/>
    </row>
    <row r="265" spans="1:5" x14ac:dyDescent="0.2">
      <c r="A265" s="71"/>
      <c r="B265" s="71"/>
      <c r="C265" s="24" t="s">
        <v>1099</v>
      </c>
      <c r="D265" s="24"/>
    </row>
    <row r="266" spans="1:5" x14ac:dyDescent="0.2">
      <c r="A266" s="71"/>
      <c r="B266" s="71"/>
      <c r="C266" s="24" t="s">
        <v>1100</v>
      </c>
      <c r="D266" s="24"/>
    </row>
    <row r="267" spans="1:5" x14ac:dyDescent="0.2">
      <c r="A267" s="71"/>
      <c r="B267" s="71"/>
      <c r="C267" s="24" t="s">
        <v>424</v>
      </c>
      <c r="D267" s="24"/>
    </row>
    <row r="268" spans="1:5" x14ac:dyDescent="0.2">
      <c r="A268" s="71"/>
      <c r="B268" s="71"/>
      <c r="C268" s="24" t="s">
        <v>1101</v>
      </c>
      <c r="D268" s="24"/>
    </row>
    <row r="269" spans="1:5" x14ac:dyDescent="0.2">
      <c r="A269" s="71"/>
      <c r="B269" s="71"/>
      <c r="C269" s="24" t="s">
        <v>1102</v>
      </c>
      <c r="D269" s="24"/>
    </row>
    <row r="270" spans="1:5" x14ac:dyDescent="0.2">
      <c r="A270" s="71"/>
      <c r="B270" s="71"/>
      <c r="C270" s="24" t="s">
        <v>1103</v>
      </c>
      <c r="D270" s="24" t="s">
        <v>1104</v>
      </c>
      <c r="E270" s="18" t="s">
        <v>873</v>
      </c>
    </row>
    <row r="271" spans="1:5" x14ac:dyDescent="0.2">
      <c r="A271" s="71"/>
      <c r="B271" s="71"/>
      <c r="C271" s="24" t="s">
        <v>1105</v>
      </c>
      <c r="D271" s="24" t="s">
        <v>1106</v>
      </c>
      <c r="E271" s="18" t="s">
        <v>873</v>
      </c>
    </row>
    <row r="272" spans="1:5" x14ac:dyDescent="0.2">
      <c r="A272" s="71"/>
      <c r="B272" s="71"/>
      <c r="C272" s="24" t="s">
        <v>1107</v>
      </c>
      <c r="D272" s="24" t="s">
        <v>1108</v>
      </c>
      <c r="E272" s="18" t="s">
        <v>873</v>
      </c>
    </row>
    <row r="273" spans="1:5" x14ac:dyDescent="0.2">
      <c r="A273" s="71"/>
      <c r="B273" s="71"/>
      <c r="C273" s="24" t="s">
        <v>1109</v>
      </c>
      <c r="D273" s="24"/>
    </row>
    <row r="274" spans="1:5" x14ac:dyDescent="0.2">
      <c r="A274" s="71"/>
      <c r="B274" s="71"/>
      <c r="C274" s="24" t="s">
        <v>1110</v>
      </c>
      <c r="D274" s="24" t="s">
        <v>1111</v>
      </c>
      <c r="E274" s="18" t="s">
        <v>873</v>
      </c>
    </row>
    <row r="275" spans="1:5" x14ac:dyDescent="0.2">
      <c r="A275" s="71"/>
      <c r="B275" s="71"/>
      <c r="C275" s="24" t="s">
        <v>474</v>
      </c>
      <c r="D275" s="24"/>
    </row>
    <row r="276" spans="1:5" x14ac:dyDescent="0.2">
      <c r="A276" s="71"/>
      <c r="B276" s="71"/>
      <c r="C276" s="24" t="s">
        <v>1112</v>
      </c>
      <c r="D276" s="24"/>
    </row>
    <row r="277" spans="1:5" x14ac:dyDescent="0.2">
      <c r="A277" s="71"/>
      <c r="B277" s="71"/>
      <c r="C277" s="24" t="s">
        <v>1113</v>
      </c>
      <c r="D277" s="24"/>
    </row>
    <row r="278" spans="1:5" x14ac:dyDescent="0.2">
      <c r="A278" s="71"/>
      <c r="B278" s="71"/>
      <c r="C278" s="24" t="s">
        <v>383</v>
      </c>
      <c r="D278" s="24"/>
    </row>
    <row r="279" spans="1:5" x14ac:dyDescent="0.2">
      <c r="A279" s="71"/>
      <c r="B279" s="71"/>
      <c r="C279" s="24" t="s">
        <v>1114</v>
      </c>
      <c r="D279" s="24"/>
    </row>
    <row r="280" spans="1:5" x14ac:dyDescent="0.2">
      <c r="A280" s="71"/>
      <c r="B280" s="71"/>
      <c r="C280" s="24" t="s">
        <v>1115</v>
      </c>
      <c r="D280" s="24"/>
    </row>
    <row r="281" spans="1:5" x14ac:dyDescent="0.2">
      <c r="A281" s="71"/>
      <c r="B281" s="71"/>
      <c r="C281" s="24" t="s">
        <v>1116</v>
      </c>
      <c r="D281" s="24"/>
    </row>
    <row r="282" spans="1:5" x14ac:dyDescent="0.2">
      <c r="A282" s="71"/>
      <c r="B282" s="71"/>
      <c r="C282" s="24" t="s">
        <v>1117</v>
      </c>
      <c r="D282" s="24" t="s">
        <v>1118</v>
      </c>
      <c r="E282" s="18" t="s">
        <v>873</v>
      </c>
    </row>
    <row r="283" spans="1:5" x14ac:dyDescent="0.2">
      <c r="A283" s="71"/>
      <c r="B283" s="71"/>
      <c r="C283" s="24" t="s">
        <v>1119</v>
      </c>
      <c r="D283" s="24"/>
    </row>
    <row r="284" spans="1:5" x14ac:dyDescent="0.2">
      <c r="A284" s="71"/>
      <c r="B284" s="71"/>
      <c r="C284" s="24" t="s">
        <v>413</v>
      </c>
      <c r="D284" s="24" t="s">
        <v>1120</v>
      </c>
      <c r="E284" s="18" t="s">
        <v>873</v>
      </c>
    </row>
    <row r="285" spans="1:5" x14ac:dyDescent="0.2">
      <c r="A285" s="71"/>
      <c r="B285" s="71"/>
      <c r="C285" s="24" t="s">
        <v>1121</v>
      </c>
      <c r="D285" s="24"/>
    </row>
    <row r="286" spans="1:5" x14ac:dyDescent="0.2">
      <c r="A286" s="71"/>
      <c r="B286" s="71"/>
      <c r="C286" s="24" t="s">
        <v>1122</v>
      </c>
      <c r="D286" s="24"/>
    </row>
    <row r="287" spans="1:5" x14ac:dyDescent="0.2">
      <c r="A287" s="71"/>
      <c r="B287" s="71"/>
      <c r="C287" s="24" t="s">
        <v>1123</v>
      </c>
      <c r="D287" s="24"/>
    </row>
    <row r="288" spans="1:5" x14ac:dyDescent="0.2">
      <c r="A288" s="71"/>
      <c r="B288" s="71"/>
      <c r="C288" s="24" t="s">
        <v>1124</v>
      </c>
      <c r="D288" s="24"/>
    </row>
    <row r="289" spans="1:5" x14ac:dyDescent="0.2">
      <c r="A289" s="71"/>
      <c r="B289" s="71"/>
      <c r="C289" s="24" t="s">
        <v>1125</v>
      </c>
      <c r="D289" s="24" t="s">
        <v>1126</v>
      </c>
      <c r="E289" s="18" t="s">
        <v>873</v>
      </c>
    </row>
    <row r="290" spans="1:5" x14ac:dyDescent="0.2">
      <c r="A290" s="71"/>
      <c r="B290" s="71"/>
      <c r="C290" s="24" t="s">
        <v>1127</v>
      </c>
      <c r="D290" s="24"/>
    </row>
    <row r="291" spans="1:5" x14ac:dyDescent="0.2">
      <c r="A291" s="71"/>
      <c r="B291" s="71"/>
      <c r="C291" s="24" t="s">
        <v>1128</v>
      </c>
      <c r="D291" s="24"/>
    </row>
    <row r="292" spans="1:5" x14ac:dyDescent="0.2">
      <c r="A292" s="71"/>
      <c r="B292" s="71"/>
      <c r="C292" s="24" t="s">
        <v>1129</v>
      </c>
      <c r="D292" s="24"/>
    </row>
    <row r="293" spans="1:5" x14ac:dyDescent="0.2">
      <c r="A293" s="71"/>
      <c r="B293" s="71"/>
      <c r="C293" s="24" t="s">
        <v>1130</v>
      </c>
      <c r="D293" s="24"/>
    </row>
    <row r="294" spans="1:5" x14ac:dyDescent="0.2">
      <c r="A294" s="71"/>
      <c r="B294" s="71"/>
      <c r="C294" s="24" t="s">
        <v>1131</v>
      </c>
      <c r="D294" s="24"/>
    </row>
    <row r="295" spans="1:5" x14ac:dyDescent="0.2">
      <c r="A295" s="71"/>
      <c r="B295" s="71"/>
      <c r="C295" s="24" t="s">
        <v>1132</v>
      </c>
      <c r="D295" s="24"/>
    </row>
    <row r="296" spans="1:5" x14ac:dyDescent="0.2">
      <c r="A296" s="71"/>
      <c r="B296" s="71"/>
      <c r="C296" s="24" t="s">
        <v>1133</v>
      </c>
      <c r="D296" s="24"/>
    </row>
    <row r="297" spans="1:5" x14ac:dyDescent="0.2">
      <c r="A297" s="71"/>
      <c r="B297" s="71"/>
      <c r="C297" s="24" t="s">
        <v>1134</v>
      </c>
      <c r="D297" s="24" t="s">
        <v>1135</v>
      </c>
      <c r="E297" s="18" t="s">
        <v>873</v>
      </c>
    </row>
    <row r="298" spans="1:5" x14ac:dyDescent="0.2">
      <c r="A298" s="71"/>
      <c r="B298" s="71"/>
      <c r="C298" s="24" t="s">
        <v>436</v>
      </c>
      <c r="D298" s="24"/>
    </row>
    <row r="299" spans="1:5" x14ac:dyDescent="0.2">
      <c r="A299" s="71"/>
      <c r="B299" s="71"/>
      <c r="C299" s="24" t="s">
        <v>1136</v>
      </c>
      <c r="D299" s="24"/>
    </row>
    <row r="300" spans="1:5" x14ac:dyDescent="0.2">
      <c r="A300" s="71"/>
      <c r="B300" s="71"/>
      <c r="C300" s="24" t="s">
        <v>1137</v>
      </c>
      <c r="D300" s="24"/>
      <c r="E300" s="18" t="s">
        <v>873</v>
      </c>
    </row>
    <row r="301" spans="1:5" x14ac:dyDescent="0.2">
      <c r="A301" s="71"/>
      <c r="B301" s="71"/>
      <c r="C301" s="24" t="s">
        <v>1138</v>
      </c>
      <c r="D301" s="24"/>
    </row>
    <row r="302" spans="1:5" x14ac:dyDescent="0.2">
      <c r="A302" s="71"/>
      <c r="B302" s="71"/>
      <c r="C302" s="24" t="s">
        <v>1139</v>
      </c>
      <c r="D302" s="24"/>
    </row>
    <row r="303" spans="1:5" x14ac:dyDescent="0.2">
      <c r="A303" s="71"/>
      <c r="B303" s="71"/>
      <c r="C303" s="24" t="s">
        <v>418</v>
      </c>
      <c r="D303" s="24"/>
    </row>
    <row r="304" spans="1:5" x14ac:dyDescent="0.2">
      <c r="A304" s="71"/>
      <c r="B304" s="71"/>
      <c r="C304" s="24" t="s">
        <v>1140</v>
      </c>
      <c r="D304" s="24"/>
    </row>
    <row r="305" spans="1:5" x14ac:dyDescent="0.2">
      <c r="A305" s="71"/>
      <c r="B305" s="71"/>
      <c r="C305" s="24" t="s">
        <v>408</v>
      </c>
      <c r="D305" s="24"/>
    </row>
    <row r="306" spans="1:5" x14ac:dyDescent="0.2">
      <c r="A306" s="71"/>
      <c r="B306" s="71"/>
      <c r="C306" s="24" t="s">
        <v>1141</v>
      </c>
      <c r="D306" s="24"/>
    </row>
    <row r="307" spans="1:5" x14ac:dyDescent="0.2">
      <c r="A307" s="71"/>
      <c r="B307" s="71"/>
      <c r="C307" s="24" t="s">
        <v>386</v>
      </c>
      <c r="D307" s="24"/>
    </row>
    <row r="308" spans="1:5" x14ac:dyDescent="0.2">
      <c r="A308" s="71"/>
      <c r="B308" s="71"/>
      <c r="C308" s="24" t="s">
        <v>1142</v>
      </c>
      <c r="D308" s="24"/>
    </row>
    <row r="309" spans="1:5" x14ac:dyDescent="0.2">
      <c r="A309" s="71"/>
      <c r="B309" s="71"/>
      <c r="C309" s="24" t="s">
        <v>1143</v>
      </c>
      <c r="D309" s="24"/>
    </row>
    <row r="310" spans="1:5" x14ac:dyDescent="0.2">
      <c r="A310" s="71"/>
      <c r="B310" s="71"/>
      <c r="C310" s="24" t="s">
        <v>1144</v>
      </c>
      <c r="D310" s="24"/>
      <c r="E310" s="18" t="s">
        <v>873</v>
      </c>
    </row>
    <row r="311" spans="1:5" x14ac:dyDescent="0.2">
      <c r="A311" s="71"/>
      <c r="B311" s="71"/>
      <c r="C311" s="24" t="s">
        <v>1145</v>
      </c>
      <c r="D311" s="24"/>
      <c r="E311" s="18" t="s">
        <v>873</v>
      </c>
    </row>
    <row r="312" spans="1:5" x14ac:dyDescent="0.2">
      <c r="A312" s="71"/>
      <c r="B312" s="71"/>
      <c r="C312" s="24" t="s">
        <v>1146</v>
      </c>
      <c r="D312" s="24"/>
      <c r="E312" s="18" t="s">
        <v>873</v>
      </c>
    </row>
    <row r="313" spans="1:5" x14ac:dyDescent="0.2">
      <c r="A313" s="71"/>
      <c r="B313" s="71"/>
      <c r="C313" s="24" t="s">
        <v>1147</v>
      </c>
      <c r="D313" s="24"/>
    </row>
    <row r="314" spans="1:5" x14ac:dyDescent="0.2">
      <c r="A314" s="71"/>
      <c r="B314" s="71"/>
      <c r="C314" s="24" t="s">
        <v>1148</v>
      </c>
      <c r="D314" s="24"/>
    </row>
    <row r="315" spans="1:5" x14ac:dyDescent="0.2">
      <c r="A315" s="71"/>
      <c r="B315" s="71"/>
      <c r="C315" s="24" t="s">
        <v>1149</v>
      </c>
      <c r="D315" s="24"/>
    </row>
    <row r="316" spans="1:5" x14ac:dyDescent="0.2">
      <c r="A316" s="71"/>
      <c r="B316" s="71"/>
      <c r="C316" s="24" t="s">
        <v>453</v>
      </c>
      <c r="D316" s="24"/>
    </row>
    <row r="317" spans="1:5" x14ac:dyDescent="0.2">
      <c r="A317" s="71"/>
      <c r="B317" s="71"/>
      <c r="C317" s="24" t="s">
        <v>1150</v>
      </c>
      <c r="D317" s="24"/>
    </row>
    <row r="318" spans="1:5" x14ac:dyDescent="0.2">
      <c r="A318" s="71"/>
      <c r="B318" s="71"/>
      <c r="C318" s="24" t="s">
        <v>1151</v>
      </c>
      <c r="D318" s="138" t="s">
        <v>1152</v>
      </c>
      <c r="E318" s="18" t="s">
        <v>873</v>
      </c>
    </row>
    <row r="319" spans="1:5" x14ac:dyDescent="0.2">
      <c r="A319" s="71"/>
      <c r="B319" s="71"/>
      <c r="C319" s="24" t="s">
        <v>1153</v>
      </c>
      <c r="D319" s="24"/>
    </row>
    <row r="320" spans="1:5" x14ac:dyDescent="0.2">
      <c r="A320" s="71"/>
      <c r="B320" s="71"/>
      <c r="C320" s="24" t="s">
        <v>1154</v>
      </c>
      <c r="D320" s="24"/>
    </row>
    <row r="321" spans="1:5" x14ac:dyDescent="0.2">
      <c r="A321" s="71"/>
      <c r="B321" s="71"/>
      <c r="C321" s="24" t="s">
        <v>1155</v>
      </c>
      <c r="D321" s="24"/>
    </row>
    <row r="322" spans="1:5" x14ac:dyDescent="0.2">
      <c r="A322" s="71"/>
      <c r="B322" s="71"/>
      <c r="C322" s="24" t="s">
        <v>1156</v>
      </c>
      <c r="D322" s="24"/>
    </row>
    <row r="323" spans="1:5" x14ac:dyDescent="0.2">
      <c r="A323" s="71"/>
      <c r="B323" s="71"/>
      <c r="C323" s="24" t="s">
        <v>1157</v>
      </c>
      <c r="D323" s="24"/>
    </row>
    <row r="324" spans="1:5" x14ac:dyDescent="0.2">
      <c r="A324" s="71"/>
      <c r="B324" s="71"/>
      <c r="C324" s="24" t="s">
        <v>1158</v>
      </c>
      <c r="D324" s="24"/>
    </row>
    <row r="325" spans="1:5" x14ac:dyDescent="0.2">
      <c r="A325" s="71"/>
      <c r="B325" s="71"/>
      <c r="C325" s="24" t="s">
        <v>1159</v>
      </c>
      <c r="D325" s="24"/>
    </row>
    <row r="326" spans="1:5" x14ac:dyDescent="0.2">
      <c r="A326" s="71"/>
      <c r="B326" s="71"/>
      <c r="C326" s="24" t="s">
        <v>1160</v>
      </c>
      <c r="D326" s="24"/>
    </row>
    <row r="327" spans="1:5" x14ac:dyDescent="0.2">
      <c r="A327" s="71"/>
      <c r="B327" s="71"/>
      <c r="C327" s="24" t="s">
        <v>719</v>
      </c>
      <c r="D327" s="24"/>
    </row>
    <row r="328" spans="1:5" x14ac:dyDescent="0.2">
      <c r="A328" s="88"/>
      <c r="B328" s="78" t="s">
        <v>483</v>
      </c>
      <c r="C328" s="64" t="s">
        <v>1161</v>
      </c>
      <c r="D328" s="64"/>
      <c r="E328" s="18" t="s">
        <v>873</v>
      </c>
    </row>
    <row r="329" spans="1:5" x14ac:dyDescent="0.2">
      <c r="A329" s="89"/>
      <c r="B329" s="79"/>
      <c r="C329" s="64" t="s">
        <v>1162</v>
      </c>
      <c r="D329" s="64"/>
      <c r="E329" s="18" t="s">
        <v>873</v>
      </c>
    </row>
    <row r="330" spans="1:5" x14ac:dyDescent="0.2">
      <c r="A330" s="89"/>
      <c r="B330" s="79"/>
      <c r="C330" s="140" t="s">
        <v>489</v>
      </c>
      <c r="D330" s="64"/>
      <c r="E330" s="18" t="s">
        <v>873</v>
      </c>
    </row>
    <row r="331" spans="1:5" x14ac:dyDescent="0.2">
      <c r="A331" s="89"/>
      <c r="B331" s="79"/>
      <c r="C331" s="139" t="s">
        <v>1163</v>
      </c>
      <c r="D331" s="64"/>
      <c r="E331" s="18" t="s">
        <v>873</v>
      </c>
    </row>
    <row r="332" spans="1:5" x14ac:dyDescent="0.2">
      <c r="A332" s="89"/>
      <c r="B332" s="79"/>
      <c r="C332" s="139" t="s">
        <v>1164</v>
      </c>
      <c r="D332" s="64"/>
      <c r="E332" s="18" t="s">
        <v>873</v>
      </c>
    </row>
    <row r="333" spans="1:5" x14ac:dyDescent="0.2">
      <c r="A333" s="89"/>
      <c r="B333" s="79"/>
      <c r="C333" s="139" t="s">
        <v>1165</v>
      </c>
      <c r="D333" s="64"/>
      <c r="E333" s="18" t="s">
        <v>873</v>
      </c>
    </row>
    <row r="334" spans="1:5" x14ac:dyDescent="0.2">
      <c r="A334" s="89"/>
      <c r="B334" s="79"/>
      <c r="C334" s="139" t="s">
        <v>1166</v>
      </c>
      <c r="D334" s="64"/>
      <c r="E334" s="18" t="s">
        <v>873</v>
      </c>
    </row>
    <row r="335" spans="1:5" x14ac:dyDescent="0.2">
      <c r="A335" s="89"/>
      <c r="B335" s="79"/>
      <c r="C335" s="64" t="s">
        <v>492</v>
      </c>
      <c r="D335" s="64"/>
      <c r="E335" s="18" t="s">
        <v>873</v>
      </c>
    </row>
    <row r="336" spans="1:5" x14ac:dyDescent="0.2">
      <c r="A336" s="89"/>
      <c r="B336" s="79"/>
      <c r="C336" s="64" t="s">
        <v>1167</v>
      </c>
      <c r="D336" s="64"/>
      <c r="E336" s="18" t="s">
        <v>873</v>
      </c>
    </row>
    <row r="337" spans="1:5" x14ac:dyDescent="0.2">
      <c r="A337" s="89"/>
      <c r="B337" s="79"/>
      <c r="C337" s="64" t="s">
        <v>1168</v>
      </c>
      <c r="D337" s="64"/>
      <c r="E337" s="18" t="s">
        <v>873</v>
      </c>
    </row>
    <row r="338" spans="1:5" x14ac:dyDescent="0.2">
      <c r="A338" s="89"/>
      <c r="B338" s="79"/>
      <c r="C338" s="64" t="s">
        <v>1169</v>
      </c>
      <c r="D338" s="64"/>
      <c r="E338" s="18" t="s">
        <v>873</v>
      </c>
    </row>
    <row r="339" spans="1:5" x14ac:dyDescent="0.2">
      <c r="A339" s="89"/>
      <c r="B339" s="79"/>
      <c r="C339" s="64" t="s">
        <v>517</v>
      </c>
      <c r="D339" s="64"/>
      <c r="E339" s="18" t="s">
        <v>873</v>
      </c>
    </row>
    <row r="340" spans="1:5" x14ac:dyDescent="0.2">
      <c r="A340" s="89"/>
      <c r="B340" s="79"/>
      <c r="C340" s="64" t="s">
        <v>1170</v>
      </c>
      <c r="D340" s="64"/>
      <c r="E340" s="18" t="s">
        <v>873</v>
      </c>
    </row>
    <row r="341" spans="1:5" x14ac:dyDescent="0.2">
      <c r="A341" s="89"/>
      <c r="B341" s="79"/>
      <c r="C341" s="64" t="s">
        <v>1171</v>
      </c>
      <c r="D341" s="64"/>
      <c r="E341" s="18" t="s">
        <v>873</v>
      </c>
    </row>
    <row r="342" spans="1:5" x14ac:dyDescent="0.2">
      <c r="A342" s="89"/>
      <c r="B342" s="79"/>
      <c r="C342" s="64" t="s">
        <v>559</v>
      </c>
      <c r="D342" s="64"/>
      <c r="E342" s="18" t="s">
        <v>873</v>
      </c>
    </row>
    <row r="343" spans="1:5" x14ac:dyDescent="0.2">
      <c r="A343" s="89"/>
      <c r="B343" s="79"/>
      <c r="C343" s="64" t="s">
        <v>1172</v>
      </c>
      <c r="D343" s="64"/>
      <c r="E343" s="18" t="s">
        <v>873</v>
      </c>
    </row>
    <row r="344" spans="1:5" x14ac:dyDescent="0.2">
      <c r="A344" s="89"/>
      <c r="B344" s="79"/>
      <c r="C344" s="64" t="s">
        <v>526</v>
      </c>
      <c r="D344" s="64"/>
      <c r="E344" s="18" t="s">
        <v>873</v>
      </c>
    </row>
    <row r="345" spans="1:5" x14ac:dyDescent="0.2">
      <c r="A345" s="89"/>
      <c r="B345" s="79"/>
      <c r="C345" s="64" t="s">
        <v>1173</v>
      </c>
      <c r="D345" s="64"/>
      <c r="E345" s="18" t="s">
        <v>873</v>
      </c>
    </row>
    <row r="346" spans="1:5" x14ac:dyDescent="0.2">
      <c r="A346" s="89"/>
      <c r="B346" s="79"/>
      <c r="C346" s="64" t="s">
        <v>547</v>
      </c>
      <c r="D346" s="64"/>
      <c r="E346" s="18" t="s">
        <v>873</v>
      </c>
    </row>
    <row r="347" spans="1:5" x14ac:dyDescent="0.2">
      <c r="A347" s="89"/>
      <c r="B347" s="79"/>
      <c r="C347" s="64" t="s">
        <v>573</v>
      </c>
      <c r="D347" s="64"/>
      <c r="E347" s="18" t="s">
        <v>873</v>
      </c>
    </row>
    <row r="348" spans="1:5" x14ac:dyDescent="0.2">
      <c r="A348" s="89"/>
      <c r="B348" s="79"/>
      <c r="C348" s="64" t="s">
        <v>1174</v>
      </c>
      <c r="D348" s="64"/>
      <c r="E348" s="18" t="s">
        <v>873</v>
      </c>
    </row>
    <row r="349" spans="1:5" x14ac:dyDescent="0.2">
      <c r="A349" s="89"/>
      <c r="B349" s="79"/>
      <c r="C349" s="64" t="s">
        <v>1175</v>
      </c>
      <c r="D349" s="64"/>
      <c r="E349" s="18" t="s">
        <v>873</v>
      </c>
    </row>
    <row r="350" spans="1:5" x14ac:dyDescent="0.2">
      <c r="A350" s="89"/>
      <c r="B350" s="79"/>
      <c r="C350" s="64" t="s">
        <v>1176</v>
      </c>
      <c r="D350" s="64"/>
      <c r="E350" s="18" t="s">
        <v>873</v>
      </c>
    </row>
    <row r="351" spans="1:5" x14ac:dyDescent="0.2">
      <c r="A351" s="89"/>
      <c r="B351" s="79"/>
      <c r="C351" s="64" t="s">
        <v>1177</v>
      </c>
      <c r="D351" s="64"/>
      <c r="E351" s="18" t="s">
        <v>873</v>
      </c>
    </row>
    <row r="352" spans="1:5" x14ac:dyDescent="0.2">
      <c r="A352" s="89"/>
      <c r="B352" s="79"/>
      <c r="C352" s="64" t="s">
        <v>1178</v>
      </c>
      <c r="D352" s="64"/>
      <c r="E352" s="18" t="s">
        <v>873</v>
      </c>
    </row>
    <row r="353" spans="1:5" x14ac:dyDescent="0.2">
      <c r="A353" s="89"/>
      <c r="B353" s="79"/>
      <c r="C353" s="64" t="s">
        <v>1179</v>
      </c>
      <c r="D353" s="64"/>
      <c r="E353" s="18" t="s">
        <v>873</v>
      </c>
    </row>
    <row r="354" spans="1:5" x14ac:dyDescent="0.2">
      <c r="A354" s="89"/>
      <c r="B354" s="79"/>
      <c r="C354" s="64" t="s">
        <v>523</v>
      </c>
      <c r="D354" s="64"/>
      <c r="E354" s="18" t="s">
        <v>873</v>
      </c>
    </row>
    <row r="355" spans="1:5" x14ac:dyDescent="0.2">
      <c r="A355" s="89"/>
      <c r="B355" s="79"/>
      <c r="C355" s="64" t="s">
        <v>539</v>
      </c>
      <c r="D355" s="64"/>
      <c r="E355" s="18" t="s">
        <v>873</v>
      </c>
    </row>
    <row r="356" spans="1:5" x14ac:dyDescent="0.2">
      <c r="A356" s="89"/>
      <c r="B356" s="79"/>
      <c r="C356" s="64" t="s">
        <v>1180</v>
      </c>
      <c r="D356" s="64"/>
      <c r="E356" s="18" t="s">
        <v>873</v>
      </c>
    </row>
    <row r="357" spans="1:5" x14ac:dyDescent="0.2">
      <c r="A357" s="89"/>
      <c r="B357" s="79"/>
      <c r="C357" s="64" t="s">
        <v>1181</v>
      </c>
      <c r="D357" s="64"/>
      <c r="E357" s="18" t="s">
        <v>873</v>
      </c>
    </row>
    <row r="358" spans="1:5" x14ac:dyDescent="0.2">
      <c r="A358" s="89"/>
      <c r="B358" s="79"/>
      <c r="C358" s="64" t="s">
        <v>1182</v>
      </c>
      <c r="D358" s="64"/>
      <c r="E358" s="18" t="s">
        <v>873</v>
      </c>
    </row>
    <row r="359" spans="1:5" x14ac:dyDescent="0.2">
      <c r="A359" s="89"/>
      <c r="B359" s="79"/>
      <c r="C359" s="64" t="s">
        <v>552</v>
      </c>
      <c r="D359" s="64"/>
      <c r="E359" s="18" t="s">
        <v>873</v>
      </c>
    </row>
    <row r="360" spans="1:5" x14ac:dyDescent="0.2">
      <c r="A360" s="89"/>
      <c r="B360" s="79"/>
      <c r="C360" s="64" t="s">
        <v>1183</v>
      </c>
      <c r="D360" s="64"/>
      <c r="E360" s="18" t="s">
        <v>873</v>
      </c>
    </row>
    <row r="361" spans="1:5" x14ac:dyDescent="0.2">
      <c r="A361" s="89"/>
      <c r="B361" s="79"/>
      <c r="C361" s="64" t="s">
        <v>1184</v>
      </c>
      <c r="D361" s="64"/>
      <c r="E361" s="18" t="s">
        <v>873</v>
      </c>
    </row>
    <row r="362" spans="1:5" x14ac:dyDescent="0.2">
      <c r="A362" s="89"/>
      <c r="B362" s="79"/>
      <c r="C362" s="64" t="s">
        <v>544</v>
      </c>
      <c r="D362" s="64"/>
      <c r="E362" s="18" t="s">
        <v>873</v>
      </c>
    </row>
    <row r="363" spans="1:5" x14ac:dyDescent="0.2">
      <c r="A363" s="89"/>
      <c r="B363" s="79"/>
      <c r="C363" s="64" t="s">
        <v>1185</v>
      </c>
      <c r="D363" s="64"/>
      <c r="E363" s="18" t="s">
        <v>873</v>
      </c>
    </row>
    <row r="364" spans="1:5" x14ac:dyDescent="0.2">
      <c r="A364" s="89"/>
      <c r="B364" s="79"/>
      <c r="C364" s="64" t="s">
        <v>1186</v>
      </c>
      <c r="D364" s="64"/>
      <c r="E364" s="18" t="s">
        <v>873</v>
      </c>
    </row>
    <row r="365" spans="1:5" x14ac:dyDescent="0.2">
      <c r="A365" s="89"/>
      <c r="B365" s="79"/>
      <c r="C365" s="64" t="s">
        <v>1187</v>
      </c>
      <c r="D365" s="64"/>
      <c r="E365" s="18" t="s">
        <v>873</v>
      </c>
    </row>
    <row r="366" spans="1:5" x14ac:dyDescent="0.2">
      <c r="A366" s="89"/>
      <c r="B366" s="79"/>
      <c r="C366" s="64" t="s">
        <v>1188</v>
      </c>
      <c r="D366" s="64"/>
      <c r="E366" s="18" t="s">
        <v>873</v>
      </c>
    </row>
    <row r="367" spans="1:5" x14ac:dyDescent="0.2">
      <c r="A367" s="89"/>
      <c r="B367" s="79"/>
      <c r="C367" s="64" t="s">
        <v>1189</v>
      </c>
      <c r="D367" s="64"/>
      <c r="E367" s="18" t="s">
        <v>873</v>
      </c>
    </row>
    <row r="368" spans="1:5" x14ac:dyDescent="0.2">
      <c r="A368" s="89"/>
      <c r="B368" s="79"/>
      <c r="C368" s="64" t="s">
        <v>1190</v>
      </c>
      <c r="D368" s="64"/>
      <c r="E368" s="18" t="s">
        <v>873</v>
      </c>
    </row>
    <row r="369" spans="1:5" x14ac:dyDescent="0.2">
      <c r="A369" s="89"/>
      <c r="B369" s="79"/>
      <c r="C369" s="64" t="s">
        <v>511</v>
      </c>
      <c r="D369" s="64"/>
      <c r="E369" s="18" t="s">
        <v>873</v>
      </c>
    </row>
    <row r="370" spans="1:5" x14ac:dyDescent="0.2">
      <c r="A370" s="89"/>
      <c r="B370" s="79"/>
      <c r="C370" s="64" t="s">
        <v>1191</v>
      </c>
      <c r="D370" s="64"/>
      <c r="E370" s="18" t="s">
        <v>873</v>
      </c>
    </row>
    <row r="371" spans="1:5" x14ac:dyDescent="0.2">
      <c r="A371" s="89"/>
      <c r="B371" s="79"/>
      <c r="C371" s="64" t="s">
        <v>1192</v>
      </c>
      <c r="D371" s="64"/>
      <c r="E371" s="18" t="s">
        <v>873</v>
      </c>
    </row>
    <row r="372" spans="1:5" x14ac:dyDescent="0.2">
      <c r="A372" s="89"/>
      <c r="B372" s="79"/>
      <c r="C372" s="64" t="s">
        <v>1193</v>
      </c>
      <c r="D372" s="64"/>
      <c r="E372" s="18" t="s">
        <v>873</v>
      </c>
    </row>
    <row r="373" spans="1:5" x14ac:dyDescent="0.2">
      <c r="A373" s="89"/>
      <c r="B373" s="79"/>
      <c r="C373" s="64" t="s">
        <v>1194</v>
      </c>
      <c r="D373" s="64"/>
      <c r="E373" s="18" t="s">
        <v>873</v>
      </c>
    </row>
    <row r="374" spans="1:5" x14ac:dyDescent="0.2">
      <c r="A374" s="89"/>
      <c r="B374" s="79"/>
      <c r="C374" s="64" t="s">
        <v>1195</v>
      </c>
      <c r="D374" s="64"/>
      <c r="E374" s="18" t="s">
        <v>873</v>
      </c>
    </row>
    <row r="375" spans="1:5" x14ac:dyDescent="0.2">
      <c r="A375" s="89"/>
      <c r="B375" s="79"/>
      <c r="C375" s="64" t="s">
        <v>1196</v>
      </c>
      <c r="D375" s="64"/>
      <c r="E375" s="18" t="s">
        <v>873</v>
      </c>
    </row>
    <row r="376" spans="1:5" x14ac:dyDescent="0.2">
      <c r="A376" s="89"/>
      <c r="B376" s="79"/>
      <c r="C376" s="64" t="s">
        <v>1197</v>
      </c>
      <c r="D376" s="64"/>
      <c r="E376" s="18" t="s">
        <v>873</v>
      </c>
    </row>
    <row r="377" spans="1:5" x14ac:dyDescent="0.2">
      <c r="A377" s="89"/>
      <c r="B377" s="79"/>
      <c r="C377" s="64" t="s">
        <v>1198</v>
      </c>
      <c r="D377" s="64"/>
      <c r="E377" s="18" t="s">
        <v>873</v>
      </c>
    </row>
    <row r="378" spans="1:5" x14ac:dyDescent="0.2">
      <c r="A378" s="89"/>
      <c r="B378" s="79"/>
      <c r="C378" s="64" t="s">
        <v>1199</v>
      </c>
      <c r="D378" s="64"/>
      <c r="E378" s="18" t="s">
        <v>873</v>
      </c>
    </row>
    <row r="379" spans="1:5" x14ac:dyDescent="0.2">
      <c r="A379" s="89"/>
      <c r="B379" s="79"/>
      <c r="C379" s="64" t="s">
        <v>1200</v>
      </c>
      <c r="D379" s="64"/>
      <c r="E379" s="18" t="s">
        <v>873</v>
      </c>
    </row>
    <row r="380" spans="1:5" x14ac:dyDescent="0.2">
      <c r="A380" s="89"/>
      <c r="B380" s="79"/>
      <c r="C380" s="64" t="s">
        <v>1201</v>
      </c>
      <c r="D380" s="64"/>
      <c r="E380" s="18" t="s">
        <v>873</v>
      </c>
    </row>
    <row r="381" spans="1:5" x14ac:dyDescent="0.2">
      <c r="A381" s="89"/>
      <c r="B381" s="79"/>
      <c r="C381" s="64" t="s">
        <v>1202</v>
      </c>
      <c r="D381" s="64"/>
      <c r="E381" s="18" t="s">
        <v>873</v>
      </c>
    </row>
    <row r="382" spans="1:5" x14ac:dyDescent="0.2">
      <c r="A382" s="89"/>
      <c r="B382" s="79"/>
      <c r="C382" s="64" t="s">
        <v>1203</v>
      </c>
      <c r="D382" s="64"/>
      <c r="E382" s="18" t="s">
        <v>873</v>
      </c>
    </row>
    <row r="383" spans="1:5" x14ac:dyDescent="0.2">
      <c r="A383" s="89"/>
      <c r="B383" s="79"/>
      <c r="C383" s="64" t="s">
        <v>1204</v>
      </c>
      <c r="D383" s="64"/>
      <c r="E383" s="18" t="s">
        <v>873</v>
      </c>
    </row>
    <row r="384" spans="1:5" x14ac:dyDescent="0.2">
      <c r="A384" s="89"/>
      <c r="B384" s="79"/>
      <c r="C384" s="64" t="s">
        <v>1205</v>
      </c>
      <c r="D384" s="64"/>
      <c r="E384" s="18" t="s">
        <v>873</v>
      </c>
    </row>
    <row r="385" spans="1:5" x14ac:dyDescent="0.2">
      <c r="A385" s="89"/>
      <c r="B385" s="79"/>
      <c r="C385" s="64" t="s">
        <v>1206</v>
      </c>
      <c r="D385" s="64"/>
      <c r="E385" s="18" t="s">
        <v>873</v>
      </c>
    </row>
    <row r="386" spans="1:5" x14ac:dyDescent="0.2">
      <c r="A386" s="89"/>
      <c r="B386" s="79"/>
      <c r="C386" s="64" t="s">
        <v>1207</v>
      </c>
      <c r="D386" s="64"/>
      <c r="E386" s="18" t="s">
        <v>873</v>
      </c>
    </row>
    <row r="387" spans="1:5" x14ac:dyDescent="0.2">
      <c r="A387" s="89"/>
      <c r="B387" s="79"/>
      <c r="C387" s="64" t="s">
        <v>1208</v>
      </c>
      <c r="D387" s="64"/>
      <c r="E387" s="18" t="s">
        <v>873</v>
      </c>
    </row>
    <row r="388" spans="1:5" x14ac:dyDescent="0.2">
      <c r="A388" s="89"/>
      <c r="B388" s="79"/>
      <c r="C388" s="64" t="s">
        <v>1209</v>
      </c>
      <c r="D388" s="64"/>
      <c r="E388" s="18" t="s">
        <v>873</v>
      </c>
    </row>
    <row r="389" spans="1:5" x14ac:dyDescent="0.2">
      <c r="A389" s="89"/>
      <c r="B389" s="79"/>
      <c r="C389" s="64" t="s">
        <v>1210</v>
      </c>
      <c r="D389" s="64"/>
      <c r="E389" s="18" t="s">
        <v>873</v>
      </c>
    </row>
    <row r="390" spans="1:5" x14ac:dyDescent="0.2">
      <c r="A390" s="89"/>
      <c r="B390" s="79"/>
      <c r="C390" s="64" t="s">
        <v>1211</v>
      </c>
      <c r="D390" s="64"/>
      <c r="E390" s="18" t="s">
        <v>873</v>
      </c>
    </row>
    <row r="391" spans="1:5" x14ac:dyDescent="0.2">
      <c r="A391" s="89"/>
      <c r="B391" s="79"/>
      <c r="C391" s="64" t="s">
        <v>1212</v>
      </c>
      <c r="D391" s="64"/>
      <c r="E391" s="18" t="s">
        <v>873</v>
      </c>
    </row>
    <row r="392" spans="1:5" x14ac:dyDescent="0.2">
      <c r="A392" s="89"/>
      <c r="B392" s="79"/>
      <c r="C392" s="64" t="s">
        <v>501</v>
      </c>
      <c r="D392" s="64"/>
      <c r="E392" s="18" t="s">
        <v>873</v>
      </c>
    </row>
    <row r="393" spans="1:5" x14ac:dyDescent="0.2">
      <c r="A393" s="89"/>
      <c r="B393" s="79"/>
      <c r="C393" s="64" t="s">
        <v>1213</v>
      </c>
      <c r="D393" s="64"/>
      <c r="E393" s="18" t="s">
        <v>873</v>
      </c>
    </row>
    <row r="394" spans="1:5" x14ac:dyDescent="0.2">
      <c r="A394" s="89"/>
      <c r="B394" s="79"/>
      <c r="C394" s="64" t="s">
        <v>1214</v>
      </c>
      <c r="D394" s="64"/>
      <c r="E394" s="18" t="s">
        <v>873</v>
      </c>
    </row>
    <row r="395" spans="1:5" x14ac:dyDescent="0.2">
      <c r="A395" s="89"/>
      <c r="B395" s="79"/>
      <c r="C395" s="64" t="s">
        <v>1215</v>
      </c>
      <c r="D395" s="64"/>
      <c r="E395" s="18" t="s">
        <v>873</v>
      </c>
    </row>
    <row r="396" spans="1:5" x14ac:dyDescent="0.2">
      <c r="A396" s="89"/>
      <c r="B396" s="79"/>
      <c r="C396" s="64" t="s">
        <v>1216</v>
      </c>
      <c r="D396" s="64"/>
      <c r="E396" s="18" t="s">
        <v>873</v>
      </c>
    </row>
    <row r="397" spans="1:5" x14ac:dyDescent="0.2">
      <c r="A397" s="89"/>
      <c r="B397" s="79"/>
      <c r="C397" s="64" t="s">
        <v>1217</v>
      </c>
      <c r="D397" s="64"/>
      <c r="E397" s="18" t="s">
        <v>873</v>
      </c>
    </row>
    <row r="398" spans="1:5" x14ac:dyDescent="0.2">
      <c r="A398" s="89"/>
      <c r="B398" s="79"/>
      <c r="C398" s="64" t="s">
        <v>1218</v>
      </c>
      <c r="D398" s="64"/>
      <c r="E398" s="18" t="s">
        <v>873</v>
      </c>
    </row>
    <row r="399" spans="1:5" x14ac:dyDescent="0.2">
      <c r="A399" s="89"/>
      <c r="B399" s="79"/>
      <c r="C399" s="64" t="s">
        <v>1219</v>
      </c>
      <c r="D399" s="64"/>
      <c r="E399" s="18" t="s">
        <v>873</v>
      </c>
    </row>
    <row r="400" spans="1:5" x14ac:dyDescent="0.2">
      <c r="A400" s="89"/>
      <c r="B400" s="79"/>
      <c r="C400" s="64" t="s">
        <v>1220</v>
      </c>
      <c r="D400" s="64"/>
      <c r="E400" s="18" t="s">
        <v>873</v>
      </c>
    </row>
    <row r="401" spans="1:5" x14ac:dyDescent="0.2">
      <c r="A401" s="89"/>
      <c r="B401" s="79"/>
      <c r="C401" s="64" t="s">
        <v>1221</v>
      </c>
      <c r="D401" s="64"/>
      <c r="E401" s="18" t="s">
        <v>873</v>
      </c>
    </row>
    <row r="402" spans="1:5" x14ac:dyDescent="0.2">
      <c r="A402" s="89"/>
      <c r="B402" s="79"/>
      <c r="C402" s="64" t="s">
        <v>1222</v>
      </c>
      <c r="D402" s="64"/>
      <c r="E402" s="18" t="s">
        <v>873</v>
      </c>
    </row>
    <row r="403" spans="1:5" x14ac:dyDescent="0.2">
      <c r="A403" s="89"/>
      <c r="B403" s="79"/>
      <c r="C403" s="64" t="s">
        <v>1223</v>
      </c>
      <c r="D403" s="64"/>
      <c r="E403" s="18" t="s">
        <v>873</v>
      </c>
    </row>
    <row r="404" spans="1:5" x14ac:dyDescent="0.2">
      <c r="A404" s="89"/>
      <c r="B404" s="79"/>
      <c r="C404" s="64" t="s">
        <v>1224</v>
      </c>
      <c r="D404" s="64"/>
      <c r="E404" s="18" t="s">
        <v>873</v>
      </c>
    </row>
    <row r="405" spans="1:5" x14ac:dyDescent="0.2">
      <c r="A405" s="89"/>
      <c r="B405" s="79"/>
      <c r="C405" s="64" t="s">
        <v>1225</v>
      </c>
      <c r="D405" s="64"/>
      <c r="E405" s="18" t="s">
        <v>873</v>
      </c>
    </row>
    <row r="406" spans="1:5" x14ac:dyDescent="0.2">
      <c r="A406" s="89"/>
      <c r="B406" s="79"/>
      <c r="C406" s="64" t="s">
        <v>1226</v>
      </c>
      <c r="D406" s="64"/>
      <c r="E406" s="18" t="s">
        <v>873</v>
      </c>
    </row>
    <row r="407" spans="1:5" x14ac:dyDescent="0.2">
      <c r="A407" s="89"/>
      <c r="B407" s="79"/>
      <c r="C407" s="64" t="s">
        <v>1227</v>
      </c>
      <c r="D407" s="64"/>
      <c r="E407" s="18" t="s">
        <v>873</v>
      </c>
    </row>
    <row r="408" spans="1:5" x14ac:dyDescent="0.2">
      <c r="A408" s="89"/>
      <c r="B408" s="79"/>
      <c r="C408" s="64" t="s">
        <v>1228</v>
      </c>
      <c r="D408" s="64"/>
      <c r="E408" s="18" t="s">
        <v>873</v>
      </c>
    </row>
    <row r="409" spans="1:5" x14ac:dyDescent="0.2">
      <c r="A409" s="89"/>
      <c r="B409" s="79"/>
      <c r="C409" s="64" t="s">
        <v>1229</v>
      </c>
      <c r="D409" s="64"/>
      <c r="E409" s="18" t="s">
        <v>873</v>
      </c>
    </row>
    <row r="410" spans="1:5" x14ac:dyDescent="0.2">
      <c r="A410" s="89"/>
      <c r="B410" s="79"/>
      <c r="C410" s="64" t="s">
        <v>1230</v>
      </c>
      <c r="D410" s="64"/>
      <c r="E410" s="18" t="s">
        <v>873</v>
      </c>
    </row>
    <row r="411" spans="1:5" x14ac:dyDescent="0.2">
      <c r="A411" s="89"/>
      <c r="B411" s="79"/>
      <c r="C411" s="64" t="s">
        <v>1231</v>
      </c>
      <c r="D411" s="64"/>
      <c r="E411" s="18" t="s">
        <v>873</v>
      </c>
    </row>
    <row r="412" spans="1:5" x14ac:dyDescent="0.2">
      <c r="A412" s="89"/>
      <c r="B412" s="79"/>
      <c r="C412" s="64" t="s">
        <v>1232</v>
      </c>
      <c r="D412" s="64"/>
      <c r="E412" s="18" t="s">
        <v>873</v>
      </c>
    </row>
    <row r="413" spans="1:5" x14ac:dyDescent="0.2">
      <c r="A413" s="89"/>
      <c r="B413" s="79"/>
      <c r="C413" s="64" t="s">
        <v>1233</v>
      </c>
      <c r="D413" s="64"/>
      <c r="E413" s="18" t="s">
        <v>873</v>
      </c>
    </row>
    <row r="414" spans="1:5" x14ac:dyDescent="0.2">
      <c r="A414" s="89"/>
      <c r="B414" s="79"/>
      <c r="C414" s="64" t="s">
        <v>1234</v>
      </c>
      <c r="D414" s="64"/>
      <c r="E414" s="18" t="s">
        <v>873</v>
      </c>
    </row>
    <row r="415" spans="1:5" x14ac:dyDescent="0.2">
      <c r="A415" s="89"/>
      <c r="B415" s="79"/>
      <c r="C415" s="64" t="s">
        <v>1235</v>
      </c>
      <c r="D415" s="64"/>
      <c r="E415" s="18" t="s">
        <v>873</v>
      </c>
    </row>
    <row r="416" spans="1:5" x14ac:dyDescent="0.2">
      <c r="A416" s="89"/>
      <c r="B416" s="79"/>
      <c r="C416" s="64" t="s">
        <v>1236</v>
      </c>
      <c r="D416" s="64"/>
      <c r="E416" s="18" t="s">
        <v>873</v>
      </c>
    </row>
    <row r="417" spans="1:5" x14ac:dyDescent="0.2">
      <c r="A417" s="89"/>
      <c r="B417" s="79"/>
      <c r="C417" s="64" t="s">
        <v>1237</v>
      </c>
      <c r="D417" s="64"/>
      <c r="E417" s="18" t="s">
        <v>873</v>
      </c>
    </row>
    <row r="418" spans="1:5" x14ac:dyDescent="0.2">
      <c r="A418" s="89"/>
      <c r="B418" s="79"/>
      <c r="C418" s="64" t="s">
        <v>1238</v>
      </c>
      <c r="D418" s="64"/>
      <c r="E418" s="18" t="s">
        <v>873</v>
      </c>
    </row>
    <row r="419" spans="1:5" x14ac:dyDescent="0.2">
      <c r="A419" s="89"/>
      <c r="B419" s="79"/>
      <c r="C419" s="64" t="s">
        <v>1239</v>
      </c>
      <c r="D419" s="64"/>
      <c r="E419" s="18" t="s">
        <v>873</v>
      </c>
    </row>
    <row r="420" spans="1:5" x14ac:dyDescent="0.2">
      <c r="A420" s="89"/>
      <c r="B420" s="79"/>
      <c r="C420" s="64" t="s">
        <v>1240</v>
      </c>
      <c r="D420" s="64"/>
      <c r="E420" s="18" t="s">
        <v>873</v>
      </c>
    </row>
    <row r="421" spans="1:5" x14ac:dyDescent="0.2">
      <c r="A421" s="89"/>
      <c r="B421" s="79"/>
      <c r="C421" s="64" t="s">
        <v>1241</v>
      </c>
      <c r="D421" s="64"/>
      <c r="E421" s="18" t="s">
        <v>873</v>
      </c>
    </row>
    <row r="422" spans="1:5" x14ac:dyDescent="0.2">
      <c r="A422" s="89"/>
      <c r="B422" s="79"/>
      <c r="C422" s="64" t="s">
        <v>1242</v>
      </c>
      <c r="D422" s="64"/>
      <c r="E422" s="18" t="s">
        <v>873</v>
      </c>
    </row>
    <row r="423" spans="1:5" x14ac:dyDescent="0.2">
      <c r="A423" s="89"/>
      <c r="B423" s="79"/>
      <c r="C423" s="64" t="s">
        <v>1243</v>
      </c>
      <c r="D423" s="64"/>
      <c r="E423" s="18" t="s">
        <v>873</v>
      </c>
    </row>
    <row r="424" spans="1:5" x14ac:dyDescent="0.2">
      <c r="A424" s="89"/>
      <c r="B424" s="79"/>
      <c r="C424" s="64" t="s">
        <v>1244</v>
      </c>
      <c r="D424" s="64"/>
      <c r="E424" s="18" t="s">
        <v>873</v>
      </c>
    </row>
    <row r="425" spans="1:5" x14ac:dyDescent="0.2">
      <c r="A425" s="89"/>
      <c r="B425" s="79"/>
      <c r="C425" s="64" t="s">
        <v>1245</v>
      </c>
      <c r="D425" s="64"/>
      <c r="E425" s="18" t="s">
        <v>873</v>
      </c>
    </row>
    <row r="426" spans="1:5" x14ac:dyDescent="0.2">
      <c r="A426" s="89"/>
      <c r="B426" s="79"/>
      <c r="C426" s="64" t="s">
        <v>1246</v>
      </c>
      <c r="D426" s="64"/>
      <c r="E426" s="18" t="s">
        <v>873</v>
      </c>
    </row>
    <row r="427" spans="1:5" x14ac:dyDescent="0.2">
      <c r="A427" s="89"/>
      <c r="B427" s="79"/>
      <c r="C427" s="64" t="s">
        <v>1247</v>
      </c>
      <c r="D427" s="64"/>
      <c r="E427" s="18" t="s">
        <v>873</v>
      </c>
    </row>
    <row r="428" spans="1:5" x14ac:dyDescent="0.2">
      <c r="A428" s="89"/>
      <c r="B428" s="79"/>
      <c r="C428" s="64" t="s">
        <v>1248</v>
      </c>
      <c r="D428" s="64"/>
      <c r="E428" s="18" t="s">
        <v>873</v>
      </c>
    </row>
    <row r="429" spans="1:5" x14ac:dyDescent="0.2">
      <c r="A429" s="89"/>
      <c r="B429" s="79"/>
      <c r="C429" s="64" t="s">
        <v>1249</v>
      </c>
      <c r="D429" s="64"/>
      <c r="E429" s="18" t="s">
        <v>873</v>
      </c>
    </row>
    <row r="430" spans="1:5" x14ac:dyDescent="0.2">
      <c r="A430" s="89"/>
      <c r="B430" s="79"/>
      <c r="C430" s="64" t="s">
        <v>1250</v>
      </c>
      <c r="D430" s="64"/>
      <c r="E430" s="18" t="s">
        <v>873</v>
      </c>
    </row>
    <row r="431" spans="1:5" x14ac:dyDescent="0.2">
      <c r="A431" s="89"/>
      <c r="B431" s="79"/>
      <c r="C431" s="64" t="s">
        <v>1251</v>
      </c>
      <c r="D431" s="64"/>
      <c r="E431" s="18" t="s">
        <v>873</v>
      </c>
    </row>
    <row r="432" spans="1:5" x14ac:dyDescent="0.2">
      <c r="A432" s="89"/>
      <c r="B432" s="79"/>
      <c r="C432" s="64" t="s">
        <v>1252</v>
      </c>
      <c r="D432" s="64"/>
      <c r="E432" s="18" t="s">
        <v>873</v>
      </c>
    </row>
    <row r="433" spans="1:5" x14ac:dyDescent="0.2">
      <c r="A433" s="89"/>
      <c r="B433" s="79"/>
      <c r="C433" s="64" t="s">
        <v>1253</v>
      </c>
      <c r="D433" s="64"/>
      <c r="E433" s="18" t="s">
        <v>873</v>
      </c>
    </row>
    <row r="434" spans="1:5" x14ac:dyDescent="0.2">
      <c r="A434" s="89"/>
      <c r="B434" s="79"/>
      <c r="C434" s="64" t="s">
        <v>1254</v>
      </c>
      <c r="D434" s="64"/>
      <c r="E434" s="18" t="s">
        <v>873</v>
      </c>
    </row>
    <row r="435" spans="1:5" x14ac:dyDescent="0.2">
      <c r="A435" s="89"/>
      <c r="B435" s="79"/>
      <c r="C435" s="64" t="s">
        <v>1255</v>
      </c>
      <c r="D435" s="64"/>
      <c r="E435" s="18" t="s">
        <v>873</v>
      </c>
    </row>
    <row r="436" spans="1:5" x14ac:dyDescent="0.2">
      <c r="A436" s="89"/>
      <c r="B436" s="79"/>
      <c r="C436" s="64" t="s">
        <v>536</v>
      </c>
      <c r="D436" s="64"/>
      <c r="E436" s="18" t="s">
        <v>873</v>
      </c>
    </row>
    <row r="437" spans="1:5" x14ac:dyDescent="0.2">
      <c r="A437" s="89"/>
      <c r="B437" s="79"/>
      <c r="C437" s="64" t="s">
        <v>1256</v>
      </c>
      <c r="D437" s="64"/>
      <c r="E437" s="18" t="s">
        <v>873</v>
      </c>
    </row>
    <row r="438" spans="1:5" x14ac:dyDescent="0.2">
      <c r="A438" s="89"/>
      <c r="B438" s="79"/>
      <c r="C438" s="64" t="s">
        <v>1257</v>
      </c>
      <c r="D438" s="64"/>
      <c r="E438" s="18" t="s">
        <v>873</v>
      </c>
    </row>
    <row r="439" spans="1:5" x14ac:dyDescent="0.2">
      <c r="A439" s="89"/>
      <c r="B439" s="79"/>
      <c r="C439" s="64" t="s">
        <v>1258</v>
      </c>
      <c r="D439" s="64"/>
      <c r="E439" s="18" t="s">
        <v>873</v>
      </c>
    </row>
    <row r="440" spans="1:5" x14ac:dyDescent="0.2">
      <c r="A440" s="89"/>
      <c r="B440" s="79"/>
      <c r="C440" s="64" t="s">
        <v>1259</v>
      </c>
      <c r="D440" s="64"/>
      <c r="E440" s="18" t="s">
        <v>873</v>
      </c>
    </row>
    <row r="441" spans="1:5" x14ac:dyDescent="0.2">
      <c r="A441" s="89"/>
      <c r="B441" s="79"/>
      <c r="C441" s="64" t="s">
        <v>1260</v>
      </c>
      <c r="D441" s="64"/>
      <c r="E441" s="18" t="s">
        <v>873</v>
      </c>
    </row>
    <row r="442" spans="1:5" x14ac:dyDescent="0.2">
      <c r="A442" s="89"/>
      <c r="B442" s="79"/>
      <c r="C442" s="64" t="s">
        <v>1261</v>
      </c>
      <c r="D442" s="64"/>
      <c r="E442" s="18" t="s">
        <v>873</v>
      </c>
    </row>
    <row r="443" spans="1:5" x14ac:dyDescent="0.2">
      <c r="A443" s="89"/>
      <c r="B443" s="79"/>
      <c r="C443" s="64" t="s">
        <v>1262</v>
      </c>
      <c r="D443" s="64"/>
      <c r="E443" s="18" t="s">
        <v>873</v>
      </c>
    </row>
    <row r="444" spans="1:5" x14ac:dyDescent="0.2">
      <c r="A444" s="89"/>
      <c r="B444" s="79"/>
      <c r="C444" s="64" t="s">
        <v>1263</v>
      </c>
      <c r="D444" s="64"/>
      <c r="E444" s="18" t="s">
        <v>873</v>
      </c>
    </row>
    <row r="445" spans="1:5" x14ac:dyDescent="0.2">
      <c r="A445" s="89"/>
      <c r="B445" s="79"/>
      <c r="C445" s="64" t="s">
        <v>1264</v>
      </c>
      <c r="D445" s="64"/>
      <c r="E445" s="18" t="s">
        <v>873</v>
      </c>
    </row>
    <row r="446" spans="1:5" x14ac:dyDescent="0.2">
      <c r="A446" s="89"/>
      <c r="B446" s="79"/>
      <c r="C446" s="64" t="s">
        <v>1265</v>
      </c>
      <c r="D446" s="64"/>
      <c r="E446" s="18" t="s">
        <v>873</v>
      </c>
    </row>
    <row r="447" spans="1:5" x14ac:dyDescent="0.2">
      <c r="A447" s="89"/>
      <c r="B447" s="79"/>
      <c r="C447" s="64" t="s">
        <v>1266</v>
      </c>
      <c r="D447" s="64"/>
      <c r="E447" s="18" t="s">
        <v>873</v>
      </c>
    </row>
    <row r="448" spans="1:5" x14ac:dyDescent="0.2">
      <c r="A448" s="89"/>
      <c r="B448" s="79"/>
      <c r="C448" s="64" t="s">
        <v>1267</v>
      </c>
      <c r="D448" s="64"/>
      <c r="E448" s="18" t="s">
        <v>873</v>
      </c>
    </row>
    <row r="449" spans="1:5" x14ac:dyDescent="0.2">
      <c r="A449" s="89"/>
      <c r="B449" s="79"/>
      <c r="C449" s="64" t="s">
        <v>1268</v>
      </c>
      <c r="D449" s="64"/>
      <c r="E449" s="18" t="s">
        <v>873</v>
      </c>
    </row>
    <row r="450" spans="1:5" x14ac:dyDescent="0.2">
      <c r="A450" s="89"/>
      <c r="B450" s="79"/>
      <c r="C450" s="64" t="s">
        <v>1269</v>
      </c>
      <c r="D450" s="64"/>
      <c r="E450" s="18" t="s">
        <v>873</v>
      </c>
    </row>
    <row r="451" spans="1:5" x14ac:dyDescent="0.2">
      <c r="A451" s="89"/>
      <c r="B451" s="79"/>
      <c r="C451" s="64" t="s">
        <v>1270</v>
      </c>
      <c r="D451" s="64"/>
      <c r="E451" s="18" t="s">
        <v>873</v>
      </c>
    </row>
    <row r="452" spans="1:5" x14ac:dyDescent="0.2">
      <c r="A452" s="89"/>
      <c r="B452" s="79"/>
      <c r="C452" s="64" t="s">
        <v>1271</v>
      </c>
      <c r="D452" s="64"/>
      <c r="E452" s="18" t="s">
        <v>873</v>
      </c>
    </row>
    <row r="453" spans="1:5" x14ac:dyDescent="0.2">
      <c r="A453" s="89"/>
      <c r="B453" s="79"/>
      <c r="C453" s="64" t="s">
        <v>1272</v>
      </c>
      <c r="D453" s="64"/>
      <c r="E453" s="18" t="s">
        <v>873</v>
      </c>
    </row>
    <row r="454" spans="1:5" x14ac:dyDescent="0.2">
      <c r="A454" s="89"/>
      <c r="B454" s="79"/>
      <c r="C454" s="64" t="s">
        <v>1273</v>
      </c>
      <c r="D454" s="64"/>
      <c r="E454" s="18" t="s">
        <v>873</v>
      </c>
    </row>
    <row r="455" spans="1:5" x14ac:dyDescent="0.2">
      <c r="A455" s="89"/>
      <c r="B455" s="79"/>
      <c r="C455" s="64" t="s">
        <v>497</v>
      </c>
      <c r="D455" s="64"/>
      <c r="E455" s="18" t="s">
        <v>873</v>
      </c>
    </row>
    <row r="456" spans="1:5" x14ac:dyDescent="0.2">
      <c r="A456" s="89"/>
      <c r="B456" s="79"/>
      <c r="C456" s="64" t="s">
        <v>1274</v>
      </c>
      <c r="D456" s="64"/>
      <c r="E456" s="18" t="s">
        <v>873</v>
      </c>
    </row>
    <row r="457" spans="1:5" x14ac:dyDescent="0.2">
      <c r="A457" s="89"/>
      <c r="B457" s="79"/>
      <c r="C457" s="64" t="s">
        <v>1275</v>
      </c>
      <c r="D457" s="64"/>
      <c r="E457" s="18" t="s">
        <v>873</v>
      </c>
    </row>
    <row r="458" spans="1:5" x14ac:dyDescent="0.2">
      <c r="A458" s="89"/>
      <c r="B458" s="79"/>
      <c r="C458" s="64" t="s">
        <v>1276</v>
      </c>
      <c r="D458" s="64"/>
      <c r="E458" s="18" t="s">
        <v>873</v>
      </c>
    </row>
    <row r="459" spans="1:5" x14ac:dyDescent="0.2">
      <c r="A459" s="89"/>
      <c r="B459" s="79"/>
      <c r="C459" s="64" t="s">
        <v>1277</v>
      </c>
      <c r="D459" s="64"/>
      <c r="E459" s="18" t="s">
        <v>873</v>
      </c>
    </row>
    <row r="460" spans="1:5" x14ac:dyDescent="0.2">
      <c r="A460" s="89"/>
      <c r="B460" s="79"/>
      <c r="C460" s="64" t="s">
        <v>1278</v>
      </c>
      <c r="D460" s="64"/>
      <c r="E460" s="18" t="s">
        <v>873</v>
      </c>
    </row>
    <row r="461" spans="1:5" x14ac:dyDescent="0.2">
      <c r="A461" s="89"/>
      <c r="B461" s="79"/>
      <c r="C461" s="64" t="s">
        <v>1279</v>
      </c>
      <c r="D461" s="64"/>
      <c r="E461" s="18" t="s">
        <v>873</v>
      </c>
    </row>
    <row r="462" spans="1:5" x14ac:dyDescent="0.2">
      <c r="A462" s="89"/>
      <c r="B462" s="79"/>
      <c r="C462" s="64" t="s">
        <v>1280</v>
      </c>
      <c r="D462" s="64"/>
      <c r="E462" s="18" t="s">
        <v>873</v>
      </c>
    </row>
    <row r="463" spans="1:5" x14ac:dyDescent="0.2">
      <c r="A463" s="89"/>
      <c r="B463" s="79"/>
      <c r="C463" s="64" t="s">
        <v>1281</v>
      </c>
      <c r="D463" s="64"/>
      <c r="E463" s="18" t="s">
        <v>873</v>
      </c>
    </row>
    <row r="464" spans="1:5" x14ac:dyDescent="0.2">
      <c r="A464" s="89"/>
      <c r="B464" s="79"/>
      <c r="C464" s="64" t="s">
        <v>1282</v>
      </c>
      <c r="D464" s="64"/>
      <c r="E464" s="18" t="s">
        <v>873</v>
      </c>
    </row>
    <row r="465" spans="1:5" x14ac:dyDescent="0.2">
      <c r="A465" s="89"/>
      <c r="B465" s="79"/>
      <c r="C465" s="64" t="s">
        <v>1283</v>
      </c>
      <c r="D465" s="64"/>
      <c r="E465" s="18" t="s">
        <v>873</v>
      </c>
    </row>
    <row r="466" spans="1:5" x14ac:dyDescent="0.2">
      <c r="A466" s="89"/>
      <c r="B466" s="79"/>
      <c r="C466" s="64" t="s">
        <v>1284</v>
      </c>
      <c r="D466" s="64"/>
      <c r="E466" s="18" t="s">
        <v>873</v>
      </c>
    </row>
    <row r="467" spans="1:5" x14ac:dyDescent="0.2">
      <c r="A467" s="89"/>
      <c r="B467" s="79"/>
      <c r="C467" s="64" t="s">
        <v>1285</v>
      </c>
      <c r="D467" s="64"/>
      <c r="E467" s="18" t="s">
        <v>873</v>
      </c>
    </row>
    <row r="468" spans="1:5" x14ac:dyDescent="0.2">
      <c r="A468" s="89"/>
      <c r="B468" s="79"/>
      <c r="C468" s="64" t="s">
        <v>1286</v>
      </c>
      <c r="D468" s="64"/>
      <c r="E468" s="18" t="s">
        <v>873</v>
      </c>
    </row>
    <row r="469" spans="1:5" x14ac:dyDescent="0.2">
      <c r="A469" s="89"/>
      <c r="B469" s="79"/>
      <c r="C469" s="64" t="s">
        <v>564</v>
      </c>
      <c r="D469" s="64"/>
      <c r="E469" s="18" t="s">
        <v>873</v>
      </c>
    </row>
    <row r="470" spans="1:5" x14ac:dyDescent="0.2">
      <c r="A470" s="89"/>
      <c r="B470" s="79"/>
      <c r="C470" s="64" t="s">
        <v>1287</v>
      </c>
      <c r="D470" s="64"/>
      <c r="E470" s="18" t="s">
        <v>873</v>
      </c>
    </row>
    <row r="471" spans="1:5" x14ac:dyDescent="0.2">
      <c r="A471" s="89"/>
      <c r="B471" s="79"/>
      <c r="C471" s="64" t="s">
        <v>1288</v>
      </c>
      <c r="D471" s="64"/>
      <c r="E471" s="18" t="s">
        <v>873</v>
      </c>
    </row>
    <row r="472" spans="1:5" x14ac:dyDescent="0.2">
      <c r="A472" s="89"/>
      <c r="B472" s="79"/>
      <c r="C472" s="64" t="s">
        <v>1289</v>
      </c>
      <c r="D472" s="64"/>
      <c r="E472" s="18" t="s">
        <v>873</v>
      </c>
    </row>
    <row r="473" spans="1:5" x14ac:dyDescent="0.2">
      <c r="A473" s="89"/>
      <c r="B473" s="79"/>
      <c r="C473" s="64" t="s">
        <v>1290</v>
      </c>
      <c r="D473" s="64"/>
      <c r="E473" s="18" t="s">
        <v>873</v>
      </c>
    </row>
    <row r="474" spans="1:5" x14ac:dyDescent="0.2">
      <c r="A474" s="89"/>
      <c r="B474" s="79"/>
      <c r="C474" s="64" t="s">
        <v>1291</v>
      </c>
      <c r="D474" s="64"/>
      <c r="E474" s="18" t="s">
        <v>873</v>
      </c>
    </row>
    <row r="475" spans="1:5" x14ac:dyDescent="0.2">
      <c r="A475" s="89"/>
      <c r="B475" s="79"/>
      <c r="C475" s="64" t="s">
        <v>1292</v>
      </c>
      <c r="D475" s="64"/>
      <c r="E475" s="18" t="s">
        <v>873</v>
      </c>
    </row>
    <row r="476" spans="1:5" x14ac:dyDescent="0.2">
      <c r="A476" s="89"/>
      <c r="B476" s="79"/>
      <c r="C476" s="64" t="s">
        <v>1293</v>
      </c>
      <c r="D476" s="64"/>
      <c r="E476" s="18" t="s">
        <v>873</v>
      </c>
    </row>
    <row r="477" spans="1:5" x14ac:dyDescent="0.2">
      <c r="A477" s="89"/>
      <c r="B477" s="79"/>
      <c r="C477" s="64" t="s">
        <v>1294</v>
      </c>
      <c r="D477" s="64"/>
      <c r="E477" s="18" t="s">
        <v>873</v>
      </c>
    </row>
    <row r="478" spans="1:5" x14ac:dyDescent="0.2">
      <c r="A478" s="89"/>
      <c r="B478" s="79"/>
      <c r="C478" s="64" t="s">
        <v>1295</v>
      </c>
      <c r="D478" s="64"/>
      <c r="E478" s="18" t="s">
        <v>873</v>
      </c>
    </row>
    <row r="479" spans="1:5" x14ac:dyDescent="0.2">
      <c r="A479" s="89"/>
      <c r="B479" s="79"/>
      <c r="C479" s="64" t="s">
        <v>529</v>
      </c>
      <c r="D479" s="64"/>
      <c r="E479" s="18" t="s">
        <v>873</v>
      </c>
    </row>
    <row r="480" spans="1:5" x14ac:dyDescent="0.2">
      <c r="A480" s="89"/>
      <c r="B480" s="79"/>
      <c r="C480" s="64" t="s">
        <v>1296</v>
      </c>
      <c r="D480" s="64"/>
      <c r="E480" s="18" t="s">
        <v>873</v>
      </c>
    </row>
    <row r="481" spans="1:5" x14ac:dyDescent="0.2">
      <c r="A481" s="89"/>
      <c r="B481" s="79"/>
      <c r="C481" s="64" t="s">
        <v>1297</v>
      </c>
      <c r="D481" s="64"/>
      <c r="E481" s="18" t="s">
        <v>873</v>
      </c>
    </row>
    <row r="482" spans="1:5" x14ac:dyDescent="0.2">
      <c r="A482" s="89"/>
      <c r="B482" s="79"/>
      <c r="C482" s="64" t="s">
        <v>1298</v>
      </c>
      <c r="D482" s="64"/>
      <c r="E482" s="18" t="s">
        <v>873</v>
      </c>
    </row>
    <row r="483" spans="1:5" x14ac:dyDescent="0.2">
      <c r="A483" s="89"/>
      <c r="B483" s="79"/>
      <c r="C483" s="64" t="s">
        <v>1299</v>
      </c>
      <c r="D483" s="64"/>
      <c r="E483" s="18" t="s">
        <v>873</v>
      </c>
    </row>
    <row r="484" spans="1:5" x14ac:dyDescent="0.2">
      <c r="A484" s="89"/>
      <c r="B484" s="79"/>
      <c r="C484" s="64" t="s">
        <v>1300</v>
      </c>
      <c r="D484" s="64"/>
      <c r="E484" s="18" t="s">
        <v>873</v>
      </c>
    </row>
    <row r="485" spans="1:5" x14ac:dyDescent="0.2">
      <c r="A485" s="89"/>
      <c r="B485" s="79"/>
      <c r="C485" s="64" t="s">
        <v>1301</v>
      </c>
      <c r="D485" s="64"/>
      <c r="E485" s="18" t="s">
        <v>873</v>
      </c>
    </row>
    <row r="486" spans="1:5" x14ac:dyDescent="0.2">
      <c r="A486" s="89"/>
      <c r="B486" s="79"/>
      <c r="C486" s="64" t="s">
        <v>1302</v>
      </c>
      <c r="D486" s="64"/>
      <c r="E486" s="18" t="s">
        <v>873</v>
      </c>
    </row>
    <row r="487" spans="1:5" x14ac:dyDescent="0.2">
      <c r="A487" s="89"/>
      <c r="B487" s="79"/>
      <c r="C487" s="64" t="s">
        <v>1303</v>
      </c>
      <c r="D487" s="64"/>
      <c r="E487" s="18" t="s">
        <v>873</v>
      </c>
    </row>
    <row r="488" spans="1:5" x14ac:dyDescent="0.2">
      <c r="A488" s="89"/>
      <c r="B488" s="79"/>
      <c r="C488" s="64" t="s">
        <v>1304</v>
      </c>
      <c r="D488" s="64"/>
      <c r="E488" s="18" t="s">
        <v>873</v>
      </c>
    </row>
    <row r="489" spans="1:5" x14ac:dyDescent="0.2">
      <c r="A489" s="89"/>
      <c r="B489" s="79"/>
      <c r="C489" s="64" t="s">
        <v>392</v>
      </c>
      <c r="D489" s="64"/>
    </row>
    <row r="490" spans="1:5" x14ac:dyDescent="0.2">
      <c r="A490" s="89"/>
      <c r="B490" s="79"/>
      <c r="C490" s="64" t="s">
        <v>1305</v>
      </c>
      <c r="D490" s="64"/>
    </row>
    <row r="491" spans="1:5" x14ac:dyDescent="0.2">
      <c r="A491" s="89"/>
      <c r="B491" s="79"/>
      <c r="C491" s="64" t="s">
        <v>1306</v>
      </c>
      <c r="D491" s="64"/>
    </row>
    <row r="492" spans="1:5" x14ac:dyDescent="0.2">
      <c r="A492" s="89"/>
      <c r="B492" s="79"/>
      <c r="C492" s="64" t="s">
        <v>1307</v>
      </c>
      <c r="D492" s="64"/>
    </row>
    <row r="493" spans="1:5" x14ac:dyDescent="0.2">
      <c r="A493" s="89"/>
      <c r="B493" s="79"/>
      <c r="C493" s="64" t="s">
        <v>1308</v>
      </c>
      <c r="D493" s="64"/>
    </row>
    <row r="494" spans="1:5" x14ac:dyDescent="0.2">
      <c r="A494" s="89"/>
      <c r="B494" s="79"/>
      <c r="C494" s="64" t="s">
        <v>1309</v>
      </c>
      <c r="D494" s="64"/>
    </row>
    <row r="495" spans="1:5" x14ac:dyDescent="0.2">
      <c r="A495" s="89"/>
      <c r="B495" s="79"/>
      <c r="C495" s="64" t="s">
        <v>1310</v>
      </c>
      <c r="D495" s="64"/>
    </row>
    <row r="496" spans="1:5" x14ac:dyDescent="0.2">
      <c r="A496" s="89"/>
      <c r="B496" s="79"/>
      <c r="C496" s="64" t="s">
        <v>1311</v>
      </c>
      <c r="D496" s="64"/>
    </row>
    <row r="497" spans="1:4" x14ac:dyDescent="0.2">
      <c r="A497" s="89"/>
      <c r="B497" s="79"/>
      <c r="C497" s="64" t="s">
        <v>1312</v>
      </c>
      <c r="D497" s="64"/>
    </row>
    <row r="498" spans="1:4" x14ac:dyDescent="0.2">
      <c r="A498" s="90"/>
      <c r="B498" s="80"/>
      <c r="C498" s="64" t="s">
        <v>719</v>
      </c>
      <c r="D498" s="64"/>
    </row>
    <row r="499" spans="1:4" x14ac:dyDescent="0.2">
      <c r="A499" s="123"/>
      <c r="B499" s="128" t="s">
        <v>1313</v>
      </c>
      <c r="C499" s="61" t="s">
        <v>146</v>
      </c>
      <c r="D499" s="61"/>
    </row>
    <row r="500" spans="1:4" x14ac:dyDescent="0.2">
      <c r="A500" s="71"/>
      <c r="B500" s="128"/>
      <c r="C500" s="61" t="s">
        <v>1314</v>
      </c>
      <c r="D500" s="61"/>
    </row>
    <row r="501" spans="1:4" x14ac:dyDescent="0.2">
      <c r="A501" s="71"/>
      <c r="B501" s="128"/>
      <c r="C501" s="61" t="s">
        <v>1315</v>
      </c>
      <c r="D501" s="61"/>
    </row>
    <row r="502" spans="1:4" x14ac:dyDescent="0.2">
      <c r="A502" s="71"/>
      <c r="B502" s="128"/>
      <c r="C502" s="61" t="s">
        <v>1316</v>
      </c>
      <c r="D502" s="61"/>
    </row>
    <row r="503" spans="1:4" x14ac:dyDescent="0.2">
      <c r="A503" s="71"/>
      <c r="B503" s="128"/>
      <c r="C503" s="61" t="s">
        <v>1317</v>
      </c>
      <c r="D503" s="61"/>
    </row>
    <row r="504" spans="1:4" x14ac:dyDescent="0.2">
      <c r="A504" s="71"/>
      <c r="B504" s="128"/>
      <c r="C504" s="61" t="s">
        <v>1318</v>
      </c>
      <c r="D504" s="61"/>
    </row>
    <row r="505" spans="1:4" x14ac:dyDescent="0.2">
      <c r="A505" s="71"/>
      <c r="B505" s="128"/>
      <c r="C505" s="61" t="s">
        <v>1319</v>
      </c>
      <c r="D505" s="61"/>
    </row>
    <row r="506" spans="1:4" x14ac:dyDescent="0.2">
      <c r="A506" s="71"/>
      <c r="B506" s="128"/>
      <c r="C506" s="61" t="s">
        <v>1320</v>
      </c>
      <c r="D506" s="61"/>
    </row>
    <row r="507" spans="1:4" x14ac:dyDescent="0.2">
      <c r="A507" s="71"/>
      <c r="B507" s="128"/>
      <c r="C507" s="61" t="s">
        <v>1321</v>
      </c>
      <c r="D507" s="61"/>
    </row>
    <row r="508" spans="1:4" x14ac:dyDescent="0.2">
      <c r="A508" s="71"/>
      <c r="B508" s="128"/>
      <c r="C508" s="61" t="s">
        <v>1322</v>
      </c>
      <c r="D508" s="61"/>
    </row>
    <row r="509" spans="1:4" x14ac:dyDescent="0.2">
      <c r="A509" s="71"/>
      <c r="B509" s="128"/>
      <c r="C509" s="61" t="s">
        <v>1323</v>
      </c>
      <c r="D509" s="61"/>
    </row>
    <row r="510" spans="1:4" x14ac:dyDescent="0.2">
      <c r="A510" s="71"/>
      <c r="B510" s="128"/>
      <c r="C510" s="61" t="s">
        <v>1324</v>
      </c>
      <c r="D510" s="61"/>
    </row>
    <row r="511" spans="1:4" x14ac:dyDescent="0.2">
      <c r="A511" s="71"/>
      <c r="B511" s="128"/>
      <c r="C511" s="61" t="s">
        <v>1325</v>
      </c>
      <c r="D511" s="61"/>
    </row>
    <row r="512" spans="1:4" x14ac:dyDescent="0.2">
      <c r="A512" s="71"/>
      <c r="B512" s="128"/>
      <c r="C512" s="61" t="s">
        <v>1087</v>
      </c>
      <c r="D512" s="61"/>
    </row>
    <row r="513" spans="1:4" x14ac:dyDescent="0.2">
      <c r="A513" s="71"/>
      <c r="B513" s="128"/>
      <c r="C513" s="61" t="s">
        <v>392</v>
      </c>
      <c r="D513" s="61"/>
    </row>
    <row r="514" spans="1:4" x14ac:dyDescent="0.2">
      <c r="A514" s="89"/>
      <c r="B514" s="75" t="s">
        <v>1326</v>
      </c>
      <c r="C514" s="64" t="s">
        <v>628</v>
      </c>
      <c r="D514" s="64"/>
    </row>
    <row r="515" spans="1:4" x14ac:dyDescent="0.2">
      <c r="A515" s="90"/>
      <c r="B515" s="77"/>
      <c r="C515" s="64" t="s">
        <v>96</v>
      </c>
      <c r="D515" s="64"/>
    </row>
    <row r="516" spans="1:4" x14ac:dyDescent="0.2">
      <c r="A516" s="71"/>
      <c r="B516" s="128" t="s">
        <v>598</v>
      </c>
      <c r="C516" s="61" t="s">
        <v>1327</v>
      </c>
      <c r="D516" s="61"/>
    </row>
    <row r="517" spans="1:4" x14ac:dyDescent="0.2">
      <c r="A517" s="71"/>
      <c r="B517" s="128"/>
      <c r="C517" s="61" t="s">
        <v>106</v>
      </c>
      <c r="D517" s="61"/>
    </row>
    <row r="518" spans="1:4" x14ac:dyDescent="0.2">
      <c r="A518" s="71"/>
      <c r="B518" s="128"/>
      <c r="C518" s="61" t="s">
        <v>1328</v>
      </c>
      <c r="D518" s="61"/>
    </row>
    <row r="519" spans="1:4" x14ac:dyDescent="0.2">
      <c r="A519" s="71"/>
      <c r="B519" s="128"/>
      <c r="C519" s="61" t="s">
        <v>1329</v>
      </c>
      <c r="D519" s="61"/>
    </row>
    <row r="520" spans="1:4" x14ac:dyDescent="0.2">
      <c r="A520" s="126"/>
      <c r="B520" s="75" t="s">
        <v>815</v>
      </c>
      <c r="C520" s="64" t="s">
        <v>1330</v>
      </c>
      <c r="D520" s="64"/>
    </row>
    <row r="521" spans="1:4" x14ac:dyDescent="0.2">
      <c r="A521" s="87"/>
      <c r="B521" s="76"/>
      <c r="C521" s="64" t="s">
        <v>1331</v>
      </c>
      <c r="D521" s="64"/>
    </row>
    <row r="522" spans="1:4" x14ac:dyDescent="0.2">
      <c r="A522" s="87"/>
      <c r="B522" s="76"/>
      <c r="C522" s="64" t="s">
        <v>1332</v>
      </c>
      <c r="D522" s="64"/>
    </row>
    <row r="523" spans="1:4" x14ac:dyDescent="0.2">
      <c r="A523" s="87"/>
      <c r="B523" s="76"/>
      <c r="C523" s="64" t="s">
        <v>1333</v>
      </c>
      <c r="D523" s="64"/>
    </row>
    <row r="524" spans="1:4" x14ac:dyDescent="0.2">
      <c r="A524" s="87"/>
      <c r="B524" s="76"/>
      <c r="C524" s="64" t="s">
        <v>1334</v>
      </c>
      <c r="D524" s="64"/>
    </row>
    <row r="525" spans="1:4" x14ac:dyDescent="0.2">
      <c r="A525" s="87"/>
      <c r="B525" s="76"/>
      <c r="C525" s="64" t="s">
        <v>1335</v>
      </c>
      <c r="D525" s="64"/>
    </row>
    <row r="526" spans="1:4" x14ac:dyDescent="0.2">
      <c r="A526" s="87"/>
      <c r="B526" s="76"/>
      <c r="C526" s="64" t="s">
        <v>1336</v>
      </c>
      <c r="D526" s="64"/>
    </row>
    <row r="527" spans="1:4" x14ac:dyDescent="0.2">
      <c r="A527" s="87"/>
      <c r="B527" s="76"/>
      <c r="C527" s="64" t="s">
        <v>1337</v>
      </c>
      <c r="D527" s="64"/>
    </row>
    <row r="528" spans="1:4" x14ac:dyDescent="0.2">
      <c r="A528" s="87"/>
      <c r="B528" s="76"/>
      <c r="C528" s="64" t="s">
        <v>681</v>
      </c>
      <c r="D528" s="64"/>
    </row>
    <row r="529" spans="1:4" x14ac:dyDescent="0.2">
      <c r="A529" s="87"/>
      <c r="B529" s="76"/>
      <c r="C529" s="64" t="s">
        <v>1322</v>
      </c>
      <c r="D529" s="64"/>
    </row>
    <row r="530" spans="1:4" x14ac:dyDescent="0.2">
      <c r="B530" s="76"/>
      <c r="C530" s="64" t="s">
        <v>1338</v>
      </c>
      <c r="D530" s="64"/>
    </row>
    <row r="531" spans="1:4" ht="15" x14ac:dyDescent="0.25">
      <c r="A531" s="87"/>
      <c r="B531" s="76"/>
      <c r="C531" s="64" t="s">
        <v>1339</v>
      </c>
      <c r="D531" s="64" t="s">
        <v>1340</v>
      </c>
    </row>
    <row r="532" spans="1:4" ht="15" x14ac:dyDescent="0.25">
      <c r="A532" s="87"/>
      <c r="B532" s="76"/>
      <c r="C532" s="64" t="s">
        <v>1341</v>
      </c>
      <c r="D532" s="64" t="s">
        <v>1340</v>
      </c>
    </row>
    <row r="533" spans="1:4" ht="15" x14ac:dyDescent="0.25">
      <c r="A533" s="87"/>
      <c r="B533" s="76"/>
      <c r="C533" s="64" t="s">
        <v>1342</v>
      </c>
      <c r="D533" s="64" t="s">
        <v>1340</v>
      </c>
    </row>
    <row r="534" spans="1:4" x14ac:dyDescent="0.2">
      <c r="A534" s="87"/>
      <c r="B534" s="76"/>
      <c r="C534" s="64" t="s">
        <v>1343</v>
      </c>
      <c r="D534" s="64"/>
    </row>
    <row r="535" spans="1:4" x14ac:dyDescent="0.2">
      <c r="A535" s="87"/>
      <c r="B535" s="76"/>
      <c r="C535" s="64" t="s">
        <v>1344</v>
      </c>
      <c r="D535" s="64"/>
    </row>
    <row r="536" spans="1:4" x14ac:dyDescent="0.2">
      <c r="A536" s="87"/>
      <c r="B536" s="76"/>
      <c r="C536" s="64" t="s">
        <v>1345</v>
      </c>
      <c r="D536" s="64"/>
    </row>
    <row r="537" spans="1:4" x14ac:dyDescent="0.2">
      <c r="A537" s="87"/>
      <c r="B537" s="76"/>
      <c r="C537" s="64" t="s">
        <v>1346</v>
      </c>
      <c r="D537" s="64"/>
    </row>
    <row r="538" spans="1:4" x14ac:dyDescent="0.2">
      <c r="A538" s="87"/>
      <c r="B538" s="76"/>
      <c r="C538" s="64" t="s">
        <v>1347</v>
      </c>
      <c r="D538" s="64"/>
    </row>
    <row r="539" spans="1:4" x14ac:dyDescent="0.2">
      <c r="A539" s="87"/>
      <c r="B539" s="76"/>
      <c r="C539" s="64" t="s">
        <v>1348</v>
      </c>
      <c r="D539" s="64"/>
    </row>
    <row r="540" spans="1:4" x14ac:dyDescent="0.2">
      <c r="A540" s="87"/>
      <c r="B540" s="76"/>
      <c r="C540" s="64" t="s">
        <v>1349</v>
      </c>
      <c r="D540" s="64"/>
    </row>
    <row r="541" spans="1:4" x14ac:dyDescent="0.2">
      <c r="A541" s="87"/>
      <c r="B541" s="76"/>
      <c r="C541" s="64" t="s">
        <v>1350</v>
      </c>
      <c r="D541" s="64"/>
    </row>
    <row r="542" spans="1:4" x14ac:dyDescent="0.2">
      <c r="A542" s="87"/>
      <c r="B542" s="76"/>
      <c r="C542" s="64" t="s">
        <v>1087</v>
      </c>
      <c r="D542" s="64"/>
    </row>
    <row r="543" spans="1:4" x14ac:dyDescent="0.2">
      <c r="A543" s="87"/>
      <c r="B543" s="76"/>
      <c r="C543" s="64" t="s">
        <v>392</v>
      </c>
      <c r="D543" s="65"/>
    </row>
    <row r="544" spans="1:4" x14ac:dyDescent="0.2">
      <c r="A544" s="93"/>
      <c r="B544" s="66" t="s">
        <v>819</v>
      </c>
      <c r="C544" s="61" t="s">
        <v>628</v>
      </c>
      <c r="D544" s="61"/>
    </row>
    <row r="545" spans="1:4" x14ac:dyDescent="0.2">
      <c r="A545" s="94"/>
      <c r="B545" s="127"/>
      <c r="C545" s="61" t="s">
        <v>96</v>
      </c>
      <c r="D545" s="61"/>
    </row>
    <row r="546" spans="1:4" x14ac:dyDescent="0.2">
      <c r="A546" s="87"/>
      <c r="B546" s="75" t="s">
        <v>820</v>
      </c>
      <c r="C546" s="64" t="s">
        <v>1351</v>
      </c>
      <c r="D546" s="64"/>
    </row>
    <row r="547" spans="1:4" x14ac:dyDescent="0.2">
      <c r="A547" s="87"/>
      <c r="B547" s="76"/>
      <c r="C547" s="64" t="s">
        <v>1352</v>
      </c>
      <c r="D547" s="64"/>
    </row>
    <row r="548" spans="1:4" x14ac:dyDescent="0.2">
      <c r="A548" s="87"/>
      <c r="B548" s="76"/>
      <c r="C548" s="64" t="s">
        <v>1353</v>
      </c>
      <c r="D548" s="64"/>
    </row>
    <row r="549" spans="1:4" x14ac:dyDescent="0.2">
      <c r="A549" s="87"/>
      <c r="B549" s="76"/>
      <c r="C549" s="64" t="s">
        <v>1354</v>
      </c>
      <c r="D549" s="64"/>
    </row>
    <row r="550" spans="1:4" x14ac:dyDescent="0.2">
      <c r="A550" s="87"/>
      <c r="B550" s="76"/>
      <c r="C550" s="64" t="s">
        <v>1355</v>
      </c>
      <c r="D550" s="64"/>
    </row>
    <row r="551" spans="1:4" x14ac:dyDescent="0.2">
      <c r="A551" s="93"/>
      <c r="B551" s="66" t="s">
        <v>822</v>
      </c>
      <c r="C551" s="61" t="s">
        <v>628</v>
      </c>
      <c r="D551" s="61"/>
    </row>
    <row r="552" spans="1:4" x14ac:dyDescent="0.2">
      <c r="A552" s="94"/>
      <c r="B552" s="127"/>
      <c r="C552" s="61" t="s">
        <v>96</v>
      </c>
      <c r="D552" s="61"/>
    </row>
    <row r="553" spans="1:4" x14ac:dyDescent="0.2">
      <c r="A553" s="72"/>
      <c r="B553" s="75" t="s">
        <v>1356</v>
      </c>
      <c r="C553" s="64" t="s">
        <v>1357</v>
      </c>
      <c r="D553" s="64"/>
    </row>
    <row r="554" spans="1:4" x14ac:dyDescent="0.2">
      <c r="A554" s="73"/>
      <c r="B554" s="73"/>
      <c r="C554" s="64" t="s">
        <v>1358</v>
      </c>
      <c r="D554" s="64"/>
    </row>
    <row r="555" spans="1:4" x14ac:dyDescent="0.2">
      <c r="A555" s="73"/>
      <c r="B555" s="73"/>
      <c r="C555" s="64" t="s">
        <v>1359</v>
      </c>
      <c r="D555" s="64"/>
    </row>
    <row r="556" spans="1:4" x14ac:dyDescent="0.2">
      <c r="A556" s="73"/>
      <c r="B556" s="73"/>
      <c r="C556" s="64" t="s">
        <v>1360</v>
      </c>
      <c r="D556" s="64"/>
    </row>
    <row r="557" spans="1:4" x14ac:dyDescent="0.2">
      <c r="A557" s="73"/>
      <c r="B557" s="73"/>
      <c r="C557" s="64" t="s">
        <v>1361</v>
      </c>
      <c r="D557" s="64"/>
    </row>
    <row r="558" spans="1:4" x14ac:dyDescent="0.2">
      <c r="A558" s="73"/>
      <c r="B558" s="73"/>
      <c r="C558" s="64" t="s">
        <v>1362</v>
      </c>
      <c r="D558" s="64"/>
    </row>
    <row r="559" spans="1:4" x14ac:dyDescent="0.2">
      <c r="A559" s="73"/>
      <c r="B559" s="73"/>
      <c r="C559" s="64" t="s">
        <v>1363</v>
      </c>
      <c r="D559" s="64"/>
    </row>
    <row r="560" spans="1:4" x14ac:dyDescent="0.2">
      <c r="A560" s="73"/>
      <c r="B560" s="73"/>
      <c r="C560" s="64" t="s">
        <v>1364</v>
      </c>
      <c r="D560" s="64"/>
    </row>
    <row r="561" spans="1:4" x14ac:dyDescent="0.2">
      <c r="A561" s="73"/>
      <c r="B561" s="73"/>
      <c r="C561" s="64" t="s">
        <v>1365</v>
      </c>
      <c r="D561" s="64"/>
    </row>
    <row r="562" spans="1:4" x14ac:dyDescent="0.2">
      <c r="A562" s="73"/>
      <c r="B562" s="73"/>
      <c r="C562" s="64" t="s">
        <v>1366</v>
      </c>
      <c r="D562" s="64"/>
    </row>
    <row r="563" spans="1:4" x14ac:dyDescent="0.2">
      <c r="A563" s="73"/>
      <c r="B563" s="73"/>
      <c r="C563" s="64" t="s">
        <v>1367</v>
      </c>
      <c r="D563" s="64"/>
    </row>
    <row r="564" spans="1:4" x14ac:dyDescent="0.2">
      <c r="A564" s="73"/>
      <c r="B564" s="73"/>
      <c r="C564" s="64" t="s">
        <v>1368</v>
      </c>
      <c r="D564" s="64"/>
    </row>
    <row r="565" spans="1:4" x14ac:dyDescent="0.2">
      <c r="A565" s="73"/>
      <c r="B565" s="73"/>
      <c r="C565" s="64" t="s">
        <v>1369</v>
      </c>
      <c r="D565" s="64"/>
    </row>
    <row r="566" spans="1:4" x14ac:dyDescent="0.2">
      <c r="A566" s="73"/>
      <c r="B566" s="73"/>
      <c r="C566" s="64" t="s">
        <v>1370</v>
      </c>
      <c r="D566" s="64"/>
    </row>
    <row r="567" spans="1:4" x14ac:dyDescent="0.2">
      <c r="A567" s="73"/>
      <c r="B567" s="73"/>
      <c r="C567" s="64" t="s">
        <v>1371</v>
      </c>
      <c r="D567" s="64"/>
    </row>
    <row r="568" spans="1:4" x14ac:dyDescent="0.2">
      <c r="A568" s="73"/>
      <c r="B568" s="73"/>
      <c r="C568" s="64" t="s">
        <v>1372</v>
      </c>
      <c r="D568" s="64"/>
    </row>
    <row r="569" spans="1:4" x14ac:dyDescent="0.2">
      <c r="A569" s="73"/>
      <c r="B569" s="73"/>
      <c r="C569" s="64" t="s">
        <v>1373</v>
      </c>
      <c r="D569" s="64"/>
    </row>
    <row r="570" spans="1:4" x14ac:dyDescent="0.2">
      <c r="A570" s="73"/>
      <c r="B570" s="73"/>
      <c r="C570" s="64" t="s">
        <v>1374</v>
      </c>
      <c r="D570" s="64"/>
    </row>
    <row r="571" spans="1:4" x14ac:dyDescent="0.2">
      <c r="A571" s="73"/>
      <c r="B571" s="73"/>
      <c r="C571" s="64" t="s">
        <v>1375</v>
      </c>
      <c r="D571" s="64"/>
    </row>
    <row r="572" spans="1:4" x14ac:dyDescent="0.2">
      <c r="A572" s="73"/>
      <c r="B572" s="73"/>
      <c r="C572" s="64" t="s">
        <v>1376</v>
      </c>
      <c r="D572" s="64"/>
    </row>
    <row r="573" spans="1:4" x14ac:dyDescent="0.2">
      <c r="A573" s="73"/>
      <c r="B573" s="73"/>
      <c r="C573" s="64" t="s">
        <v>1377</v>
      </c>
      <c r="D573" s="64"/>
    </row>
    <row r="574" spans="1:4" x14ac:dyDescent="0.2">
      <c r="A574" s="73"/>
      <c r="B574" s="73"/>
      <c r="C574" s="64" t="s">
        <v>1378</v>
      </c>
      <c r="D574" s="64"/>
    </row>
    <row r="575" spans="1:4" x14ac:dyDescent="0.2">
      <c r="A575" s="73"/>
      <c r="B575" s="73"/>
      <c r="C575" s="64" t="s">
        <v>1379</v>
      </c>
      <c r="D575" s="64"/>
    </row>
    <row r="576" spans="1:4" x14ac:dyDescent="0.2">
      <c r="A576" s="73"/>
      <c r="B576" s="73"/>
      <c r="C576" s="64" t="s">
        <v>1380</v>
      </c>
      <c r="D576" s="64"/>
    </row>
    <row r="577" spans="1:5" x14ac:dyDescent="0.2">
      <c r="A577" s="73"/>
      <c r="B577" s="73"/>
      <c r="C577" s="64" t="s">
        <v>1381</v>
      </c>
      <c r="D577" s="64"/>
    </row>
    <row r="578" spans="1:5" x14ac:dyDescent="0.2">
      <c r="A578" s="73"/>
      <c r="B578" s="73"/>
      <c r="C578" s="64" t="s">
        <v>1382</v>
      </c>
      <c r="D578" s="64"/>
    </row>
    <row r="579" spans="1:5" x14ac:dyDescent="0.2">
      <c r="A579" s="73"/>
      <c r="B579" s="73"/>
      <c r="C579" s="64" t="s">
        <v>1383</v>
      </c>
      <c r="D579" s="64"/>
    </row>
    <row r="580" spans="1:5" x14ac:dyDescent="0.2">
      <c r="A580" s="73"/>
      <c r="B580" s="73"/>
      <c r="C580" s="64" t="s">
        <v>1384</v>
      </c>
      <c r="D580" s="64"/>
      <c r="E580" s="18" t="s">
        <v>873</v>
      </c>
    </row>
    <row r="581" spans="1:5" x14ac:dyDescent="0.2">
      <c r="A581" s="73"/>
      <c r="B581" s="73"/>
      <c r="C581" s="64" t="s">
        <v>1385</v>
      </c>
      <c r="D581" s="64"/>
      <c r="E581" s="18" t="s">
        <v>873</v>
      </c>
    </row>
    <row r="582" spans="1:5" x14ac:dyDescent="0.2">
      <c r="A582" s="73"/>
      <c r="B582" s="73"/>
      <c r="C582" s="64" t="s">
        <v>1386</v>
      </c>
      <c r="D582" s="64"/>
    </row>
    <row r="583" spans="1:5" x14ac:dyDescent="0.2">
      <c r="A583" s="73"/>
      <c r="B583" s="73"/>
      <c r="C583" s="64" t="s">
        <v>1387</v>
      </c>
      <c r="D583" s="64"/>
    </row>
    <row r="584" spans="1:5" x14ac:dyDescent="0.2">
      <c r="A584" s="73"/>
      <c r="B584" s="73"/>
      <c r="C584" s="64" t="s">
        <v>1388</v>
      </c>
      <c r="D584" s="64"/>
    </row>
    <row r="585" spans="1:5" x14ac:dyDescent="0.2">
      <c r="A585" s="73"/>
      <c r="B585" s="73"/>
      <c r="C585" s="64" t="s">
        <v>1389</v>
      </c>
      <c r="D585" s="64"/>
    </row>
    <row r="586" spans="1:5" x14ac:dyDescent="0.2">
      <c r="A586" s="73"/>
      <c r="B586" s="73"/>
      <c r="C586" s="64" t="s">
        <v>1390</v>
      </c>
      <c r="D586" s="64"/>
    </row>
    <row r="587" spans="1:5" x14ac:dyDescent="0.2">
      <c r="A587" s="73"/>
      <c r="B587" s="73"/>
      <c r="C587" s="64" t="s">
        <v>1391</v>
      </c>
      <c r="D587" s="64"/>
    </row>
    <row r="588" spans="1:5" x14ac:dyDescent="0.2">
      <c r="A588" s="73"/>
      <c r="B588" s="73"/>
      <c r="C588" s="64" t="s">
        <v>1392</v>
      </c>
      <c r="D588" s="64"/>
    </row>
    <row r="589" spans="1:5" x14ac:dyDescent="0.2">
      <c r="A589" s="73"/>
      <c r="B589" s="73"/>
      <c r="C589" s="64" t="s">
        <v>1393</v>
      </c>
      <c r="D589" s="64"/>
    </row>
    <row r="590" spans="1:5" x14ac:dyDescent="0.2">
      <c r="A590" s="73"/>
      <c r="B590" s="73"/>
      <c r="C590" s="64" t="s">
        <v>1394</v>
      </c>
      <c r="D590" s="64"/>
    </row>
    <row r="591" spans="1:5" x14ac:dyDescent="0.2">
      <c r="A591" s="74"/>
      <c r="B591" s="74"/>
      <c r="C591" s="64" t="s">
        <v>1395</v>
      </c>
      <c r="D591" s="64"/>
    </row>
    <row r="592" spans="1:5" x14ac:dyDescent="0.2">
      <c r="A592" s="71"/>
      <c r="B592" s="128" t="s">
        <v>813</v>
      </c>
      <c r="C592" s="61" t="s">
        <v>1396</v>
      </c>
      <c r="D592" s="61"/>
    </row>
    <row r="593" spans="1:5" x14ac:dyDescent="0.2">
      <c r="A593" s="71"/>
      <c r="B593" s="128"/>
      <c r="C593" s="61" t="s">
        <v>1397</v>
      </c>
      <c r="D593" s="61"/>
    </row>
    <row r="594" spans="1:5" x14ac:dyDescent="0.2">
      <c r="A594" s="71"/>
      <c r="B594" s="128"/>
      <c r="C594" s="61" t="s">
        <v>392</v>
      </c>
      <c r="D594" s="61"/>
    </row>
    <row r="595" spans="1:5" x14ac:dyDescent="0.2">
      <c r="A595" s="75"/>
      <c r="B595" s="81" t="s">
        <v>84</v>
      </c>
      <c r="C595" s="64" t="s">
        <v>628</v>
      </c>
      <c r="D595" s="64"/>
      <c r="E595" s="135"/>
    </row>
    <row r="596" spans="1:5" x14ac:dyDescent="0.2">
      <c r="A596" s="129"/>
      <c r="B596" s="131"/>
      <c r="C596" s="130" t="s">
        <v>96</v>
      </c>
      <c r="D596" s="64"/>
    </row>
    <row r="597" spans="1:5" x14ac:dyDescent="0.2">
      <c r="A597" s="123"/>
      <c r="B597" s="123" t="s">
        <v>689</v>
      </c>
      <c r="C597" s="61" t="s">
        <v>1398</v>
      </c>
      <c r="D597" s="61"/>
    </row>
    <row r="598" spans="1:5" x14ac:dyDescent="0.2">
      <c r="A598" s="71"/>
      <c r="B598" s="71"/>
      <c r="C598" s="61" t="s">
        <v>698</v>
      </c>
      <c r="D598" s="61"/>
    </row>
    <row r="599" spans="1:5" x14ac:dyDescent="0.2">
      <c r="A599" s="71"/>
      <c r="B599" s="71"/>
      <c r="C599" s="61" t="s">
        <v>1399</v>
      </c>
      <c r="D599" s="61"/>
    </row>
    <row r="600" spans="1:5" x14ac:dyDescent="0.2">
      <c r="A600" s="71"/>
      <c r="B600" s="71"/>
      <c r="C600" s="61" t="s">
        <v>1400</v>
      </c>
      <c r="D600" s="61"/>
    </row>
    <row r="601" spans="1:5" x14ac:dyDescent="0.2">
      <c r="A601" s="71"/>
      <c r="B601" s="71"/>
      <c r="C601" s="61" t="s">
        <v>1401</v>
      </c>
      <c r="D601" s="61"/>
    </row>
    <row r="602" spans="1:5" x14ac:dyDescent="0.2">
      <c r="A602" s="71"/>
      <c r="B602" s="71"/>
      <c r="C602" s="61" t="s">
        <v>1402</v>
      </c>
      <c r="D602" s="61"/>
    </row>
    <row r="603" spans="1:5" x14ac:dyDescent="0.2">
      <c r="A603" s="71"/>
      <c r="B603" s="71"/>
      <c r="C603" s="61" t="s">
        <v>706</v>
      </c>
      <c r="D603" s="61"/>
    </row>
    <row r="604" spans="1:5" x14ac:dyDescent="0.2">
      <c r="A604" s="71"/>
      <c r="B604" s="71"/>
      <c r="C604" s="61" t="s">
        <v>1403</v>
      </c>
      <c r="D604" s="61"/>
    </row>
    <row r="605" spans="1:5" x14ac:dyDescent="0.2">
      <c r="A605" s="71"/>
      <c r="B605" s="71"/>
      <c r="C605" s="61" t="s">
        <v>1404</v>
      </c>
      <c r="D605" s="61"/>
    </row>
    <row r="606" spans="1:5" x14ac:dyDescent="0.2">
      <c r="A606" s="71"/>
      <c r="B606" s="71"/>
      <c r="C606" s="61" t="s">
        <v>1405</v>
      </c>
      <c r="D606" s="61"/>
    </row>
    <row r="607" spans="1:5" x14ac:dyDescent="0.2">
      <c r="A607" s="71"/>
      <c r="B607" s="71"/>
      <c r="C607" s="61" t="s">
        <v>1406</v>
      </c>
      <c r="D607" s="61"/>
    </row>
    <row r="608" spans="1:5" x14ac:dyDescent="0.2">
      <c r="A608" s="71"/>
      <c r="B608" s="71"/>
      <c r="C608" s="61" t="s">
        <v>1407</v>
      </c>
      <c r="D608" s="61"/>
    </row>
    <row r="609" spans="1:5" x14ac:dyDescent="0.2">
      <c r="A609" s="71"/>
      <c r="B609" s="71"/>
      <c r="C609" s="61" t="s">
        <v>748</v>
      </c>
      <c r="D609" s="61"/>
    </row>
    <row r="610" spans="1:5" x14ac:dyDescent="0.2">
      <c r="A610" s="71"/>
      <c r="B610" s="71"/>
      <c r="C610" s="61" t="s">
        <v>1408</v>
      </c>
      <c r="D610" s="61"/>
    </row>
    <row r="611" spans="1:5" x14ac:dyDescent="0.2">
      <c r="A611" s="71"/>
      <c r="B611" s="71"/>
      <c r="C611" s="61" t="s">
        <v>1409</v>
      </c>
      <c r="D611" s="61"/>
    </row>
    <row r="612" spans="1:5" x14ac:dyDescent="0.2">
      <c r="A612" s="71"/>
      <c r="B612" s="71"/>
      <c r="C612" s="61" t="s">
        <v>755</v>
      </c>
      <c r="D612" s="61"/>
    </row>
    <row r="613" spans="1:5" x14ac:dyDescent="0.2">
      <c r="A613" s="71"/>
      <c r="B613" s="71"/>
      <c r="C613" s="61" t="s">
        <v>1410</v>
      </c>
      <c r="D613" s="61"/>
    </row>
    <row r="614" spans="1:5" x14ac:dyDescent="0.2">
      <c r="A614" s="71"/>
      <c r="B614" s="71"/>
      <c r="C614" s="61" t="s">
        <v>1411</v>
      </c>
      <c r="D614" s="61"/>
    </row>
    <row r="615" spans="1:5" x14ac:dyDescent="0.2">
      <c r="A615" s="71"/>
      <c r="B615" s="71"/>
      <c r="C615" s="61" t="s">
        <v>1412</v>
      </c>
      <c r="D615" s="61"/>
    </row>
    <row r="616" spans="1:5" x14ac:dyDescent="0.2">
      <c r="A616" s="71"/>
      <c r="B616" s="71"/>
      <c r="C616" s="61" t="s">
        <v>1413</v>
      </c>
      <c r="D616" s="61"/>
    </row>
    <row r="617" spans="1:5" x14ac:dyDescent="0.2">
      <c r="A617" s="71"/>
      <c r="B617" s="71"/>
      <c r="C617" s="61" t="s">
        <v>1414</v>
      </c>
      <c r="D617" s="61"/>
    </row>
    <row r="618" spans="1:5" x14ac:dyDescent="0.2">
      <c r="A618" s="71"/>
      <c r="B618" s="71"/>
      <c r="C618" s="61" t="s">
        <v>1415</v>
      </c>
      <c r="D618" s="61"/>
    </row>
    <row r="619" spans="1:5" x14ac:dyDescent="0.2">
      <c r="A619" s="71"/>
      <c r="B619" s="71"/>
      <c r="C619" s="61" t="s">
        <v>1416</v>
      </c>
      <c r="D619" s="61"/>
    </row>
    <row r="620" spans="1:5" x14ac:dyDescent="0.2">
      <c r="A620" s="71"/>
      <c r="B620" s="71"/>
      <c r="C620" s="61" t="s">
        <v>719</v>
      </c>
      <c r="D620" s="61"/>
    </row>
    <row r="621" spans="1:5" x14ac:dyDescent="0.2">
      <c r="A621" s="71"/>
      <c r="B621" s="71"/>
      <c r="C621" s="61" t="s">
        <v>1417</v>
      </c>
      <c r="D621" s="61"/>
      <c r="E621" s="18" t="s">
        <v>873</v>
      </c>
    </row>
    <row r="622" spans="1:5" x14ac:dyDescent="0.2">
      <c r="A622" s="75"/>
      <c r="B622" s="75" t="s">
        <v>836</v>
      </c>
      <c r="C622" s="64" t="s">
        <v>1418</v>
      </c>
      <c r="D622" s="64"/>
    </row>
    <row r="623" spans="1:5" x14ac:dyDescent="0.2">
      <c r="A623" s="76"/>
      <c r="B623" s="76"/>
      <c r="C623" s="64" t="s">
        <v>1419</v>
      </c>
      <c r="D623" s="64"/>
    </row>
    <row r="624" spans="1:5" x14ac:dyDescent="0.2">
      <c r="A624" s="76"/>
      <c r="B624" s="76"/>
      <c r="C624" s="64" t="s">
        <v>1420</v>
      </c>
      <c r="D624" s="64"/>
    </row>
    <row r="625" spans="1:5" x14ac:dyDescent="0.2">
      <c r="A625" s="76"/>
      <c r="B625" s="76"/>
      <c r="C625" s="64" t="s">
        <v>1421</v>
      </c>
      <c r="D625" s="64"/>
    </row>
    <row r="626" spans="1:5" x14ac:dyDescent="0.2">
      <c r="A626" s="76"/>
      <c r="B626" s="76"/>
      <c r="C626" s="64" t="s">
        <v>1422</v>
      </c>
      <c r="D626" s="64"/>
      <c r="E626" s="18" t="s">
        <v>873</v>
      </c>
    </row>
    <row r="627" spans="1:5" x14ac:dyDescent="0.2">
      <c r="A627" s="76"/>
      <c r="B627" s="76"/>
      <c r="C627" s="64" t="s">
        <v>1423</v>
      </c>
      <c r="D627" s="64"/>
    </row>
    <row r="628" spans="1:5" x14ac:dyDescent="0.2">
      <c r="A628" s="76"/>
      <c r="B628" s="76"/>
      <c r="C628" s="64" t="s">
        <v>1424</v>
      </c>
      <c r="D628" s="64"/>
    </row>
    <row r="629" spans="1:5" x14ac:dyDescent="0.2">
      <c r="A629" s="76"/>
      <c r="B629" s="76"/>
      <c r="C629" s="64" t="s">
        <v>189</v>
      </c>
      <c r="D629" s="64"/>
    </row>
    <row r="630" spans="1:5" x14ac:dyDescent="0.2">
      <c r="A630" s="76"/>
      <c r="B630" s="76"/>
      <c r="C630" s="64" t="s">
        <v>1425</v>
      </c>
      <c r="D630" s="64"/>
    </row>
    <row r="631" spans="1:5" x14ac:dyDescent="0.2">
      <c r="A631" s="76"/>
      <c r="B631" s="76"/>
      <c r="C631" s="64" t="s">
        <v>1426</v>
      </c>
      <c r="D631" s="64"/>
    </row>
    <row r="632" spans="1:5" x14ac:dyDescent="0.2">
      <c r="A632" s="76"/>
      <c r="B632" s="76"/>
      <c r="C632" s="64" t="s">
        <v>1427</v>
      </c>
      <c r="D632" s="64"/>
    </row>
    <row r="633" spans="1:5" x14ac:dyDescent="0.2">
      <c r="A633" s="77"/>
      <c r="B633" s="77"/>
      <c r="C633" s="64" t="s">
        <v>392</v>
      </c>
      <c r="D633" s="64"/>
    </row>
    <row r="634" spans="1:5" x14ac:dyDescent="0.2">
      <c r="A634" s="71"/>
      <c r="B634" s="128" t="s">
        <v>837</v>
      </c>
      <c r="C634" s="61" t="s">
        <v>1428</v>
      </c>
      <c r="D634" s="61" t="s">
        <v>1429</v>
      </c>
    </row>
    <row r="635" spans="1:5" x14ac:dyDescent="0.2">
      <c r="A635" s="71"/>
      <c r="B635" s="128"/>
      <c r="C635" s="61" t="s">
        <v>1430</v>
      </c>
      <c r="D635" s="61" t="s">
        <v>1431</v>
      </c>
    </row>
    <row r="636" spans="1:5" x14ac:dyDescent="0.2">
      <c r="A636" s="71"/>
      <c r="B636" s="128"/>
      <c r="C636" s="61" t="s">
        <v>1432</v>
      </c>
      <c r="D636" s="61" t="s">
        <v>1433</v>
      </c>
    </row>
    <row r="637" spans="1:5" x14ac:dyDescent="0.2">
      <c r="A637" s="71"/>
      <c r="B637" s="128"/>
      <c r="C637" s="61" t="s">
        <v>1434</v>
      </c>
      <c r="D637" s="61" t="s">
        <v>1435</v>
      </c>
    </row>
    <row r="638" spans="1:5" x14ac:dyDescent="0.2">
      <c r="A638" s="71"/>
      <c r="B638" s="128"/>
      <c r="C638" s="61" t="s">
        <v>1436</v>
      </c>
      <c r="D638" s="61" t="s">
        <v>1437</v>
      </c>
    </row>
    <row r="639" spans="1:5" x14ac:dyDescent="0.2">
      <c r="A639" s="71"/>
      <c r="B639" s="128"/>
      <c r="C639" s="61" t="s">
        <v>1438</v>
      </c>
      <c r="D639" s="61" t="s">
        <v>1439</v>
      </c>
    </row>
    <row r="640" spans="1:5" x14ac:dyDescent="0.2">
      <c r="A640" s="71"/>
      <c r="B640" s="128"/>
      <c r="C640" s="61" t="s">
        <v>1440</v>
      </c>
      <c r="D640" s="61" t="s">
        <v>1441</v>
      </c>
    </row>
    <row r="641" spans="1:4" x14ac:dyDescent="0.2">
      <c r="A641" s="71"/>
      <c r="B641" s="128"/>
      <c r="C641" s="61" t="s">
        <v>1442</v>
      </c>
      <c r="D641" s="61" t="s">
        <v>1442</v>
      </c>
    </row>
    <row r="642" spans="1:4" x14ac:dyDescent="0.2">
      <c r="A642" s="71"/>
      <c r="B642" s="128"/>
      <c r="C642" s="61" t="s">
        <v>392</v>
      </c>
      <c r="D642" s="61"/>
    </row>
    <row r="643" spans="1:4" x14ac:dyDescent="0.2">
      <c r="A643" s="78"/>
      <c r="B643" s="78" t="s">
        <v>1443</v>
      </c>
      <c r="C643" s="64" t="s">
        <v>1444</v>
      </c>
      <c r="D643" s="64" t="s">
        <v>1445</v>
      </c>
    </row>
    <row r="644" spans="1:4" x14ac:dyDescent="0.2">
      <c r="A644" s="79"/>
      <c r="B644" s="79"/>
      <c r="C644" s="64" t="s">
        <v>1446</v>
      </c>
      <c r="D644" s="64" t="s">
        <v>1447</v>
      </c>
    </row>
    <row r="645" spans="1:4" x14ac:dyDescent="0.2">
      <c r="A645" s="79"/>
      <c r="B645" s="79"/>
      <c r="C645" s="64" t="s">
        <v>1448</v>
      </c>
      <c r="D645" s="64" t="s">
        <v>1449</v>
      </c>
    </row>
    <row r="646" spans="1:4" x14ac:dyDescent="0.2">
      <c r="A646" s="79"/>
      <c r="B646" s="79"/>
      <c r="C646" s="64" t="s">
        <v>1450</v>
      </c>
      <c r="D646" s="64" t="s">
        <v>1451</v>
      </c>
    </row>
    <row r="647" spans="1:4" x14ac:dyDescent="0.2">
      <c r="A647" s="79"/>
      <c r="B647" s="79"/>
      <c r="C647" s="64" t="s">
        <v>1452</v>
      </c>
      <c r="D647" s="64"/>
    </row>
    <row r="648" spans="1:4" x14ac:dyDescent="0.2">
      <c r="A648" s="80"/>
      <c r="B648" s="80"/>
      <c r="C648" s="64" t="s">
        <v>392</v>
      </c>
      <c r="D648" s="64"/>
    </row>
    <row r="649" spans="1:4" x14ac:dyDescent="0.2">
      <c r="A649" s="71"/>
      <c r="B649" s="128" t="s">
        <v>603</v>
      </c>
      <c r="C649" s="61" t="s">
        <v>618</v>
      </c>
      <c r="D649" s="61"/>
    </row>
    <row r="650" spans="1:4" x14ac:dyDescent="0.2">
      <c r="A650" s="71"/>
      <c r="B650" s="128"/>
      <c r="C650" s="61" t="s">
        <v>701</v>
      </c>
      <c r="D650" s="61"/>
    </row>
    <row r="651" spans="1:4" x14ac:dyDescent="0.2">
      <c r="A651" s="71"/>
      <c r="B651" s="128"/>
      <c r="C651" s="61" t="s">
        <v>655</v>
      </c>
      <c r="D651" s="61"/>
    </row>
    <row r="652" spans="1:4" x14ac:dyDescent="0.2">
      <c r="A652" s="71"/>
      <c r="B652" s="128"/>
      <c r="C652" s="61" t="s">
        <v>1453</v>
      </c>
      <c r="D652" s="61"/>
    </row>
    <row r="653" spans="1:4" x14ac:dyDescent="0.2">
      <c r="A653" s="71"/>
      <c r="B653" s="128"/>
      <c r="C653" s="61" t="s">
        <v>392</v>
      </c>
      <c r="D653" s="61"/>
    </row>
    <row r="654" spans="1:4" x14ac:dyDescent="0.2">
      <c r="A654" s="78"/>
      <c r="B654" s="78" t="s">
        <v>604</v>
      </c>
      <c r="C654" s="64" t="s">
        <v>629</v>
      </c>
      <c r="D654" s="64"/>
    </row>
    <row r="655" spans="1:4" x14ac:dyDescent="0.2">
      <c r="A655" s="79"/>
      <c r="B655" s="79"/>
      <c r="C655" s="64" t="s">
        <v>619</v>
      </c>
      <c r="D655" s="64"/>
    </row>
    <row r="656" spans="1:4" x14ac:dyDescent="0.2">
      <c r="A656" s="71"/>
      <c r="B656" s="128" t="s">
        <v>22</v>
      </c>
      <c r="C656" s="61" t="s">
        <v>36</v>
      </c>
      <c r="D656" s="61"/>
    </row>
    <row r="657" spans="1:4" x14ac:dyDescent="0.2">
      <c r="A657" s="71"/>
      <c r="B657" s="128"/>
      <c r="C657" s="61" t="s">
        <v>1454</v>
      </c>
      <c r="D657" s="61"/>
    </row>
    <row r="658" spans="1:4" x14ac:dyDescent="0.2">
      <c r="A658" s="78"/>
      <c r="B658" s="78" t="s">
        <v>793</v>
      </c>
      <c r="C658" s="64" t="s">
        <v>1455</v>
      </c>
      <c r="D658" s="64"/>
    </row>
    <row r="659" spans="1:4" x14ac:dyDescent="0.2">
      <c r="A659" s="79"/>
      <c r="B659" s="79"/>
      <c r="C659" s="64" t="s">
        <v>1456</v>
      </c>
      <c r="D659" s="64"/>
    </row>
    <row r="660" spans="1:4" x14ac:dyDescent="0.2">
      <c r="A660" s="79"/>
      <c r="B660" s="79"/>
      <c r="C660" s="64" t="s">
        <v>1457</v>
      </c>
      <c r="D660" s="64"/>
    </row>
    <row r="661" spans="1:4" x14ac:dyDescent="0.2">
      <c r="A661" s="79"/>
      <c r="B661" s="79"/>
      <c r="C661" s="64" t="s">
        <v>1458</v>
      </c>
      <c r="D661" s="64"/>
    </row>
    <row r="662" spans="1:4" x14ac:dyDescent="0.2">
      <c r="A662" s="79"/>
      <c r="B662" s="79"/>
      <c r="C662" s="64" t="s">
        <v>1459</v>
      </c>
      <c r="D662" s="64"/>
    </row>
    <row r="663" spans="1:4" x14ac:dyDescent="0.2">
      <c r="A663" s="79"/>
      <c r="B663" s="79"/>
      <c r="C663" s="64" t="s">
        <v>1460</v>
      </c>
      <c r="D663" s="64"/>
    </row>
    <row r="664" spans="1:4" x14ac:dyDescent="0.2">
      <c r="A664" s="79"/>
      <c r="B664" s="79"/>
      <c r="C664" s="64" t="s">
        <v>392</v>
      </c>
      <c r="D664" s="64"/>
    </row>
    <row r="665" spans="1:4" x14ac:dyDescent="0.2">
      <c r="A665" s="80"/>
      <c r="B665" s="80"/>
      <c r="C665" s="64" t="s">
        <v>1461</v>
      </c>
      <c r="D665" s="64"/>
    </row>
    <row r="666" spans="1:4" x14ac:dyDescent="0.2">
      <c r="A666" s="71"/>
      <c r="B666" s="128" t="s">
        <v>794</v>
      </c>
      <c r="C666" s="61" t="s">
        <v>1462</v>
      </c>
      <c r="D666" s="61"/>
    </row>
    <row r="667" spans="1:4" x14ac:dyDescent="0.2">
      <c r="A667" s="71"/>
      <c r="B667" s="128"/>
      <c r="C667" s="61" t="s">
        <v>1463</v>
      </c>
      <c r="D667" s="61"/>
    </row>
    <row r="668" spans="1:4" x14ac:dyDescent="0.2">
      <c r="A668" s="78"/>
      <c r="B668" s="78" t="s">
        <v>82</v>
      </c>
      <c r="C668" s="64" t="s">
        <v>1464</v>
      </c>
      <c r="D668" s="64"/>
    </row>
    <row r="669" spans="1:4" x14ac:dyDescent="0.2">
      <c r="A669" s="79"/>
      <c r="B669" s="79"/>
      <c r="C669" s="64" t="s">
        <v>1465</v>
      </c>
      <c r="D669" s="64"/>
    </row>
    <row r="670" spans="1:4" x14ac:dyDescent="0.2">
      <c r="A670" s="79"/>
      <c r="B670" s="79"/>
      <c r="C670" s="64" t="s">
        <v>1466</v>
      </c>
      <c r="D670" s="64"/>
    </row>
    <row r="671" spans="1:4" x14ac:dyDescent="0.2">
      <c r="A671" s="79"/>
      <c r="B671" s="79"/>
      <c r="C671" s="64" t="s">
        <v>1467</v>
      </c>
      <c r="D671" s="64"/>
    </row>
    <row r="672" spans="1:4" x14ac:dyDescent="0.2">
      <c r="A672" s="79"/>
      <c r="B672" s="79"/>
      <c r="C672" s="64" t="s">
        <v>1468</v>
      </c>
      <c r="D672" s="64"/>
    </row>
    <row r="673" spans="1:4" x14ac:dyDescent="0.2">
      <c r="A673" s="79"/>
      <c r="B673" s="79"/>
      <c r="C673" s="64" t="s">
        <v>1469</v>
      </c>
      <c r="D673" s="64"/>
    </row>
    <row r="674" spans="1:4" x14ac:dyDescent="0.2">
      <c r="A674" s="79"/>
      <c r="B674" s="79"/>
      <c r="C674" s="64" t="s">
        <v>1470</v>
      </c>
      <c r="D674" s="64"/>
    </row>
    <row r="675" spans="1:4" x14ac:dyDescent="0.2">
      <c r="A675" s="79"/>
      <c r="B675" s="79"/>
      <c r="C675" s="64" t="s">
        <v>1471</v>
      </c>
      <c r="D675" s="64"/>
    </row>
    <row r="676" spans="1:4" x14ac:dyDescent="0.2">
      <c r="A676" s="79"/>
      <c r="B676" s="79"/>
      <c r="C676" s="64" t="s">
        <v>1472</v>
      </c>
      <c r="D676" s="64"/>
    </row>
    <row r="677" spans="1:4" x14ac:dyDescent="0.2">
      <c r="A677" s="79"/>
      <c r="B677" s="79"/>
      <c r="C677" s="64" t="s">
        <v>1473</v>
      </c>
      <c r="D677" s="64"/>
    </row>
    <row r="678" spans="1:4" x14ac:dyDescent="0.2">
      <c r="A678" s="79"/>
      <c r="B678" s="79"/>
      <c r="C678" s="64" t="s">
        <v>719</v>
      </c>
      <c r="D678" s="64"/>
    </row>
    <row r="679" spans="1:4" x14ac:dyDescent="0.2">
      <c r="A679" s="80"/>
      <c r="B679" s="80"/>
      <c r="C679" s="64" t="s">
        <v>1461</v>
      </c>
      <c r="D679" s="64"/>
    </row>
    <row r="680" spans="1:4" x14ac:dyDescent="0.2">
      <c r="A680" s="100"/>
      <c r="B680" s="100" t="s">
        <v>797</v>
      </c>
      <c r="C680" s="61" t="s">
        <v>1455</v>
      </c>
      <c r="D680" s="61"/>
    </row>
    <row r="681" spans="1:4" x14ac:dyDescent="0.2">
      <c r="A681" s="102"/>
      <c r="B681" s="102"/>
      <c r="C681" s="61" t="s">
        <v>1456</v>
      </c>
      <c r="D681" s="61"/>
    </row>
    <row r="682" spans="1:4" x14ac:dyDescent="0.2">
      <c r="A682" s="102"/>
      <c r="B682" s="102"/>
      <c r="C682" s="61" t="s">
        <v>1457</v>
      </c>
      <c r="D682" s="61"/>
    </row>
    <row r="683" spans="1:4" x14ac:dyDescent="0.2">
      <c r="A683" s="102"/>
      <c r="B683" s="102"/>
      <c r="C683" s="61" t="s">
        <v>1458</v>
      </c>
      <c r="D683" s="61"/>
    </row>
    <row r="684" spans="1:4" x14ac:dyDescent="0.2">
      <c r="A684" s="102"/>
      <c r="B684" s="102"/>
      <c r="C684" s="61" t="s">
        <v>1459</v>
      </c>
      <c r="D684" s="61"/>
    </row>
    <row r="685" spans="1:4" x14ac:dyDescent="0.2">
      <c r="A685" s="102"/>
      <c r="B685" s="102"/>
      <c r="C685" s="61" t="s">
        <v>1460</v>
      </c>
      <c r="D685" s="61"/>
    </row>
    <row r="686" spans="1:4" x14ac:dyDescent="0.2">
      <c r="A686" s="102"/>
      <c r="B686" s="102"/>
      <c r="C686" s="61" t="s">
        <v>392</v>
      </c>
      <c r="D686" s="61"/>
    </row>
    <row r="687" spans="1:4" x14ac:dyDescent="0.2">
      <c r="A687" s="102"/>
      <c r="B687" s="102"/>
      <c r="C687" s="61" t="s">
        <v>1461</v>
      </c>
      <c r="D687" s="61"/>
    </row>
    <row r="688" spans="1:4" x14ac:dyDescent="0.2">
      <c r="A688" s="78"/>
      <c r="B688" s="75" t="s">
        <v>1474</v>
      </c>
      <c r="C688" s="64" t="s">
        <v>1475</v>
      </c>
      <c r="D688" s="64"/>
    </row>
    <row r="689" spans="1:4" x14ac:dyDescent="0.2">
      <c r="A689" s="79"/>
      <c r="B689" s="77"/>
      <c r="C689" s="64" t="s">
        <v>1476</v>
      </c>
      <c r="D689" s="64"/>
    </row>
    <row r="690" spans="1:4" x14ac:dyDescent="0.2">
      <c r="A690" s="100"/>
      <c r="B690" s="100" t="s">
        <v>796</v>
      </c>
      <c r="C690" s="61" t="s">
        <v>1477</v>
      </c>
      <c r="D690" s="61"/>
    </row>
    <row r="691" spans="1:4" x14ac:dyDescent="0.2">
      <c r="A691" s="102"/>
      <c r="B691" s="102"/>
      <c r="C691" s="61" t="s">
        <v>1478</v>
      </c>
      <c r="D691" s="61"/>
    </row>
    <row r="692" spans="1:4" x14ac:dyDescent="0.2">
      <c r="A692" s="78"/>
      <c r="B692" s="78" t="s">
        <v>788</v>
      </c>
      <c r="C692" s="64" t="s">
        <v>1479</v>
      </c>
      <c r="D692" s="64"/>
    </row>
    <row r="693" spans="1:4" x14ac:dyDescent="0.2">
      <c r="A693" s="79"/>
      <c r="B693" s="79"/>
      <c r="C693" s="64" t="s">
        <v>1319</v>
      </c>
      <c r="D693" s="64"/>
    </row>
    <row r="694" spans="1:4" x14ac:dyDescent="0.2">
      <c r="A694" s="79"/>
      <c r="B694" s="79"/>
      <c r="C694" s="64" t="s">
        <v>1480</v>
      </c>
      <c r="D694" s="64"/>
    </row>
    <row r="695" spans="1:4" x14ac:dyDescent="0.2">
      <c r="A695" s="79"/>
      <c r="B695" s="79"/>
      <c r="C695" s="64" t="s">
        <v>1481</v>
      </c>
      <c r="D695" s="64"/>
    </row>
    <row r="696" spans="1:4" x14ac:dyDescent="0.2">
      <c r="A696" s="79"/>
      <c r="B696" s="79"/>
      <c r="C696" s="64" t="s">
        <v>276</v>
      </c>
      <c r="D696" s="64"/>
    </row>
    <row r="697" spans="1:4" x14ac:dyDescent="0.2">
      <c r="A697" s="79"/>
      <c r="B697" s="79"/>
      <c r="C697" s="64" t="s">
        <v>79</v>
      </c>
      <c r="D697" s="64"/>
    </row>
    <row r="698" spans="1:4" x14ac:dyDescent="0.2">
      <c r="A698" s="79"/>
      <c r="B698" s="79"/>
      <c r="C698" s="64" t="s">
        <v>1482</v>
      </c>
      <c r="D698" s="64"/>
    </row>
    <row r="699" spans="1:4" x14ac:dyDescent="0.2">
      <c r="A699" s="79"/>
      <c r="B699" s="79"/>
      <c r="C699" s="64" t="s">
        <v>1483</v>
      </c>
      <c r="D699" s="64"/>
    </row>
    <row r="700" spans="1:4" x14ac:dyDescent="0.2">
      <c r="A700" s="79"/>
      <c r="B700" s="79"/>
      <c r="C700" s="64" t="s">
        <v>392</v>
      </c>
      <c r="D700" s="64"/>
    </row>
    <row r="701" spans="1:4" x14ac:dyDescent="0.2">
      <c r="A701" s="100"/>
      <c r="B701" s="100" t="s">
        <v>789</v>
      </c>
      <c r="C701" s="61" t="s">
        <v>1057</v>
      </c>
      <c r="D701" s="61"/>
    </row>
    <row r="702" spans="1:4" x14ac:dyDescent="0.2">
      <c r="A702" s="102"/>
      <c r="B702" s="102"/>
      <c r="C702" s="61" t="s">
        <v>1058</v>
      </c>
      <c r="D702" s="61"/>
    </row>
    <row r="703" spans="1:4" x14ac:dyDescent="0.2">
      <c r="A703" s="102"/>
      <c r="B703" s="102"/>
      <c r="C703" s="61" t="s">
        <v>1059</v>
      </c>
      <c r="D703" s="61"/>
    </row>
    <row r="704" spans="1:4" x14ac:dyDescent="0.2">
      <c r="A704" s="102"/>
      <c r="B704" s="102"/>
      <c r="C704" s="61" t="s">
        <v>356</v>
      </c>
      <c r="D704" s="61"/>
    </row>
    <row r="705" spans="1:5" x14ac:dyDescent="0.2">
      <c r="A705" s="102"/>
      <c r="B705" s="102"/>
      <c r="C705" s="61" t="s">
        <v>146</v>
      </c>
      <c r="D705" s="61"/>
    </row>
    <row r="706" spans="1:5" x14ac:dyDescent="0.2">
      <c r="A706" s="102"/>
      <c r="B706" s="102"/>
      <c r="C706" s="61" t="s">
        <v>123</v>
      </c>
      <c r="D706" s="61"/>
    </row>
    <row r="707" spans="1:5" x14ac:dyDescent="0.2">
      <c r="A707" s="102"/>
      <c r="B707" s="102"/>
      <c r="C707" s="61" t="s">
        <v>230</v>
      </c>
      <c r="D707" s="61"/>
    </row>
    <row r="708" spans="1:5" x14ac:dyDescent="0.2">
      <c r="A708" s="102"/>
      <c r="B708" s="102"/>
      <c r="C708" s="61" t="s">
        <v>1061</v>
      </c>
      <c r="D708" s="61"/>
    </row>
    <row r="709" spans="1:5" x14ac:dyDescent="0.2">
      <c r="A709" s="102"/>
      <c r="B709" s="102"/>
      <c r="C709" s="61" t="s">
        <v>95</v>
      </c>
      <c r="D709" s="61"/>
    </row>
    <row r="710" spans="1:5" x14ac:dyDescent="0.2">
      <c r="A710" s="102"/>
      <c r="B710" s="102"/>
      <c r="C710" s="61" t="s">
        <v>277</v>
      </c>
      <c r="D710" s="61"/>
    </row>
    <row r="711" spans="1:5" x14ac:dyDescent="0.2">
      <c r="A711" s="102"/>
      <c r="B711" s="102"/>
      <c r="C711" s="61" t="s">
        <v>135</v>
      </c>
      <c r="D711" s="61"/>
    </row>
    <row r="712" spans="1:5" x14ac:dyDescent="0.2">
      <c r="A712" s="102"/>
      <c r="B712" s="102"/>
      <c r="C712" s="61" t="s">
        <v>206</v>
      </c>
      <c r="D712" s="61"/>
    </row>
    <row r="713" spans="1:5" x14ac:dyDescent="0.2">
      <c r="A713" s="102"/>
      <c r="B713" s="102"/>
      <c r="C713" s="61" t="s">
        <v>1062</v>
      </c>
      <c r="D713" s="61"/>
    </row>
    <row r="714" spans="1:5" x14ac:dyDescent="0.2">
      <c r="A714" s="102"/>
      <c r="B714" s="102"/>
      <c r="C714" s="61" t="s">
        <v>1063</v>
      </c>
      <c r="D714" s="61"/>
    </row>
    <row r="715" spans="1:5" x14ac:dyDescent="0.2">
      <c r="A715" s="102"/>
      <c r="B715" s="102"/>
      <c r="C715" s="61" t="s">
        <v>613</v>
      </c>
      <c r="D715" s="61"/>
    </row>
    <row r="716" spans="1:5" x14ac:dyDescent="0.2">
      <c r="A716" s="102"/>
      <c r="B716" s="102"/>
      <c r="C716" s="61" t="s">
        <v>1064</v>
      </c>
      <c r="D716" s="61" t="s">
        <v>1065</v>
      </c>
      <c r="E716" s="18" t="s">
        <v>873</v>
      </c>
    </row>
    <row r="717" spans="1:5" x14ac:dyDescent="0.2">
      <c r="A717" s="102"/>
      <c r="B717" s="102"/>
      <c r="C717" s="61" t="s">
        <v>343</v>
      </c>
      <c r="D717" s="61"/>
    </row>
    <row r="718" spans="1:5" x14ac:dyDescent="0.2">
      <c r="A718" s="102"/>
      <c r="B718" s="102"/>
      <c r="C718" s="61" t="s">
        <v>1066</v>
      </c>
      <c r="D718" s="61"/>
    </row>
    <row r="719" spans="1:5" x14ac:dyDescent="0.2">
      <c r="A719" s="102"/>
      <c r="B719" s="102"/>
      <c r="C719" s="61" t="s">
        <v>1067</v>
      </c>
      <c r="D719" s="61"/>
    </row>
    <row r="720" spans="1:5" x14ac:dyDescent="0.2">
      <c r="A720" s="102"/>
      <c r="B720" s="102"/>
      <c r="C720" s="61" t="s">
        <v>1068</v>
      </c>
      <c r="D720" s="61"/>
    </row>
    <row r="721" spans="1:4" x14ac:dyDescent="0.2">
      <c r="A721" s="102"/>
      <c r="B721" s="102"/>
      <c r="C721" s="61" t="s">
        <v>1069</v>
      </c>
      <c r="D721" s="61"/>
    </row>
    <row r="722" spans="1:4" x14ac:dyDescent="0.2">
      <c r="A722" s="102"/>
      <c r="B722" s="102"/>
      <c r="C722" s="61" t="s">
        <v>1070</v>
      </c>
      <c r="D722" s="61"/>
    </row>
    <row r="723" spans="1:4" x14ac:dyDescent="0.2">
      <c r="A723" s="102"/>
      <c r="B723" s="102"/>
      <c r="C723" s="61" t="s">
        <v>1071</v>
      </c>
      <c r="D723" s="61"/>
    </row>
    <row r="724" spans="1:4" x14ac:dyDescent="0.2">
      <c r="A724" s="102"/>
      <c r="B724" s="102"/>
      <c r="C724" s="61" t="s">
        <v>643</v>
      </c>
      <c r="D724" s="61"/>
    </row>
    <row r="725" spans="1:4" x14ac:dyDescent="0.2">
      <c r="A725" s="102"/>
      <c r="B725" s="102"/>
      <c r="C725" s="61" t="s">
        <v>189</v>
      </c>
      <c r="D725" s="61"/>
    </row>
    <row r="726" spans="1:4" x14ac:dyDescent="0.2">
      <c r="A726" s="102"/>
      <c r="B726" s="102"/>
      <c r="C726" s="61" t="s">
        <v>376</v>
      </c>
      <c r="D726" s="61"/>
    </row>
    <row r="727" spans="1:4" x14ac:dyDescent="0.2">
      <c r="A727" s="102"/>
      <c r="B727" s="102"/>
      <c r="C727" s="61" t="s">
        <v>107</v>
      </c>
      <c r="D727" s="61"/>
    </row>
    <row r="728" spans="1:4" x14ac:dyDescent="0.2">
      <c r="A728" s="102"/>
      <c r="B728" s="102"/>
      <c r="C728" s="61" t="s">
        <v>1072</v>
      </c>
      <c r="D728" s="61"/>
    </row>
    <row r="729" spans="1:4" x14ac:dyDescent="0.2">
      <c r="A729" s="102"/>
      <c r="B729" s="102"/>
      <c r="C729" s="61" t="s">
        <v>1073</v>
      </c>
      <c r="D729" s="61"/>
    </row>
    <row r="730" spans="1:4" x14ac:dyDescent="0.2">
      <c r="A730" s="102"/>
      <c r="B730" s="102"/>
      <c r="C730" s="61" t="s">
        <v>309</v>
      </c>
      <c r="D730" s="61"/>
    </row>
    <row r="731" spans="1:4" x14ac:dyDescent="0.2">
      <c r="A731" s="102"/>
      <c r="B731" s="102"/>
      <c r="C731" s="61" t="s">
        <v>1074</v>
      </c>
      <c r="D731" s="61"/>
    </row>
    <row r="732" spans="1:4" x14ac:dyDescent="0.2">
      <c r="A732" s="102"/>
      <c r="B732" s="102"/>
      <c r="C732" s="61" t="s">
        <v>1075</v>
      </c>
      <c r="D732" s="61"/>
    </row>
    <row r="733" spans="1:4" x14ac:dyDescent="0.2">
      <c r="A733" s="102"/>
      <c r="B733" s="102"/>
      <c r="C733" s="61" t="s">
        <v>1076</v>
      </c>
      <c r="D733" s="61"/>
    </row>
    <row r="734" spans="1:4" x14ac:dyDescent="0.2">
      <c r="A734" s="102"/>
      <c r="B734" s="102"/>
      <c r="C734" s="61" t="s">
        <v>1077</v>
      </c>
      <c r="D734" s="61"/>
    </row>
    <row r="735" spans="1:4" x14ac:dyDescent="0.2">
      <c r="A735" s="102"/>
      <c r="B735" s="102"/>
      <c r="C735" s="61" t="s">
        <v>1078</v>
      </c>
      <c r="D735" s="61"/>
    </row>
    <row r="736" spans="1:4" x14ac:dyDescent="0.2">
      <c r="A736" s="102"/>
      <c r="B736" s="102"/>
      <c r="C736" s="61" t="s">
        <v>1079</v>
      </c>
      <c r="D736" s="61"/>
    </row>
    <row r="737" spans="1:4" x14ac:dyDescent="0.2">
      <c r="A737" s="102"/>
      <c r="B737" s="102"/>
      <c r="C737" s="61" t="s">
        <v>1080</v>
      </c>
      <c r="D737" s="61"/>
    </row>
    <row r="738" spans="1:4" x14ac:dyDescent="0.2">
      <c r="A738" s="102"/>
      <c r="B738" s="102"/>
      <c r="C738" s="61" t="s">
        <v>1081</v>
      </c>
      <c r="D738" s="61"/>
    </row>
    <row r="739" spans="1:4" x14ac:dyDescent="0.2">
      <c r="A739" s="102"/>
      <c r="B739" s="102"/>
      <c r="C739" s="61" t="s">
        <v>367</v>
      </c>
      <c r="D739" s="61"/>
    </row>
    <row r="740" spans="1:4" x14ac:dyDescent="0.2">
      <c r="A740" s="102"/>
      <c r="B740" s="102"/>
      <c r="C740" s="61" t="s">
        <v>1082</v>
      </c>
      <c r="D740" s="61"/>
    </row>
    <row r="741" spans="1:4" x14ac:dyDescent="0.2">
      <c r="A741" s="102"/>
      <c r="B741" s="102"/>
      <c r="C741" s="61" t="s">
        <v>668</v>
      </c>
      <c r="D741" s="61"/>
    </row>
    <row r="742" spans="1:4" x14ac:dyDescent="0.2">
      <c r="A742" s="102"/>
      <c r="B742" s="102"/>
      <c r="C742" s="61" t="s">
        <v>200</v>
      </c>
      <c r="D742" s="61"/>
    </row>
    <row r="743" spans="1:4" x14ac:dyDescent="0.2">
      <c r="A743" s="102"/>
      <c r="B743" s="102"/>
      <c r="C743" s="61" t="s">
        <v>1083</v>
      </c>
      <c r="D743" s="61"/>
    </row>
    <row r="744" spans="1:4" x14ac:dyDescent="0.2">
      <c r="A744" s="102"/>
      <c r="B744" s="102"/>
      <c r="C744" s="61" t="s">
        <v>352</v>
      </c>
      <c r="D744" s="61"/>
    </row>
    <row r="745" spans="1:4" x14ac:dyDescent="0.2">
      <c r="A745" s="102"/>
      <c r="B745" s="102"/>
      <c r="C745" s="61" t="s">
        <v>1084</v>
      </c>
      <c r="D745" s="61"/>
    </row>
    <row r="746" spans="1:4" x14ac:dyDescent="0.2">
      <c r="A746" s="102"/>
      <c r="B746" s="102"/>
      <c r="C746" s="61" t="s">
        <v>1085</v>
      </c>
      <c r="D746" s="61"/>
    </row>
    <row r="747" spans="1:4" x14ac:dyDescent="0.2">
      <c r="A747" s="102"/>
      <c r="B747" s="102"/>
      <c r="C747" s="61" t="s">
        <v>1086</v>
      </c>
      <c r="D747" s="61"/>
    </row>
    <row r="748" spans="1:4" x14ac:dyDescent="0.2">
      <c r="A748" s="102"/>
      <c r="B748" s="102"/>
      <c r="C748" s="61" t="s">
        <v>290</v>
      </c>
      <c r="D748" s="61"/>
    </row>
    <row r="749" spans="1:4" x14ac:dyDescent="0.2">
      <c r="A749" s="102"/>
      <c r="B749" s="102"/>
      <c r="C749" s="61" t="s">
        <v>1087</v>
      </c>
      <c r="D749" s="61"/>
    </row>
    <row r="750" spans="1:4" x14ac:dyDescent="0.2">
      <c r="A750" s="102"/>
      <c r="B750" s="102"/>
      <c r="C750" s="61" t="s">
        <v>30</v>
      </c>
      <c r="D750" s="61"/>
    </row>
    <row r="751" spans="1:4" x14ac:dyDescent="0.2">
      <c r="A751" s="102"/>
      <c r="B751" s="102"/>
      <c r="C751" s="61" t="s">
        <v>866</v>
      </c>
      <c r="D751" s="61"/>
    </row>
    <row r="752" spans="1:4" x14ac:dyDescent="0.2">
      <c r="A752" s="102"/>
      <c r="B752" s="102"/>
      <c r="C752" s="61" t="s">
        <v>867</v>
      </c>
      <c r="D752" s="61"/>
    </row>
    <row r="753" spans="1:4" x14ac:dyDescent="0.2">
      <c r="A753" s="102"/>
      <c r="B753" s="102"/>
      <c r="C753" s="61" t="s">
        <v>868</v>
      </c>
      <c r="D753" s="61"/>
    </row>
    <row r="754" spans="1:4" x14ac:dyDescent="0.2">
      <c r="A754" s="102"/>
      <c r="B754" s="102"/>
      <c r="C754" s="61" t="s">
        <v>869</v>
      </c>
      <c r="D754" s="61"/>
    </row>
    <row r="755" spans="1:4" x14ac:dyDescent="0.2">
      <c r="A755" s="102"/>
      <c r="B755" s="102"/>
      <c r="C755" s="61" t="s">
        <v>870</v>
      </c>
      <c r="D755" s="61"/>
    </row>
    <row r="756" spans="1:4" x14ac:dyDescent="0.2">
      <c r="A756" s="102"/>
      <c r="B756" s="102"/>
      <c r="C756" s="61" t="s">
        <v>871</v>
      </c>
      <c r="D756" s="61"/>
    </row>
    <row r="757" spans="1:4" x14ac:dyDescent="0.2">
      <c r="A757" s="102"/>
      <c r="B757" s="102"/>
      <c r="C757" s="61" t="s">
        <v>872</v>
      </c>
      <c r="D757" s="61"/>
    </row>
    <row r="758" spans="1:4" x14ac:dyDescent="0.2">
      <c r="A758" s="102"/>
      <c r="B758" s="102"/>
      <c r="C758" s="61" t="s">
        <v>874</v>
      </c>
      <c r="D758" s="61"/>
    </row>
    <row r="759" spans="1:4" x14ac:dyDescent="0.2">
      <c r="A759" s="102"/>
      <c r="B759" s="102"/>
      <c r="C759" s="61" t="s">
        <v>875</v>
      </c>
      <c r="D759" s="61"/>
    </row>
    <row r="760" spans="1:4" x14ac:dyDescent="0.2">
      <c r="A760" s="102"/>
      <c r="B760" s="102"/>
      <c r="C760" s="61" t="s">
        <v>749</v>
      </c>
      <c r="D760" s="61"/>
    </row>
    <row r="761" spans="1:4" x14ac:dyDescent="0.2">
      <c r="A761" s="102"/>
      <c r="B761" s="102"/>
      <c r="C761" s="61" t="s">
        <v>876</v>
      </c>
      <c r="D761" s="61"/>
    </row>
    <row r="762" spans="1:4" x14ac:dyDescent="0.2">
      <c r="A762" s="102"/>
      <c r="B762" s="102"/>
      <c r="C762" s="61" t="s">
        <v>877</v>
      </c>
      <c r="D762" s="61"/>
    </row>
    <row r="763" spans="1:4" x14ac:dyDescent="0.2">
      <c r="A763" s="102"/>
      <c r="B763" s="102"/>
      <c r="C763" s="61" t="s">
        <v>878</v>
      </c>
      <c r="D763" s="61"/>
    </row>
    <row r="764" spans="1:4" x14ac:dyDescent="0.2">
      <c r="A764" s="102"/>
      <c r="B764" s="102"/>
      <c r="C764" s="61" t="s">
        <v>879</v>
      </c>
      <c r="D764" s="61"/>
    </row>
    <row r="765" spans="1:4" x14ac:dyDescent="0.2">
      <c r="A765" s="102"/>
      <c r="B765" s="102"/>
      <c r="C765" s="61" t="s">
        <v>880</v>
      </c>
      <c r="D765" s="61"/>
    </row>
    <row r="766" spans="1:4" x14ac:dyDescent="0.2">
      <c r="A766" s="102"/>
      <c r="B766" s="102"/>
      <c r="C766" s="61" t="s">
        <v>881</v>
      </c>
      <c r="D766" s="61"/>
    </row>
    <row r="767" spans="1:4" x14ac:dyDescent="0.2">
      <c r="A767" s="102"/>
      <c r="B767" s="102"/>
      <c r="C767" s="61" t="s">
        <v>61</v>
      </c>
      <c r="D767" s="61"/>
    </row>
    <row r="768" spans="1:4" x14ac:dyDescent="0.2">
      <c r="A768" s="102"/>
      <c r="B768" s="102"/>
      <c r="C768" s="61" t="s">
        <v>882</v>
      </c>
      <c r="D768" s="61"/>
    </row>
    <row r="769" spans="1:5" x14ac:dyDescent="0.2">
      <c r="A769" s="102"/>
      <c r="B769" s="102"/>
      <c r="C769" s="61" t="s">
        <v>883</v>
      </c>
      <c r="D769" s="61"/>
    </row>
    <row r="770" spans="1:5" x14ac:dyDescent="0.2">
      <c r="A770" s="102"/>
      <c r="B770" s="102"/>
      <c r="C770" s="61" t="s">
        <v>884</v>
      </c>
      <c r="D770" s="61"/>
    </row>
    <row r="771" spans="1:5" x14ac:dyDescent="0.2">
      <c r="A771" s="102"/>
      <c r="B771" s="102"/>
      <c r="C771" s="61" t="s">
        <v>885</v>
      </c>
      <c r="D771" s="61"/>
    </row>
    <row r="772" spans="1:5" x14ac:dyDescent="0.2">
      <c r="A772" s="102"/>
      <c r="B772" s="102"/>
      <c r="C772" s="61" t="s">
        <v>886</v>
      </c>
      <c r="D772" s="61"/>
    </row>
    <row r="773" spans="1:5" x14ac:dyDescent="0.2">
      <c r="A773" s="102"/>
      <c r="B773" s="102"/>
      <c r="C773" s="61" t="s">
        <v>887</v>
      </c>
      <c r="D773" s="61"/>
    </row>
    <row r="774" spans="1:5" x14ac:dyDescent="0.2">
      <c r="A774" s="102"/>
      <c r="B774" s="102"/>
      <c r="C774" s="61" t="s">
        <v>888</v>
      </c>
      <c r="D774" s="61"/>
    </row>
    <row r="775" spans="1:5" x14ac:dyDescent="0.2">
      <c r="A775" s="102"/>
      <c r="B775" s="102"/>
      <c r="C775" s="61" t="s">
        <v>889</v>
      </c>
      <c r="D775" s="61"/>
    </row>
    <row r="776" spans="1:5" x14ac:dyDescent="0.2">
      <c r="A776" s="102"/>
      <c r="B776" s="102"/>
      <c r="C776" s="61" t="s">
        <v>890</v>
      </c>
      <c r="D776" s="61"/>
    </row>
    <row r="777" spans="1:5" x14ac:dyDescent="0.2">
      <c r="A777" s="102"/>
      <c r="B777" s="102"/>
      <c r="C777" s="61" t="s">
        <v>891</v>
      </c>
      <c r="D777" s="61"/>
    </row>
    <row r="778" spans="1:5" x14ac:dyDescent="0.2">
      <c r="A778" s="102"/>
      <c r="B778" s="102"/>
      <c r="C778" s="61" t="s">
        <v>892</v>
      </c>
      <c r="D778" s="61"/>
    </row>
    <row r="779" spans="1:5" x14ac:dyDescent="0.2">
      <c r="A779" s="102"/>
      <c r="B779" s="102"/>
      <c r="C779" s="61" t="s">
        <v>893</v>
      </c>
      <c r="D779" s="61"/>
    </row>
    <row r="780" spans="1:5" x14ac:dyDescent="0.2">
      <c r="A780" s="102"/>
      <c r="B780" s="102"/>
      <c r="C780" s="61" t="s">
        <v>894</v>
      </c>
      <c r="D780" s="61"/>
    </row>
    <row r="781" spans="1:5" x14ac:dyDescent="0.2">
      <c r="A781" s="102"/>
      <c r="B781" s="102"/>
      <c r="C781" s="61" t="s">
        <v>463</v>
      </c>
      <c r="D781" s="61"/>
    </row>
    <row r="782" spans="1:5" x14ac:dyDescent="0.2">
      <c r="A782" s="102"/>
      <c r="B782" s="102"/>
      <c r="C782" s="61" t="s">
        <v>895</v>
      </c>
      <c r="D782" s="61"/>
      <c r="E782" s="18" t="s">
        <v>873</v>
      </c>
    </row>
    <row r="783" spans="1:5" x14ac:dyDescent="0.2">
      <c r="A783" s="102"/>
      <c r="B783" s="102"/>
      <c r="C783" s="61" t="s">
        <v>896</v>
      </c>
      <c r="D783" s="61"/>
      <c r="E783" s="18" t="s">
        <v>873</v>
      </c>
    </row>
    <row r="784" spans="1:5" x14ac:dyDescent="0.2">
      <c r="A784" s="102"/>
      <c r="B784" s="102"/>
      <c r="C784" s="61" t="s">
        <v>899</v>
      </c>
      <c r="D784" s="61"/>
      <c r="E784" s="18" t="s">
        <v>873</v>
      </c>
    </row>
    <row r="785" spans="1:5" x14ac:dyDescent="0.2">
      <c r="A785" s="102"/>
      <c r="B785" s="102"/>
      <c r="C785" s="61" t="s">
        <v>900</v>
      </c>
      <c r="D785" s="61"/>
    </row>
    <row r="786" spans="1:5" x14ac:dyDescent="0.2">
      <c r="A786" s="102"/>
      <c r="B786" s="102"/>
      <c r="C786" s="61" t="s">
        <v>391</v>
      </c>
      <c r="D786" s="61"/>
    </row>
    <row r="787" spans="1:5" x14ac:dyDescent="0.2">
      <c r="A787" s="102"/>
      <c r="B787" s="102"/>
      <c r="C787" s="61" t="s">
        <v>901</v>
      </c>
      <c r="D787" s="61"/>
    </row>
    <row r="788" spans="1:5" x14ac:dyDescent="0.2">
      <c r="A788" s="102"/>
      <c r="B788" s="102"/>
      <c r="C788" s="61" t="s">
        <v>902</v>
      </c>
      <c r="D788" s="61"/>
    </row>
    <row r="789" spans="1:5" x14ac:dyDescent="0.2">
      <c r="A789" s="102"/>
      <c r="B789" s="102"/>
      <c r="C789" s="61" t="s">
        <v>903</v>
      </c>
      <c r="D789" s="61"/>
    </row>
    <row r="790" spans="1:5" x14ac:dyDescent="0.2">
      <c r="A790" s="102"/>
      <c r="B790" s="102"/>
      <c r="C790" s="61" t="s">
        <v>904</v>
      </c>
      <c r="D790" s="61"/>
      <c r="E790" s="18" t="s">
        <v>873</v>
      </c>
    </row>
    <row r="791" spans="1:5" x14ac:dyDescent="0.2">
      <c r="A791" s="102"/>
      <c r="B791" s="102"/>
      <c r="C791" s="61" t="s">
        <v>905</v>
      </c>
      <c r="D791" s="61"/>
    </row>
    <row r="792" spans="1:5" x14ac:dyDescent="0.2">
      <c r="A792" s="102"/>
      <c r="B792" s="102"/>
      <c r="C792" s="61" t="s">
        <v>906</v>
      </c>
      <c r="D792" s="61"/>
    </row>
    <row r="793" spans="1:5" x14ac:dyDescent="0.2">
      <c r="A793" s="102"/>
      <c r="B793" s="102"/>
      <c r="C793" s="61" t="s">
        <v>907</v>
      </c>
      <c r="D793" s="61"/>
    </row>
    <row r="794" spans="1:5" x14ac:dyDescent="0.2">
      <c r="A794" s="102"/>
      <c r="B794" s="102"/>
      <c r="C794" s="61" t="s">
        <v>1484</v>
      </c>
      <c r="D794" s="61"/>
    </row>
    <row r="795" spans="1:5" x14ac:dyDescent="0.2">
      <c r="A795" s="102"/>
      <c r="B795" s="102"/>
      <c r="C795" s="61" t="s">
        <v>908</v>
      </c>
      <c r="D795" s="61"/>
    </row>
    <row r="796" spans="1:5" x14ac:dyDescent="0.2">
      <c r="A796" s="102"/>
      <c r="B796" s="102"/>
      <c r="C796" s="61" t="s">
        <v>909</v>
      </c>
      <c r="D796" s="61"/>
    </row>
    <row r="797" spans="1:5" x14ac:dyDescent="0.2">
      <c r="A797" s="102"/>
      <c r="B797" s="102"/>
      <c r="C797" s="61" t="s">
        <v>910</v>
      </c>
      <c r="D797" s="61"/>
    </row>
    <row r="798" spans="1:5" x14ac:dyDescent="0.2">
      <c r="A798" s="102"/>
      <c r="B798" s="102"/>
      <c r="C798" s="61" t="s">
        <v>911</v>
      </c>
      <c r="D798" s="61"/>
    </row>
    <row r="799" spans="1:5" x14ac:dyDescent="0.2">
      <c r="A799" s="102"/>
      <c r="B799" s="102"/>
      <c r="C799" s="61" t="s">
        <v>912</v>
      </c>
      <c r="D799" s="61"/>
    </row>
    <row r="800" spans="1:5" x14ac:dyDescent="0.2">
      <c r="A800" s="102"/>
      <c r="B800" s="102"/>
      <c r="C800" s="61" t="s">
        <v>913</v>
      </c>
      <c r="D800" s="61"/>
    </row>
    <row r="801" spans="1:5" x14ac:dyDescent="0.2">
      <c r="A801" s="102"/>
      <c r="B801" s="102"/>
      <c r="C801" s="61" t="s">
        <v>914</v>
      </c>
      <c r="D801" s="61"/>
    </row>
    <row r="802" spans="1:5" x14ac:dyDescent="0.2">
      <c r="A802" s="102"/>
      <c r="B802" s="102"/>
      <c r="C802" s="61" t="s">
        <v>915</v>
      </c>
      <c r="D802" s="61"/>
    </row>
    <row r="803" spans="1:5" x14ac:dyDescent="0.2">
      <c r="A803" s="102"/>
      <c r="B803" s="102"/>
      <c r="C803" s="61" t="s">
        <v>916</v>
      </c>
      <c r="D803" s="61"/>
    </row>
    <row r="804" spans="1:5" x14ac:dyDescent="0.2">
      <c r="A804" s="102"/>
      <c r="B804" s="102"/>
      <c r="C804" s="61" t="s">
        <v>917</v>
      </c>
      <c r="D804" s="61"/>
    </row>
    <row r="805" spans="1:5" x14ac:dyDescent="0.2">
      <c r="A805" s="102"/>
      <c r="B805" s="102"/>
      <c r="C805" s="61" t="s">
        <v>918</v>
      </c>
      <c r="D805" s="61"/>
    </row>
    <row r="806" spans="1:5" x14ac:dyDescent="0.2">
      <c r="A806" s="102"/>
      <c r="B806" s="102"/>
      <c r="C806" s="61" t="s">
        <v>919</v>
      </c>
      <c r="D806" s="61"/>
    </row>
    <row r="807" spans="1:5" x14ac:dyDescent="0.2">
      <c r="A807" s="102"/>
      <c r="B807" s="102"/>
      <c r="C807" s="61" t="s">
        <v>920</v>
      </c>
      <c r="D807" s="61"/>
    </row>
    <row r="808" spans="1:5" x14ac:dyDescent="0.2">
      <c r="A808" s="102"/>
      <c r="B808" s="102"/>
      <c r="C808" s="61" t="s">
        <v>922</v>
      </c>
      <c r="D808" s="61"/>
    </row>
    <row r="809" spans="1:5" x14ac:dyDescent="0.2">
      <c r="A809" s="102"/>
      <c r="B809" s="102"/>
      <c r="C809" s="61" t="s">
        <v>921</v>
      </c>
      <c r="D809" s="61"/>
      <c r="E809" s="18" t="s">
        <v>873</v>
      </c>
    </row>
    <row r="810" spans="1:5" x14ac:dyDescent="0.2">
      <c r="A810" s="102"/>
      <c r="B810" s="102"/>
      <c r="C810" s="61" t="s">
        <v>429</v>
      </c>
      <c r="D810" s="61"/>
    </row>
    <row r="811" spans="1:5" x14ac:dyDescent="0.2">
      <c r="A811" s="102"/>
      <c r="B811" s="102"/>
      <c r="C811" s="61" t="s">
        <v>923</v>
      </c>
      <c r="D811" s="61"/>
    </row>
    <row r="812" spans="1:5" x14ac:dyDescent="0.2">
      <c r="A812" s="102"/>
      <c r="B812" s="102"/>
      <c r="C812" s="61" t="s">
        <v>924</v>
      </c>
      <c r="D812" s="61"/>
    </row>
    <row r="813" spans="1:5" x14ac:dyDescent="0.2">
      <c r="A813" s="102"/>
      <c r="B813" s="102"/>
      <c r="C813" s="61" t="s">
        <v>925</v>
      </c>
      <c r="D813" s="61"/>
    </row>
    <row r="814" spans="1:5" x14ac:dyDescent="0.2">
      <c r="A814" s="102"/>
      <c r="B814" s="102"/>
      <c r="C814" s="61" t="s">
        <v>926</v>
      </c>
      <c r="D814" s="61"/>
    </row>
    <row r="815" spans="1:5" x14ac:dyDescent="0.2">
      <c r="A815" s="102"/>
      <c r="B815" s="102"/>
      <c r="C815" s="61" t="s">
        <v>927</v>
      </c>
      <c r="D815" s="61"/>
    </row>
    <row r="816" spans="1:5" x14ac:dyDescent="0.2">
      <c r="A816" s="102"/>
      <c r="B816" s="102"/>
      <c r="C816" s="61" t="s">
        <v>928</v>
      </c>
      <c r="D816" s="61"/>
    </row>
    <row r="817" spans="1:4" x14ac:dyDescent="0.2">
      <c r="A817" s="102"/>
      <c r="B817" s="102"/>
      <c r="C817" s="61" t="s">
        <v>929</v>
      </c>
      <c r="D817" s="61"/>
    </row>
    <row r="818" spans="1:4" x14ac:dyDescent="0.2">
      <c r="A818" s="102"/>
      <c r="B818" s="102"/>
      <c r="C818" s="61" t="s">
        <v>930</v>
      </c>
      <c r="D818" s="61"/>
    </row>
    <row r="819" spans="1:4" x14ac:dyDescent="0.2">
      <c r="A819" s="102"/>
      <c r="B819" s="102"/>
      <c r="C819" s="61" t="s">
        <v>931</v>
      </c>
      <c r="D819" s="61"/>
    </row>
    <row r="820" spans="1:4" x14ac:dyDescent="0.2">
      <c r="A820" s="102"/>
      <c r="B820" s="102"/>
      <c r="C820" s="61" t="s">
        <v>932</v>
      </c>
      <c r="D820" s="61"/>
    </row>
    <row r="821" spans="1:4" x14ac:dyDescent="0.2">
      <c r="A821" s="102"/>
      <c r="B821" s="102"/>
      <c r="C821" s="61" t="s">
        <v>933</v>
      </c>
      <c r="D821" s="61"/>
    </row>
    <row r="822" spans="1:4" x14ac:dyDescent="0.2">
      <c r="A822" s="102"/>
      <c r="B822" s="102"/>
      <c r="C822" s="61" t="s">
        <v>934</v>
      </c>
      <c r="D822" s="61"/>
    </row>
    <row r="823" spans="1:4" x14ac:dyDescent="0.2">
      <c r="A823" s="102"/>
      <c r="B823" s="102"/>
      <c r="C823" s="61" t="s">
        <v>935</v>
      </c>
      <c r="D823" s="61"/>
    </row>
    <row r="824" spans="1:4" x14ac:dyDescent="0.2">
      <c r="A824" s="102"/>
      <c r="B824" s="102"/>
      <c r="C824" s="61" t="s">
        <v>936</v>
      </c>
      <c r="D824" s="61"/>
    </row>
    <row r="825" spans="1:4" x14ac:dyDescent="0.2">
      <c r="A825" s="102"/>
      <c r="B825" s="102"/>
      <c r="C825" s="61" t="s">
        <v>937</v>
      </c>
      <c r="D825" s="61"/>
    </row>
    <row r="826" spans="1:4" x14ac:dyDescent="0.2">
      <c r="A826" s="102"/>
      <c r="B826" s="102"/>
      <c r="C826" s="61" t="s">
        <v>938</v>
      </c>
      <c r="D826" s="61"/>
    </row>
    <row r="827" spans="1:4" x14ac:dyDescent="0.2">
      <c r="A827" s="102"/>
      <c r="B827" s="102"/>
      <c r="C827" s="61" t="s">
        <v>939</v>
      </c>
      <c r="D827" s="61"/>
    </row>
    <row r="828" spans="1:4" x14ac:dyDescent="0.2">
      <c r="A828" s="102"/>
      <c r="B828" s="102"/>
      <c r="C828" s="61" t="s">
        <v>940</v>
      </c>
      <c r="D828" s="61"/>
    </row>
    <row r="829" spans="1:4" x14ac:dyDescent="0.2">
      <c r="A829" s="102"/>
      <c r="B829" s="102"/>
      <c r="C829" s="61" t="s">
        <v>941</v>
      </c>
      <c r="D829" s="61"/>
    </row>
    <row r="830" spans="1:4" x14ac:dyDescent="0.2">
      <c r="A830" s="102"/>
      <c r="B830" s="102"/>
      <c r="C830" s="61" t="s">
        <v>942</v>
      </c>
      <c r="D830" s="61"/>
    </row>
    <row r="831" spans="1:4" x14ac:dyDescent="0.2">
      <c r="A831" s="102"/>
      <c r="B831" s="102"/>
      <c r="C831" s="61" t="s">
        <v>1485</v>
      </c>
      <c r="D831" s="136" t="s">
        <v>1486</v>
      </c>
    </row>
    <row r="832" spans="1:4" x14ac:dyDescent="0.2">
      <c r="A832" s="102"/>
      <c r="B832" s="102"/>
      <c r="C832" s="61" t="s">
        <v>1487</v>
      </c>
      <c r="D832" s="136" t="s">
        <v>950</v>
      </c>
    </row>
    <row r="833" spans="1:4" x14ac:dyDescent="0.2">
      <c r="A833" s="102"/>
      <c r="B833" s="102"/>
      <c r="C833" s="61" t="s">
        <v>1488</v>
      </c>
      <c r="D833" s="136" t="s">
        <v>950</v>
      </c>
    </row>
    <row r="834" spans="1:4" ht="15" x14ac:dyDescent="0.25">
      <c r="A834" s="102"/>
      <c r="B834" s="102"/>
      <c r="C834" s="61" t="s">
        <v>1489</v>
      </c>
      <c r="D834" s="134"/>
    </row>
    <row r="835" spans="1:4" x14ac:dyDescent="0.2">
      <c r="A835" s="102"/>
      <c r="B835" s="102"/>
      <c r="C835" s="61" t="s">
        <v>402</v>
      </c>
      <c r="D835" s="61"/>
    </row>
    <row r="836" spans="1:4" x14ac:dyDescent="0.2">
      <c r="A836" s="102"/>
      <c r="B836" s="102"/>
      <c r="C836" s="61" t="s">
        <v>945</v>
      </c>
      <c r="D836" s="61"/>
    </row>
    <row r="837" spans="1:4" x14ac:dyDescent="0.2">
      <c r="A837" s="102"/>
      <c r="B837" s="102"/>
      <c r="C837" s="61" t="s">
        <v>946</v>
      </c>
      <c r="D837" s="61"/>
    </row>
    <row r="838" spans="1:4" x14ac:dyDescent="0.2">
      <c r="A838" s="102"/>
      <c r="B838" s="102"/>
      <c r="C838" s="61" t="s">
        <v>943</v>
      </c>
      <c r="D838" s="61"/>
    </row>
    <row r="839" spans="1:4" x14ac:dyDescent="0.2">
      <c r="A839" s="102"/>
      <c r="B839" s="102"/>
      <c r="C839" s="61" t="s">
        <v>522</v>
      </c>
      <c r="D839" s="61"/>
    </row>
    <row r="840" spans="1:4" x14ac:dyDescent="0.2">
      <c r="A840" s="102"/>
      <c r="B840" s="102"/>
      <c r="C840" s="61" t="s">
        <v>944</v>
      </c>
      <c r="D840" s="61"/>
    </row>
    <row r="841" spans="1:4" x14ac:dyDescent="0.2">
      <c r="A841" s="102"/>
      <c r="B841" s="102"/>
      <c r="C841" s="61" t="s">
        <v>947</v>
      </c>
      <c r="D841" s="61"/>
    </row>
    <row r="842" spans="1:4" x14ac:dyDescent="0.2">
      <c r="A842" s="102"/>
      <c r="B842" s="102"/>
      <c r="C842" s="61" t="s">
        <v>1490</v>
      </c>
      <c r="D842" s="61"/>
    </row>
    <row r="843" spans="1:4" x14ac:dyDescent="0.2">
      <c r="A843" s="102"/>
      <c r="B843" s="102"/>
      <c r="C843" s="61" t="s">
        <v>1491</v>
      </c>
      <c r="D843" s="61"/>
    </row>
    <row r="844" spans="1:4" x14ac:dyDescent="0.2">
      <c r="A844" s="102"/>
      <c r="B844" s="102"/>
      <c r="C844" s="61" t="s">
        <v>1492</v>
      </c>
      <c r="D844" s="61"/>
    </row>
    <row r="845" spans="1:4" x14ac:dyDescent="0.2">
      <c r="A845" s="102"/>
      <c r="B845" s="102"/>
      <c r="C845" s="61" t="s">
        <v>1493</v>
      </c>
      <c r="D845" s="61"/>
    </row>
    <row r="846" spans="1:4" x14ac:dyDescent="0.2">
      <c r="A846" s="102"/>
      <c r="B846" s="102"/>
      <c r="C846" s="61" t="s">
        <v>1494</v>
      </c>
      <c r="D846" s="61"/>
    </row>
    <row r="847" spans="1:4" x14ac:dyDescent="0.2">
      <c r="A847" s="102"/>
      <c r="B847" s="102"/>
      <c r="C847" s="61" t="s">
        <v>1495</v>
      </c>
      <c r="D847" s="61"/>
    </row>
    <row r="848" spans="1:4" x14ac:dyDescent="0.2">
      <c r="A848" s="102"/>
      <c r="B848" s="102"/>
      <c r="C848" s="61" t="s">
        <v>1496</v>
      </c>
      <c r="D848" s="61"/>
    </row>
    <row r="849" spans="1:4" x14ac:dyDescent="0.2">
      <c r="A849" s="102"/>
      <c r="B849" s="102"/>
      <c r="C849" s="61" t="s">
        <v>1497</v>
      </c>
      <c r="D849" s="61"/>
    </row>
    <row r="850" spans="1:4" x14ac:dyDescent="0.2">
      <c r="A850" s="102"/>
      <c r="B850" s="102"/>
      <c r="C850" s="61" t="s">
        <v>392</v>
      </c>
      <c r="D850" s="61"/>
    </row>
    <row r="851" spans="1:4" x14ac:dyDescent="0.2">
      <c r="A851" s="75" t="s">
        <v>801</v>
      </c>
      <c r="B851" s="75"/>
      <c r="C851" s="64" t="s">
        <v>628</v>
      </c>
      <c r="D851" s="64"/>
    </row>
    <row r="852" spans="1:4" x14ac:dyDescent="0.2">
      <c r="A852" s="76"/>
      <c r="B852" s="76"/>
      <c r="C852" s="64" t="s">
        <v>96</v>
      </c>
      <c r="D852" s="64"/>
    </row>
    <row r="853" spans="1:4" x14ac:dyDescent="0.2">
      <c r="A853" s="102" t="s">
        <v>1498</v>
      </c>
      <c r="B853" s="102" t="s">
        <v>5</v>
      </c>
      <c r="C853" s="61" t="s">
        <v>1499</v>
      </c>
      <c r="D853" s="61"/>
    </row>
    <row r="854" spans="1:4" x14ac:dyDescent="0.2">
      <c r="A854" s="102"/>
      <c r="B854" s="102"/>
      <c r="C854" s="61" t="s">
        <v>1500</v>
      </c>
      <c r="D854" s="61"/>
    </row>
    <row r="855" spans="1:4" x14ac:dyDescent="0.2">
      <c r="A855" s="102"/>
      <c r="B855" s="102"/>
      <c r="C855" s="61" t="s">
        <v>1501</v>
      </c>
      <c r="D855" s="61"/>
    </row>
    <row r="856" spans="1:4" x14ac:dyDescent="0.2">
      <c r="A856" s="102"/>
      <c r="B856" s="102"/>
      <c r="C856" s="61" t="s">
        <v>1502</v>
      </c>
      <c r="D856" s="61"/>
    </row>
    <row r="857" spans="1:4" x14ac:dyDescent="0.2">
      <c r="A857" s="102"/>
      <c r="B857" s="102"/>
      <c r="C857" s="61" t="s">
        <v>1503</v>
      </c>
      <c r="D857" s="61"/>
    </row>
    <row r="858" spans="1:4" x14ac:dyDescent="0.2">
      <c r="A858" s="102"/>
      <c r="B858" s="102"/>
      <c r="C858" s="61" t="s">
        <v>1504</v>
      </c>
      <c r="D858" s="61"/>
    </row>
    <row r="859" spans="1:4" x14ac:dyDescent="0.2">
      <c r="A859" s="102"/>
      <c r="B859" s="102"/>
      <c r="C859" s="61" t="s">
        <v>1505</v>
      </c>
      <c r="D859" s="61"/>
    </row>
    <row r="860" spans="1:4" x14ac:dyDescent="0.2">
      <c r="A860" s="102"/>
      <c r="B860" s="102"/>
      <c r="C860" s="61" t="s">
        <v>1506</v>
      </c>
      <c r="D860" s="61"/>
    </row>
    <row r="861" spans="1:4" x14ac:dyDescent="0.2">
      <c r="A861" s="102"/>
      <c r="B861" s="102"/>
      <c r="C861" s="61" t="s">
        <v>1507</v>
      </c>
      <c r="D861" s="61"/>
    </row>
    <row r="862" spans="1:4" x14ac:dyDescent="0.2">
      <c r="A862" s="75" t="s">
        <v>1508</v>
      </c>
      <c r="B862" s="75" t="s">
        <v>5</v>
      </c>
      <c r="C862" s="64" t="s">
        <v>29</v>
      </c>
      <c r="D862" s="64"/>
    </row>
    <row r="863" spans="1:4" x14ac:dyDescent="0.2">
      <c r="A863" s="76"/>
      <c r="B863" s="76"/>
      <c r="C863" s="64" t="s">
        <v>1509</v>
      </c>
      <c r="D863" s="64"/>
    </row>
    <row r="864" spans="1:4" x14ac:dyDescent="0.2">
      <c r="A864" s="76"/>
      <c r="B864" s="76"/>
      <c r="C864" s="64" t="s">
        <v>39</v>
      </c>
      <c r="D864" s="64"/>
    </row>
    <row r="865" spans="1:4" x14ac:dyDescent="0.2">
      <c r="A865" s="76"/>
      <c r="B865" s="76"/>
      <c r="C865" s="64" t="s">
        <v>1510</v>
      </c>
      <c r="D865" s="64"/>
    </row>
    <row r="866" spans="1:4" x14ac:dyDescent="0.2">
      <c r="A866" s="76"/>
      <c r="B866" s="76"/>
      <c r="C866" s="64" t="s">
        <v>1511</v>
      </c>
      <c r="D866" s="64"/>
    </row>
    <row r="867" spans="1:4" x14ac:dyDescent="0.2">
      <c r="A867" s="76"/>
      <c r="B867" s="76"/>
      <c r="C867" s="64" t="s">
        <v>1512</v>
      </c>
      <c r="D867" s="64"/>
    </row>
    <row r="868" spans="1:4" x14ac:dyDescent="0.2">
      <c r="A868" s="76"/>
      <c r="B868" s="76"/>
      <c r="C868" s="64" t="s">
        <v>1513</v>
      </c>
      <c r="D868" s="64"/>
    </row>
    <row r="869" spans="1:4" x14ac:dyDescent="0.2">
      <c r="A869" s="76"/>
      <c r="B869" s="76"/>
      <c r="C869" s="64" t="s">
        <v>59</v>
      </c>
      <c r="D869" s="64"/>
    </row>
    <row r="870" spans="1:4" x14ac:dyDescent="0.2">
      <c r="A870" s="102" t="s">
        <v>1514</v>
      </c>
      <c r="B870" s="102" t="s">
        <v>5</v>
      </c>
      <c r="C870" s="61" t="s">
        <v>29</v>
      </c>
      <c r="D870" s="61"/>
    </row>
    <row r="871" spans="1:4" x14ac:dyDescent="0.2">
      <c r="A871" s="102"/>
      <c r="B871" s="102"/>
      <c r="C871" s="61" t="s">
        <v>39</v>
      </c>
      <c r="D871" s="61"/>
    </row>
    <row r="872" spans="1:4" x14ac:dyDescent="0.2">
      <c r="A872" s="102"/>
      <c r="B872" s="102"/>
      <c r="C872" s="61" t="s">
        <v>1511</v>
      </c>
      <c r="D872" s="61"/>
    </row>
    <row r="873" spans="1:4" x14ac:dyDescent="0.2">
      <c r="A873" s="102"/>
      <c r="B873" s="102"/>
      <c r="C873" s="61" t="s">
        <v>392</v>
      </c>
      <c r="D873" s="61"/>
    </row>
    <row r="874" spans="1:4" x14ac:dyDescent="0.2">
      <c r="A874" s="75" t="s">
        <v>1515</v>
      </c>
      <c r="B874" s="75" t="s">
        <v>5</v>
      </c>
      <c r="C874" s="64" t="s">
        <v>93</v>
      </c>
      <c r="D874" s="64"/>
    </row>
    <row r="875" spans="1:4" x14ac:dyDescent="0.2">
      <c r="A875" s="76"/>
      <c r="B875" s="76"/>
      <c r="C875" s="64" t="s">
        <v>106</v>
      </c>
      <c r="D875" s="64"/>
    </row>
    <row r="876" spans="1:4" x14ac:dyDescent="0.2">
      <c r="A876" s="76"/>
      <c r="B876" s="76"/>
      <c r="C876" s="64" t="s">
        <v>1328</v>
      </c>
      <c r="D876" s="64"/>
    </row>
    <row r="877" spans="1:4" x14ac:dyDescent="0.2">
      <c r="A877" s="76"/>
      <c r="B877" s="76"/>
      <c r="C877" s="64" t="s">
        <v>1329</v>
      </c>
      <c r="D877" s="64"/>
    </row>
    <row r="878" spans="1:4" x14ac:dyDescent="0.2">
      <c r="A878" s="76"/>
      <c r="B878" s="76"/>
      <c r="C878" s="64" t="s">
        <v>1516</v>
      </c>
      <c r="D878" s="64"/>
    </row>
    <row r="879" spans="1:4" x14ac:dyDescent="0.2">
      <c r="A879" s="76"/>
      <c r="B879" s="76"/>
      <c r="C879" s="64" t="s">
        <v>1517</v>
      </c>
      <c r="D879" s="64"/>
    </row>
    <row r="880" spans="1:4" x14ac:dyDescent="0.2">
      <c r="A880" s="76"/>
      <c r="B880" s="76"/>
      <c r="C880" s="64" t="s">
        <v>1518</v>
      </c>
      <c r="D880" s="64"/>
    </row>
    <row r="881" spans="1:5" x14ac:dyDescent="0.2">
      <c r="A881" s="76"/>
      <c r="B881" s="76"/>
      <c r="C881" s="64" t="s">
        <v>1519</v>
      </c>
      <c r="D881" s="64"/>
    </row>
    <row r="882" spans="1:5" x14ac:dyDescent="0.2">
      <c r="A882" s="76"/>
      <c r="B882" s="76"/>
      <c r="C882" s="64" t="s">
        <v>1520</v>
      </c>
      <c r="D882" s="64" t="s">
        <v>1520</v>
      </c>
      <c r="E882" s="18" t="s">
        <v>873</v>
      </c>
    </row>
    <row r="883" spans="1:5" x14ac:dyDescent="0.2">
      <c r="A883" s="77"/>
      <c r="B883" s="77"/>
      <c r="C883" s="64" t="s">
        <v>392</v>
      </c>
      <c r="D883" s="64"/>
    </row>
    <row r="884" spans="1:5" x14ac:dyDescent="0.2">
      <c r="A884" s="91" t="s">
        <v>1521</v>
      </c>
      <c r="B884" s="91" t="s">
        <v>5</v>
      </c>
      <c r="C884" s="61" t="s">
        <v>276</v>
      </c>
      <c r="D884" s="61"/>
    </row>
    <row r="885" spans="1:5" x14ac:dyDescent="0.2">
      <c r="A885" s="92"/>
      <c r="B885" s="92"/>
      <c r="C885" s="61" t="s">
        <v>1522</v>
      </c>
      <c r="D885" s="61"/>
    </row>
    <row r="886" spans="1:5" x14ac:dyDescent="0.2">
      <c r="A886" s="92"/>
      <c r="B886" s="92"/>
      <c r="C886" s="61" t="s">
        <v>1523</v>
      </c>
      <c r="D886" s="61"/>
    </row>
    <row r="887" spans="1:5" x14ac:dyDescent="0.2">
      <c r="A887" s="92"/>
      <c r="B887" s="92"/>
      <c r="C887" s="61" t="s">
        <v>1524</v>
      </c>
      <c r="D887" s="61"/>
    </row>
    <row r="888" spans="1:5" x14ac:dyDescent="0.2">
      <c r="A888" s="92"/>
      <c r="B888" s="92"/>
      <c r="C888" s="61" t="s">
        <v>1525</v>
      </c>
      <c r="D888" s="61"/>
    </row>
    <row r="889" spans="1:5" x14ac:dyDescent="0.2">
      <c r="A889" s="92"/>
      <c r="B889" s="92"/>
      <c r="C889" s="61" t="s">
        <v>1526</v>
      </c>
      <c r="D889" s="61" t="s">
        <v>1527</v>
      </c>
    </row>
    <row r="890" spans="1:5" x14ac:dyDescent="0.2">
      <c r="A890" s="92"/>
      <c r="B890" s="92"/>
      <c r="C890" s="61" t="s">
        <v>1528</v>
      </c>
      <c r="D890" s="61"/>
    </row>
    <row r="891" spans="1:5" x14ac:dyDescent="0.2">
      <c r="A891" s="75" t="s">
        <v>1079</v>
      </c>
      <c r="B891" s="75" t="s">
        <v>5</v>
      </c>
      <c r="C891" s="64" t="s">
        <v>488</v>
      </c>
      <c r="D891" s="64"/>
    </row>
    <row r="892" spans="1:5" x14ac:dyDescent="0.2">
      <c r="A892" s="76"/>
      <c r="B892" s="76"/>
      <c r="C892" s="64" t="s">
        <v>510</v>
      </c>
      <c r="D892" s="64"/>
    </row>
    <row r="893" spans="1:5" x14ac:dyDescent="0.2">
      <c r="A893" s="76"/>
      <c r="B893" s="76"/>
      <c r="C893" s="64" t="s">
        <v>500</v>
      </c>
      <c r="D893" s="64"/>
    </row>
    <row r="894" spans="1:5" x14ac:dyDescent="0.2">
      <c r="A894" s="76"/>
      <c r="B894" s="76"/>
      <c r="C894" s="64" t="s">
        <v>534</v>
      </c>
      <c r="D894" s="64"/>
    </row>
    <row r="895" spans="1:5" x14ac:dyDescent="0.2">
      <c r="A895" s="76"/>
      <c r="B895" s="76"/>
      <c r="C895" s="64" t="s">
        <v>1529</v>
      </c>
      <c r="D895" s="64"/>
    </row>
    <row r="896" spans="1:5" x14ac:dyDescent="0.2">
      <c r="A896" s="76"/>
      <c r="B896" s="76"/>
      <c r="C896" s="64" t="s">
        <v>392</v>
      </c>
      <c r="D896" s="64"/>
    </row>
    <row r="897" spans="1:4" x14ac:dyDescent="0.2">
      <c r="A897" s="91" t="s">
        <v>1530</v>
      </c>
      <c r="B897" s="91" t="s">
        <v>5</v>
      </c>
      <c r="C897" s="61" t="s">
        <v>1531</v>
      </c>
      <c r="D897" s="61"/>
    </row>
    <row r="898" spans="1:4" x14ac:dyDescent="0.2">
      <c r="A898" s="92"/>
      <c r="B898" s="92"/>
      <c r="C898" s="61" t="s">
        <v>1532</v>
      </c>
      <c r="D898" s="61"/>
    </row>
    <row r="899" spans="1:4" x14ac:dyDescent="0.2">
      <c r="A899" s="92"/>
      <c r="B899" s="92"/>
      <c r="C899" s="61" t="s">
        <v>276</v>
      </c>
      <c r="D899" s="61"/>
    </row>
    <row r="900" spans="1:4" x14ac:dyDescent="0.2">
      <c r="A900" s="92"/>
      <c r="B900" s="92"/>
      <c r="C900" s="61" t="s">
        <v>392</v>
      </c>
      <c r="D900" s="61"/>
    </row>
    <row r="901" spans="1:4" x14ac:dyDescent="0.2">
      <c r="A901" s="75" t="s">
        <v>1533</v>
      </c>
      <c r="B901" s="75" t="s">
        <v>5</v>
      </c>
      <c r="C901" s="64" t="s">
        <v>1534</v>
      </c>
      <c r="D901" s="64"/>
    </row>
    <row r="902" spans="1:4" x14ac:dyDescent="0.2">
      <c r="A902" s="76"/>
      <c r="B902" s="76"/>
      <c r="C902" s="64" t="s">
        <v>1535</v>
      </c>
      <c r="D902" s="64"/>
    </row>
    <row r="903" spans="1:4" x14ac:dyDescent="0.2">
      <c r="A903" s="76"/>
      <c r="B903" s="76"/>
      <c r="C903" s="64" t="s">
        <v>1320</v>
      </c>
      <c r="D903" s="64"/>
    </row>
    <row r="904" spans="1:4" x14ac:dyDescent="0.2">
      <c r="A904" s="76"/>
      <c r="B904" s="76"/>
      <c r="C904" s="64" t="s">
        <v>1536</v>
      </c>
      <c r="D904" s="64"/>
    </row>
    <row r="905" spans="1:4" x14ac:dyDescent="0.2">
      <c r="A905" s="76"/>
      <c r="B905" s="76"/>
      <c r="C905" s="64" t="s">
        <v>1537</v>
      </c>
      <c r="D905" s="64"/>
    </row>
    <row r="906" spans="1:4" x14ac:dyDescent="0.2">
      <c r="A906" s="101" t="s">
        <v>1538</v>
      </c>
      <c r="B906" s="101" t="s">
        <v>5</v>
      </c>
      <c r="C906" s="67" t="s">
        <v>1539</v>
      </c>
      <c r="D906" s="67"/>
    </row>
    <row r="907" spans="1:4" x14ac:dyDescent="0.2">
      <c r="A907" s="102"/>
      <c r="B907" s="102"/>
      <c r="C907" s="67" t="s">
        <v>1540</v>
      </c>
      <c r="D907" s="67"/>
    </row>
    <row r="908" spans="1:4" x14ac:dyDescent="0.2">
      <c r="A908" s="102"/>
      <c r="B908" s="102"/>
      <c r="C908" s="61" t="s">
        <v>1541</v>
      </c>
      <c r="D908" s="61"/>
    </row>
    <row r="909" spans="1:4" x14ac:dyDescent="0.2">
      <c r="A909" s="102"/>
      <c r="B909" s="102"/>
      <c r="C909" s="61" t="s">
        <v>1542</v>
      </c>
      <c r="D909" s="61"/>
    </row>
    <row r="910" spans="1:4" x14ac:dyDescent="0.2">
      <c r="A910" s="102"/>
      <c r="B910" s="102"/>
      <c r="C910" s="61" t="s">
        <v>1543</v>
      </c>
      <c r="D910" s="61"/>
    </row>
    <row r="911" spans="1:4" x14ac:dyDescent="0.2">
      <c r="A911" s="102"/>
      <c r="B911" s="102"/>
      <c r="C911" s="61" t="s">
        <v>1544</v>
      </c>
      <c r="D911" s="61"/>
    </row>
    <row r="912" spans="1:4" x14ac:dyDescent="0.2">
      <c r="A912" s="97" t="s">
        <v>1545</v>
      </c>
      <c r="B912" s="97" t="s">
        <v>5</v>
      </c>
      <c r="C912" s="69" t="s">
        <v>29</v>
      </c>
      <c r="D912" s="69"/>
    </row>
    <row r="913" spans="1:5" x14ac:dyDescent="0.2">
      <c r="A913" s="79"/>
      <c r="B913" s="79"/>
      <c r="C913" s="69" t="s">
        <v>1509</v>
      </c>
      <c r="D913" s="69"/>
    </row>
    <row r="914" spans="1:5" x14ac:dyDescent="0.2">
      <c r="A914" s="79"/>
      <c r="B914" s="79"/>
      <c r="C914" s="64" t="s">
        <v>39</v>
      </c>
      <c r="D914" s="64"/>
    </row>
    <row r="915" spans="1:5" x14ac:dyDescent="0.2">
      <c r="A915" s="79"/>
      <c r="B915" s="79"/>
      <c r="C915" s="64" t="s">
        <v>1510</v>
      </c>
      <c r="D915" s="64"/>
    </row>
    <row r="916" spans="1:5" x14ac:dyDescent="0.2">
      <c r="A916" s="79"/>
      <c r="B916" s="79"/>
      <c r="C916" s="64" t="s">
        <v>1511</v>
      </c>
      <c r="D916" s="64"/>
    </row>
    <row r="917" spans="1:5" x14ac:dyDescent="0.2">
      <c r="A917" s="79"/>
      <c r="B917" s="79"/>
      <c r="C917" s="64" t="s">
        <v>1512</v>
      </c>
      <c r="D917" s="64"/>
    </row>
    <row r="918" spans="1:5" x14ac:dyDescent="0.2">
      <c r="A918" s="79"/>
      <c r="B918" s="79"/>
      <c r="C918" s="69" t="s">
        <v>1513</v>
      </c>
      <c r="D918" s="69"/>
    </row>
    <row r="919" spans="1:5" x14ac:dyDescent="0.2">
      <c r="A919" s="79"/>
      <c r="B919" s="79"/>
      <c r="C919" s="69" t="s">
        <v>59</v>
      </c>
      <c r="D919" s="69"/>
    </row>
    <row r="920" spans="1:5" ht="15" x14ac:dyDescent="0.25">
      <c r="A920" s="101" t="s">
        <v>1546</v>
      </c>
      <c r="B920" s="101" t="s">
        <v>5</v>
      </c>
      <c r="C920" s="67" t="s">
        <v>1547</v>
      </c>
      <c r="D920" s="67"/>
      <c r="E920" s="68"/>
    </row>
    <row r="921" spans="1:5" ht="15" x14ac:dyDescent="0.25">
      <c r="A921" s="102"/>
      <c r="B921" s="102"/>
      <c r="C921" s="67" t="s">
        <v>1548</v>
      </c>
      <c r="D921" s="67"/>
      <c r="E921" s="68"/>
    </row>
    <row r="922" spans="1:5" ht="15" x14ac:dyDescent="0.25">
      <c r="A922" s="102"/>
      <c r="B922" s="102"/>
      <c r="C922" s="61" t="s">
        <v>1549</v>
      </c>
      <c r="D922" s="61"/>
      <c r="E922" s="68"/>
    </row>
    <row r="923" spans="1:5" ht="15" x14ac:dyDescent="0.25">
      <c r="A923" s="102"/>
      <c r="B923" s="102"/>
      <c r="C923" s="61" t="s">
        <v>1550</v>
      </c>
      <c r="D923" s="61"/>
      <c r="E923" s="68"/>
    </row>
    <row r="924" spans="1:5" ht="15" x14ac:dyDescent="0.25">
      <c r="A924" s="102"/>
      <c r="B924" s="102"/>
      <c r="C924" s="61" t="s">
        <v>1551</v>
      </c>
      <c r="D924" s="61"/>
      <c r="E924" s="68"/>
    </row>
    <row r="925" spans="1:5" x14ac:dyDescent="0.2">
      <c r="A925" s="102"/>
      <c r="B925" s="102"/>
      <c r="C925" s="61" t="s">
        <v>392</v>
      </c>
      <c r="D925" s="61"/>
    </row>
    <row r="926" spans="1:5" x14ac:dyDescent="0.2">
      <c r="A926" s="97" t="s">
        <v>1552</v>
      </c>
      <c r="B926" s="97" t="s">
        <v>5</v>
      </c>
      <c r="C926" s="64" t="s">
        <v>1553</v>
      </c>
      <c r="D926" s="64"/>
    </row>
    <row r="927" spans="1:5" x14ac:dyDescent="0.2">
      <c r="A927" s="79"/>
      <c r="B927" s="79"/>
      <c r="C927" s="64" t="s">
        <v>1554</v>
      </c>
      <c r="D927" s="64"/>
    </row>
    <row r="928" spans="1:5" x14ac:dyDescent="0.2">
      <c r="A928" s="79"/>
      <c r="B928" s="79"/>
      <c r="C928" s="64" t="s">
        <v>1555</v>
      </c>
      <c r="D928" s="64"/>
    </row>
    <row r="929" spans="1:5" x14ac:dyDescent="0.2">
      <c r="A929" s="98" t="s">
        <v>1556</v>
      </c>
      <c r="B929" s="98" t="s">
        <v>5</v>
      </c>
      <c r="C929" s="67" t="s">
        <v>1557</v>
      </c>
      <c r="D929" s="67"/>
    </row>
    <row r="930" spans="1:5" x14ac:dyDescent="0.2">
      <c r="A930" s="99"/>
      <c r="B930" s="99"/>
      <c r="C930" s="67" t="s">
        <v>106</v>
      </c>
      <c r="D930" s="67"/>
    </row>
    <row r="931" spans="1:5" x14ac:dyDescent="0.2">
      <c r="A931" s="99"/>
      <c r="B931" s="99"/>
      <c r="C931" s="61" t="s">
        <v>93</v>
      </c>
      <c r="D931" s="61"/>
    </row>
    <row r="932" spans="1:5" x14ac:dyDescent="0.2">
      <c r="A932" s="99"/>
      <c r="B932" s="99"/>
      <c r="C932" s="61" t="s">
        <v>1328</v>
      </c>
      <c r="D932" s="61"/>
    </row>
    <row r="933" spans="1:5" x14ac:dyDescent="0.2">
      <c r="A933" s="99"/>
      <c r="B933" s="99"/>
      <c r="C933" s="61" t="s">
        <v>392</v>
      </c>
      <c r="D933" s="61"/>
    </row>
    <row r="934" spans="1:5" x14ac:dyDescent="0.2">
      <c r="A934" s="105" t="s">
        <v>1558</v>
      </c>
      <c r="B934" s="105" t="s">
        <v>5</v>
      </c>
      <c r="C934" s="69" t="s">
        <v>93</v>
      </c>
      <c r="D934" s="69"/>
    </row>
    <row r="935" spans="1:5" x14ac:dyDescent="0.2">
      <c r="A935" s="106"/>
      <c r="B935" s="106"/>
      <c r="C935" s="69" t="s">
        <v>106</v>
      </c>
      <c r="D935" s="69"/>
    </row>
    <row r="936" spans="1:5" x14ac:dyDescent="0.2">
      <c r="A936" s="106"/>
      <c r="B936" s="106"/>
      <c r="C936" s="64" t="s">
        <v>1328</v>
      </c>
      <c r="D936" s="64"/>
    </row>
    <row r="937" spans="1:5" x14ac:dyDescent="0.2">
      <c r="A937" s="106"/>
      <c r="B937" s="106"/>
      <c r="C937" s="64" t="s">
        <v>1329</v>
      </c>
      <c r="D937" s="64"/>
    </row>
    <row r="938" spans="1:5" x14ac:dyDescent="0.2">
      <c r="A938" s="106"/>
      <c r="B938" s="106"/>
      <c r="C938" s="64" t="s">
        <v>1559</v>
      </c>
      <c r="D938" s="64"/>
    </row>
    <row r="939" spans="1:5" x14ac:dyDescent="0.2">
      <c r="A939" s="106"/>
      <c r="B939" s="106"/>
      <c r="C939" s="69" t="s">
        <v>1559</v>
      </c>
      <c r="D939" s="69"/>
    </row>
    <row r="940" spans="1:5" x14ac:dyDescent="0.2">
      <c r="A940" s="106"/>
      <c r="B940" s="106"/>
      <c r="C940" s="69" t="s">
        <v>1517</v>
      </c>
      <c r="D940" s="69"/>
    </row>
    <row r="941" spans="1:5" x14ac:dyDescent="0.2">
      <c r="A941" s="106"/>
      <c r="B941" s="106"/>
      <c r="C941" s="64" t="s">
        <v>1518</v>
      </c>
      <c r="D941" s="64"/>
    </row>
    <row r="942" spans="1:5" x14ac:dyDescent="0.2">
      <c r="A942" s="106"/>
      <c r="B942" s="106"/>
      <c r="C942" s="69" t="s">
        <v>1519</v>
      </c>
      <c r="D942" s="69"/>
    </row>
    <row r="943" spans="1:5" x14ac:dyDescent="0.2">
      <c r="A943" s="106"/>
      <c r="B943" s="106"/>
      <c r="C943" s="69" t="s">
        <v>1557</v>
      </c>
      <c r="D943" s="69"/>
    </row>
    <row r="944" spans="1:5" x14ac:dyDescent="0.2">
      <c r="A944" s="106"/>
      <c r="B944" s="106"/>
      <c r="C944" s="64" t="s">
        <v>1560</v>
      </c>
      <c r="D944" s="64" t="s">
        <v>1560</v>
      </c>
      <c r="E944" s="18" t="s">
        <v>873</v>
      </c>
    </row>
    <row r="945" spans="1:4" x14ac:dyDescent="0.2">
      <c r="A945" s="132"/>
      <c r="B945" s="132"/>
      <c r="C945" s="64" t="s">
        <v>392</v>
      </c>
      <c r="D945" s="64"/>
    </row>
    <row r="946" spans="1:4" ht="14.25" customHeight="1" x14ac:dyDescent="0.2">
      <c r="A946" s="98" t="s">
        <v>1561</v>
      </c>
      <c r="B946" s="98" t="s">
        <v>5</v>
      </c>
      <c r="C946" s="67" t="s">
        <v>1562</v>
      </c>
      <c r="D946" s="67"/>
    </row>
    <row r="947" spans="1:4" x14ac:dyDescent="0.2">
      <c r="A947" s="99"/>
      <c r="B947" s="99"/>
      <c r="C947" s="67" t="s">
        <v>1563</v>
      </c>
      <c r="D947" s="67"/>
    </row>
    <row r="948" spans="1:4" x14ac:dyDescent="0.2">
      <c r="A948" s="99"/>
      <c r="B948" s="99"/>
      <c r="C948" s="61" t="s">
        <v>1564</v>
      </c>
      <c r="D948" s="61"/>
    </row>
    <row r="949" spans="1:4" x14ac:dyDescent="0.2">
      <c r="A949" s="99"/>
      <c r="B949" s="99"/>
      <c r="C949" s="61" t="s">
        <v>1565</v>
      </c>
      <c r="D949" s="61"/>
    </row>
    <row r="950" spans="1:4" x14ac:dyDescent="0.2">
      <c r="A950" s="99"/>
      <c r="B950" s="99"/>
      <c r="C950" s="61" t="s">
        <v>1566</v>
      </c>
      <c r="D950" s="61"/>
    </row>
    <row r="951" spans="1:4" x14ac:dyDescent="0.2">
      <c r="A951" s="99"/>
      <c r="B951" s="99"/>
      <c r="C951" s="67" t="s">
        <v>681</v>
      </c>
      <c r="D951" s="67"/>
    </row>
    <row r="952" spans="1:4" x14ac:dyDescent="0.2">
      <c r="A952" s="99"/>
      <c r="B952" s="99"/>
      <c r="C952" s="67" t="s">
        <v>1557</v>
      </c>
      <c r="D952" s="67"/>
    </row>
    <row r="953" spans="1:4" x14ac:dyDescent="0.2">
      <c r="A953" s="99"/>
      <c r="B953" s="99"/>
      <c r="C953" s="61" t="s">
        <v>1567</v>
      </c>
      <c r="D953" s="61" t="s">
        <v>1568</v>
      </c>
    </row>
    <row r="954" spans="1:4" x14ac:dyDescent="0.2">
      <c r="A954" s="99"/>
      <c r="B954" s="99"/>
      <c r="C954" s="61" t="s">
        <v>1526</v>
      </c>
      <c r="D954" s="61" t="s">
        <v>1527</v>
      </c>
    </row>
    <row r="955" spans="1:4" x14ac:dyDescent="0.2">
      <c r="A955" s="99"/>
      <c r="B955" s="99"/>
      <c r="C955" s="61" t="s">
        <v>392</v>
      </c>
      <c r="D955" s="61"/>
    </row>
    <row r="956" spans="1:4" x14ac:dyDescent="0.2">
      <c r="A956" s="105" t="s">
        <v>1345</v>
      </c>
      <c r="B956" s="105" t="s">
        <v>5</v>
      </c>
      <c r="C956" s="64" t="s">
        <v>1569</v>
      </c>
      <c r="D956" s="64"/>
    </row>
    <row r="957" spans="1:4" x14ac:dyDescent="0.2">
      <c r="A957" s="106"/>
      <c r="B957" s="106"/>
      <c r="C957" s="64" t="s">
        <v>697</v>
      </c>
      <c r="D957" s="64"/>
    </row>
    <row r="958" spans="1:4" x14ac:dyDescent="0.2">
      <c r="A958" s="106"/>
      <c r="B958" s="106"/>
      <c r="C958" s="64" t="s">
        <v>1570</v>
      </c>
      <c r="D958" s="64"/>
    </row>
    <row r="959" spans="1:4" x14ac:dyDescent="0.2">
      <c r="A959" s="106"/>
      <c r="B959" s="106"/>
      <c r="C959" s="64" t="s">
        <v>1571</v>
      </c>
      <c r="D959" s="64"/>
    </row>
    <row r="960" spans="1:4" x14ac:dyDescent="0.2">
      <c r="A960" s="106"/>
      <c r="B960" s="106"/>
      <c r="C960" s="64" t="s">
        <v>744</v>
      </c>
      <c r="D960" s="64"/>
    </row>
    <row r="961" spans="1:5" x14ac:dyDescent="0.2">
      <c r="A961" s="106"/>
      <c r="B961" s="106"/>
      <c r="C961" s="64" t="s">
        <v>1572</v>
      </c>
      <c r="D961" s="64"/>
    </row>
    <row r="962" spans="1:5" x14ac:dyDescent="0.2">
      <c r="A962" s="106"/>
      <c r="B962" s="106"/>
      <c r="C962" s="64" t="s">
        <v>1573</v>
      </c>
      <c r="D962" s="64"/>
    </row>
    <row r="963" spans="1:5" x14ac:dyDescent="0.2">
      <c r="A963" s="106"/>
      <c r="B963" s="106"/>
      <c r="C963" s="64" t="s">
        <v>1417</v>
      </c>
      <c r="D963" s="64"/>
      <c r="E963" s="18" t="s">
        <v>873</v>
      </c>
    </row>
    <row r="964" spans="1:5" x14ac:dyDescent="0.2">
      <c r="A964" s="107" t="s">
        <v>1574</v>
      </c>
      <c r="B964" s="98" t="s">
        <v>5</v>
      </c>
      <c r="C964" s="61" t="s">
        <v>1534</v>
      </c>
      <c r="D964" s="61"/>
    </row>
    <row r="965" spans="1:5" x14ac:dyDescent="0.2">
      <c r="A965" s="108"/>
      <c r="B965" s="99"/>
      <c r="C965" s="61" t="s">
        <v>1535</v>
      </c>
      <c r="D965" s="61"/>
    </row>
    <row r="966" spans="1:5" x14ac:dyDescent="0.2">
      <c r="A966" s="108"/>
      <c r="B966" s="99"/>
      <c r="C966" s="61" t="s">
        <v>1320</v>
      </c>
      <c r="D966" s="61"/>
    </row>
    <row r="967" spans="1:5" x14ac:dyDescent="0.2">
      <c r="A967" s="108"/>
      <c r="B967" s="99"/>
      <c r="C967" s="61" t="s">
        <v>1536</v>
      </c>
      <c r="D967" s="61"/>
    </row>
    <row r="968" spans="1:5" x14ac:dyDescent="0.2">
      <c r="A968" s="108"/>
      <c r="B968" s="99"/>
      <c r="C968" s="61" t="s">
        <v>1537</v>
      </c>
      <c r="D968" s="61"/>
    </row>
    <row r="969" spans="1:5" x14ac:dyDescent="0.2">
      <c r="A969" s="108"/>
      <c r="B969" s="99"/>
      <c r="C969" s="61" t="s">
        <v>1575</v>
      </c>
      <c r="D969" s="61"/>
      <c r="E969" s="18" t="s">
        <v>873</v>
      </c>
    </row>
    <row r="970" spans="1:5" x14ac:dyDescent="0.2">
      <c r="A970" s="109" t="s">
        <v>1576</v>
      </c>
      <c r="B970" s="105" t="s">
        <v>5</v>
      </c>
      <c r="C970" s="64" t="s">
        <v>1577</v>
      </c>
      <c r="D970" s="64"/>
    </row>
    <row r="971" spans="1:5" x14ac:dyDescent="0.2">
      <c r="A971" s="110"/>
      <c r="B971" s="106"/>
      <c r="C971" s="64" t="s">
        <v>1578</v>
      </c>
      <c r="D971" s="64"/>
    </row>
    <row r="972" spans="1:5" x14ac:dyDescent="0.2">
      <c r="A972" s="110"/>
      <c r="B972" s="106"/>
      <c r="C972" s="64" t="s">
        <v>1579</v>
      </c>
      <c r="D972" s="64"/>
    </row>
    <row r="973" spans="1:5" x14ac:dyDescent="0.2">
      <c r="A973" s="110"/>
      <c r="B973" s="106"/>
      <c r="C973" s="64" t="s">
        <v>1580</v>
      </c>
      <c r="D973" s="64"/>
    </row>
    <row r="974" spans="1:5" x14ac:dyDescent="0.2">
      <c r="A974" s="110"/>
      <c r="B974" s="106"/>
      <c r="C974" s="64" t="s">
        <v>1581</v>
      </c>
      <c r="D974" s="64"/>
    </row>
    <row r="975" spans="1:5" x14ac:dyDescent="0.2">
      <c r="A975" s="110"/>
      <c r="B975" s="106"/>
      <c r="C975" s="64" t="s">
        <v>1582</v>
      </c>
      <c r="D975" s="64"/>
    </row>
    <row r="976" spans="1:5" x14ac:dyDescent="0.2">
      <c r="A976" s="133"/>
      <c r="B976" s="132"/>
      <c r="C976" s="64" t="s">
        <v>392</v>
      </c>
      <c r="D976" s="64"/>
    </row>
    <row r="977" spans="1:5" x14ac:dyDescent="0.2">
      <c r="A977" s="98" t="s">
        <v>1583</v>
      </c>
      <c r="B977" s="98" t="s">
        <v>5</v>
      </c>
      <c r="C977" s="61" t="s">
        <v>1584</v>
      </c>
      <c r="D977" s="61"/>
      <c r="E977" s="18" t="s">
        <v>1585</v>
      </c>
    </row>
    <row r="978" spans="1:5" x14ac:dyDescent="0.2">
      <c r="A978" s="99"/>
      <c r="B978" s="99"/>
      <c r="C978" s="61" t="s">
        <v>1586</v>
      </c>
      <c r="D978" s="61"/>
    </row>
    <row r="979" spans="1:5" x14ac:dyDescent="0.2">
      <c r="A979" s="99"/>
      <c r="B979" s="99"/>
      <c r="C979" s="61" t="s">
        <v>1587</v>
      </c>
      <c r="D979" s="61"/>
    </row>
    <row r="980" spans="1:5" x14ac:dyDescent="0.2">
      <c r="A980" s="99"/>
      <c r="B980" s="99"/>
      <c r="C980" s="61" t="s">
        <v>1588</v>
      </c>
      <c r="D980" s="61"/>
    </row>
    <row r="981" spans="1:5" x14ac:dyDescent="0.2">
      <c r="A981" s="99"/>
      <c r="B981" s="99"/>
      <c r="C981" s="61" t="s">
        <v>1589</v>
      </c>
      <c r="D981" s="61"/>
    </row>
    <row r="982" spans="1:5" x14ac:dyDescent="0.2">
      <c r="A982" s="99"/>
      <c r="B982" s="99"/>
      <c r="C982" s="61" t="s">
        <v>1590</v>
      </c>
      <c r="D982" s="61"/>
    </row>
    <row r="983" spans="1:5" x14ac:dyDescent="0.2">
      <c r="A983" s="99"/>
      <c r="B983" s="99"/>
      <c r="C983" s="61" t="s">
        <v>1591</v>
      </c>
      <c r="D983" s="61"/>
    </row>
    <row r="984" spans="1:5" x14ac:dyDescent="0.2">
      <c r="A984" s="99"/>
      <c r="B984" s="99"/>
      <c r="C984" s="61" t="s">
        <v>1592</v>
      </c>
      <c r="D984" s="61"/>
    </row>
    <row r="985" spans="1:5" x14ac:dyDescent="0.2">
      <c r="A985" s="99"/>
      <c r="B985" s="99"/>
      <c r="C985" s="61" t="s">
        <v>1593</v>
      </c>
      <c r="D985" s="61" t="s">
        <v>1594</v>
      </c>
      <c r="E985" s="18" t="s">
        <v>873</v>
      </c>
    </row>
    <row r="986" spans="1:5" x14ac:dyDescent="0.2">
      <c r="A986" s="109" t="s">
        <v>1595</v>
      </c>
      <c r="B986" s="105" t="s">
        <v>5</v>
      </c>
      <c r="C986" s="64" t="s">
        <v>1539</v>
      </c>
      <c r="D986" s="64"/>
    </row>
    <row r="987" spans="1:5" x14ac:dyDescent="0.2">
      <c r="A987" s="110"/>
      <c r="B987" s="106"/>
      <c r="C987" s="64" t="s">
        <v>1540</v>
      </c>
      <c r="D987" s="64"/>
    </row>
    <row r="988" spans="1:5" x14ac:dyDescent="0.2">
      <c r="A988" s="110"/>
      <c r="B988" s="106"/>
      <c r="C988" s="64" t="s">
        <v>1596</v>
      </c>
      <c r="D988" s="64"/>
    </row>
    <row r="989" spans="1:5" x14ac:dyDescent="0.2">
      <c r="A989" s="110"/>
      <c r="B989" s="106"/>
      <c r="C989" s="64" t="s">
        <v>1597</v>
      </c>
      <c r="D989" s="64"/>
    </row>
    <row r="990" spans="1:5" x14ac:dyDescent="0.2">
      <c r="A990" s="110"/>
      <c r="B990" s="106"/>
      <c r="C990" s="64" t="s">
        <v>1598</v>
      </c>
      <c r="D990" s="64"/>
    </row>
    <row r="991" spans="1:5" x14ac:dyDescent="0.2">
      <c r="A991" s="110"/>
      <c r="B991" s="106"/>
      <c r="C991" s="64" t="s">
        <v>1599</v>
      </c>
      <c r="D991" s="64"/>
    </row>
    <row r="992" spans="1:5" x14ac:dyDescent="0.2">
      <c r="A992" s="98" t="s">
        <v>1600</v>
      </c>
      <c r="B992" s="98" t="s">
        <v>5</v>
      </c>
      <c r="C992" s="61" t="s">
        <v>106</v>
      </c>
      <c r="D992" s="61"/>
    </row>
    <row r="993" spans="1:5" x14ac:dyDescent="0.2">
      <c r="A993" s="99"/>
      <c r="B993" s="99"/>
      <c r="C993" s="61" t="s">
        <v>93</v>
      </c>
      <c r="D993" s="61"/>
    </row>
    <row r="994" spans="1:5" x14ac:dyDescent="0.2">
      <c r="A994" s="99"/>
      <c r="B994" s="99"/>
      <c r="C994" s="61" t="s">
        <v>59</v>
      </c>
      <c r="D994" s="61"/>
    </row>
    <row r="995" spans="1:5" x14ac:dyDescent="0.2">
      <c r="A995" s="99"/>
      <c r="B995" s="99"/>
      <c r="C995" s="61" t="s">
        <v>1328</v>
      </c>
      <c r="D995" s="61"/>
    </row>
    <row r="996" spans="1:5" x14ac:dyDescent="0.2">
      <c r="A996" s="99"/>
      <c r="B996" s="99"/>
      <c r="C996" s="61" t="s">
        <v>1601</v>
      </c>
      <c r="D996" s="61" t="s">
        <v>1602</v>
      </c>
    </row>
    <row r="997" spans="1:5" x14ac:dyDescent="0.2">
      <c r="A997" s="99"/>
      <c r="B997" s="99"/>
      <c r="C997" s="61" t="s">
        <v>392</v>
      </c>
      <c r="D997" s="61"/>
    </row>
    <row r="998" spans="1:5" x14ac:dyDescent="0.2">
      <c r="A998" s="105" t="s">
        <v>1603</v>
      </c>
      <c r="B998" s="105" t="s">
        <v>5</v>
      </c>
      <c r="C998" s="64" t="s">
        <v>1604</v>
      </c>
      <c r="D998" s="64"/>
      <c r="E998" s="18" t="s">
        <v>1585</v>
      </c>
    </row>
    <row r="999" spans="1:5" x14ac:dyDescent="0.2">
      <c r="A999" s="106"/>
      <c r="B999" s="106"/>
      <c r="C999" s="64" t="s">
        <v>1605</v>
      </c>
      <c r="D999" s="64"/>
    </row>
    <row r="1000" spans="1:5" x14ac:dyDescent="0.2">
      <c r="A1000" s="98" t="s">
        <v>1606</v>
      </c>
      <c r="B1000" s="98" t="s">
        <v>5</v>
      </c>
      <c r="C1000" s="61" t="s">
        <v>1607</v>
      </c>
      <c r="D1000" s="61"/>
    </row>
    <row r="1001" spans="1:5" x14ac:dyDescent="0.2">
      <c r="A1001" s="99"/>
      <c r="B1001" s="99"/>
      <c r="C1001" s="61" t="s">
        <v>1608</v>
      </c>
      <c r="D1001" s="61"/>
    </row>
    <row r="1002" spans="1:5" x14ac:dyDescent="0.2">
      <c r="A1002" s="99"/>
      <c r="B1002" s="99"/>
      <c r="C1002" s="61" t="s">
        <v>1609</v>
      </c>
      <c r="D1002" s="61"/>
    </row>
    <row r="1003" spans="1:5" x14ac:dyDescent="0.2">
      <c r="A1003" s="99"/>
      <c r="B1003" s="99"/>
      <c r="C1003" s="61" t="s">
        <v>1610</v>
      </c>
      <c r="D1003" s="61"/>
      <c r="E1003" s="18" t="s">
        <v>873</v>
      </c>
    </row>
    <row r="1004" spans="1:5" x14ac:dyDescent="0.2">
      <c r="A1004" s="99"/>
      <c r="B1004" s="99"/>
      <c r="C1004" s="61" t="s">
        <v>1611</v>
      </c>
      <c r="D1004" s="61"/>
    </row>
    <row r="1005" spans="1:5" x14ac:dyDescent="0.2">
      <c r="A1005" s="99"/>
      <c r="B1005" s="99"/>
      <c r="C1005" s="61" t="s">
        <v>1612</v>
      </c>
      <c r="D1005" s="61"/>
    </row>
    <row r="1006" spans="1:5" x14ac:dyDescent="0.2">
      <c r="A1006" s="99"/>
      <c r="B1006" s="99"/>
      <c r="C1006" s="61" t="s">
        <v>1613</v>
      </c>
      <c r="D1006" s="61"/>
      <c r="E1006" s="18" t="s">
        <v>873</v>
      </c>
    </row>
    <row r="1007" spans="1:5" x14ac:dyDescent="0.2">
      <c r="A1007" s="99"/>
      <c r="B1007" s="99"/>
      <c r="C1007" s="61" t="s">
        <v>1614</v>
      </c>
      <c r="D1007" s="61"/>
    </row>
    <row r="1008" spans="1:5" x14ac:dyDescent="0.2">
      <c r="A1008" s="99"/>
      <c r="B1008" s="99"/>
      <c r="C1008" s="61" t="s">
        <v>1615</v>
      </c>
      <c r="D1008" s="61"/>
    </row>
    <row r="1009" spans="1:4" x14ac:dyDescent="0.2">
      <c r="A1009" s="99"/>
      <c r="B1009" s="99"/>
      <c r="C1009" s="61" t="s">
        <v>1616</v>
      </c>
      <c r="D1009" s="61"/>
    </row>
    <row r="1010" spans="1:4" x14ac:dyDescent="0.2">
      <c r="A1010" s="99"/>
      <c r="B1010" s="99"/>
      <c r="C1010" s="61" t="s">
        <v>1617</v>
      </c>
      <c r="D1010" s="61"/>
    </row>
    <row r="1011" spans="1:4" x14ac:dyDescent="0.2">
      <c r="A1011" s="99"/>
      <c r="B1011" s="99"/>
      <c r="C1011" s="61" t="s">
        <v>1618</v>
      </c>
      <c r="D1011" s="61"/>
    </row>
    <row r="1012" spans="1:4" x14ac:dyDescent="0.2">
      <c r="A1012" s="99"/>
      <c r="B1012" s="99"/>
      <c r="C1012" s="61" t="s">
        <v>1619</v>
      </c>
      <c r="D1012" s="61"/>
    </row>
    <row r="1013" spans="1:4" x14ac:dyDescent="0.2">
      <c r="A1013" s="99"/>
      <c r="B1013" s="99"/>
      <c r="C1013" s="61" t="s">
        <v>1620</v>
      </c>
      <c r="D1013" s="61"/>
    </row>
    <row r="1014" spans="1:4" x14ac:dyDescent="0.2">
      <c r="A1014" s="99"/>
      <c r="B1014" s="99"/>
      <c r="C1014" s="61" t="s">
        <v>1621</v>
      </c>
      <c r="D1014" s="61"/>
    </row>
    <row r="1015" spans="1:4" x14ac:dyDescent="0.2">
      <c r="A1015" s="99"/>
      <c r="B1015" s="99"/>
      <c r="C1015" s="61" t="s">
        <v>848</v>
      </c>
      <c r="D1015" s="61"/>
    </row>
    <row r="1016" spans="1:4" x14ac:dyDescent="0.2">
      <c r="A1016" s="99"/>
      <c r="B1016" s="99"/>
      <c r="C1016" s="61" t="s">
        <v>1622</v>
      </c>
      <c r="D1016" s="61"/>
    </row>
    <row r="1017" spans="1:4" x14ac:dyDescent="0.2">
      <c r="A1017" s="99"/>
      <c r="B1017" s="99"/>
      <c r="C1017" s="61" t="s">
        <v>1623</v>
      </c>
      <c r="D1017" s="61"/>
    </row>
    <row r="1018" spans="1:4" x14ac:dyDescent="0.2">
      <c r="A1018" s="99"/>
      <c r="B1018" s="99"/>
      <c r="C1018" s="61" t="s">
        <v>1624</v>
      </c>
      <c r="D1018" s="61"/>
    </row>
    <row r="1019" spans="1:4" x14ac:dyDescent="0.2">
      <c r="A1019" s="99"/>
      <c r="B1019" s="99"/>
      <c r="C1019" s="61" t="s">
        <v>1625</v>
      </c>
      <c r="D1019" s="61"/>
    </row>
    <row r="1020" spans="1:4" x14ac:dyDescent="0.2">
      <c r="A1020" s="99"/>
      <c r="B1020" s="99"/>
      <c r="C1020" s="61" t="s">
        <v>1626</v>
      </c>
      <c r="D1020" s="61"/>
    </row>
    <row r="1021" spans="1:4" x14ac:dyDescent="0.2">
      <c r="A1021" s="99"/>
      <c r="B1021" s="99"/>
      <c r="C1021" s="61" t="s">
        <v>1627</v>
      </c>
      <c r="D1021" s="61"/>
    </row>
    <row r="1022" spans="1:4" x14ac:dyDescent="0.2">
      <c r="A1022" s="99"/>
      <c r="B1022" s="99"/>
      <c r="C1022" s="61" t="s">
        <v>1628</v>
      </c>
      <c r="D1022" s="61"/>
    </row>
    <row r="1023" spans="1:4" x14ac:dyDescent="0.2">
      <c r="A1023" s="99"/>
      <c r="B1023" s="99"/>
      <c r="C1023" s="61" t="s">
        <v>1629</v>
      </c>
      <c r="D1023" s="61"/>
    </row>
    <row r="1024" spans="1:4" x14ac:dyDescent="0.2">
      <c r="A1024" s="99"/>
      <c r="B1024" s="99"/>
      <c r="C1024" s="61" t="s">
        <v>1630</v>
      </c>
      <c r="D1024" s="61"/>
    </row>
    <row r="1025" spans="1:5" x14ac:dyDescent="0.2">
      <c r="A1025" s="99"/>
      <c r="B1025" s="99"/>
      <c r="C1025" s="61" t="s">
        <v>1631</v>
      </c>
      <c r="D1025" s="61"/>
    </row>
    <row r="1026" spans="1:5" x14ac:dyDescent="0.2">
      <c r="A1026" s="99"/>
      <c r="B1026" s="99"/>
      <c r="C1026" s="61" t="s">
        <v>1632</v>
      </c>
      <c r="D1026" s="61"/>
    </row>
    <row r="1027" spans="1:5" x14ac:dyDescent="0.2">
      <c r="A1027" s="99"/>
      <c r="B1027" s="99"/>
      <c r="C1027" s="61" t="s">
        <v>1633</v>
      </c>
      <c r="D1027" s="61"/>
    </row>
    <row r="1028" spans="1:5" x14ac:dyDescent="0.2">
      <c r="A1028" s="99"/>
      <c r="B1028" s="99"/>
      <c r="C1028" s="61" t="s">
        <v>1634</v>
      </c>
      <c r="D1028" s="61"/>
    </row>
    <row r="1029" spans="1:5" x14ac:dyDescent="0.2">
      <c r="A1029" s="99"/>
      <c r="B1029" s="99"/>
      <c r="C1029" s="61" t="s">
        <v>1635</v>
      </c>
      <c r="D1029" s="61"/>
    </row>
    <row r="1030" spans="1:5" x14ac:dyDescent="0.2">
      <c r="A1030" s="99"/>
      <c r="B1030" s="99"/>
      <c r="C1030" s="61" t="s">
        <v>1636</v>
      </c>
      <c r="D1030" s="61"/>
    </row>
    <row r="1031" spans="1:5" x14ac:dyDescent="0.2">
      <c r="A1031" s="99"/>
      <c r="B1031" s="99"/>
      <c r="C1031" s="142" t="s">
        <v>1637</v>
      </c>
      <c r="D1031" s="61"/>
      <c r="E1031" s="18" t="s">
        <v>873</v>
      </c>
    </row>
    <row r="1032" spans="1:5" x14ac:dyDescent="0.2">
      <c r="A1032" s="99"/>
      <c r="B1032" s="99"/>
      <c r="C1032" s="61" t="s">
        <v>1638</v>
      </c>
      <c r="D1032" s="61"/>
    </row>
    <row r="1033" spans="1:5" x14ac:dyDescent="0.2">
      <c r="A1033" s="99"/>
      <c r="B1033" s="99"/>
      <c r="C1033" s="61" t="s">
        <v>392</v>
      </c>
      <c r="D1033" s="61"/>
    </row>
    <row r="1034" spans="1:5" x14ac:dyDescent="0.2">
      <c r="A1034" s="75" t="s">
        <v>1639</v>
      </c>
      <c r="B1034" s="75" t="s">
        <v>5</v>
      </c>
      <c r="C1034" s="64" t="s">
        <v>1640</v>
      </c>
      <c r="D1034" s="64"/>
      <c r="E1034" s="18" t="s">
        <v>1585</v>
      </c>
    </row>
    <row r="1035" spans="1:5" x14ac:dyDescent="0.2">
      <c r="A1035" s="76"/>
      <c r="B1035" s="76"/>
      <c r="C1035" s="64" t="s">
        <v>1641</v>
      </c>
      <c r="D1035" s="64"/>
    </row>
    <row r="1036" spans="1:5" x14ac:dyDescent="0.2">
      <c r="A1036" s="76"/>
      <c r="B1036" s="76"/>
      <c r="C1036" s="64" t="s">
        <v>392</v>
      </c>
      <c r="D1036" s="64"/>
    </row>
    <row r="1037" spans="1:5" x14ac:dyDescent="0.2">
      <c r="A1037" s="98" t="s">
        <v>1642</v>
      </c>
      <c r="B1037" s="98" t="s">
        <v>5</v>
      </c>
      <c r="C1037" s="61" t="s">
        <v>1643</v>
      </c>
      <c r="D1037" s="61"/>
    </row>
    <row r="1038" spans="1:5" x14ac:dyDescent="0.2">
      <c r="A1038" s="99"/>
      <c r="B1038" s="99"/>
      <c r="C1038" s="61" t="s">
        <v>1644</v>
      </c>
      <c r="D1038" s="61" t="s">
        <v>1645</v>
      </c>
    </row>
    <row r="1039" spans="1:5" x14ac:dyDescent="0.2">
      <c r="A1039" s="99"/>
      <c r="B1039" s="99"/>
      <c r="C1039" s="61" t="s">
        <v>1646</v>
      </c>
      <c r="D1039" s="61" t="s">
        <v>1647</v>
      </c>
    </row>
    <row r="1040" spans="1:5" x14ac:dyDescent="0.2">
      <c r="A1040" s="99"/>
      <c r="B1040" s="99"/>
      <c r="C1040" s="61" t="s">
        <v>1648</v>
      </c>
      <c r="D1040" s="61" t="s">
        <v>1649</v>
      </c>
    </row>
    <row r="1044" spans="4:4" x14ac:dyDescent="0.2">
      <c r="D1044" s="63"/>
    </row>
    <row r="1045" spans="4:4" x14ac:dyDescent="0.2">
      <c r="D1045" s="63"/>
    </row>
    <row r="1046" spans="4:4" x14ac:dyDescent="0.2">
      <c r="D1046" s="63"/>
    </row>
    <row r="1047" spans="4:4" x14ac:dyDescent="0.2">
      <c r="D1047" s="63"/>
    </row>
    <row r="1065" spans="1:4" x14ac:dyDescent="0.2">
      <c r="D1065" s="38"/>
    </row>
    <row r="1070" spans="1:4" x14ac:dyDescent="0.2">
      <c r="A1070" s="38"/>
    </row>
    <row r="1072" spans="1:4" x14ac:dyDescent="0.2">
      <c r="C1072" s="18"/>
    </row>
    <row r="1073" spans="1:5" s="9" customFormat="1" x14ac:dyDescent="0.2">
      <c r="B1073" s="18"/>
      <c r="C1073" s="18"/>
      <c r="E1073" s="18"/>
    </row>
    <row r="1074" spans="1:5" s="9" customFormat="1" x14ac:dyDescent="0.2">
      <c r="A1074" s="50"/>
      <c r="B1074" s="18"/>
      <c r="C1074" s="18"/>
      <c r="E1074" s="18"/>
    </row>
    <row r="1075" spans="1:5" s="9" customFormat="1" x14ac:dyDescent="0.2">
      <c r="B1075" s="18"/>
      <c r="C1075" s="63"/>
      <c r="E1075" s="18"/>
    </row>
    <row r="1076" spans="1:5" s="9" customFormat="1" x14ac:dyDescent="0.2">
      <c r="B1076" s="18"/>
      <c r="C1076" s="63" t="s">
        <v>89</v>
      </c>
      <c r="E1076" s="18"/>
    </row>
    <row r="1077" spans="1:5" s="9" customFormat="1" x14ac:dyDescent="0.2">
      <c r="B1077" s="18"/>
      <c r="C1077" s="63" t="s">
        <v>76</v>
      </c>
      <c r="E1077" s="18"/>
    </row>
    <row r="1078" spans="1:5" s="9" customFormat="1" x14ac:dyDescent="0.2">
      <c r="B1078" s="18"/>
      <c r="C1078" s="63" t="s">
        <v>340</v>
      </c>
      <c r="E1078" s="18"/>
    </row>
    <row r="1079" spans="1:5" s="9" customFormat="1" x14ac:dyDescent="0.2">
      <c r="B1079" s="18"/>
      <c r="C1079" s="63" t="s">
        <v>379</v>
      </c>
      <c r="E1079" s="18"/>
    </row>
    <row r="1080" spans="1:5" s="9" customFormat="1" x14ac:dyDescent="0.2">
      <c r="B1080" s="18"/>
      <c r="C1080" s="63"/>
      <c r="E1080" s="18"/>
    </row>
    <row r="1081" spans="1:5" s="9" customFormat="1" x14ac:dyDescent="0.2">
      <c r="B1081" s="18"/>
      <c r="C1081" s="63" t="s">
        <v>89</v>
      </c>
      <c r="E1081" s="18"/>
    </row>
    <row r="1082" spans="1:5" s="9" customFormat="1" x14ac:dyDescent="0.2">
      <c r="B1082" s="18"/>
      <c r="C1082" s="63" t="s">
        <v>76</v>
      </c>
      <c r="E1082" s="18"/>
    </row>
    <row r="1083" spans="1:5" s="9" customFormat="1" x14ac:dyDescent="0.2">
      <c r="B1083" s="18"/>
      <c r="C1083" s="63" t="s">
        <v>340</v>
      </c>
      <c r="E1083" s="18"/>
    </row>
    <row r="1084" spans="1:5" s="9" customFormat="1" x14ac:dyDescent="0.2">
      <c r="B1084" s="18"/>
      <c r="C1084" s="63" t="s">
        <v>379</v>
      </c>
      <c r="E1084" s="18"/>
    </row>
    <row r="1085" spans="1:5" s="9" customFormat="1" x14ac:dyDescent="0.2">
      <c r="B1085" s="18"/>
      <c r="C1085" s="63" t="s">
        <v>623</v>
      </c>
      <c r="E1085" s="18"/>
    </row>
    <row r="1086" spans="1:5" s="9" customFormat="1" x14ac:dyDescent="0.2">
      <c r="B1086" s="18"/>
      <c r="C1086" s="63"/>
      <c r="E1086" s="18"/>
    </row>
    <row r="1087" spans="1:5" s="9" customFormat="1" x14ac:dyDescent="0.2">
      <c r="A1087" s="38"/>
      <c r="B1087" s="18"/>
      <c r="C1087" s="63" t="s">
        <v>89</v>
      </c>
      <c r="E1087" s="18"/>
    </row>
    <row r="1088" spans="1:5" s="9" customFormat="1" x14ac:dyDescent="0.2">
      <c r="B1088" s="18"/>
      <c r="C1088" s="63" t="s">
        <v>76</v>
      </c>
      <c r="E1088" s="18"/>
    </row>
    <row r="1089" spans="2:5" s="9" customFormat="1" x14ac:dyDescent="0.2">
      <c r="B1089" s="18"/>
      <c r="C1089" s="63" t="s">
        <v>379</v>
      </c>
      <c r="E1089" s="18"/>
    </row>
    <row r="1090" spans="2:5" s="9" customFormat="1" x14ac:dyDescent="0.2">
      <c r="B1090" s="18"/>
      <c r="C1090" s="63"/>
      <c r="E1090" s="18"/>
    </row>
    <row r="1091" spans="2:5" s="9" customFormat="1" x14ac:dyDescent="0.2">
      <c r="B1091" s="18"/>
      <c r="C1091" s="63" t="s">
        <v>655</v>
      </c>
      <c r="E1091" s="18"/>
    </row>
    <row r="1092" spans="2:5" s="9" customFormat="1" x14ac:dyDescent="0.2">
      <c r="B1092" s="18"/>
      <c r="C1092" s="63" t="s">
        <v>392</v>
      </c>
      <c r="E1092" s="18"/>
    </row>
    <row r="1093" spans="2:5" s="9" customFormat="1" x14ac:dyDescent="0.2">
      <c r="B1093" s="18"/>
      <c r="C1093" s="63"/>
      <c r="E1093" s="18"/>
    </row>
    <row r="1094" spans="2:5" s="9" customFormat="1" x14ac:dyDescent="0.2">
      <c r="B1094" s="18"/>
      <c r="C1094" s="63" t="s">
        <v>146</v>
      </c>
      <c r="E1094" s="18"/>
    </row>
    <row r="1095" spans="2:5" s="9" customFormat="1" x14ac:dyDescent="0.2">
      <c r="B1095" s="18"/>
      <c r="C1095" s="63" t="s">
        <v>1314</v>
      </c>
      <c r="E1095" s="18"/>
    </row>
    <row r="1096" spans="2:5" s="9" customFormat="1" x14ac:dyDescent="0.2">
      <c r="B1096" s="18"/>
      <c r="C1096" s="63" t="s">
        <v>1315</v>
      </c>
      <c r="E1096" s="18"/>
    </row>
    <row r="1097" spans="2:5" s="9" customFormat="1" x14ac:dyDescent="0.2">
      <c r="B1097" s="18"/>
      <c r="C1097" s="63" t="s">
        <v>1318</v>
      </c>
      <c r="E1097" s="18"/>
    </row>
    <row r="1098" spans="2:5" s="9" customFormat="1" x14ac:dyDescent="0.2">
      <c r="B1098" s="18"/>
      <c r="C1098" s="63" t="s">
        <v>1319</v>
      </c>
      <c r="E1098" s="18"/>
    </row>
    <row r="1099" spans="2:5" s="9" customFormat="1" x14ac:dyDescent="0.2">
      <c r="B1099" s="18"/>
      <c r="C1099" s="63" t="s">
        <v>1320</v>
      </c>
      <c r="E1099" s="18"/>
    </row>
    <row r="1100" spans="2:5" s="9" customFormat="1" x14ac:dyDescent="0.2">
      <c r="B1100" s="18"/>
      <c r="C1100" s="63" t="s">
        <v>1321</v>
      </c>
      <c r="E1100" s="18"/>
    </row>
    <row r="1101" spans="2:5" s="9" customFormat="1" x14ac:dyDescent="0.2">
      <c r="B1101" s="18"/>
      <c r="C1101" s="63" t="s">
        <v>1322</v>
      </c>
      <c r="E1101" s="18"/>
    </row>
    <row r="1102" spans="2:5" s="9" customFormat="1" x14ac:dyDescent="0.2">
      <c r="B1102" s="18"/>
      <c r="C1102" s="63" t="s">
        <v>1323</v>
      </c>
      <c r="E1102" s="18"/>
    </row>
    <row r="1103" spans="2:5" s="9" customFormat="1" x14ac:dyDescent="0.2">
      <c r="B1103" s="18"/>
      <c r="C1103" s="63" t="s">
        <v>1325</v>
      </c>
      <c r="E1103" s="18"/>
    </row>
    <row r="1104" spans="2:5" s="9" customFormat="1" x14ac:dyDescent="0.2">
      <c r="B1104" s="18"/>
      <c r="C1104" s="63" t="s">
        <v>1087</v>
      </c>
      <c r="E1104" s="18"/>
    </row>
    <row r="1105" spans="2:5" s="9" customFormat="1" x14ac:dyDescent="0.2">
      <c r="B1105" s="18"/>
      <c r="C1105" s="63" t="s">
        <v>392</v>
      </c>
      <c r="E1105" s="18"/>
    </row>
    <row r="1106" spans="2:5" s="9" customFormat="1" x14ac:dyDescent="0.2">
      <c r="B1106" s="18"/>
      <c r="C1106" s="63"/>
      <c r="E1106" s="18"/>
    </row>
    <row r="1107" spans="2:5" s="9" customFormat="1" x14ac:dyDescent="0.2">
      <c r="B1107" s="18"/>
      <c r="C1107" s="63"/>
      <c r="E1107" s="18"/>
    </row>
    <row r="1108" spans="2:5" x14ac:dyDescent="0.2">
      <c r="C1108" s="63" t="s">
        <v>618</v>
      </c>
    </row>
    <row r="1109" spans="2:5" s="9" customFormat="1" x14ac:dyDescent="0.2">
      <c r="B1109" s="18"/>
      <c r="C1109" s="63" t="s">
        <v>701</v>
      </c>
      <c r="E1109" s="18"/>
    </row>
    <row r="1110" spans="2:5" s="9" customFormat="1" x14ac:dyDescent="0.2">
      <c r="B1110" s="18"/>
      <c r="C1110" s="63" t="s">
        <v>1453</v>
      </c>
      <c r="E1110" s="18"/>
    </row>
    <row r="1111" spans="2:5" s="9" customFormat="1" x14ac:dyDescent="0.2">
      <c r="B1111" s="18"/>
      <c r="C1111" s="63" t="s">
        <v>392</v>
      </c>
      <c r="E1111" s="18"/>
    </row>
    <row r="1112" spans="2:5" s="9" customFormat="1" x14ac:dyDescent="0.2">
      <c r="B1112" s="18"/>
      <c r="C1112" s="63"/>
      <c r="E1112" s="18"/>
    </row>
    <row r="1113" spans="2:5" s="9" customFormat="1" x14ac:dyDescent="0.2">
      <c r="B1113" s="18"/>
      <c r="C1113" s="63" t="s">
        <v>92</v>
      </c>
      <c r="E1113" s="18"/>
    </row>
    <row r="1114" spans="2:5" s="9" customFormat="1" x14ac:dyDescent="0.2">
      <c r="B1114" s="18"/>
      <c r="C1114" s="63" t="s">
        <v>965</v>
      </c>
      <c r="E1114" s="18"/>
    </row>
    <row r="1115" spans="2:5" s="9" customFormat="1" x14ac:dyDescent="0.2">
      <c r="B1115" s="18"/>
      <c r="C1115" s="63" t="s">
        <v>33</v>
      </c>
      <c r="E1115" s="18"/>
    </row>
    <row r="1116" spans="2:5" s="9" customFormat="1" x14ac:dyDescent="0.2">
      <c r="B1116" s="18"/>
      <c r="C1116" s="63" t="s">
        <v>392</v>
      </c>
      <c r="E1116" s="18"/>
    </row>
    <row r="1117" spans="2:5" s="9" customFormat="1" x14ac:dyDescent="0.2">
      <c r="B1117" s="18"/>
      <c r="C1117" s="63"/>
      <c r="E1117" s="18"/>
    </row>
    <row r="1118" spans="2:5" s="9" customFormat="1" x14ac:dyDescent="0.2">
      <c r="B1118" s="18"/>
      <c r="C1118" s="63" t="s">
        <v>94</v>
      </c>
      <c r="E1118" s="18"/>
    </row>
    <row r="1119" spans="2:5" s="9" customFormat="1" x14ac:dyDescent="0.2">
      <c r="B1119" s="18"/>
      <c r="C1119" s="63" t="s">
        <v>1650</v>
      </c>
      <c r="E1119" s="18"/>
    </row>
    <row r="1120" spans="2:5" s="9" customFormat="1" x14ac:dyDescent="0.2">
      <c r="B1120" s="18"/>
      <c r="C1120" s="63"/>
      <c r="E1120" s="18"/>
    </row>
    <row r="1121" spans="2:5" x14ac:dyDescent="0.2">
      <c r="C1121" s="63" t="s">
        <v>94</v>
      </c>
    </row>
    <row r="1122" spans="2:5" s="9" customFormat="1" x14ac:dyDescent="0.2">
      <c r="B1122" s="18"/>
      <c r="C1122" s="63" t="s">
        <v>968</v>
      </c>
      <c r="E1122" s="18"/>
    </row>
    <row r="1123" spans="2:5" s="9" customFormat="1" x14ac:dyDescent="0.2">
      <c r="B1123" s="18"/>
      <c r="C1123" s="63" t="s">
        <v>970</v>
      </c>
      <c r="E1123" s="18"/>
    </row>
    <row r="1124" spans="2:5" s="9" customFormat="1" x14ac:dyDescent="0.2">
      <c r="B1124" s="18"/>
      <c r="C1124" s="63" t="s">
        <v>972</v>
      </c>
      <c r="E1124" s="18"/>
    </row>
    <row r="1125" spans="2:5" x14ac:dyDescent="0.2">
      <c r="C1125" s="63" t="s">
        <v>977</v>
      </c>
    </row>
    <row r="1126" spans="2:5" x14ac:dyDescent="0.2">
      <c r="C1126" s="63" t="s">
        <v>392</v>
      </c>
    </row>
    <row r="1129" spans="2:5" x14ac:dyDescent="0.2">
      <c r="C1129" s="63" t="s">
        <v>1057</v>
      </c>
    </row>
    <row r="1130" spans="2:5" x14ac:dyDescent="0.2">
      <c r="C1130" s="63" t="s">
        <v>1058</v>
      </c>
    </row>
    <row r="1131" spans="2:5" x14ac:dyDescent="0.2">
      <c r="C1131" s="63" t="s">
        <v>356</v>
      </c>
    </row>
    <row r="1132" spans="2:5" x14ac:dyDescent="0.2">
      <c r="C1132" s="63" t="s">
        <v>146</v>
      </c>
    </row>
    <row r="1133" spans="2:5" x14ac:dyDescent="0.2">
      <c r="C1133" s="63" t="s">
        <v>123</v>
      </c>
    </row>
    <row r="1134" spans="2:5" x14ac:dyDescent="0.2">
      <c r="C1134" s="63" t="s">
        <v>230</v>
      </c>
    </row>
    <row r="1135" spans="2:5" x14ac:dyDescent="0.2">
      <c r="C1135" s="63" t="s">
        <v>1061</v>
      </c>
    </row>
    <row r="1136" spans="2:5" x14ac:dyDescent="0.2">
      <c r="C1136" s="63" t="s">
        <v>95</v>
      </c>
    </row>
    <row r="1137" spans="3:3" x14ac:dyDescent="0.2">
      <c r="C1137" s="63" t="s">
        <v>277</v>
      </c>
    </row>
    <row r="1138" spans="3:3" x14ac:dyDescent="0.2">
      <c r="C1138" s="63" t="s">
        <v>135</v>
      </c>
    </row>
    <row r="1139" spans="3:3" x14ac:dyDescent="0.2">
      <c r="C1139" s="63" t="s">
        <v>206</v>
      </c>
    </row>
    <row r="1140" spans="3:3" x14ac:dyDescent="0.2">
      <c r="C1140" s="63" t="s">
        <v>1062</v>
      </c>
    </row>
    <row r="1141" spans="3:3" x14ac:dyDescent="0.2">
      <c r="C1141" s="63" t="s">
        <v>1063</v>
      </c>
    </row>
    <row r="1142" spans="3:3" x14ac:dyDescent="0.2">
      <c r="C1142" s="63" t="s">
        <v>613</v>
      </c>
    </row>
    <row r="1143" spans="3:3" x14ac:dyDescent="0.2">
      <c r="C1143" s="63" t="s">
        <v>1064</v>
      </c>
    </row>
    <row r="1144" spans="3:3" x14ac:dyDescent="0.2">
      <c r="C1144" s="63" t="s">
        <v>343</v>
      </c>
    </row>
    <row r="1145" spans="3:3" x14ac:dyDescent="0.2">
      <c r="C1145" s="63" t="s">
        <v>1066</v>
      </c>
    </row>
    <row r="1146" spans="3:3" x14ac:dyDescent="0.2">
      <c r="C1146" s="63" t="s">
        <v>1067</v>
      </c>
    </row>
    <row r="1147" spans="3:3" x14ac:dyDescent="0.2">
      <c r="C1147" s="63" t="s">
        <v>1069</v>
      </c>
    </row>
    <row r="1148" spans="3:3" x14ac:dyDescent="0.2">
      <c r="C1148" s="63" t="s">
        <v>1070</v>
      </c>
    </row>
    <row r="1149" spans="3:3" x14ac:dyDescent="0.2">
      <c r="C1149" s="63" t="s">
        <v>1071</v>
      </c>
    </row>
    <row r="1150" spans="3:3" x14ac:dyDescent="0.2">
      <c r="C1150" s="63" t="s">
        <v>643</v>
      </c>
    </row>
    <row r="1151" spans="3:3" x14ac:dyDescent="0.2">
      <c r="C1151" s="63" t="s">
        <v>189</v>
      </c>
    </row>
    <row r="1152" spans="3:3" x14ac:dyDescent="0.2">
      <c r="C1152" s="63" t="s">
        <v>376</v>
      </c>
    </row>
    <row r="1153" spans="3:3" x14ac:dyDescent="0.2">
      <c r="C1153" s="63" t="s">
        <v>107</v>
      </c>
    </row>
    <row r="1154" spans="3:3" x14ac:dyDescent="0.2">
      <c r="C1154" s="63" t="s">
        <v>1072</v>
      </c>
    </row>
    <row r="1155" spans="3:3" x14ac:dyDescent="0.2">
      <c r="C1155" s="63" t="s">
        <v>1073</v>
      </c>
    </row>
    <row r="1156" spans="3:3" x14ac:dyDescent="0.2">
      <c r="C1156" s="63" t="s">
        <v>309</v>
      </c>
    </row>
    <row r="1157" spans="3:3" x14ac:dyDescent="0.2">
      <c r="C1157" s="63" t="s">
        <v>1074</v>
      </c>
    </row>
    <row r="1158" spans="3:3" x14ac:dyDescent="0.2">
      <c r="C1158" s="63" t="s">
        <v>1075</v>
      </c>
    </row>
    <row r="1159" spans="3:3" x14ac:dyDescent="0.2">
      <c r="C1159" s="63" t="s">
        <v>1076</v>
      </c>
    </row>
    <row r="1160" spans="3:3" x14ac:dyDescent="0.2">
      <c r="C1160" s="63" t="s">
        <v>1077</v>
      </c>
    </row>
    <row r="1161" spans="3:3" x14ac:dyDescent="0.2">
      <c r="C1161" s="63" t="s">
        <v>1078</v>
      </c>
    </row>
    <row r="1162" spans="3:3" x14ac:dyDescent="0.2">
      <c r="C1162" s="63" t="s">
        <v>1079</v>
      </c>
    </row>
    <row r="1163" spans="3:3" ht="14.45" customHeight="1" x14ac:dyDescent="0.2">
      <c r="C1163" s="63" t="s">
        <v>1080</v>
      </c>
    </row>
    <row r="1164" spans="3:3" x14ac:dyDescent="0.2">
      <c r="C1164" s="63" t="s">
        <v>367</v>
      </c>
    </row>
    <row r="1165" spans="3:3" x14ac:dyDescent="0.2">
      <c r="C1165" s="63" t="s">
        <v>1082</v>
      </c>
    </row>
    <row r="1166" spans="3:3" x14ac:dyDescent="0.2">
      <c r="C1166" s="63" t="s">
        <v>668</v>
      </c>
    </row>
    <row r="1167" spans="3:3" x14ac:dyDescent="0.2">
      <c r="C1167" s="63" t="s">
        <v>200</v>
      </c>
    </row>
    <row r="1168" spans="3:3" x14ac:dyDescent="0.2">
      <c r="C1168" s="63" t="s">
        <v>352</v>
      </c>
    </row>
    <row r="1169" spans="3:3" x14ac:dyDescent="0.2">
      <c r="C1169" s="63" t="s">
        <v>290</v>
      </c>
    </row>
    <row r="1170" spans="3:3" x14ac:dyDescent="0.2">
      <c r="C1170" s="63" t="s">
        <v>392</v>
      </c>
    </row>
    <row r="1171" spans="3:3" x14ac:dyDescent="0.2">
      <c r="C1171" s="63" t="s">
        <v>1088</v>
      </c>
    </row>
    <row r="1172" spans="3:3" x14ac:dyDescent="0.2">
      <c r="C1172" s="63" t="s">
        <v>1089</v>
      </c>
    </row>
    <row r="1173" spans="3:3" x14ac:dyDescent="0.2">
      <c r="C1173" s="63" t="s">
        <v>1090</v>
      </c>
    </row>
    <row r="1174" spans="3:3" x14ac:dyDescent="0.2">
      <c r="C1174" s="63" t="s">
        <v>1091</v>
      </c>
    </row>
    <row r="1175" spans="3:3" x14ac:dyDescent="0.2">
      <c r="C1175" s="63" t="s">
        <v>1092</v>
      </c>
    </row>
    <row r="1176" spans="3:3" x14ac:dyDescent="0.2">
      <c r="C1176" s="63" t="s">
        <v>1093</v>
      </c>
    </row>
    <row r="1177" spans="3:3" x14ac:dyDescent="0.2">
      <c r="C1177" s="63" t="s">
        <v>1094</v>
      </c>
    </row>
    <row r="1178" spans="3:3" x14ac:dyDescent="0.2">
      <c r="C1178" s="63" t="s">
        <v>1095</v>
      </c>
    </row>
    <row r="1179" spans="3:3" x14ac:dyDescent="0.2">
      <c r="C1179" s="63" t="s">
        <v>1096</v>
      </c>
    </row>
    <row r="1180" spans="3:3" x14ac:dyDescent="0.2">
      <c r="C1180" s="63" t="s">
        <v>1097</v>
      </c>
    </row>
    <row r="1181" spans="3:3" x14ac:dyDescent="0.2">
      <c r="C1181" s="63" t="s">
        <v>1098</v>
      </c>
    </row>
    <row r="1182" spans="3:3" x14ac:dyDescent="0.2">
      <c r="C1182" s="63" t="s">
        <v>465</v>
      </c>
    </row>
    <row r="1183" spans="3:3" x14ac:dyDescent="0.2">
      <c r="C1183" s="63" t="s">
        <v>1099</v>
      </c>
    </row>
    <row r="1184" spans="3:3" x14ac:dyDescent="0.2">
      <c r="C1184" s="63" t="s">
        <v>1100</v>
      </c>
    </row>
    <row r="1185" spans="3:3" x14ac:dyDescent="0.2">
      <c r="C1185" s="63" t="s">
        <v>424</v>
      </c>
    </row>
    <row r="1186" spans="3:3" x14ac:dyDescent="0.2">
      <c r="C1186" s="63" t="s">
        <v>1101</v>
      </c>
    </row>
    <row r="1187" spans="3:3" x14ac:dyDescent="0.2">
      <c r="C1187" s="63" t="s">
        <v>1102</v>
      </c>
    </row>
    <row r="1188" spans="3:3" x14ac:dyDescent="0.2">
      <c r="C1188" s="63" t="s">
        <v>1103</v>
      </c>
    </row>
    <row r="1189" spans="3:3" x14ac:dyDescent="0.2">
      <c r="C1189" s="63" t="s">
        <v>1105</v>
      </c>
    </row>
    <row r="1190" spans="3:3" x14ac:dyDescent="0.2">
      <c r="C1190" s="63" t="s">
        <v>1107</v>
      </c>
    </row>
    <row r="1191" spans="3:3" x14ac:dyDescent="0.2">
      <c r="C1191" s="63" t="s">
        <v>1109</v>
      </c>
    </row>
    <row r="1192" spans="3:3" x14ac:dyDescent="0.2">
      <c r="C1192" s="141" t="s">
        <v>1110</v>
      </c>
    </row>
    <row r="1193" spans="3:3" x14ac:dyDescent="0.2">
      <c r="C1193" s="63" t="s">
        <v>474</v>
      </c>
    </row>
    <row r="1194" spans="3:3" x14ac:dyDescent="0.2">
      <c r="C1194" s="63" t="s">
        <v>1112</v>
      </c>
    </row>
    <row r="1195" spans="3:3" x14ac:dyDescent="0.2">
      <c r="C1195" s="63" t="s">
        <v>1113</v>
      </c>
    </row>
    <row r="1196" spans="3:3" x14ac:dyDescent="0.2">
      <c r="C1196" s="63" t="s">
        <v>383</v>
      </c>
    </row>
    <row r="1197" spans="3:3" x14ac:dyDescent="0.2">
      <c r="C1197" s="63" t="s">
        <v>1114</v>
      </c>
    </row>
    <row r="1198" spans="3:3" x14ac:dyDescent="0.2">
      <c r="C1198" s="63" t="s">
        <v>1115</v>
      </c>
    </row>
    <row r="1199" spans="3:3" x14ac:dyDescent="0.2">
      <c r="C1199" s="63" t="s">
        <v>1116</v>
      </c>
    </row>
    <row r="1200" spans="3:3" x14ac:dyDescent="0.2">
      <c r="C1200" s="63" t="s">
        <v>1117</v>
      </c>
    </row>
    <row r="1201" spans="3:3" x14ac:dyDescent="0.2">
      <c r="C1201" s="63" t="s">
        <v>1119</v>
      </c>
    </row>
    <row r="1202" spans="3:3" x14ac:dyDescent="0.2">
      <c r="C1202" s="63" t="s">
        <v>413</v>
      </c>
    </row>
    <row r="1203" spans="3:3" x14ac:dyDescent="0.2">
      <c r="C1203" s="63" t="s">
        <v>1121</v>
      </c>
    </row>
    <row r="1204" spans="3:3" x14ac:dyDescent="0.2">
      <c r="C1204" s="63" t="s">
        <v>1122</v>
      </c>
    </row>
    <row r="1205" spans="3:3" x14ac:dyDescent="0.2">
      <c r="C1205" s="63" t="s">
        <v>1123</v>
      </c>
    </row>
    <row r="1206" spans="3:3" x14ac:dyDescent="0.2">
      <c r="C1206" s="63" t="s">
        <v>1124</v>
      </c>
    </row>
    <row r="1207" spans="3:3" x14ac:dyDescent="0.2">
      <c r="C1207" s="63" t="s">
        <v>1125</v>
      </c>
    </row>
    <row r="1208" spans="3:3" x14ac:dyDescent="0.2">
      <c r="C1208" s="63" t="s">
        <v>1127</v>
      </c>
    </row>
    <row r="1209" spans="3:3" x14ac:dyDescent="0.2">
      <c r="C1209" s="63" t="s">
        <v>1128</v>
      </c>
    </row>
    <row r="1210" spans="3:3" x14ac:dyDescent="0.2">
      <c r="C1210" s="63" t="s">
        <v>1129</v>
      </c>
    </row>
    <row r="1211" spans="3:3" x14ac:dyDescent="0.2">
      <c r="C1211" s="63" t="s">
        <v>1130</v>
      </c>
    </row>
    <row r="1212" spans="3:3" x14ac:dyDescent="0.2">
      <c r="C1212" s="63" t="s">
        <v>1131</v>
      </c>
    </row>
    <row r="1213" spans="3:3" x14ac:dyDescent="0.2">
      <c r="C1213" s="63" t="s">
        <v>1132</v>
      </c>
    </row>
    <row r="1214" spans="3:3" x14ac:dyDescent="0.2">
      <c r="C1214" s="63" t="s">
        <v>1133</v>
      </c>
    </row>
    <row r="1215" spans="3:3" x14ac:dyDescent="0.2">
      <c r="C1215" s="63" t="s">
        <v>1134</v>
      </c>
    </row>
    <row r="1216" spans="3:3" x14ac:dyDescent="0.2">
      <c r="C1216" s="63" t="s">
        <v>436</v>
      </c>
    </row>
    <row r="1217" spans="3:3" x14ac:dyDescent="0.2">
      <c r="C1217" s="63" t="s">
        <v>1136</v>
      </c>
    </row>
    <row r="1218" spans="3:3" x14ac:dyDescent="0.2">
      <c r="C1218" s="63" t="s">
        <v>1137</v>
      </c>
    </row>
    <row r="1219" spans="3:3" x14ac:dyDescent="0.2">
      <c r="C1219" s="63" t="s">
        <v>1138</v>
      </c>
    </row>
    <row r="1220" spans="3:3" x14ac:dyDescent="0.2">
      <c r="C1220" s="63" t="s">
        <v>1139</v>
      </c>
    </row>
    <row r="1221" spans="3:3" x14ac:dyDescent="0.2">
      <c r="C1221" s="63" t="s">
        <v>418</v>
      </c>
    </row>
    <row r="1222" spans="3:3" x14ac:dyDescent="0.2">
      <c r="C1222" s="63" t="s">
        <v>1140</v>
      </c>
    </row>
    <row r="1223" spans="3:3" x14ac:dyDescent="0.2">
      <c r="C1223" s="63" t="s">
        <v>408</v>
      </c>
    </row>
    <row r="1224" spans="3:3" x14ac:dyDescent="0.2">
      <c r="C1224" s="63" t="s">
        <v>1141</v>
      </c>
    </row>
    <row r="1225" spans="3:3" x14ac:dyDescent="0.2">
      <c r="C1225" s="63" t="s">
        <v>386</v>
      </c>
    </row>
    <row r="1226" spans="3:3" x14ac:dyDescent="0.2">
      <c r="C1226" s="63" t="s">
        <v>1142</v>
      </c>
    </row>
    <row r="1227" spans="3:3" x14ac:dyDescent="0.2">
      <c r="C1227" s="63" t="s">
        <v>1143</v>
      </c>
    </row>
    <row r="1228" spans="3:3" x14ac:dyDescent="0.2">
      <c r="C1228" s="63" t="s">
        <v>1144</v>
      </c>
    </row>
    <row r="1229" spans="3:3" x14ac:dyDescent="0.2">
      <c r="C1229" s="63" t="s">
        <v>1145</v>
      </c>
    </row>
    <row r="1230" spans="3:3" x14ac:dyDescent="0.2">
      <c r="C1230" s="63" t="s">
        <v>1146</v>
      </c>
    </row>
    <row r="1231" spans="3:3" x14ac:dyDescent="0.2">
      <c r="C1231" s="63" t="s">
        <v>1147</v>
      </c>
    </row>
    <row r="1232" spans="3:3" x14ac:dyDescent="0.2">
      <c r="C1232" s="63" t="s">
        <v>1148</v>
      </c>
    </row>
    <row r="1233" spans="3:3" x14ac:dyDescent="0.2">
      <c r="C1233" s="63" t="s">
        <v>1149</v>
      </c>
    </row>
    <row r="1234" spans="3:3" x14ac:dyDescent="0.2">
      <c r="C1234" s="63" t="s">
        <v>453</v>
      </c>
    </row>
    <row r="1235" spans="3:3" x14ac:dyDescent="0.2">
      <c r="C1235" s="63" t="s">
        <v>1150</v>
      </c>
    </row>
    <row r="1236" spans="3:3" x14ac:dyDescent="0.2">
      <c r="C1236" s="63" t="s">
        <v>1151</v>
      </c>
    </row>
    <row r="1237" spans="3:3" x14ac:dyDescent="0.2">
      <c r="C1237" s="63" t="s">
        <v>1153</v>
      </c>
    </row>
    <row r="1238" spans="3:3" x14ac:dyDescent="0.2">
      <c r="C1238" s="63" t="s">
        <v>1154</v>
      </c>
    </row>
    <row r="1239" spans="3:3" x14ac:dyDescent="0.2">
      <c r="C1239" s="63" t="s">
        <v>1155</v>
      </c>
    </row>
    <row r="1240" spans="3:3" x14ac:dyDescent="0.2">
      <c r="C1240" s="63" t="s">
        <v>1156</v>
      </c>
    </row>
    <row r="1241" spans="3:3" x14ac:dyDescent="0.2">
      <c r="C1241" s="63" t="s">
        <v>1157</v>
      </c>
    </row>
    <row r="1242" spans="3:3" x14ac:dyDescent="0.2">
      <c r="C1242" s="63" t="s">
        <v>1158</v>
      </c>
    </row>
    <row r="1243" spans="3:3" x14ac:dyDescent="0.2">
      <c r="C1243" s="63" t="s">
        <v>1159</v>
      </c>
    </row>
    <row r="1244" spans="3:3" x14ac:dyDescent="0.2">
      <c r="C1244" s="63" t="s">
        <v>1160</v>
      </c>
    </row>
    <row r="1245" spans="3:3" x14ac:dyDescent="0.2">
      <c r="C1245" s="63" t="s">
        <v>719</v>
      </c>
    </row>
    <row r="1248" spans="3:3" x14ac:dyDescent="0.2">
      <c r="C1248" s="63" t="s">
        <v>612</v>
      </c>
    </row>
    <row r="1249" spans="3:3" x14ac:dyDescent="0.2">
      <c r="C1249" s="63" t="s">
        <v>968</v>
      </c>
    </row>
    <row r="1250" spans="3:3" x14ac:dyDescent="0.2">
      <c r="C1250" s="63" t="s">
        <v>970</v>
      </c>
    </row>
    <row r="1251" spans="3:3" x14ac:dyDescent="0.2">
      <c r="C1251" s="63" t="s">
        <v>973</v>
      </c>
    </row>
    <row r="1252" spans="3:3" x14ac:dyDescent="0.2">
      <c r="C1252" s="63" t="s">
        <v>975</v>
      </c>
    </row>
    <row r="1253" spans="3:3" x14ac:dyDescent="0.2">
      <c r="C1253" s="63" t="s">
        <v>392</v>
      </c>
    </row>
    <row r="1255" spans="3:3" x14ac:dyDescent="0.2">
      <c r="C1255" s="63" t="s">
        <v>612</v>
      </c>
    </row>
    <row r="1256" spans="3:3" x14ac:dyDescent="0.2">
      <c r="C1256" s="63" t="s">
        <v>972</v>
      </c>
    </row>
    <row r="1257" spans="3:3" x14ac:dyDescent="0.2">
      <c r="C1257" s="63" t="s">
        <v>977</v>
      </c>
    </row>
    <row r="1258" spans="3:3" x14ac:dyDescent="0.2">
      <c r="C1258" s="63" t="s">
        <v>968</v>
      </c>
    </row>
    <row r="1259" spans="3:3" x14ac:dyDescent="0.2">
      <c r="C1259" s="63" t="s">
        <v>392</v>
      </c>
    </row>
    <row r="1261" spans="3:3" x14ac:dyDescent="0.2">
      <c r="C1261" s="63" t="s">
        <v>94</v>
      </c>
    </row>
    <row r="1262" spans="3:3" x14ac:dyDescent="0.2">
      <c r="C1262" s="63" t="s">
        <v>968</v>
      </c>
    </row>
    <row r="1263" spans="3:3" x14ac:dyDescent="0.2">
      <c r="C1263" s="63" t="s">
        <v>975</v>
      </c>
    </row>
    <row r="1264" spans="3:3" x14ac:dyDescent="0.2">
      <c r="C1264" s="63" t="s">
        <v>973</v>
      </c>
    </row>
    <row r="1265" spans="3:3" x14ac:dyDescent="0.2">
      <c r="C1265" s="63" t="s">
        <v>392</v>
      </c>
    </row>
    <row r="1267" spans="3:3" x14ac:dyDescent="0.2">
      <c r="C1267" s="63" t="s">
        <v>612</v>
      </c>
    </row>
    <row r="1268" spans="3:3" x14ac:dyDescent="0.2">
      <c r="C1268" s="63" t="s">
        <v>968</v>
      </c>
    </row>
    <row r="1269" spans="3:3" x14ac:dyDescent="0.2">
      <c r="C1269" s="63" t="s">
        <v>392</v>
      </c>
    </row>
    <row r="1272" spans="3:3" x14ac:dyDescent="0.2">
      <c r="C1272" s="63" t="s">
        <v>94</v>
      </c>
    </row>
    <row r="1273" spans="3:3" x14ac:dyDescent="0.2">
      <c r="C1273" s="63" t="s">
        <v>968</v>
      </c>
    </row>
    <row r="1274" spans="3:3" x14ac:dyDescent="0.2">
      <c r="C1274" s="63" t="s">
        <v>970</v>
      </c>
    </row>
    <row r="1275" spans="3:3" x14ac:dyDescent="0.2">
      <c r="C1275" s="63" t="s">
        <v>972</v>
      </c>
    </row>
    <row r="1276" spans="3:3" x14ac:dyDescent="0.2">
      <c r="C1276" s="63" t="s">
        <v>973</v>
      </c>
    </row>
    <row r="1277" spans="3:3" x14ac:dyDescent="0.2">
      <c r="C1277" s="63" t="s">
        <v>974</v>
      </c>
    </row>
    <row r="1278" spans="3:3" x14ac:dyDescent="0.2">
      <c r="C1278" s="63" t="s">
        <v>975</v>
      </c>
    </row>
    <row r="1279" spans="3:3" x14ac:dyDescent="0.2">
      <c r="C1279" s="63" t="s">
        <v>976</v>
      </c>
    </row>
    <row r="1280" spans="3:3" x14ac:dyDescent="0.2">
      <c r="C1280" s="63" t="s">
        <v>977</v>
      </c>
    </row>
    <row r="1281" spans="3:3" x14ac:dyDescent="0.2">
      <c r="C1281" s="63" t="s">
        <v>392</v>
      </c>
    </row>
    <row r="1283" spans="3:3" x14ac:dyDescent="0.2">
      <c r="C1283" s="63" t="s">
        <v>31</v>
      </c>
    </row>
    <row r="1284" spans="3:3" x14ac:dyDescent="0.2">
      <c r="C1284" s="63" t="s">
        <v>980</v>
      </c>
    </row>
    <row r="1285" spans="3:3" x14ac:dyDescent="0.2">
      <c r="C1285" s="63" t="s">
        <v>423</v>
      </c>
    </row>
    <row r="1286" spans="3:3" x14ac:dyDescent="0.2">
      <c r="C1286" s="63" t="s">
        <v>382</v>
      </c>
    </row>
    <row r="1287" spans="3:3" x14ac:dyDescent="0.2">
      <c r="C1287" s="63" t="s">
        <v>984</v>
      </c>
    </row>
    <row r="1288" spans="3:3" x14ac:dyDescent="0.2">
      <c r="C1288" s="63" t="s">
        <v>986</v>
      </c>
    </row>
    <row r="1289" spans="3:3" x14ac:dyDescent="0.2">
      <c r="C1289" s="63" t="s">
        <v>988</v>
      </c>
    </row>
    <row r="1290" spans="3:3" x14ac:dyDescent="0.2">
      <c r="C1290" s="63" t="s">
        <v>990</v>
      </c>
    </row>
    <row r="1291" spans="3:3" x14ac:dyDescent="0.2">
      <c r="C1291" s="63" t="s">
        <v>992</v>
      </c>
    </row>
    <row r="1292" spans="3:3" x14ac:dyDescent="0.2">
      <c r="C1292" s="63" t="s">
        <v>994</v>
      </c>
    </row>
    <row r="1293" spans="3:3" x14ac:dyDescent="0.2">
      <c r="C1293" s="63" t="s">
        <v>458</v>
      </c>
    </row>
    <row r="1294" spans="3:3" x14ac:dyDescent="0.2">
      <c r="C1294" s="63" t="s">
        <v>407</v>
      </c>
    </row>
    <row r="1295" spans="3:3" x14ac:dyDescent="0.2">
      <c r="C1295" s="63" t="s">
        <v>998</v>
      </c>
    </row>
    <row r="1296" spans="3:3" x14ac:dyDescent="0.2">
      <c r="C1296" s="63" t="s">
        <v>516</v>
      </c>
    </row>
    <row r="1297" spans="3:3" x14ac:dyDescent="0.2">
      <c r="C1297" s="63" t="s">
        <v>464</v>
      </c>
    </row>
    <row r="1298" spans="3:3" x14ac:dyDescent="0.2">
      <c r="C1298" s="63" t="s">
        <v>430</v>
      </c>
    </row>
    <row r="1299" spans="3:3" x14ac:dyDescent="0.2">
      <c r="C1299" s="63" t="s">
        <v>1003</v>
      </c>
    </row>
    <row r="1300" spans="3:3" x14ac:dyDescent="0.2">
      <c r="C1300" s="63" t="s">
        <v>1005</v>
      </c>
    </row>
    <row r="1301" spans="3:3" x14ac:dyDescent="0.2">
      <c r="C1301" s="63" t="s">
        <v>1007</v>
      </c>
    </row>
    <row r="1302" spans="3:3" x14ac:dyDescent="0.2">
      <c r="C1302" s="63" t="s">
        <v>1009</v>
      </c>
    </row>
    <row r="1303" spans="3:3" x14ac:dyDescent="0.2">
      <c r="C1303" s="63" t="s">
        <v>535</v>
      </c>
    </row>
    <row r="1304" spans="3:3" x14ac:dyDescent="0.2">
      <c r="C1304" s="63" t="s">
        <v>1012</v>
      </c>
    </row>
    <row r="1305" spans="3:3" x14ac:dyDescent="0.2">
      <c r="C1305" s="63" t="s">
        <v>1014</v>
      </c>
    </row>
    <row r="1306" spans="3:3" x14ac:dyDescent="0.2">
      <c r="C1306" s="63" t="s">
        <v>1016</v>
      </c>
    </row>
    <row r="1307" spans="3:3" x14ac:dyDescent="0.2">
      <c r="C1307" s="63" t="s">
        <v>1018</v>
      </c>
    </row>
    <row r="1308" spans="3:3" x14ac:dyDescent="0.2">
      <c r="C1308" s="63" t="s">
        <v>1020</v>
      </c>
    </row>
    <row r="1309" spans="3:3" x14ac:dyDescent="0.2">
      <c r="C1309" s="63" t="s">
        <v>1022</v>
      </c>
    </row>
    <row r="1310" spans="3:3" x14ac:dyDescent="0.2">
      <c r="C1310" s="63" t="s">
        <v>1024</v>
      </c>
    </row>
    <row r="1311" spans="3:3" x14ac:dyDescent="0.2">
      <c r="C1311" s="63" t="s">
        <v>1026</v>
      </c>
    </row>
    <row r="1312" spans="3:3" x14ac:dyDescent="0.2">
      <c r="C1312" s="63" t="s">
        <v>1028</v>
      </c>
    </row>
    <row r="1313" spans="3:3" x14ac:dyDescent="0.2">
      <c r="C1313" s="63" t="s">
        <v>1030</v>
      </c>
    </row>
    <row r="1314" spans="3:3" x14ac:dyDescent="0.2">
      <c r="C1314" s="63" t="s">
        <v>1032</v>
      </c>
    </row>
    <row r="1315" spans="3:3" x14ac:dyDescent="0.2">
      <c r="C1315" s="63" t="s">
        <v>392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68" customWidth="1"/>
    <col min="2" max="2" width="48.75" style="68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 x14ac:dyDescent="0.25">
      <c r="A1" s="118" t="s">
        <v>1785</v>
      </c>
      <c r="B1" s="119" t="s">
        <v>1786</v>
      </c>
      <c r="C1" s="119" t="s">
        <v>1787</v>
      </c>
      <c r="D1" s="120" t="s">
        <v>1788</v>
      </c>
    </row>
    <row r="2" spans="1:4" ht="15.75" hidden="1" outlineLevel="1" x14ac:dyDescent="0.2">
      <c r="A2" s="45" t="s">
        <v>1498</v>
      </c>
      <c r="B2" s="46" t="s">
        <v>0</v>
      </c>
      <c r="C2" s="45">
        <v>5.0999999999999996</v>
      </c>
      <c r="D2" s="122"/>
    </row>
    <row r="3" spans="1:4" ht="15.75" hidden="1" outlineLevel="1" x14ac:dyDescent="0.2">
      <c r="A3" s="45" t="s">
        <v>1498</v>
      </c>
      <c r="B3" s="46" t="s">
        <v>1</v>
      </c>
      <c r="C3" s="45">
        <v>5.2</v>
      </c>
      <c r="D3" s="122"/>
    </row>
    <row r="4" spans="1:4" ht="15.75" hidden="1" outlineLevel="1" x14ac:dyDescent="0.2">
      <c r="A4" s="45" t="s">
        <v>1498</v>
      </c>
      <c r="B4" s="46" t="s">
        <v>827</v>
      </c>
      <c r="C4" s="45">
        <v>5.4</v>
      </c>
      <c r="D4" s="122"/>
    </row>
    <row r="5" spans="1:4" ht="15.75" hidden="1" outlineLevel="1" x14ac:dyDescent="0.2">
      <c r="A5" s="45" t="s">
        <v>1498</v>
      </c>
      <c r="B5" s="46" t="s">
        <v>828</v>
      </c>
      <c r="C5" s="45">
        <v>5.7</v>
      </c>
      <c r="D5" s="122"/>
    </row>
    <row r="6" spans="1:4" ht="15.75" hidden="1" outlineLevel="1" x14ac:dyDescent="0.2">
      <c r="A6" s="45" t="s">
        <v>1498</v>
      </c>
      <c r="B6" s="46" t="s">
        <v>829</v>
      </c>
      <c r="C6" s="45">
        <v>5.1100000000000003</v>
      </c>
      <c r="D6" s="122"/>
    </row>
    <row r="7" spans="1:4" ht="15.75" hidden="1" outlineLevel="1" x14ac:dyDescent="0.2">
      <c r="A7" s="45" t="s">
        <v>1498</v>
      </c>
      <c r="B7" s="46" t="s">
        <v>5</v>
      </c>
      <c r="C7" s="45">
        <v>5.26</v>
      </c>
      <c r="D7" s="122"/>
    </row>
    <row r="8" spans="1:4" ht="15.75" hidden="1" outlineLevel="1" x14ac:dyDescent="0.2">
      <c r="A8" s="45" t="s">
        <v>1498</v>
      </c>
      <c r="B8" s="46" t="s">
        <v>6</v>
      </c>
      <c r="C8" s="45">
        <v>5.27</v>
      </c>
      <c r="D8" s="122"/>
    </row>
    <row r="9" spans="1:4" ht="15.75" hidden="1" outlineLevel="1" x14ac:dyDescent="0.2">
      <c r="A9" s="45" t="s">
        <v>1498</v>
      </c>
      <c r="B9" s="46" t="s">
        <v>80</v>
      </c>
      <c r="C9" s="45">
        <v>5.36</v>
      </c>
      <c r="D9" s="122"/>
    </row>
    <row r="10" spans="1:4" ht="15.75" hidden="1" outlineLevel="1" x14ac:dyDescent="0.2">
      <c r="A10" s="45" t="s">
        <v>1498</v>
      </c>
      <c r="B10" s="46" t="s">
        <v>831</v>
      </c>
      <c r="C10" s="47">
        <v>5.5</v>
      </c>
      <c r="D10" s="122"/>
    </row>
    <row r="11" spans="1:4" ht="15.75" hidden="1" outlineLevel="1" x14ac:dyDescent="0.2">
      <c r="A11" s="45" t="s">
        <v>1498</v>
      </c>
      <c r="B11" s="46" t="s">
        <v>10</v>
      </c>
      <c r="C11" s="45">
        <v>5.51</v>
      </c>
      <c r="D11" s="122"/>
    </row>
    <row r="12" spans="1:4" ht="15.75" hidden="1" outlineLevel="1" x14ac:dyDescent="0.2">
      <c r="A12" s="45" t="s">
        <v>1498</v>
      </c>
      <c r="B12" s="46" t="s">
        <v>11</v>
      </c>
      <c r="C12" s="45">
        <v>5.53</v>
      </c>
      <c r="D12" s="122"/>
    </row>
    <row r="13" spans="1:4" ht="15.75" hidden="1" outlineLevel="1" x14ac:dyDescent="0.2">
      <c r="A13" s="45" t="s">
        <v>1498</v>
      </c>
      <c r="B13" s="46" t="s">
        <v>832</v>
      </c>
      <c r="C13" s="45">
        <v>5.59</v>
      </c>
      <c r="D13" s="122"/>
    </row>
    <row r="14" spans="1:4" ht="15.75" hidden="1" outlineLevel="1" x14ac:dyDescent="0.2">
      <c r="A14" s="45" t="s">
        <v>1498</v>
      </c>
      <c r="B14" s="46" t="s">
        <v>18</v>
      </c>
      <c r="C14" s="45">
        <v>5.54</v>
      </c>
      <c r="D14" s="122"/>
    </row>
    <row r="15" spans="1:4" ht="15.75" hidden="1" outlineLevel="1" x14ac:dyDescent="0.2">
      <c r="A15" s="45" t="s">
        <v>1498</v>
      </c>
      <c r="B15" s="46" t="s">
        <v>14</v>
      </c>
      <c r="C15" s="47">
        <v>5.7</v>
      </c>
      <c r="D15" s="121" t="s">
        <v>1789</v>
      </c>
    </row>
    <row r="16" spans="1:4" ht="15.75" hidden="1" outlineLevel="1" x14ac:dyDescent="0.2">
      <c r="A16" s="45" t="s">
        <v>1498</v>
      </c>
      <c r="B16" s="46" t="s">
        <v>20</v>
      </c>
      <c r="C16" s="45">
        <v>5.63</v>
      </c>
      <c r="D16" s="122"/>
    </row>
    <row r="17" spans="1:4" ht="15.75" hidden="1" outlineLevel="1" x14ac:dyDescent="0.2">
      <c r="A17" s="45" t="s">
        <v>1498</v>
      </c>
      <c r="B17" s="46" t="s">
        <v>24</v>
      </c>
      <c r="C17" s="45">
        <v>5.47</v>
      </c>
      <c r="D17" s="122"/>
    </row>
    <row r="18" spans="1:4" ht="15.75" hidden="1" outlineLevel="1" x14ac:dyDescent="0.2">
      <c r="A18" s="45" t="s">
        <v>1498</v>
      </c>
      <c r="B18" s="46" t="s">
        <v>25</v>
      </c>
      <c r="C18" s="45">
        <v>5.48</v>
      </c>
      <c r="D18" s="122"/>
    </row>
    <row r="19" spans="1:4" ht="15.75" x14ac:dyDescent="0.2">
      <c r="A19" s="51" t="s">
        <v>1498</v>
      </c>
      <c r="B19" s="46"/>
      <c r="C19" s="45"/>
      <c r="D19" s="122"/>
    </row>
    <row r="20" spans="1:4" ht="15.75" hidden="1" outlineLevel="1" x14ac:dyDescent="0.2">
      <c r="A20" s="45" t="s">
        <v>1508</v>
      </c>
      <c r="B20" s="46" t="s">
        <v>0</v>
      </c>
      <c r="C20" s="45">
        <v>5.0999999999999996</v>
      </c>
      <c r="D20" s="122"/>
    </row>
    <row r="21" spans="1:4" ht="15.75" hidden="1" outlineLevel="1" x14ac:dyDescent="0.2">
      <c r="A21" s="45" t="s">
        <v>1508</v>
      </c>
      <c r="B21" s="46" t="s">
        <v>1</v>
      </c>
      <c r="C21" s="45">
        <v>5.2</v>
      </c>
      <c r="D21" s="122"/>
    </row>
    <row r="22" spans="1:4" ht="15.75" hidden="1" outlineLevel="1" x14ac:dyDescent="0.2">
      <c r="A22" s="45" t="s">
        <v>1508</v>
      </c>
      <c r="B22" s="46" t="s">
        <v>2</v>
      </c>
      <c r="C22" s="45">
        <v>5.3</v>
      </c>
      <c r="D22" s="122"/>
    </row>
    <row r="23" spans="1:4" ht="15.75" hidden="1" outlineLevel="1" x14ac:dyDescent="0.2">
      <c r="A23" s="45" t="s">
        <v>1508</v>
      </c>
      <c r="B23" s="46" t="s">
        <v>588</v>
      </c>
      <c r="C23" s="45">
        <v>5.14</v>
      </c>
      <c r="D23" s="122"/>
    </row>
    <row r="24" spans="1:4" ht="15.75" hidden="1" outlineLevel="1" x14ac:dyDescent="0.2">
      <c r="A24" s="45" t="s">
        <v>1508</v>
      </c>
      <c r="B24" s="46" t="s">
        <v>4</v>
      </c>
      <c r="C24" s="45">
        <v>5.19</v>
      </c>
      <c r="D24" s="122"/>
    </row>
    <row r="25" spans="1:4" ht="15.75" hidden="1" outlineLevel="1" x14ac:dyDescent="0.2">
      <c r="A25" s="45" t="s">
        <v>1508</v>
      </c>
      <c r="B25" s="46" t="s">
        <v>5</v>
      </c>
      <c r="C25" s="45">
        <v>5.26</v>
      </c>
      <c r="D25" s="122"/>
    </row>
    <row r="26" spans="1:4" ht="15.75" hidden="1" outlineLevel="1" x14ac:dyDescent="0.2">
      <c r="A26" s="45" t="s">
        <v>1508</v>
      </c>
      <c r="B26" s="46" t="s">
        <v>6</v>
      </c>
      <c r="C26" s="45">
        <v>5.27</v>
      </c>
      <c r="D26" s="122"/>
    </row>
    <row r="27" spans="1:4" ht="15.75" hidden="1" outlineLevel="1" x14ac:dyDescent="0.2">
      <c r="A27" s="45" t="s">
        <v>1508</v>
      </c>
      <c r="B27" s="46" t="s">
        <v>7</v>
      </c>
      <c r="C27" s="45">
        <v>5.28</v>
      </c>
      <c r="D27" s="122"/>
    </row>
    <row r="28" spans="1:4" ht="15.75" hidden="1" outlineLevel="1" x14ac:dyDescent="0.2">
      <c r="A28" s="45" t="s">
        <v>1508</v>
      </c>
      <c r="B28" s="46" t="s">
        <v>8</v>
      </c>
      <c r="C28" s="47">
        <v>5.3</v>
      </c>
      <c r="D28" s="122"/>
    </row>
    <row r="29" spans="1:4" ht="15.75" hidden="1" outlineLevel="1" x14ac:dyDescent="0.2">
      <c r="A29" s="45" t="s">
        <v>1508</v>
      </c>
      <c r="B29" s="46" t="s">
        <v>9</v>
      </c>
      <c r="C29" s="45">
        <v>5.49</v>
      </c>
      <c r="D29" s="122"/>
    </row>
    <row r="30" spans="1:4" ht="15.75" hidden="1" outlineLevel="1" x14ac:dyDescent="0.2">
      <c r="A30" s="45" t="s">
        <v>1508</v>
      </c>
      <c r="B30" s="46" t="s">
        <v>10</v>
      </c>
      <c r="C30" s="45">
        <v>5.51</v>
      </c>
      <c r="D30" s="122"/>
    </row>
    <row r="31" spans="1:4" ht="15.75" hidden="1" outlineLevel="1" x14ac:dyDescent="0.2">
      <c r="A31" s="45" t="s">
        <v>1508</v>
      </c>
      <c r="B31" s="46" t="s">
        <v>11</v>
      </c>
      <c r="C31" s="45">
        <v>5.53</v>
      </c>
      <c r="D31" s="122"/>
    </row>
    <row r="32" spans="1:4" ht="15.75" hidden="1" outlineLevel="1" x14ac:dyDescent="0.2">
      <c r="A32" s="45" t="s">
        <v>1508</v>
      </c>
      <c r="B32" s="46" t="s">
        <v>12</v>
      </c>
      <c r="C32" s="45">
        <v>5.69</v>
      </c>
      <c r="D32" s="122"/>
    </row>
    <row r="33" spans="1:4" ht="15.75" hidden="1" outlineLevel="1" x14ac:dyDescent="0.2">
      <c r="A33" s="45" t="s">
        <v>1508</v>
      </c>
      <c r="B33" s="46" t="s">
        <v>13</v>
      </c>
      <c r="C33" s="45">
        <v>5.75</v>
      </c>
      <c r="D33" s="122"/>
    </row>
    <row r="34" spans="1:4" ht="15.75" hidden="1" outlineLevel="1" x14ac:dyDescent="0.2">
      <c r="A34" s="45" t="s">
        <v>1508</v>
      </c>
      <c r="B34" s="46" t="s">
        <v>14</v>
      </c>
      <c r="C34" s="47">
        <v>5.7</v>
      </c>
      <c r="D34" s="122"/>
    </row>
    <row r="35" spans="1:4" ht="15.75" hidden="1" outlineLevel="1" x14ac:dyDescent="0.2">
      <c r="A35" s="45" t="s">
        <v>1508</v>
      </c>
      <c r="B35" s="46" t="s">
        <v>15</v>
      </c>
      <c r="C35" s="45">
        <v>5.74</v>
      </c>
      <c r="D35" s="122"/>
    </row>
    <row r="36" spans="1:4" ht="15.75" hidden="1" outlineLevel="1" x14ac:dyDescent="0.2">
      <c r="A36" s="45" t="s">
        <v>1508</v>
      </c>
      <c r="B36" s="46" t="s">
        <v>16</v>
      </c>
      <c r="C36" s="45">
        <v>5.62</v>
      </c>
      <c r="D36" s="122"/>
    </row>
    <row r="37" spans="1:4" ht="15.75" hidden="1" outlineLevel="1" x14ac:dyDescent="0.2">
      <c r="A37" s="45" t="s">
        <v>1508</v>
      </c>
      <c r="B37" s="46" t="s">
        <v>17</v>
      </c>
      <c r="C37" s="45">
        <v>5.58</v>
      </c>
      <c r="D37" s="122"/>
    </row>
    <row r="38" spans="1:4" ht="15.75" hidden="1" outlineLevel="1" x14ac:dyDescent="0.2">
      <c r="A38" s="45" t="s">
        <v>1508</v>
      </c>
      <c r="B38" s="46" t="s">
        <v>18</v>
      </c>
      <c r="C38" s="45">
        <v>5.54</v>
      </c>
      <c r="D38" s="122"/>
    </row>
    <row r="39" spans="1:4" ht="15.75" hidden="1" outlineLevel="1" x14ac:dyDescent="0.2">
      <c r="A39" s="45" t="s">
        <v>1508</v>
      </c>
      <c r="B39" s="46" t="s">
        <v>19</v>
      </c>
      <c r="C39" s="45">
        <v>5.55</v>
      </c>
      <c r="D39" s="122"/>
    </row>
    <row r="40" spans="1:4" ht="15.75" hidden="1" outlineLevel="1" x14ac:dyDescent="0.2">
      <c r="A40" s="45" t="s">
        <v>1508</v>
      </c>
      <c r="B40" s="46" t="s">
        <v>20</v>
      </c>
      <c r="C40" s="45">
        <v>5.63</v>
      </c>
      <c r="D40" s="122"/>
    </row>
    <row r="41" spans="1:4" ht="15.75" hidden="1" outlineLevel="1" x14ac:dyDescent="0.2">
      <c r="A41" s="45" t="s">
        <v>1508</v>
      </c>
      <c r="B41" s="46" t="s">
        <v>21</v>
      </c>
      <c r="C41" s="45">
        <v>5.65</v>
      </c>
      <c r="D41" s="122"/>
    </row>
    <row r="42" spans="1:4" ht="15.75" hidden="1" outlineLevel="1" x14ac:dyDescent="0.2">
      <c r="A42" s="45" t="s">
        <v>1508</v>
      </c>
      <c r="B42" s="46" t="s">
        <v>22</v>
      </c>
      <c r="C42" s="45">
        <v>5.68</v>
      </c>
      <c r="D42" s="122"/>
    </row>
    <row r="43" spans="1:4" ht="15.75" hidden="1" outlineLevel="1" x14ac:dyDescent="0.2">
      <c r="A43" s="45" t="s">
        <v>1508</v>
      </c>
      <c r="B43" s="46" t="s">
        <v>23</v>
      </c>
      <c r="C43" s="45">
        <v>5.45</v>
      </c>
      <c r="D43" s="122"/>
    </row>
    <row r="44" spans="1:4" ht="15.75" hidden="1" outlineLevel="1" x14ac:dyDescent="0.2">
      <c r="A44" s="45" t="s">
        <v>1508</v>
      </c>
      <c r="B44" s="46" t="s">
        <v>24</v>
      </c>
      <c r="C44" s="45">
        <v>5.47</v>
      </c>
      <c r="D44" s="122"/>
    </row>
    <row r="45" spans="1:4" ht="15.75" hidden="1" outlineLevel="1" x14ac:dyDescent="0.2">
      <c r="A45" s="45" t="s">
        <v>1508</v>
      </c>
      <c r="B45" s="46" t="s">
        <v>25</v>
      </c>
      <c r="C45" s="45">
        <v>5.48</v>
      </c>
      <c r="D45" s="122"/>
    </row>
    <row r="46" spans="1:4" ht="15.75" x14ac:dyDescent="0.2">
      <c r="A46" s="51" t="s">
        <v>1508</v>
      </c>
      <c r="B46" s="46"/>
      <c r="C46" s="45"/>
      <c r="D46" s="122"/>
    </row>
    <row r="47" spans="1:4" ht="15.75" hidden="1" outlineLevel="1" x14ac:dyDescent="0.2">
      <c r="A47" s="45" t="s">
        <v>1514</v>
      </c>
      <c r="B47" s="46" t="s">
        <v>0</v>
      </c>
      <c r="C47" s="45">
        <v>5.0999999999999996</v>
      </c>
      <c r="D47" s="122"/>
    </row>
    <row r="48" spans="1:4" ht="15.75" hidden="1" outlineLevel="1" x14ac:dyDescent="0.2">
      <c r="A48" s="45" t="s">
        <v>1514</v>
      </c>
      <c r="B48" s="46" t="s">
        <v>1</v>
      </c>
      <c r="C48" s="45">
        <v>5.2</v>
      </c>
      <c r="D48" s="122"/>
    </row>
    <row r="49" spans="1:4" ht="15.75" hidden="1" outlineLevel="1" x14ac:dyDescent="0.2">
      <c r="A49" s="45" t="s">
        <v>1514</v>
      </c>
      <c r="B49" s="46" t="s">
        <v>2</v>
      </c>
      <c r="C49" s="45">
        <v>5.3</v>
      </c>
      <c r="D49" s="122"/>
    </row>
    <row r="50" spans="1:4" ht="15.75" hidden="1" outlineLevel="1" x14ac:dyDescent="0.2">
      <c r="A50" s="45" t="s">
        <v>1514</v>
      </c>
      <c r="B50" s="46" t="s">
        <v>76</v>
      </c>
      <c r="C50" s="45">
        <v>5.6</v>
      </c>
      <c r="D50" s="122"/>
    </row>
    <row r="51" spans="1:4" ht="15.75" hidden="1" outlineLevel="1" x14ac:dyDescent="0.2">
      <c r="A51" s="45" t="s">
        <v>1514</v>
      </c>
      <c r="B51" s="46" t="s">
        <v>1790</v>
      </c>
      <c r="C51" s="47">
        <v>5.0999999999999996</v>
      </c>
      <c r="D51" s="122"/>
    </row>
    <row r="52" spans="1:4" ht="15.75" hidden="1" outlineLevel="1" x14ac:dyDescent="0.2">
      <c r="A52" s="45" t="s">
        <v>1514</v>
      </c>
      <c r="B52" s="46" t="s">
        <v>588</v>
      </c>
      <c r="C52" s="45">
        <v>5.14</v>
      </c>
      <c r="D52" s="122"/>
    </row>
    <row r="53" spans="1:4" ht="15.75" hidden="1" outlineLevel="1" x14ac:dyDescent="0.2">
      <c r="A53" s="45" t="s">
        <v>1514</v>
      </c>
      <c r="B53" s="46" t="s">
        <v>4</v>
      </c>
      <c r="C53" s="45">
        <v>5.19</v>
      </c>
      <c r="D53" s="122"/>
    </row>
    <row r="54" spans="1:4" ht="15.75" hidden="1" outlineLevel="1" x14ac:dyDescent="0.2">
      <c r="A54" s="45" t="s">
        <v>1514</v>
      </c>
      <c r="B54" s="46" t="s">
        <v>78</v>
      </c>
      <c r="C54" s="45">
        <v>5.24</v>
      </c>
      <c r="D54" s="122"/>
    </row>
    <row r="55" spans="1:4" ht="15.75" hidden="1" outlineLevel="1" x14ac:dyDescent="0.2">
      <c r="A55" s="45" t="s">
        <v>1514</v>
      </c>
      <c r="B55" s="46" t="s">
        <v>5</v>
      </c>
      <c r="C55" s="45">
        <v>5.26</v>
      </c>
      <c r="D55" s="122"/>
    </row>
    <row r="56" spans="1:4" ht="15.75" hidden="1" outlineLevel="1" x14ac:dyDescent="0.2">
      <c r="A56" s="45" t="s">
        <v>1514</v>
      </c>
      <c r="B56" s="46" t="s">
        <v>6</v>
      </c>
      <c r="C56" s="45">
        <v>5.27</v>
      </c>
      <c r="D56" s="122"/>
    </row>
    <row r="57" spans="1:4" ht="15.75" hidden="1" outlineLevel="1" x14ac:dyDescent="0.2">
      <c r="A57" s="45" t="s">
        <v>1514</v>
      </c>
      <c r="B57" s="46" t="s">
        <v>7</v>
      </c>
      <c r="C57" s="45">
        <v>5.28</v>
      </c>
      <c r="D57" s="122"/>
    </row>
    <row r="58" spans="1:4" ht="15.75" hidden="1" outlineLevel="1" x14ac:dyDescent="0.2">
      <c r="A58" s="45" t="s">
        <v>1514</v>
      </c>
      <c r="B58" s="46" t="s">
        <v>8</v>
      </c>
      <c r="C58" s="47">
        <v>5.3</v>
      </c>
      <c r="D58" s="122"/>
    </row>
    <row r="59" spans="1:4" ht="15.75" hidden="1" outlineLevel="1" x14ac:dyDescent="0.2">
      <c r="A59" s="45" t="s">
        <v>1514</v>
      </c>
      <c r="B59" s="46" t="s">
        <v>79</v>
      </c>
      <c r="C59" s="45">
        <v>5.31</v>
      </c>
      <c r="D59" s="122"/>
    </row>
    <row r="60" spans="1:4" ht="15.75" hidden="1" outlineLevel="1" x14ac:dyDescent="0.2">
      <c r="A60" s="45" t="s">
        <v>1514</v>
      </c>
      <c r="B60" s="46" t="s">
        <v>80</v>
      </c>
      <c r="C60" s="45">
        <v>5.36</v>
      </c>
      <c r="D60" s="122"/>
    </row>
    <row r="61" spans="1:4" ht="15.75" hidden="1" outlineLevel="1" x14ac:dyDescent="0.2">
      <c r="A61" s="45" t="s">
        <v>1514</v>
      </c>
      <c r="B61" s="46" t="s">
        <v>9</v>
      </c>
      <c r="C61" s="45">
        <v>5.49</v>
      </c>
      <c r="D61" s="122"/>
    </row>
    <row r="62" spans="1:4" ht="15.75" hidden="1" outlineLevel="1" x14ac:dyDescent="0.2">
      <c r="A62" s="45" t="s">
        <v>1514</v>
      </c>
      <c r="B62" s="46" t="s">
        <v>10</v>
      </c>
      <c r="C62" s="45">
        <v>5.51</v>
      </c>
      <c r="D62" s="122"/>
    </row>
    <row r="63" spans="1:4" ht="15.75" hidden="1" outlineLevel="1" x14ac:dyDescent="0.2">
      <c r="A63" s="45" t="s">
        <v>1514</v>
      </c>
      <c r="B63" s="46" t="s">
        <v>1791</v>
      </c>
      <c r="C63" s="45">
        <v>5.52</v>
      </c>
      <c r="D63" s="122"/>
    </row>
    <row r="64" spans="1:4" ht="15.75" hidden="1" outlineLevel="1" x14ac:dyDescent="0.2">
      <c r="A64" s="45" t="s">
        <v>1514</v>
      </c>
      <c r="B64" s="46" t="s">
        <v>11</v>
      </c>
      <c r="C64" s="45">
        <v>5.53</v>
      </c>
      <c r="D64" s="122"/>
    </row>
    <row r="65" spans="1:4" ht="15.75" hidden="1" outlineLevel="1" x14ac:dyDescent="0.2">
      <c r="A65" s="45" t="s">
        <v>1514</v>
      </c>
      <c r="B65" s="46" t="s">
        <v>12</v>
      </c>
      <c r="C65" s="45">
        <v>5.69</v>
      </c>
      <c r="D65" s="122"/>
    </row>
    <row r="66" spans="1:4" ht="15.75" hidden="1" outlineLevel="1" x14ac:dyDescent="0.2">
      <c r="A66" s="45" t="s">
        <v>1514</v>
      </c>
      <c r="B66" s="46" t="s">
        <v>82</v>
      </c>
      <c r="C66" s="47">
        <v>5.72</v>
      </c>
      <c r="D66" s="122"/>
    </row>
    <row r="67" spans="1:4" ht="15.75" hidden="1" outlineLevel="1" x14ac:dyDescent="0.2">
      <c r="A67" s="45" t="s">
        <v>1514</v>
      </c>
      <c r="B67" s="46" t="s">
        <v>13</v>
      </c>
      <c r="C67" s="45">
        <v>5.75</v>
      </c>
      <c r="D67" s="122"/>
    </row>
    <row r="68" spans="1:4" ht="15.75" hidden="1" outlineLevel="1" x14ac:dyDescent="0.2">
      <c r="A68" s="45" t="s">
        <v>1514</v>
      </c>
      <c r="B68" s="46" t="s">
        <v>14</v>
      </c>
      <c r="C68" s="47">
        <v>5.7</v>
      </c>
      <c r="D68" s="122"/>
    </row>
    <row r="69" spans="1:4" ht="15.75" hidden="1" outlineLevel="1" x14ac:dyDescent="0.2">
      <c r="A69" s="45" t="s">
        <v>1514</v>
      </c>
      <c r="B69" s="46" t="s">
        <v>15</v>
      </c>
      <c r="C69" s="45">
        <v>5.74</v>
      </c>
      <c r="D69" s="122"/>
    </row>
    <row r="70" spans="1:4" ht="15.75" hidden="1" outlineLevel="1" x14ac:dyDescent="0.2">
      <c r="A70" s="45" t="s">
        <v>1514</v>
      </c>
      <c r="B70" s="46" t="s">
        <v>83</v>
      </c>
      <c r="C70" s="45">
        <v>5.76</v>
      </c>
      <c r="D70" s="122"/>
    </row>
    <row r="71" spans="1:4" ht="15.75" hidden="1" outlineLevel="1" x14ac:dyDescent="0.2">
      <c r="A71" s="45" t="s">
        <v>1514</v>
      </c>
      <c r="B71" s="46" t="s">
        <v>84</v>
      </c>
      <c r="C71" s="45">
        <v>5.89</v>
      </c>
      <c r="D71" s="121" t="s">
        <v>1789</v>
      </c>
    </row>
    <row r="72" spans="1:4" ht="15.75" hidden="1" outlineLevel="1" x14ac:dyDescent="0.2">
      <c r="A72" s="45" t="s">
        <v>1514</v>
      </c>
      <c r="B72" s="46" t="s">
        <v>17</v>
      </c>
      <c r="C72" s="45">
        <v>5.58</v>
      </c>
      <c r="D72" s="122"/>
    </row>
    <row r="73" spans="1:4" ht="15.75" hidden="1" outlineLevel="1" x14ac:dyDescent="0.2">
      <c r="A73" s="45" t="s">
        <v>1514</v>
      </c>
      <c r="B73" s="46" t="s">
        <v>16</v>
      </c>
      <c r="C73" s="45">
        <v>5.62</v>
      </c>
      <c r="D73" s="122"/>
    </row>
    <row r="74" spans="1:4" ht="15.75" hidden="1" outlineLevel="1" x14ac:dyDescent="0.2">
      <c r="A74" s="45" t="s">
        <v>1514</v>
      </c>
      <c r="B74" s="46" t="s">
        <v>18</v>
      </c>
      <c r="C74" s="45">
        <v>5.54</v>
      </c>
      <c r="D74" s="122"/>
    </row>
    <row r="75" spans="1:4" ht="15.75" hidden="1" outlineLevel="1" x14ac:dyDescent="0.2">
      <c r="A75" s="45" t="s">
        <v>1514</v>
      </c>
      <c r="B75" s="46" t="s">
        <v>19</v>
      </c>
      <c r="C75" s="45">
        <v>5.55</v>
      </c>
      <c r="D75" s="122"/>
    </row>
    <row r="76" spans="1:4" ht="15.75" hidden="1" outlineLevel="1" x14ac:dyDescent="0.2">
      <c r="A76" s="45" t="s">
        <v>1514</v>
      </c>
      <c r="B76" s="46" t="s">
        <v>20</v>
      </c>
      <c r="C76" s="45">
        <v>5.63</v>
      </c>
      <c r="D76" s="122"/>
    </row>
    <row r="77" spans="1:4" ht="15.75" hidden="1" outlineLevel="1" x14ac:dyDescent="0.2">
      <c r="A77" s="45" t="s">
        <v>1514</v>
      </c>
      <c r="B77" s="46" t="s">
        <v>21</v>
      </c>
      <c r="C77" s="45">
        <v>5.65</v>
      </c>
      <c r="D77" s="122"/>
    </row>
    <row r="78" spans="1:4" ht="15.75" hidden="1" outlineLevel="1" x14ac:dyDescent="0.2">
      <c r="A78" s="45" t="s">
        <v>1514</v>
      </c>
      <c r="B78" s="46" t="s">
        <v>85</v>
      </c>
      <c r="C78" s="45">
        <v>5.66</v>
      </c>
      <c r="D78" s="122"/>
    </row>
    <row r="79" spans="1:4" ht="15.75" hidden="1" outlineLevel="1" x14ac:dyDescent="0.2">
      <c r="A79" s="45" t="s">
        <v>1514</v>
      </c>
      <c r="B79" s="46" t="s">
        <v>22</v>
      </c>
      <c r="C79" s="45">
        <v>5.68</v>
      </c>
      <c r="D79" s="122"/>
    </row>
    <row r="80" spans="1:4" ht="15.75" hidden="1" outlineLevel="1" x14ac:dyDescent="0.2">
      <c r="A80" s="45" t="s">
        <v>1514</v>
      </c>
      <c r="B80" s="46" t="s">
        <v>23</v>
      </c>
      <c r="C80" s="45">
        <v>5.45</v>
      </c>
      <c r="D80" s="122"/>
    </row>
    <row r="81" spans="1:4" ht="15.75" hidden="1" outlineLevel="1" x14ac:dyDescent="0.2">
      <c r="A81" s="45" t="s">
        <v>1514</v>
      </c>
      <c r="B81" s="46" t="s">
        <v>24</v>
      </c>
      <c r="C81" s="45">
        <v>5.47</v>
      </c>
      <c r="D81" s="122"/>
    </row>
    <row r="82" spans="1:4" ht="15.75" hidden="1" outlineLevel="1" x14ac:dyDescent="0.2">
      <c r="A82" s="45" t="s">
        <v>1514</v>
      </c>
      <c r="B82" s="46" t="s">
        <v>25</v>
      </c>
      <c r="C82" s="45">
        <v>5.48</v>
      </c>
      <c r="D82" s="122"/>
    </row>
    <row r="83" spans="1:4" ht="15.75" x14ac:dyDescent="0.2">
      <c r="A83" s="51" t="s">
        <v>1514</v>
      </c>
      <c r="B83" s="46"/>
      <c r="C83" s="45"/>
      <c r="D83" s="122"/>
    </row>
    <row r="84" spans="1:4" ht="15.75" hidden="1" outlineLevel="1" x14ac:dyDescent="0.2">
      <c r="A84" s="45" t="s">
        <v>1515</v>
      </c>
      <c r="B84" s="46" t="s">
        <v>0</v>
      </c>
      <c r="C84" s="45">
        <v>5.0999999999999996</v>
      </c>
      <c r="D84" s="122"/>
    </row>
    <row r="85" spans="1:4" ht="15.75" hidden="1" outlineLevel="1" x14ac:dyDescent="0.2">
      <c r="A85" s="45" t="s">
        <v>1515</v>
      </c>
      <c r="B85" s="46" t="s">
        <v>1</v>
      </c>
      <c r="C85" s="45">
        <v>5.2</v>
      </c>
      <c r="D85" s="122"/>
    </row>
    <row r="86" spans="1:4" ht="15.75" hidden="1" outlineLevel="1" x14ac:dyDescent="0.2">
      <c r="A86" s="45" t="s">
        <v>1515</v>
      </c>
      <c r="B86" s="46" t="s">
        <v>2</v>
      </c>
      <c r="C86" s="45">
        <v>5.3</v>
      </c>
      <c r="D86" s="122"/>
    </row>
    <row r="87" spans="1:4" ht="15.75" hidden="1" outlineLevel="1" x14ac:dyDescent="0.2">
      <c r="A87" s="45" t="s">
        <v>1515</v>
      </c>
      <c r="B87" s="46" t="s">
        <v>76</v>
      </c>
      <c r="C87" s="45">
        <v>5.6</v>
      </c>
      <c r="D87" s="122"/>
    </row>
    <row r="88" spans="1:4" ht="15.75" hidden="1" outlineLevel="1" x14ac:dyDescent="0.2">
      <c r="A88" s="45" t="s">
        <v>1515</v>
      </c>
      <c r="B88" s="46" t="s">
        <v>1790</v>
      </c>
      <c r="C88" s="47">
        <v>5.0999999999999996</v>
      </c>
      <c r="D88" s="122"/>
    </row>
    <row r="89" spans="1:4" ht="15.75" hidden="1" outlineLevel="1" x14ac:dyDescent="0.2">
      <c r="A89" s="45" t="s">
        <v>1515</v>
      </c>
      <c r="B89" s="46" t="s">
        <v>588</v>
      </c>
      <c r="C89" s="45">
        <v>5.14</v>
      </c>
      <c r="D89" s="122"/>
    </row>
    <row r="90" spans="1:4" ht="15.75" hidden="1" outlineLevel="1" x14ac:dyDescent="0.2">
      <c r="A90" s="45" t="s">
        <v>1515</v>
      </c>
      <c r="B90" s="46" t="s">
        <v>4</v>
      </c>
      <c r="C90" s="45">
        <v>5.19</v>
      </c>
      <c r="D90" s="122"/>
    </row>
    <row r="91" spans="1:4" ht="15.75" hidden="1" outlineLevel="1" x14ac:dyDescent="0.2">
      <c r="A91" s="45" t="s">
        <v>1515</v>
      </c>
      <c r="B91" s="46" t="s">
        <v>78</v>
      </c>
      <c r="C91" s="45">
        <v>5.24</v>
      </c>
      <c r="D91" s="122"/>
    </row>
    <row r="92" spans="1:4" ht="15.75" hidden="1" outlineLevel="1" x14ac:dyDescent="0.2">
      <c r="A92" s="45" t="s">
        <v>1515</v>
      </c>
      <c r="B92" s="46" t="s">
        <v>5</v>
      </c>
      <c r="C92" s="45">
        <v>5.26</v>
      </c>
      <c r="D92" s="122"/>
    </row>
    <row r="93" spans="1:4" ht="15.75" hidden="1" outlineLevel="1" x14ac:dyDescent="0.2">
      <c r="A93" s="45" t="s">
        <v>1515</v>
      </c>
      <c r="B93" s="46" t="s">
        <v>6</v>
      </c>
      <c r="C93" s="45">
        <v>5.27</v>
      </c>
      <c r="D93" s="122"/>
    </row>
    <row r="94" spans="1:4" ht="15.75" hidden="1" outlineLevel="1" x14ac:dyDescent="0.2">
      <c r="A94" s="45" t="s">
        <v>1515</v>
      </c>
      <c r="B94" s="46" t="s">
        <v>7</v>
      </c>
      <c r="C94" s="45">
        <v>5.28</v>
      </c>
      <c r="D94" s="122"/>
    </row>
    <row r="95" spans="1:4" ht="15.75" hidden="1" outlineLevel="1" x14ac:dyDescent="0.2">
      <c r="A95" s="45" t="s">
        <v>1515</v>
      </c>
      <c r="B95" s="46" t="s">
        <v>86</v>
      </c>
      <c r="C95" s="45">
        <v>5.29</v>
      </c>
      <c r="D95" s="122"/>
    </row>
    <row r="96" spans="1:4" ht="15.75" hidden="1" outlineLevel="1" x14ac:dyDescent="0.2">
      <c r="A96" s="45" t="s">
        <v>1515</v>
      </c>
      <c r="B96" s="46" t="s">
        <v>8</v>
      </c>
      <c r="C96" s="47">
        <v>5.3</v>
      </c>
      <c r="D96" s="122"/>
    </row>
    <row r="97" spans="1:4" ht="15.75" hidden="1" outlineLevel="1" x14ac:dyDescent="0.2">
      <c r="A97" s="45" t="s">
        <v>1515</v>
      </c>
      <c r="B97" s="46" t="s">
        <v>79</v>
      </c>
      <c r="C97" s="45">
        <v>5.31</v>
      </c>
      <c r="D97" s="122"/>
    </row>
    <row r="98" spans="1:4" ht="15.75" hidden="1" outlineLevel="1" x14ac:dyDescent="0.2">
      <c r="A98" s="45" t="s">
        <v>1515</v>
      </c>
      <c r="B98" s="46" t="s">
        <v>80</v>
      </c>
      <c r="C98" s="45">
        <v>5.36</v>
      </c>
      <c r="D98" s="122"/>
    </row>
    <row r="99" spans="1:4" ht="15.75" hidden="1" outlineLevel="1" x14ac:dyDescent="0.2">
      <c r="A99" s="45" t="s">
        <v>1515</v>
      </c>
      <c r="B99" s="46" t="s">
        <v>9</v>
      </c>
      <c r="C99" s="45">
        <v>5.49</v>
      </c>
      <c r="D99" s="122"/>
    </row>
    <row r="100" spans="1:4" ht="15.75" hidden="1" outlineLevel="1" x14ac:dyDescent="0.2">
      <c r="A100" s="45" t="s">
        <v>1515</v>
      </c>
      <c r="B100" s="46" t="s">
        <v>10</v>
      </c>
      <c r="C100" s="45">
        <v>5.51</v>
      </c>
      <c r="D100" s="122"/>
    </row>
    <row r="101" spans="1:4" ht="15.75" hidden="1" outlineLevel="1" x14ac:dyDescent="0.2">
      <c r="A101" s="45" t="s">
        <v>1515</v>
      </c>
      <c r="B101" s="46" t="s">
        <v>1791</v>
      </c>
      <c r="C101" s="45">
        <v>5.52</v>
      </c>
      <c r="D101" s="122"/>
    </row>
    <row r="102" spans="1:4" ht="15.75" hidden="1" outlineLevel="1" x14ac:dyDescent="0.2">
      <c r="A102" s="45" t="s">
        <v>1515</v>
      </c>
      <c r="B102" s="46" t="s">
        <v>11</v>
      </c>
      <c r="C102" s="45">
        <v>5.53</v>
      </c>
      <c r="D102" s="122"/>
    </row>
    <row r="103" spans="1:4" ht="15.75" hidden="1" outlineLevel="1" x14ac:dyDescent="0.2">
      <c r="A103" s="45" t="s">
        <v>1515</v>
      </c>
      <c r="B103" s="46" t="s">
        <v>12</v>
      </c>
      <c r="C103" s="45">
        <v>5.69</v>
      </c>
      <c r="D103" s="122"/>
    </row>
    <row r="104" spans="1:4" ht="15.75" hidden="1" outlineLevel="1" x14ac:dyDescent="0.2">
      <c r="A104" s="45" t="s">
        <v>1515</v>
      </c>
      <c r="B104" s="46" t="s">
        <v>13</v>
      </c>
      <c r="C104" s="45">
        <v>5.75</v>
      </c>
      <c r="D104" s="122"/>
    </row>
    <row r="105" spans="1:4" ht="15.75" hidden="1" outlineLevel="1" x14ac:dyDescent="0.2">
      <c r="A105" s="45" t="s">
        <v>1515</v>
      </c>
      <c r="B105" s="46" t="s">
        <v>14</v>
      </c>
      <c r="C105" s="47">
        <v>5.7</v>
      </c>
      <c r="D105" s="122"/>
    </row>
    <row r="106" spans="1:4" ht="15.75" hidden="1" outlineLevel="1" x14ac:dyDescent="0.2">
      <c r="A106" s="45" t="s">
        <v>1515</v>
      </c>
      <c r="B106" s="46" t="s">
        <v>15</v>
      </c>
      <c r="C106" s="45">
        <v>5.74</v>
      </c>
      <c r="D106" s="122"/>
    </row>
    <row r="107" spans="1:4" ht="15.75" hidden="1" outlineLevel="1" x14ac:dyDescent="0.2">
      <c r="A107" s="45" t="s">
        <v>1515</v>
      </c>
      <c r="B107" s="46" t="s">
        <v>83</v>
      </c>
      <c r="C107" s="45">
        <v>5.76</v>
      </c>
      <c r="D107" s="122"/>
    </row>
    <row r="108" spans="1:4" ht="15.75" hidden="1" outlineLevel="1" x14ac:dyDescent="0.2">
      <c r="A108" s="45" t="s">
        <v>1515</v>
      </c>
      <c r="B108" s="46" t="s">
        <v>84</v>
      </c>
      <c r="C108" s="45">
        <v>5.89</v>
      </c>
      <c r="D108" s="121" t="s">
        <v>1789</v>
      </c>
    </row>
    <row r="109" spans="1:4" ht="15.75" hidden="1" outlineLevel="1" x14ac:dyDescent="0.2">
      <c r="A109" s="45" t="s">
        <v>1515</v>
      </c>
      <c r="B109" s="46" t="s">
        <v>17</v>
      </c>
      <c r="C109" s="45">
        <v>5.58</v>
      </c>
      <c r="D109" s="122"/>
    </row>
    <row r="110" spans="1:4" ht="15.75" hidden="1" outlineLevel="1" x14ac:dyDescent="0.2">
      <c r="A110" s="45" t="s">
        <v>1515</v>
      </c>
      <c r="B110" s="46" t="s">
        <v>16</v>
      </c>
      <c r="C110" s="45">
        <v>5.62</v>
      </c>
      <c r="D110" s="122"/>
    </row>
    <row r="111" spans="1:4" ht="15.75" hidden="1" outlineLevel="1" x14ac:dyDescent="0.2">
      <c r="A111" s="45" t="s">
        <v>1515</v>
      </c>
      <c r="B111" s="46" t="s">
        <v>18</v>
      </c>
      <c r="C111" s="45">
        <v>5.54</v>
      </c>
      <c r="D111" s="122"/>
    </row>
    <row r="112" spans="1:4" ht="15.75" hidden="1" outlineLevel="1" x14ac:dyDescent="0.2">
      <c r="A112" s="45" t="s">
        <v>1515</v>
      </c>
      <c r="B112" s="46" t="s">
        <v>19</v>
      </c>
      <c r="C112" s="45">
        <v>5.55</v>
      </c>
      <c r="D112" s="122"/>
    </row>
    <row r="113" spans="1:4" ht="15.75" hidden="1" outlineLevel="1" x14ac:dyDescent="0.2">
      <c r="A113" s="45" t="s">
        <v>1515</v>
      </c>
      <c r="B113" s="46" t="s">
        <v>21</v>
      </c>
      <c r="C113" s="45">
        <v>5.65</v>
      </c>
      <c r="D113" s="122"/>
    </row>
    <row r="114" spans="1:4" ht="15.75" hidden="1" outlineLevel="1" x14ac:dyDescent="0.2">
      <c r="A114" s="45" t="s">
        <v>1515</v>
      </c>
      <c r="B114" s="46" t="s">
        <v>85</v>
      </c>
      <c r="C114" s="45">
        <v>5.66</v>
      </c>
      <c r="D114" s="122"/>
    </row>
    <row r="115" spans="1:4" ht="15.75" hidden="1" outlineLevel="1" x14ac:dyDescent="0.2">
      <c r="A115" s="45" t="s">
        <v>1515</v>
      </c>
      <c r="B115" s="46" t="s">
        <v>22</v>
      </c>
      <c r="C115" s="45">
        <v>5.68</v>
      </c>
      <c r="D115" s="122"/>
    </row>
    <row r="116" spans="1:4" ht="15.75" hidden="1" outlineLevel="1" x14ac:dyDescent="0.2">
      <c r="A116" s="45" t="s">
        <v>1515</v>
      </c>
      <c r="B116" s="46" t="s">
        <v>23</v>
      </c>
      <c r="C116" s="45">
        <v>5.45</v>
      </c>
      <c r="D116" s="122"/>
    </row>
    <row r="117" spans="1:4" ht="15.75" hidden="1" outlineLevel="1" x14ac:dyDescent="0.2">
      <c r="A117" s="45" t="s">
        <v>1515</v>
      </c>
      <c r="B117" s="46" t="s">
        <v>24</v>
      </c>
      <c r="C117" s="45">
        <v>5.47</v>
      </c>
      <c r="D117" s="122"/>
    </row>
    <row r="118" spans="1:4" ht="15.75" hidden="1" outlineLevel="1" x14ac:dyDescent="0.2">
      <c r="A118" s="45" t="s">
        <v>1515</v>
      </c>
      <c r="B118" s="46" t="s">
        <v>25</v>
      </c>
      <c r="C118" s="45">
        <v>5.48</v>
      </c>
      <c r="D118" s="122"/>
    </row>
    <row r="119" spans="1:4" ht="15.75" x14ac:dyDescent="0.2">
      <c r="A119" s="51" t="s">
        <v>1515</v>
      </c>
      <c r="B119" s="46"/>
      <c r="C119" s="45"/>
      <c r="D119" s="122"/>
    </row>
    <row r="120" spans="1:4" ht="15.75" hidden="1" outlineLevel="1" x14ac:dyDescent="0.2">
      <c r="A120" s="45" t="s">
        <v>1792</v>
      </c>
      <c r="B120" s="46" t="s">
        <v>0</v>
      </c>
      <c r="C120" s="45">
        <v>5.0999999999999996</v>
      </c>
      <c r="D120" s="122"/>
    </row>
    <row r="121" spans="1:4" ht="15.75" hidden="1" outlineLevel="1" x14ac:dyDescent="0.2">
      <c r="A121" s="45" t="s">
        <v>1792</v>
      </c>
      <c r="B121" s="46" t="s">
        <v>1</v>
      </c>
      <c r="C121" s="45">
        <v>5.2</v>
      </c>
      <c r="D121" s="122"/>
    </row>
    <row r="122" spans="1:4" ht="15.75" hidden="1" outlineLevel="1" x14ac:dyDescent="0.2">
      <c r="A122" s="45" t="s">
        <v>1792</v>
      </c>
      <c r="B122" s="46" t="s">
        <v>2</v>
      </c>
      <c r="C122" s="45">
        <v>5.3</v>
      </c>
      <c r="D122" s="122"/>
    </row>
    <row r="123" spans="1:4" ht="15.75" hidden="1" outlineLevel="1" x14ac:dyDescent="0.2">
      <c r="A123" s="45" t="s">
        <v>1792</v>
      </c>
      <c r="B123" s="46" t="s">
        <v>76</v>
      </c>
      <c r="C123" s="45">
        <v>5.6</v>
      </c>
      <c r="D123" s="122"/>
    </row>
    <row r="124" spans="1:4" ht="15.75" hidden="1" outlineLevel="1" x14ac:dyDescent="0.2">
      <c r="A124" s="45" t="s">
        <v>1792</v>
      </c>
      <c r="B124" s="46" t="s">
        <v>1790</v>
      </c>
      <c r="C124" s="47">
        <v>5.0999999999999996</v>
      </c>
      <c r="D124" s="122"/>
    </row>
    <row r="125" spans="1:4" ht="15.75" hidden="1" outlineLevel="1" x14ac:dyDescent="0.2">
      <c r="A125" s="45" t="s">
        <v>1792</v>
      </c>
      <c r="B125" s="46" t="s">
        <v>588</v>
      </c>
      <c r="C125" s="45">
        <v>5.14</v>
      </c>
      <c r="D125" s="122"/>
    </row>
    <row r="126" spans="1:4" ht="15.75" hidden="1" outlineLevel="1" x14ac:dyDescent="0.2">
      <c r="A126" s="45" t="s">
        <v>1792</v>
      </c>
      <c r="B126" s="46" t="s">
        <v>4</v>
      </c>
      <c r="C126" s="45">
        <v>5.19</v>
      </c>
      <c r="D126" s="122"/>
    </row>
    <row r="127" spans="1:4" ht="15.75" hidden="1" outlineLevel="1" x14ac:dyDescent="0.2">
      <c r="A127" s="45" t="s">
        <v>1792</v>
      </c>
      <c r="B127" s="46" t="s">
        <v>78</v>
      </c>
      <c r="C127" s="45">
        <v>5.24</v>
      </c>
      <c r="D127" s="122"/>
    </row>
    <row r="128" spans="1:4" ht="15.75" hidden="1" outlineLevel="1" x14ac:dyDescent="0.2">
      <c r="A128" s="45" t="s">
        <v>1792</v>
      </c>
      <c r="B128" s="46" t="s">
        <v>5</v>
      </c>
      <c r="C128" s="45">
        <v>5.26</v>
      </c>
      <c r="D128" s="122"/>
    </row>
    <row r="129" spans="1:4" ht="15.75" hidden="1" outlineLevel="1" x14ac:dyDescent="0.2">
      <c r="A129" s="45" t="s">
        <v>1792</v>
      </c>
      <c r="B129" s="46" t="s">
        <v>6</v>
      </c>
      <c r="C129" s="45">
        <v>5.27</v>
      </c>
      <c r="D129" s="122"/>
    </row>
    <row r="130" spans="1:4" ht="15.75" hidden="1" outlineLevel="1" x14ac:dyDescent="0.2">
      <c r="A130" s="45" t="s">
        <v>1792</v>
      </c>
      <c r="B130" s="46" t="s">
        <v>7</v>
      </c>
      <c r="C130" s="45">
        <v>5.28</v>
      </c>
      <c r="D130" s="122"/>
    </row>
    <row r="131" spans="1:4" ht="15.75" hidden="1" outlineLevel="1" x14ac:dyDescent="0.2">
      <c r="A131" s="45" t="s">
        <v>1792</v>
      </c>
      <c r="B131" s="46" t="s">
        <v>86</v>
      </c>
      <c r="C131" s="45">
        <v>5.29</v>
      </c>
      <c r="D131" s="122"/>
    </row>
    <row r="132" spans="1:4" ht="15.75" hidden="1" outlineLevel="1" x14ac:dyDescent="0.2">
      <c r="A132" s="45" t="s">
        <v>1792</v>
      </c>
      <c r="B132" s="46" t="s">
        <v>8</v>
      </c>
      <c r="C132" s="47">
        <v>5.3</v>
      </c>
      <c r="D132" s="122"/>
    </row>
    <row r="133" spans="1:4" ht="15.75" hidden="1" outlineLevel="1" x14ac:dyDescent="0.2">
      <c r="A133" s="45" t="s">
        <v>1792</v>
      </c>
      <c r="B133" s="46" t="s">
        <v>79</v>
      </c>
      <c r="C133" s="45">
        <v>5.31</v>
      </c>
      <c r="D133" s="122"/>
    </row>
    <row r="134" spans="1:4" ht="15.75" hidden="1" outlineLevel="1" x14ac:dyDescent="0.2">
      <c r="A134" s="45" t="s">
        <v>1792</v>
      </c>
      <c r="B134" s="46" t="s">
        <v>80</v>
      </c>
      <c r="C134" s="45">
        <v>5.36</v>
      </c>
      <c r="D134" s="122"/>
    </row>
    <row r="135" spans="1:4" ht="15.75" hidden="1" outlineLevel="1" x14ac:dyDescent="0.2">
      <c r="A135" s="45" t="s">
        <v>1792</v>
      </c>
      <c r="B135" s="46" t="s">
        <v>11</v>
      </c>
      <c r="C135" s="45">
        <v>5.53</v>
      </c>
      <c r="D135" s="122"/>
    </row>
    <row r="136" spans="1:4" ht="15.75" hidden="1" outlineLevel="1" x14ac:dyDescent="0.2">
      <c r="A136" s="45" t="s">
        <v>1792</v>
      </c>
      <c r="B136" s="46" t="s">
        <v>17</v>
      </c>
      <c r="C136" s="45">
        <v>5.58</v>
      </c>
      <c r="D136" s="122"/>
    </row>
    <row r="137" spans="1:4" ht="15.75" hidden="1" outlineLevel="1" x14ac:dyDescent="0.2">
      <c r="A137" s="45" t="s">
        <v>1792</v>
      </c>
      <c r="B137" s="46" t="s">
        <v>16</v>
      </c>
      <c r="C137" s="45">
        <v>5.62</v>
      </c>
      <c r="D137" s="122"/>
    </row>
    <row r="138" spans="1:4" ht="15.75" hidden="1" outlineLevel="1" x14ac:dyDescent="0.2">
      <c r="A138" s="45" t="s">
        <v>1792</v>
      </c>
      <c r="B138" s="46" t="s">
        <v>18</v>
      </c>
      <c r="C138" s="45">
        <v>5.54</v>
      </c>
      <c r="D138" s="122"/>
    </row>
    <row r="139" spans="1:4" ht="15.75" hidden="1" outlineLevel="1" x14ac:dyDescent="0.2">
      <c r="A139" s="45" t="s">
        <v>1792</v>
      </c>
      <c r="B139" s="46" t="s">
        <v>19</v>
      </c>
      <c r="C139" s="45">
        <v>5.55</v>
      </c>
      <c r="D139" s="122"/>
    </row>
    <row r="140" spans="1:4" ht="15.75" hidden="1" outlineLevel="1" x14ac:dyDescent="0.2">
      <c r="A140" s="45" t="s">
        <v>1792</v>
      </c>
      <c r="B140" s="46" t="s">
        <v>20</v>
      </c>
      <c r="C140" s="45">
        <v>5.63</v>
      </c>
      <c r="D140" s="122"/>
    </row>
    <row r="141" spans="1:4" ht="15.75" hidden="1" outlineLevel="1" x14ac:dyDescent="0.2">
      <c r="A141" s="45" t="s">
        <v>1792</v>
      </c>
      <c r="B141" s="46" t="s">
        <v>23</v>
      </c>
      <c r="C141" s="45">
        <v>5.45</v>
      </c>
      <c r="D141" s="122"/>
    </row>
    <row r="142" spans="1:4" ht="15.75" hidden="1" outlineLevel="1" x14ac:dyDescent="0.2">
      <c r="A142" s="45" t="s">
        <v>1792</v>
      </c>
      <c r="B142" s="46" t="s">
        <v>24</v>
      </c>
      <c r="C142" s="45">
        <v>5.47</v>
      </c>
      <c r="D142" s="122"/>
    </row>
    <row r="143" spans="1:4" ht="15.75" hidden="1" outlineLevel="1" x14ac:dyDescent="0.2">
      <c r="A143" s="45" t="s">
        <v>1792</v>
      </c>
      <c r="B143" s="46" t="s">
        <v>25</v>
      </c>
      <c r="C143" s="45">
        <v>5.48</v>
      </c>
      <c r="D143" s="122"/>
    </row>
    <row r="144" spans="1:4" ht="15.75" x14ac:dyDescent="0.2">
      <c r="A144" s="51" t="s">
        <v>1792</v>
      </c>
      <c r="B144" s="46"/>
      <c r="C144" s="45"/>
      <c r="D144" s="122"/>
    </row>
    <row r="145" spans="1:4" ht="15.75" hidden="1" outlineLevel="1" x14ac:dyDescent="0.2">
      <c r="A145" s="45" t="s">
        <v>1079</v>
      </c>
      <c r="B145" s="46" t="s">
        <v>0</v>
      </c>
      <c r="C145" s="45">
        <v>5.0999999999999996</v>
      </c>
      <c r="D145" s="122"/>
    </row>
    <row r="146" spans="1:4" ht="15.75" hidden="1" outlineLevel="1" x14ac:dyDescent="0.2">
      <c r="A146" s="45" t="s">
        <v>1079</v>
      </c>
      <c r="B146" s="46" t="s">
        <v>1</v>
      </c>
      <c r="C146" s="45">
        <v>5.2</v>
      </c>
      <c r="D146" s="122"/>
    </row>
    <row r="147" spans="1:4" ht="15.75" hidden="1" outlineLevel="1" x14ac:dyDescent="0.2">
      <c r="A147" s="45" t="s">
        <v>1079</v>
      </c>
      <c r="B147" s="46" t="s">
        <v>2</v>
      </c>
      <c r="C147" s="45">
        <v>5.3</v>
      </c>
      <c r="D147" s="122"/>
    </row>
    <row r="148" spans="1:4" ht="15.75" hidden="1" outlineLevel="1" x14ac:dyDescent="0.2">
      <c r="A148" s="45" t="s">
        <v>1079</v>
      </c>
      <c r="B148" s="46" t="s">
        <v>76</v>
      </c>
      <c r="C148" s="45">
        <v>5.6</v>
      </c>
      <c r="D148" s="122"/>
    </row>
    <row r="149" spans="1:4" ht="15.75" hidden="1" outlineLevel="1" x14ac:dyDescent="0.2">
      <c r="A149" s="45" t="s">
        <v>1079</v>
      </c>
      <c r="B149" s="46" t="s">
        <v>1790</v>
      </c>
      <c r="C149" s="47">
        <v>5.0999999999999996</v>
      </c>
      <c r="D149" s="122"/>
    </row>
    <row r="150" spans="1:4" ht="15.75" hidden="1" outlineLevel="1" x14ac:dyDescent="0.2">
      <c r="A150" s="45" t="s">
        <v>1079</v>
      </c>
      <c r="B150" s="46" t="s">
        <v>588</v>
      </c>
      <c r="C150" s="45">
        <v>5.14</v>
      </c>
      <c r="D150" s="122"/>
    </row>
    <row r="151" spans="1:4" ht="15.75" hidden="1" outlineLevel="1" x14ac:dyDescent="0.2">
      <c r="A151" s="45" t="s">
        <v>1079</v>
      </c>
      <c r="B151" s="46" t="s">
        <v>4</v>
      </c>
      <c r="C151" s="45">
        <v>5.19</v>
      </c>
      <c r="D151" s="122"/>
    </row>
    <row r="152" spans="1:4" ht="15.75" hidden="1" outlineLevel="1" x14ac:dyDescent="0.2">
      <c r="A152" s="45" t="s">
        <v>1079</v>
      </c>
      <c r="B152" s="46" t="s">
        <v>78</v>
      </c>
      <c r="C152" s="45">
        <v>5.24</v>
      </c>
      <c r="D152" s="122"/>
    </row>
    <row r="153" spans="1:4" ht="15.75" hidden="1" outlineLevel="1" x14ac:dyDescent="0.2">
      <c r="A153" s="45" t="s">
        <v>1079</v>
      </c>
      <c r="B153" s="46" t="s">
        <v>5</v>
      </c>
      <c r="C153" s="45">
        <v>5.26</v>
      </c>
      <c r="D153" s="122"/>
    </row>
    <row r="154" spans="1:4" ht="15.75" hidden="1" outlineLevel="1" x14ac:dyDescent="0.2">
      <c r="A154" s="45" t="s">
        <v>1079</v>
      </c>
      <c r="B154" s="46" t="s">
        <v>6</v>
      </c>
      <c r="C154" s="45">
        <v>5.27</v>
      </c>
      <c r="D154" s="122"/>
    </row>
    <row r="155" spans="1:4" ht="15.75" hidden="1" outlineLevel="1" x14ac:dyDescent="0.2">
      <c r="A155" s="45" t="s">
        <v>1079</v>
      </c>
      <c r="B155" s="46" t="s">
        <v>7</v>
      </c>
      <c r="C155" s="45">
        <v>5.28</v>
      </c>
      <c r="D155" s="122"/>
    </row>
    <row r="156" spans="1:4" ht="15.75" hidden="1" outlineLevel="1" x14ac:dyDescent="0.2">
      <c r="A156" s="45" t="s">
        <v>1079</v>
      </c>
      <c r="B156" s="46" t="s">
        <v>8</v>
      </c>
      <c r="C156" s="47">
        <v>5.3</v>
      </c>
      <c r="D156" s="122"/>
    </row>
    <row r="157" spans="1:4" ht="15.75" hidden="1" outlineLevel="1" x14ac:dyDescent="0.2">
      <c r="A157" s="45" t="s">
        <v>1079</v>
      </c>
      <c r="B157" s="46" t="s">
        <v>483</v>
      </c>
      <c r="C157" s="45">
        <v>5.32</v>
      </c>
      <c r="D157" s="122"/>
    </row>
    <row r="158" spans="1:4" ht="15.75" hidden="1" outlineLevel="1" x14ac:dyDescent="0.2">
      <c r="A158" s="45" t="s">
        <v>1079</v>
      </c>
      <c r="B158" s="46" t="s">
        <v>80</v>
      </c>
      <c r="C158" s="45">
        <v>5.36</v>
      </c>
      <c r="D158" s="122"/>
    </row>
    <row r="159" spans="1:4" ht="15.75" hidden="1" outlineLevel="1" x14ac:dyDescent="0.2">
      <c r="A159" s="45" t="s">
        <v>1079</v>
      </c>
      <c r="B159" s="46" t="s">
        <v>11</v>
      </c>
      <c r="C159" s="45">
        <v>5.53</v>
      </c>
      <c r="D159" s="122"/>
    </row>
    <row r="160" spans="1:4" ht="15.75" hidden="1" outlineLevel="1" x14ac:dyDescent="0.2">
      <c r="A160" s="45" t="s">
        <v>1079</v>
      </c>
      <c r="B160" s="46" t="s">
        <v>17</v>
      </c>
      <c r="C160" s="45">
        <v>5.58</v>
      </c>
      <c r="D160" s="122"/>
    </row>
    <row r="161" spans="1:4" ht="15.75" hidden="1" outlineLevel="1" x14ac:dyDescent="0.2">
      <c r="A161" s="45" t="s">
        <v>1079</v>
      </c>
      <c r="B161" s="46" t="s">
        <v>18</v>
      </c>
      <c r="C161" s="45">
        <v>5.54</v>
      </c>
      <c r="D161" s="122"/>
    </row>
    <row r="162" spans="1:4" ht="15.75" hidden="1" outlineLevel="1" x14ac:dyDescent="0.2">
      <c r="A162" s="45" t="s">
        <v>1079</v>
      </c>
      <c r="B162" s="46" t="s">
        <v>19</v>
      </c>
      <c r="C162" s="45">
        <v>5.55</v>
      </c>
      <c r="D162" s="122"/>
    </row>
    <row r="163" spans="1:4" ht="15.75" hidden="1" outlineLevel="1" x14ac:dyDescent="0.2">
      <c r="A163" s="45" t="s">
        <v>1079</v>
      </c>
      <c r="B163" s="46" t="s">
        <v>16</v>
      </c>
      <c r="C163" s="45">
        <v>5.62</v>
      </c>
      <c r="D163" s="122"/>
    </row>
    <row r="164" spans="1:4" ht="15.75" hidden="1" outlineLevel="1" x14ac:dyDescent="0.2">
      <c r="A164" s="45" t="s">
        <v>1079</v>
      </c>
      <c r="B164" s="46" t="s">
        <v>20</v>
      </c>
      <c r="C164" s="45">
        <v>5.63</v>
      </c>
      <c r="D164" s="122"/>
    </row>
    <row r="165" spans="1:4" ht="15.75" hidden="1" outlineLevel="1" x14ac:dyDescent="0.2">
      <c r="A165" s="45" t="s">
        <v>1079</v>
      </c>
      <c r="B165" s="46" t="s">
        <v>23</v>
      </c>
      <c r="C165" s="45">
        <v>5.45</v>
      </c>
      <c r="D165" s="122"/>
    </row>
    <row r="166" spans="1:4" ht="15.75" hidden="1" outlineLevel="1" x14ac:dyDescent="0.2">
      <c r="A166" s="45" t="s">
        <v>1079</v>
      </c>
      <c r="B166" s="46" t="s">
        <v>24</v>
      </c>
      <c r="C166" s="45">
        <v>5.47</v>
      </c>
      <c r="D166" s="122"/>
    </row>
    <row r="167" spans="1:4" ht="15.75" hidden="1" outlineLevel="1" x14ac:dyDescent="0.2">
      <c r="A167" s="45" t="s">
        <v>1079</v>
      </c>
      <c r="B167" s="46" t="s">
        <v>25</v>
      </c>
      <c r="C167" s="45">
        <v>5.48</v>
      </c>
      <c r="D167" s="122"/>
    </row>
    <row r="168" spans="1:4" ht="15.75" x14ac:dyDescent="0.2">
      <c r="A168" s="51" t="s">
        <v>1079</v>
      </c>
      <c r="B168" s="46"/>
      <c r="C168" s="45"/>
      <c r="D168" s="122"/>
    </row>
    <row r="169" spans="1:4" ht="15.75" hidden="1" outlineLevel="1" x14ac:dyDescent="0.2">
      <c r="A169" s="45" t="s">
        <v>1530</v>
      </c>
      <c r="B169" s="46" t="s">
        <v>0</v>
      </c>
      <c r="C169" s="45">
        <v>5.0999999999999996</v>
      </c>
      <c r="D169" s="122"/>
    </row>
    <row r="170" spans="1:4" ht="15.75" hidden="1" outlineLevel="1" x14ac:dyDescent="0.2">
      <c r="A170" s="45" t="s">
        <v>1530</v>
      </c>
      <c r="B170" s="46" t="s">
        <v>1</v>
      </c>
      <c r="C170" s="45">
        <v>5.2</v>
      </c>
      <c r="D170" s="122"/>
    </row>
    <row r="171" spans="1:4" ht="15.75" hidden="1" outlineLevel="1" x14ac:dyDescent="0.2">
      <c r="A171" s="45" t="s">
        <v>1530</v>
      </c>
      <c r="B171" s="46" t="s">
        <v>2</v>
      </c>
      <c r="C171" s="45">
        <v>5.3</v>
      </c>
      <c r="D171" s="122"/>
    </row>
    <row r="172" spans="1:4" ht="15.75" hidden="1" outlineLevel="1" x14ac:dyDescent="0.2">
      <c r="A172" s="45" t="s">
        <v>1530</v>
      </c>
      <c r="B172" s="46" t="s">
        <v>76</v>
      </c>
      <c r="C172" s="45">
        <v>5.6</v>
      </c>
      <c r="D172" s="122"/>
    </row>
    <row r="173" spans="1:4" ht="15.75" hidden="1" outlineLevel="1" x14ac:dyDescent="0.2">
      <c r="A173" s="45" t="s">
        <v>1530</v>
      </c>
      <c r="B173" s="46" t="s">
        <v>1790</v>
      </c>
      <c r="C173" s="47">
        <v>5.0999999999999996</v>
      </c>
      <c r="D173" s="122"/>
    </row>
    <row r="174" spans="1:4" ht="15.75" hidden="1" outlineLevel="1" x14ac:dyDescent="0.2">
      <c r="A174" s="45" t="s">
        <v>1530</v>
      </c>
      <c r="B174" s="46" t="s">
        <v>588</v>
      </c>
      <c r="C174" s="45">
        <v>5.14</v>
      </c>
      <c r="D174" s="122"/>
    </row>
    <row r="175" spans="1:4" ht="15.75" hidden="1" outlineLevel="1" x14ac:dyDescent="0.2">
      <c r="A175" s="45" t="s">
        <v>1530</v>
      </c>
      <c r="B175" s="46" t="s">
        <v>4</v>
      </c>
      <c r="C175" s="45">
        <v>5.19</v>
      </c>
      <c r="D175" s="122"/>
    </row>
    <row r="176" spans="1:4" ht="15.75" hidden="1" outlineLevel="1" x14ac:dyDescent="0.2">
      <c r="A176" s="45" t="s">
        <v>1530</v>
      </c>
      <c r="B176" s="46" t="s">
        <v>78</v>
      </c>
      <c r="C176" s="45">
        <v>5.24</v>
      </c>
      <c r="D176" s="122"/>
    </row>
    <row r="177" spans="1:4" ht="15.75" hidden="1" outlineLevel="1" x14ac:dyDescent="0.2">
      <c r="A177" s="45" t="s">
        <v>1530</v>
      </c>
      <c r="B177" s="46" t="s">
        <v>5</v>
      </c>
      <c r="C177" s="45">
        <v>5.26</v>
      </c>
      <c r="D177" s="122"/>
    </row>
    <row r="178" spans="1:4" ht="15.75" hidden="1" outlineLevel="1" x14ac:dyDescent="0.2">
      <c r="A178" s="45" t="s">
        <v>1530</v>
      </c>
      <c r="B178" s="46" t="s">
        <v>6</v>
      </c>
      <c r="C178" s="45">
        <v>5.27</v>
      </c>
      <c r="D178" s="122"/>
    </row>
    <row r="179" spans="1:4" ht="15.75" hidden="1" outlineLevel="1" x14ac:dyDescent="0.2">
      <c r="A179" s="45" t="s">
        <v>1530</v>
      </c>
      <c r="B179" s="46" t="s">
        <v>7</v>
      </c>
      <c r="C179" s="45">
        <v>5.28</v>
      </c>
      <c r="D179" s="122"/>
    </row>
    <row r="180" spans="1:4" ht="15.75" hidden="1" outlineLevel="1" x14ac:dyDescent="0.2">
      <c r="A180" s="45" t="s">
        <v>1530</v>
      </c>
      <c r="B180" s="46" t="s">
        <v>86</v>
      </c>
      <c r="C180" s="45">
        <v>5.29</v>
      </c>
      <c r="D180" s="122"/>
    </row>
    <row r="181" spans="1:4" ht="15.75" hidden="1" outlineLevel="1" x14ac:dyDescent="0.2">
      <c r="A181" s="45" t="s">
        <v>1530</v>
      </c>
      <c r="B181" s="46" t="s">
        <v>8</v>
      </c>
      <c r="C181" s="47">
        <v>5.3</v>
      </c>
      <c r="D181" s="122"/>
    </row>
    <row r="182" spans="1:4" ht="15.75" hidden="1" outlineLevel="1" x14ac:dyDescent="0.2">
      <c r="A182" s="45" t="s">
        <v>1530</v>
      </c>
      <c r="B182" s="46" t="s">
        <v>483</v>
      </c>
      <c r="C182" s="45">
        <v>5.32</v>
      </c>
      <c r="D182" s="122"/>
    </row>
    <row r="183" spans="1:4" ht="15.75" hidden="1" outlineLevel="1" x14ac:dyDescent="0.2">
      <c r="A183" s="45" t="s">
        <v>1530</v>
      </c>
      <c r="B183" s="46" t="s">
        <v>80</v>
      </c>
      <c r="C183" s="45">
        <v>5.36</v>
      </c>
      <c r="D183" s="122"/>
    </row>
    <row r="184" spans="1:4" ht="15.75" hidden="1" outlineLevel="1" x14ac:dyDescent="0.2">
      <c r="A184" s="45" t="s">
        <v>1530</v>
      </c>
      <c r="B184" s="46" t="s">
        <v>11</v>
      </c>
      <c r="C184" s="45">
        <v>5.53</v>
      </c>
      <c r="D184" s="122"/>
    </row>
    <row r="185" spans="1:4" ht="15.75" hidden="1" outlineLevel="1" x14ac:dyDescent="0.2">
      <c r="A185" s="45" t="s">
        <v>1530</v>
      </c>
      <c r="B185" s="46" t="s">
        <v>17</v>
      </c>
      <c r="C185" s="45">
        <v>5.58</v>
      </c>
      <c r="D185" s="122"/>
    </row>
    <row r="186" spans="1:4" ht="15.75" hidden="1" outlineLevel="1" x14ac:dyDescent="0.2">
      <c r="A186" s="45" t="s">
        <v>1530</v>
      </c>
      <c r="B186" s="46" t="s">
        <v>18</v>
      </c>
      <c r="C186" s="45">
        <v>5.54</v>
      </c>
      <c r="D186" s="122"/>
    </row>
    <row r="187" spans="1:4" ht="15.75" hidden="1" outlineLevel="1" x14ac:dyDescent="0.2">
      <c r="A187" s="45" t="s">
        <v>1530</v>
      </c>
      <c r="B187" s="46" t="s">
        <v>19</v>
      </c>
      <c r="C187" s="45">
        <v>5.55</v>
      </c>
      <c r="D187" s="122"/>
    </row>
    <row r="188" spans="1:4" ht="15.75" hidden="1" outlineLevel="1" x14ac:dyDescent="0.2">
      <c r="A188" s="45" t="s">
        <v>1530</v>
      </c>
      <c r="B188" s="46" t="s">
        <v>20</v>
      </c>
      <c r="C188" s="45">
        <v>5.63</v>
      </c>
      <c r="D188" s="122"/>
    </row>
    <row r="189" spans="1:4" ht="15.75" hidden="1" outlineLevel="1" x14ac:dyDescent="0.2">
      <c r="A189" s="45" t="s">
        <v>1530</v>
      </c>
      <c r="B189" s="46" t="s">
        <v>23</v>
      </c>
      <c r="C189" s="45">
        <v>5.45</v>
      </c>
      <c r="D189" s="122"/>
    </row>
    <row r="190" spans="1:4" ht="15.75" hidden="1" outlineLevel="1" x14ac:dyDescent="0.2">
      <c r="A190" s="45" t="s">
        <v>1530</v>
      </c>
      <c r="B190" s="46" t="s">
        <v>24</v>
      </c>
      <c r="C190" s="45">
        <v>5.47</v>
      </c>
      <c r="D190" s="122"/>
    </row>
    <row r="191" spans="1:4" ht="15.75" hidden="1" outlineLevel="1" x14ac:dyDescent="0.2">
      <c r="A191" s="45" t="s">
        <v>1530</v>
      </c>
      <c r="B191" s="46" t="s">
        <v>25</v>
      </c>
      <c r="C191" s="45">
        <v>5.48</v>
      </c>
      <c r="D191" s="122"/>
    </row>
    <row r="192" spans="1:4" ht="15.75" x14ac:dyDescent="0.2">
      <c r="A192" s="51" t="s">
        <v>1530</v>
      </c>
      <c r="B192" s="46"/>
      <c r="C192" s="45"/>
      <c r="D192" s="122"/>
    </row>
    <row r="193" spans="1:4" ht="15.75" hidden="1" outlineLevel="1" x14ac:dyDescent="0.2">
      <c r="A193" s="45" t="s">
        <v>1793</v>
      </c>
      <c r="B193" s="46" t="s">
        <v>0</v>
      </c>
      <c r="C193" s="45">
        <v>5.0999999999999996</v>
      </c>
      <c r="D193" s="122"/>
    </row>
    <row r="194" spans="1:4" ht="15.75" hidden="1" outlineLevel="1" x14ac:dyDescent="0.2">
      <c r="A194" s="45" t="s">
        <v>1793</v>
      </c>
      <c r="B194" s="46" t="s">
        <v>1</v>
      </c>
      <c r="C194" s="45">
        <v>5.2</v>
      </c>
      <c r="D194" s="122"/>
    </row>
    <row r="195" spans="1:4" ht="15.75" hidden="1" outlineLevel="1" x14ac:dyDescent="0.2">
      <c r="A195" s="45" t="s">
        <v>1793</v>
      </c>
      <c r="B195" s="46" t="s">
        <v>2</v>
      </c>
      <c r="C195" s="45">
        <v>5.3</v>
      </c>
      <c r="D195" s="122"/>
    </row>
    <row r="196" spans="1:4" ht="15.75" hidden="1" outlineLevel="1" x14ac:dyDescent="0.2">
      <c r="A196" s="45" t="s">
        <v>1793</v>
      </c>
      <c r="B196" s="46" t="s">
        <v>76</v>
      </c>
      <c r="C196" s="45">
        <v>5.6</v>
      </c>
      <c r="D196" s="122"/>
    </row>
    <row r="197" spans="1:4" ht="15.75" hidden="1" outlineLevel="1" x14ac:dyDescent="0.2">
      <c r="A197" s="45" t="s">
        <v>1793</v>
      </c>
      <c r="B197" s="46" t="s">
        <v>1790</v>
      </c>
      <c r="C197" s="47">
        <v>5.0999999999999996</v>
      </c>
      <c r="D197" s="122"/>
    </row>
    <row r="198" spans="1:4" ht="15.75" hidden="1" outlineLevel="1" x14ac:dyDescent="0.2">
      <c r="A198" s="45" t="s">
        <v>1793</v>
      </c>
      <c r="B198" s="46" t="s">
        <v>588</v>
      </c>
      <c r="C198" s="45">
        <v>5.14</v>
      </c>
      <c r="D198" s="122"/>
    </row>
    <row r="199" spans="1:4" ht="15.75" hidden="1" outlineLevel="1" x14ac:dyDescent="0.2">
      <c r="A199" s="45" t="s">
        <v>1793</v>
      </c>
      <c r="B199" s="46" t="s">
        <v>4</v>
      </c>
      <c r="C199" s="45">
        <v>5.19</v>
      </c>
      <c r="D199" s="122"/>
    </row>
    <row r="200" spans="1:4" ht="15.75" hidden="1" outlineLevel="1" x14ac:dyDescent="0.2">
      <c r="A200" s="45" t="s">
        <v>1793</v>
      </c>
      <c r="B200" s="46" t="s">
        <v>78</v>
      </c>
      <c r="C200" s="45">
        <v>5.24</v>
      </c>
      <c r="D200" s="122"/>
    </row>
    <row r="201" spans="1:4" ht="15.75" hidden="1" outlineLevel="1" x14ac:dyDescent="0.2">
      <c r="A201" s="45" t="s">
        <v>1793</v>
      </c>
      <c r="B201" s="46" t="s">
        <v>6</v>
      </c>
      <c r="C201" s="45">
        <v>5.27</v>
      </c>
      <c r="D201" s="122"/>
    </row>
    <row r="202" spans="1:4" ht="15.75" hidden="1" outlineLevel="1" x14ac:dyDescent="0.2">
      <c r="A202" s="45" t="s">
        <v>1793</v>
      </c>
      <c r="B202" s="46" t="s">
        <v>7</v>
      </c>
      <c r="C202" s="45">
        <v>5.28</v>
      </c>
      <c r="D202" s="122"/>
    </row>
    <row r="203" spans="1:4" ht="15.75" hidden="1" outlineLevel="1" x14ac:dyDescent="0.2">
      <c r="A203" s="45" t="s">
        <v>1793</v>
      </c>
      <c r="B203" s="46" t="s">
        <v>86</v>
      </c>
      <c r="C203" s="45">
        <v>5.29</v>
      </c>
      <c r="D203" s="122"/>
    </row>
    <row r="204" spans="1:4" ht="15.75" hidden="1" outlineLevel="1" x14ac:dyDescent="0.2">
      <c r="A204" s="45" t="s">
        <v>1793</v>
      </c>
      <c r="B204" s="46" t="s">
        <v>8</v>
      </c>
      <c r="C204" s="47">
        <v>5.3</v>
      </c>
      <c r="D204" s="122"/>
    </row>
    <row r="205" spans="1:4" ht="15.75" hidden="1" outlineLevel="1" x14ac:dyDescent="0.2">
      <c r="A205" s="45" t="s">
        <v>1793</v>
      </c>
      <c r="B205" s="46" t="s">
        <v>589</v>
      </c>
      <c r="C205" s="45">
        <v>5.34</v>
      </c>
      <c r="D205" s="122"/>
    </row>
    <row r="206" spans="1:4" ht="15.75" hidden="1" outlineLevel="1" x14ac:dyDescent="0.2">
      <c r="A206" s="45" t="s">
        <v>1793</v>
      </c>
      <c r="B206" s="46" t="s">
        <v>79</v>
      </c>
      <c r="C206" s="45">
        <v>5.31</v>
      </c>
      <c r="D206" s="122"/>
    </row>
    <row r="207" spans="1:4" ht="15.75" hidden="1" outlineLevel="1" x14ac:dyDescent="0.2">
      <c r="A207" s="45" t="s">
        <v>1793</v>
      </c>
      <c r="B207" s="46" t="s">
        <v>590</v>
      </c>
      <c r="C207" s="45">
        <v>5.101</v>
      </c>
      <c r="D207" s="122"/>
    </row>
    <row r="208" spans="1:4" ht="15.75" hidden="1" outlineLevel="1" x14ac:dyDescent="0.2">
      <c r="A208" s="45" t="s">
        <v>1793</v>
      </c>
      <c r="B208" s="46" t="s">
        <v>80</v>
      </c>
      <c r="C208" s="45">
        <v>5.36</v>
      </c>
      <c r="D208" s="122"/>
    </row>
    <row r="209" spans="1:4" ht="15.75" hidden="1" outlineLevel="1" x14ac:dyDescent="0.2">
      <c r="A209" s="45" t="s">
        <v>1793</v>
      </c>
      <c r="B209" s="46" t="s">
        <v>11</v>
      </c>
      <c r="C209" s="45">
        <v>5.53</v>
      </c>
      <c r="D209" s="122"/>
    </row>
    <row r="210" spans="1:4" ht="15.75" hidden="1" outlineLevel="1" x14ac:dyDescent="0.2">
      <c r="A210" s="45" t="s">
        <v>1793</v>
      </c>
      <c r="B210" s="46" t="s">
        <v>591</v>
      </c>
      <c r="C210" s="45">
        <v>5.1020000000000003</v>
      </c>
      <c r="D210" s="122"/>
    </row>
    <row r="211" spans="1:4" ht="15.75" hidden="1" outlineLevel="1" x14ac:dyDescent="0.2">
      <c r="A211" s="45" t="s">
        <v>1793</v>
      </c>
      <c r="B211" s="46" t="s">
        <v>592</v>
      </c>
      <c r="C211" s="48">
        <v>5.0999999999999996</v>
      </c>
      <c r="D211" s="122"/>
    </row>
    <row r="212" spans="1:4" ht="15.75" hidden="1" outlineLevel="1" x14ac:dyDescent="0.2">
      <c r="A212" s="45" t="s">
        <v>1793</v>
      </c>
      <c r="B212" s="46" t="s">
        <v>17</v>
      </c>
      <c r="C212" s="45">
        <v>5.58</v>
      </c>
      <c r="D212" s="122"/>
    </row>
    <row r="213" spans="1:4" ht="15.75" hidden="1" outlineLevel="1" x14ac:dyDescent="0.2">
      <c r="A213" s="45" t="s">
        <v>1793</v>
      </c>
      <c r="B213" s="46" t="s">
        <v>18</v>
      </c>
      <c r="C213" s="45">
        <v>5.54</v>
      </c>
      <c r="D213" s="122"/>
    </row>
    <row r="214" spans="1:4" ht="15.75" hidden="1" outlineLevel="1" x14ac:dyDescent="0.2">
      <c r="A214" s="45" t="s">
        <v>1793</v>
      </c>
      <c r="B214" s="46" t="s">
        <v>19</v>
      </c>
      <c r="C214" s="45">
        <v>5.55</v>
      </c>
      <c r="D214" s="122"/>
    </row>
    <row r="215" spans="1:4" ht="15.75" hidden="1" outlineLevel="1" x14ac:dyDescent="0.2">
      <c r="A215" s="45" t="s">
        <v>1793</v>
      </c>
      <c r="B215" s="46" t="s">
        <v>20</v>
      </c>
      <c r="C215" s="45">
        <v>5.63</v>
      </c>
      <c r="D215" s="122"/>
    </row>
    <row r="216" spans="1:4" ht="15.75" hidden="1" outlineLevel="1" x14ac:dyDescent="0.2">
      <c r="A216" s="45" t="s">
        <v>1793</v>
      </c>
      <c r="B216" s="46" t="s">
        <v>24</v>
      </c>
      <c r="C216" s="45">
        <v>5.47</v>
      </c>
      <c r="D216" s="122"/>
    </row>
    <row r="217" spans="1:4" ht="15.75" hidden="1" outlineLevel="1" x14ac:dyDescent="0.2">
      <c r="A217" s="45" t="s">
        <v>1793</v>
      </c>
      <c r="B217" s="46" t="s">
        <v>25</v>
      </c>
      <c r="C217" s="45">
        <v>5.48</v>
      </c>
      <c r="D217" s="122"/>
    </row>
    <row r="218" spans="1:4" ht="15.75" x14ac:dyDescent="0.2">
      <c r="A218" s="51" t="s">
        <v>1793</v>
      </c>
      <c r="B218" s="46"/>
      <c r="C218" s="45"/>
      <c r="D218" s="122"/>
    </row>
    <row r="219" spans="1:4" ht="15.75" hidden="1" outlineLevel="1" x14ac:dyDescent="0.2">
      <c r="A219" s="45" t="s">
        <v>1533</v>
      </c>
      <c r="B219" s="46" t="s">
        <v>0</v>
      </c>
      <c r="C219" s="45">
        <v>5.0999999999999996</v>
      </c>
      <c r="D219" s="122"/>
    </row>
    <row r="220" spans="1:4" ht="15.75" hidden="1" outlineLevel="1" x14ac:dyDescent="0.2">
      <c r="A220" s="45" t="s">
        <v>1533</v>
      </c>
      <c r="B220" s="46" t="s">
        <v>1</v>
      </c>
      <c r="C220" s="45">
        <v>5.2</v>
      </c>
      <c r="D220" s="122"/>
    </row>
    <row r="221" spans="1:4" ht="15.75" hidden="1" outlineLevel="1" x14ac:dyDescent="0.2">
      <c r="A221" s="45" t="s">
        <v>1533</v>
      </c>
      <c r="B221" s="46" t="s">
        <v>2</v>
      </c>
      <c r="C221" s="45">
        <v>5.3</v>
      </c>
      <c r="D221" s="122"/>
    </row>
    <row r="222" spans="1:4" ht="15.75" hidden="1" outlineLevel="1" x14ac:dyDescent="0.2">
      <c r="A222" s="45" t="s">
        <v>1533</v>
      </c>
      <c r="B222" s="46" t="s">
        <v>76</v>
      </c>
      <c r="C222" s="45">
        <v>5.6</v>
      </c>
      <c r="D222" s="122"/>
    </row>
    <row r="223" spans="1:4" ht="15.75" hidden="1" outlineLevel="1" x14ac:dyDescent="0.2">
      <c r="A223" s="45" t="s">
        <v>1533</v>
      </c>
      <c r="B223" s="46" t="s">
        <v>1790</v>
      </c>
      <c r="C223" s="47">
        <v>5.0999999999999996</v>
      </c>
      <c r="D223" s="122"/>
    </row>
    <row r="224" spans="1:4" ht="15.75" hidden="1" outlineLevel="1" x14ac:dyDescent="0.2">
      <c r="A224" s="45" t="s">
        <v>1533</v>
      </c>
      <c r="B224" s="46" t="s">
        <v>588</v>
      </c>
      <c r="C224" s="45">
        <v>5.14</v>
      </c>
      <c r="D224" s="122"/>
    </row>
    <row r="225" spans="1:4" ht="15.75" hidden="1" outlineLevel="1" x14ac:dyDescent="0.2">
      <c r="A225" s="45" t="s">
        <v>1533</v>
      </c>
      <c r="B225" s="46" t="s">
        <v>4</v>
      </c>
      <c r="C225" s="45">
        <v>5.19</v>
      </c>
      <c r="D225" s="122"/>
    </row>
    <row r="226" spans="1:4" ht="15.75" hidden="1" outlineLevel="1" x14ac:dyDescent="0.2">
      <c r="A226" s="45" t="s">
        <v>1533</v>
      </c>
      <c r="B226" s="46" t="s">
        <v>78</v>
      </c>
      <c r="C226" s="45">
        <v>5.24</v>
      </c>
      <c r="D226" s="122"/>
    </row>
    <row r="227" spans="1:4" ht="15.75" hidden="1" outlineLevel="1" x14ac:dyDescent="0.2">
      <c r="A227" s="45" t="s">
        <v>1533</v>
      </c>
      <c r="B227" s="46" t="s">
        <v>5</v>
      </c>
      <c r="C227" s="45">
        <v>5.26</v>
      </c>
      <c r="D227" s="122"/>
    </row>
    <row r="228" spans="1:4" ht="15.75" hidden="1" outlineLevel="1" x14ac:dyDescent="0.2">
      <c r="A228" s="45" t="s">
        <v>1533</v>
      </c>
      <c r="B228" s="46" t="s">
        <v>6</v>
      </c>
      <c r="C228" s="45">
        <v>5.27</v>
      </c>
      <c r="D228" s="122"/>
    </row>
    <row r="229" spans="1:4" ht="15.75" hidden="1" outlineLevel="1" x14ac:dyDescent="0.2">
      <c r="A229" s="45" t="s">
        <v>1533</v>
      </c>
      <c r="B229" s="46" t="s">
        <v>7</v>
      </c>
      <c r="C229" s="45">
        <v>5.28</v>
      </c>
      <c r="D229" s="122"/>
    </row>
    <row r="230" spans="1:4" ht="15.75" hidden="1" outlineLevel="1" x14ac:dyDescent="0.2">
      <c r="A230" s="45" t="s">
        <v>1533</v>
      </c>
      <c r="B230" s="46" t="s">
        <v>86</v>
      </c>
      <c r="C230" s="45">
        <v>5.29</v>
      </c>
      <c r="D230" s="122"/>
    </row>
    <row r="231" spans="1:4" ht="15.75" hidden="1" outlineLevel="1" x14ac:dyDescent="0.2">
      <c r="A231" s="45" t="s">
        <v>1533</v>
      </c>
      <c r="B231" s="46" t="s">
        <v>8</v>
      </c>
      <c r="C231" s="47">
        <v>5.3</v>
      </c>
      <c r="D231" s="122"/>
    </row>
    <row r="232" spans="1:4" ht="15.75" hidden="1" outlineLevel="1" x14ac:dyDescent="0.2">
      <c r="A232" s="45" t="s">
        <v>1533</v>
      </c>
      <c r="B232" s="46" t="s">
        <v>79</v>
      </c>
      <c r="C232" s="45">
        <v>5.31</v>
      </c>
      <c r="D232" s="122"/>
    </row>
    <row r="233" spans="1:4" ht="15.75" hidden="1" outlineLevel="1" x14ac:dyDescent="0.2">
      <c r="A233" s="45" t="s">
        <v>1533</v>
      </c>
      <c r="B233" s="46" t="s">
        <v>596</v>
      </c>
      <c r="C233" s="45">
        <v>5.33</v>
      </c>
      <c r="D233" s="122"/>
    </row>
    <row r="234" spans="1:4" ht="15.75" hidden="1" outlineLevel="1" x14ac:dyDescent="0.2">
      <c r="A234" s="45" t="s">
        <v>1533</v>
      </c>
      <c r="B234" s="46" t="s">
        <v>590</v>
      </c>
      <c r="C234" s="45">
        <v>5.101</v>
      </c>
      <c r="D234" s="122"/>
    </row>
    <row r="235" spans="1:4" ht="15.75" hidden="1" outlineLevel="1" x14ac:dyDescent="0.2">
      <c r="A235" s="45" t="s">
        <v>1533</v>
      </c>
      <c r="B235" s="46" t="s">
        <v>80</v>
      </c>
      <c r="C235" s="45">
        <v>5.36</v>
      </c>
      <c r="D235" s="122"/>
    </row>
    <row r="236" spans="1:4" ht="15.75" hidden="1" outlineLevel="1" x14ac:dyDescent="0.2">
      <c r="A236" s="45" t="s">
        <v>1533</v>
      </c>
      <c r="B236" s="46" t="s">
        <v>11</v>
      </c>
      <c r="C236" s="45">
        <v>5.53</v>
      </c>
      <c r="D236" s="122"/>
    </row>
    <row r="237" spans="1:4" ht="15.75" hidden="1" outlineLevel="1" x14ac:dyDescent="0.2">
      <c r="A237" s="45" t="s">
        <v>1533</v>
      </c>
      <c r="B237" s="46" t="s">
        <v>591</v>
      </c>
      <c r="C237" s="45">
        <v>5.1020000000000003</v>
      </c>
      <c r="D237" s="122"/>
    </row>
    <row r="238" spans="1:4" ht="15.75" hidden="1" outlineLevel="1" x14ac:dyDescent="0.2">
      <c r="A238" s="45" t="s">
        <v>1533</v>
      </c>
      <c r="B238" s="46" t="s">
        <v>17</v>
      </c>
      <c r="C238" s="45">
        <v>5.58</v>
      </c>
      <c r="D238" s="122"/>
    </row>
    <row r="239" spans="1:4" ht="15.75" hidden="1" outlineLevel="1" x14ac:dyDescent="0.2">
      <c r="A239" s="45" t="s">
        <v>1533</v>
      </c>
      <c r="B239" s="46" t="s">
        <v>18</v>
      </c>
      <c r="C239" s="45">
        <v>5.54</v>
      </c>
      <c r="D239" s="122"/>
    </row>
    <row r="240" spans="1:4" ht="15.75" hidden="1" outlineLevel="1" x14ac:dyDescent="0.2">
      <c r="A240" s="45" t="s">
        <v>1533</v>
      </c>
      <c r="B240" s="46" t="s">
        <v>19</v>
      </c>
      <c r="C240" s="45">
        <v>5.55</v>
      </c>
      <c r="D240" s="122"/>
    </row>
    <row r="241" spans="1:4" ht="15.75" hidden="1" outlineLevel="1" x14ac:dyDescent="0.2">
      <c r="A241" s="45" t="s">
        <v>1533</v>
      </c>
      <c r="B241" s="46" t="s">
        <v>20</v>
      </c>
      <c r="C241" s="45">
        <v>5.63</v>
      </c>
      <c r="D241" s="122"/>
    </row>
    <row r="242" spans="1:4" ht="15.75" hidden="1" outlineLevel="1" x14ac:dyDescent="0.2">
      <c r="A242" s="45" t="s">
        <v>1533</v>
      </c>
      <c r="B242" s="46" t="s">
        <v>24</v>
      </c>
      <c r="C242" s="45">
        <v>5.47</v>
      </c>
      <c r="D242" s="122"/>
    </row>
    <row r="243" spans="1:4" ht="15.75" hidden="1" outlineLevel="1" x14ac:dyDescent="0.2">
      <c r="A243" s="45" t="s">
        <v>1533</v>
      </c>
      <c r="B243" s="46" t="s">
        <v>25</v>
      </c>
      <c r="C243" s="45">
        <v>5.48</v>
      </c>
      <c r="D243" s="122"/>
    </row>
    <row r="244" spans="1:4" ht="15.75" x14ac:dyDescent="0.2">
      <c r="A244" s="51" t="s">
        <v>1533</v>
      </c>
      <c r="B244" s="46"/>
      <c r="C244" s="45"/>
      <c r="D244" s="122"/>
    </row>
    <row r="245" spans="1:4" ht="15.75" hidden="1" outlineLevel="1" x14ac:dyDescent="0.2">
      <c r="A245" s="45" t="s">
        <v>1794</v>
      </c>
      <c r="B245" s="46" t="s">
        <v>0</v>
      </c>
      <c r="C245" s="45">
        <v>5.0999999999999996</v>
      </c>
      <c r="D245" s="122"/>
    </row>
    <row r="246" spans="1:4" ht="15.75" hidden="1" outlineLevel="1" x14ac:dyDescent="0.2">
      <c r="A246" s="45" t="s">
        <v>1794</v>
      </c>
      <c r="B246" s="46" t="s">
        <v>1</v>
      </c>
      <c r="C246" s="45">
        <v>5.2</v>
      </c>
      <c r="D246" s="122"/>
    </row>
    <row r="247" spans="1:4" ht="15.75" hidden="1" outlineLevel="1" x14ac:dyDescent="0.2">
      <c r="A247" s="45" t="s">
        <v>1794</v>
      </c>
      <c r="B247" s="46" t="s">
        <v>2</v>
      </c>
      <c r="C247" s="45">
        <v>5.3</v>
      </c>
      <c r="D247" s="122"/>
    </row>
    <row r="248" spans="1:4" ht="15.75" hidden="1" outlineLevel="1" x14ac:dyDescent="0.2">
      <c r="A248" s="45" t="s">
        <v>1794</v>
      </c>
      <c r="B248" s="46" t="s">
        <v>76</v>
      </c>
      <c r="C248" s="45">
        <v>5.6</v>
      </c>
      <c r="D248" s="122"/>
    </row>
    <row r="249" spans="1:4" ht="15.75" hidden="1" outlineLevel="1" x14ac:dyDescent="0.2">
      <c r="A249" s="45" t="s">
        <v>1794</v>
      </c>
      <c r="B249" s="46" t="s">
        <v>1790</v>
      </c>
      <c r="C249" s="47">
        <v>5.0999999999999996</v>
      </c>
      <c r="D249" s="122"/>
    </row>
    <row r="250" spans="1:4" ht="15.75" hidden="1" outlineLevel="1" x14ac:dyDescent="0.2">
      <c r="A250" s="45" t="s">
        <v>1794</v>
      </c>
      <c r="B250" s="46" t="s">
        <v>588</v>
      </c>
      <c r="C250" s="45">
        <v>5.14</v>
      </c>
      <c r="D250" s="122"/>
    </row>
    <row r="251" spans="1:4" ht="15.75" hidden="1" outlineLevel="1" x14ac:dyDescent="0.2">
      <c r="A251" s="45" t="s">
        <v>1794</v>
      </c>
      <c r="B251" s="46" t="s">
        <v>4</v>
      </c>
      <c r="C251" s="45">
        <v>5.19</v>
      </c>
      <c r="D251" s="122"/>
    </row>
    <row r="252" spans="1:4" ht="15.75" hidden="1" outlineLevel="1" x14ac:dyDescent="0.2">
      <c r="A252" s="45" t="s">
        <v>1794</v>
      </c>
      <c r="B252" s="46" t="s">
        <v>78</v>
      </c>
      <c r="C252" s="45">
        <v>5.24</v>
      </c>
      <c r="D252" s="122"/>
    </row>
    <row r="253" spans="1:4" ht="15.75" hidden="1" outlineLevel="1" x14ac:dyDescent="0.2">
      <c r="A253" s="45" t="s">
        <v>1794</v>
      </c>
      <c r="B253" s="46" t="s">
        <v>6</v>
      </c>
      <c r="C253" s="45">
        <v>5.27</v>
      </c>
      <c r="D253" s="122"/>
    </row>
    <row r="254" spans="1:4" ht="15.75" hidden="1" outlineLevel="1" x14ac:dyDescent="0.2">
      <c r="A254" s="45" t="s">
        <v>1794</v>
      </c>
      <c r="B254" s="46" t="s">
        <v>7</v>
      </c>
      <c r="C254" s="45">
        <v>5.28</v>
      </c>
      <c r="D254" s="122"/>
    </row>
    <row r="255" spans="1:4" ht="15.75" hidden="1" outlineLevel="1" x14ac:dyDescent="0.2">
      <c r="A255" s="45" t="s">
        <v>1794</v>
      </c>
      <c r="B255" s="46" t="s">
        <v>8</v>
      </c>
      <c r="C255" s="47">
        <v>5.3</v>
      </c>
      <c r="D255" s="122"/>
    </row>
    <row r="256" spans="1:4" ht="15.75" hidden="1" outlineLevel="1" x14ac:dyDescent="0.2">
      <c r="A256" s="45" t="s">
        <v>1794</v>
      </c>
      <c r="B256" s="46" t="s">
        <v>596</v>
      </c>
      <c r="C256" s="45">
        <v>5.33</v>
      </c>
      <c r="D256" s="122"/>
    </row>
    <row r="257" spans="1:4" ht="15.75" hidden="1" outlineLevel="1" x14ac:dyDescent="0.2">
      <c r="A257" s="45" t="s">
        <v>1794</v>
      </c>
      <c r="B257" s="46" t="s">
        <v>80</v>
      </c>
      <c r="C257" s="45">
        <v>5.36</v>
      </c>
      <c r="D257" s="122"/>
    </row>
    <row r="258" spans="1:4" ht="15.75" hidden="1" outlineLevel="1" x14ac:dyDescent="0.2">
      <c r="A258" s="45" t="s">
        <v>1794</v>
      </c>
      <c r="B258" s="46" t="s">
        <v>11</v>
      </c>
      <c r="C258" s="45">
        <v>5.53</v>
      </c>
      <c r="D258" s="122"/>
    </row>
    <row r="259" spans="1:4" ht="15.75" hidden="1" outlineLevel="1" x14ac:dyDescent="0.2">
      <c r="A259" s="45" t="s">
        <v>1794</v>
      </c>
      <c r="B259" s="46" t="s">
        <v>17</v>
      </c>
      <c r="C259" s="45">
        <v>5.58</v>
      </c>
      <c r="D259" s="122"/>
    </row>
    <row r="260" spans="1:4" ht="15.75" hidden="1" outlineLevel="1" x14ac:dyDescent="0.2">
      <c r="A260" s="45" t="s">
        <v>1794</v>
      </c>
      <c r="B260" s="46" t="s">
        <v>18</v>
      </c>
      <c r="C260" s="45">
        <v>5.54</v>
      </c>
      <c r="D260" s="122"/>
    </row>
    <row r="261" spans="1:4" ht="15.75" hidden="1" outlineLevel="1" x14ac:dyDescent="0.2">
      <c r="A261" s="45" t="s">
        <v>1794</v>
      </c>
      <c r="B261" s="46" t="s">
        <v>19</v>
      </c>
      <c r="C261" s="45">
        <v>5.55</v>
      </c>
      <c r="D261" s="122"/>
    </row>
    <row r="262" spans="1:4" ht="15.75" hidden="1" outlineLevel="1" x14ac:dyDescent="0.2">
      <c r="A262" s="45" t="s">
        <v>1794</v>
      </c>
      <c r="B262" s="46" t="s">
        <v>20</v>
      </c>
      <c r="C262" s="45">
        <v>5.63</v>
      </c>
      <c r="D262" s="122"/>
    </row>
    <row r="263" spans="1:4" ht="15.75" hidden="1" outlineLevel="1" x14ac:dyDescent="0.2">
      <c r="A263" s="45" t="s">
        <v>1794</v>
      </c>
      <c r="B263" s="46" t="s">
        <v>24</v>
      </c>
      <c r="C263" s="45">
        <v>5.47</v>
      </c>
      <c r="D263" s="122"/>
    </row>
    <row r="264" spans="1:4" ht="15.75" hidden="1" outlineLevel="1" x14ac:dyDescent="0.2">
      <c r="A264" s="45" t="s">
        <v>1794</v>
      </c>
      <c r="B264" s="46" t="s">
        <v>25</v>
      </c>
      <c r="C264" s="45">
        <v>5.48</v>
      </c>
      <c r="D264" s="122"/>
    </row>
    <row r="265" spans="1:4" ht="15.75" x14ac:dyDescent="0.2">
      <c r="A265" s="51" t="s">
        <v>1794</v>
      </c>
      <c r="B265" s="46"/>
      <c r="C265" s="45"/>
      <c r="D265" s="122"/>
    </row>
    <row r="266" spans="1:4" ht="15.75" hidden="1" outlineLevel="1" x14ac:dyDescent="0.2">
      <c r="A266" s="45" t="s">
        <v>1538</v>
      </c>
      <c r="B266" s="46" t="s">
        <v>0</v>
      </c>
      <c r="C266" s="45">
        <v>5.0999999999999996</v>
      </c>
      <c r="D266" s="122"/>
    </row>
    <row r="267" spans="1:4" ht="15.75" hidden="1" outlineLevel="1" x14ac:dyDescent="0.2">
      <c r="A267" s="45" t="s">
        <v>1538</v>
      </c>
      <c r="B267" s="46" t="s">
        <v>1</v>
      </c>
      <c r="C267" s="45">
        <v>5.2</v>
      </c>
      <c r="D267" s="122"/>
    </row>
    <row r="268" spans="1:4" ht="15.75" hidden="1" outlineLevel="1" x14ac:dyDescent="0.2">
      <c r="A268" s="45" t="s">
        <v>1538</v>
      </c>
      <c r="B268" s="46" t="s">
        <v>2</v>
      </c>
      <c r="C268" s="45">
        <v>5.3</v>
      </c>
      <c r="D268" s="122"/>
    </row>
    <row r="269" spans="1:4" ht="15.75" hidden="1" outlineLevel="1" x14ac:dyDescent="0.2">
      <c r="A269" s="45" t="s">
        <v>1538</v>
      </c>
      <c r="B269" s="46" t="s">
        <v>76</v>
      </c>
      <c r="C269" s="45">
        <v>5.6</v>
      </c>
      <c r="D269" s="122"/>
    </row>
    <row r="270" spans="1:4" ht="15.75" hidden="1" outlineLevel="1" x14ac:dyDescent="0.2">
      <c r="A270" s="45" t="s">
        <v>1538</v>
      </c>
      <c r="B270" s="46" t="s">
        <v>1790</v>
      </c>
      <c r="C270" s="47">
        <v>5.0999999999999996</v>
      </c>
      <c r="D270" s="122"/>
    </row>
    <row r="271" spans="1:4" ht="15.75" hidden="1" outlineLevel="1" x14ac:dyDescent="0.2">
      <c r="A271" s="45" t="s">
        <v>1538</v>
      </c>
      <c r="B271" s="46" t="s">
        <v>588</v>
      </c>
      <c r="C271" s="45">
        <v>5.14</v>
      </c>
      <c r="D271" s="122"/>
    </row>
    <row r="272" spans="1:4" ht="15.75" hidden="1" outlineLevel="1" x14ac:dyDescent="0.2">
      <c r="A272" s="45" t="s">
        <v>1538</v>
      </c>
      <c r="B272" s="46" t="s">
        <v>4</v>
      </c>
      <c r="C272" s="45">
        <v>5.19</v>
      </c>
      <c r="D272" s="122"/>
    </row>
    <row r="273" spans="1:4" ht="15.75" hidden="1" outlineLevel="1" x14ac:dyDescent="0.2">
      <c r="A273" s="45" t="s">
        <v>1538</v>
      </c>
      <c r="B273" s="46" t="s">
        <v>78</v>
      </c>
      <c r="C273" s="45">
        <v>5.24</v>
      </c>
      <c r="D273" s="122"/>
    </row>
    <row r="274" spans="1:4" ht="15.75" hidden="1" outlineLevel="1" x14ac:dyDescent="0.2">
      <c r="A274" s="45" t="s">
        <v>1538</v>
      </c>
      <c r="B274" s="46" t="s">
        <v>5</v>
      </c>
      <c r="C274" s="45">
        <v>5.26</v>
      </c>
      <c r="D274" s="122"/>
    </row>
    <row r="275" spans="1:4" ht="15.75" hidden="1" outlineLevel="1" x14ac:dyDescent="0.2">
      <c r="A275" s="45" t="s">
        <v>1538</v>
      </c>
      <c r="B275" s="46" t="s">
        <v>6</v>
      </c>
      <c r="C275" s="45">
        <v>5.27</v>
      </c>
      <c r="D275" s="122"/>
    </row>
    <row r="276" spans="1:4" ht="15.75" hidden="1" outlineLevel="1" x14ac:dyDescent="0.2">
      <c r="A276" s="45" t="s">
        <v>1538</v>
      </c>
      <c r="B276" s="46" t="s">
        <v>7</v>
      </c>
      <c r="C276" s="45">
        <v>5.28</v>
      </c>
      <c r="D276" s="122"/>
    </row>
    <row r="277" spans="1:4" ht="15.75" hidden="1" outlineLevel="1" x14ac:dyDescent="0.2">
      <c r="A277" s="45" t="s">
        <v>1538</v>
      </c>
      <c r="B277" s="46" t="s">
        <v>86</v>
      </c>
      <c r="C277" s="45">
        <v>5.29</v>
      </c>
      <c r="D277" s="122"/>
    </row>
    <row r="278" spans="1:4" ht="15.75" hidden="1" outlineLevel="1" x14ac:dyDescent="0.2">
      <c r="A278" s="45" t="s">
        <v>1538</v>
      </c>
      <c r="B278" s="46" t="s">
        <v>8</v>
      </c>
      <c r="C278" s="47">
        <v>5.3</v>
      </c>
      <c r="D278" s="122"/>
    </row>
    <row r="279" spans="1:4" ht="15.75" hidden="1" outlineLevel="1" x14ac:dyDescent="0.2">
      <c r="A279" s="45" t="s">
        <v>1538</v>
      </c>
      <c r="B279" s="46" t="s">
        <v>596</v>
      </c>
      <c r="C279" s="45">
        <v>5.33</v>
      </c>
      <c r="D279" s="122"/>
    </row>
    <row r="280" spans="1:4" ht="15.75" hidden="1" outlineLevel="1" x14ac:dyDescent="0.2">
      <c r="A280" s="45" t="s">
        <v>1538</v>
      </c>
      <c r="B280" s="46" t="s">
        <v>80</v>
      </c>
      <c r="C280" s="45">
        <v>5.36</v>
      </c>
      <c r="D280" s="122"/>
    </row>
    <row r="281" spans="1:4" ht="15.75" hidden="1" outlineLevel="1" x14ac:dyDescent="0.2">
      <c r="A281" s="45" t="s">
        <v>1538</v>
      </c>
      <c r="B281" s="46" t="s">
        <v>12</v>
      </c>
      <c r="C281" s="45">
        <v>5.69</v>
      </c>
      <c r="D281" s="122"/>
    </row>
    <row r="282" spans="1:4" ht="15.75" hidden="1" outlineLevel="1" x14ac:dyDescent="0.2">
      <c r="A282" s="45" t="s">
        <v>1538</v>
      </c>
      <c r="B282" s="46" t="s">
        <v>14</v>
      </c>
      <c r="C282" s="47">
        <v>5.7</v>
      </c>
      <c r="D282" s="122"/>
    </row>
    <row r="283" spans="1:4" ht="15.75" hidden="1" outlineLevel="1" x14ac:dyDescent="0.2">
      <c r="A283" s="45" t="s">
        <v>1538</v>
      </c>
      <c r="B283" s="46" t="s">
        <v>15</v>
      </c>
      <c r="C283" s="45">
        <v>5.74</v>
      </c>
      <c r="D283" s="122"/>
    </row>
    <row r="284" spans="1:4" ht="15.75" hidden="1" outlineLevel="1" x14ac:dyDescent="0.2">
      <c r="A284" s="45" t="s">
        <v>1538</v>
      </c>
      <c r="B284" s="46" t="s">
        <v>9</v>
      </c>
      <c r="C284" s="45">
        <v>5.49</v>
      </c>
      <c r="D284" s="122"/>
    </row>
    <row r="285" spans="1:4" ht="15.75" hidden="1" outlineLevel="1" x14ac:dyDescent="0.2">
      <c r="A285" s="45" t="s">
        <v>1538</v>
      </c>
      <c r="B285" s="46" t="s">
        <v>10</v>
      </c>
      <c r="C285" s="45">
        <v>5.51</v>
      </c>
      <c r="D285" s="122"/>
    </row>
    <row r="286" spans="1:4" ht="15.75" hidden="1" outlineLevel="1" x14ac:dyDescent="0.2">
      <c r="A286" s="45" t="s">
        <v>1538</v>
      </c>
      <c r="B286" s="46" t="s">
        <v>1791</v>
      </c>
      <c r="C286" s="45">
        <v>5.52</v>
      </c>
      <c r="D286" s="122"/>
    </row>
    <row r="287" spans="1:4" ht="15.75" hidden="1" outlineLevel="1" x14ac:dyDescent="0.2">
      <c r="A287" s="45" t="s">
        <v>1538</v>
      </c>
      <c r="B287" s="46" t="s">
        <v>11</v>
      </c>
      <c r="C287" s="45">
        <v>5.53</v>
      </c>
      <c r="D287" s="122"/>
    </row>
    <row r="288" spans="1:4" ht="15.75" hidden="1" outlineLevel="1" x14ac:dyDescent="0.2">
      <c r="A288" s="45" t="s">
        <v>1538</v>
      </c>
      <c r="B288" s="46" t="s">
        <v>17</v>
      </c>
      <c r="C288" s="45">
        <v>5.58</v>
      </c>
      <c r="D288" s="122"/>
    </row>
    <row r="289" spans="1:4" ht="15.75" hidden="1" outlineLevel="1" x14ac:dyDescent="0.2">
      <c r="A289" s="45" t="s">
        <v>1538</v>
      </c>
      <c r="B289" s="46" t="s">
        <v>18</v>
      </c>
      <c r="C289" s="45">
        <v>5.54</v>
      </c>
      <c r="D289" s="122"/>
    </row>
    <row r="290" spans="1:4" ht="15.75" hidden="1" outlineLevel="1" x14ac:dyDescent="0.2">
      <c r="A290" s="45" t="s">
        <v>1538</v>
      </c>
      <c r="B290" s="46" t="s">
        <v>19</v>
      </c>
      <c r="C290" s="45">
        <v>5.55</v>
      </c>
      <c r="D290" s="122"/>
    </row>
    <row r="291" spans="1:4" ht="15.75" hidden="1" outlineLevel="1" x14ac:dyDescent="0.2">
      <c r="A291" s="45" t="s">
        <v>1538</v>
      </c>
      <c r="B291" s="46" t="s">
        <v>20</v>
      </c>
      <c r="C291" s="45">
        <v>5.63</v>
      </c>
      <c r="D291" s="122"/>
    </row>
    <row r="292" spans="1:4" ht="15.75" hidden="1" outlineLevel="1" x14ac:dyDescent="0.2">
      <c r="A292" s="45" t="s">
        <v>1538</v>
      </c>
      <c r="B292" s="46" t="s">
        <v>24</v>
      </c>
      <c r="C292" s="45">
        <v>5.47</v>
      </c>
      <c r="D292" s="122"/>
    </row>
    <row r="293" spans="1:4" ht="15.75" hidden="1" outlineLevel="1" x14ac:dyDescent="0.2">
      <c r="A293" s="45" t="s">
        <v>1538</v>
      </c>
      <c r="B293" s="46" t="s">
        <v>25</v>
      </c>
      <c r="C293" s="45">
        <v>5.48</v>
      </c>
      <c r="D293" s="122"/>
    </row>
    <row r="294" spans="1:4" ht="15.75" x14ac:dyDescent="0.2">
      <c r="A294" s="51" t="s">
        <v>1538</v>
      </c>
      <c r="B294" s="46"/>
      <c r="C294" s="45"/>
      <c r="D294" s="122"/>
    </row>
    <row r="295" spans="1:4" ht="15.75" hidden="1" outlineLevel="1" x14ac:dyDescent="0.2">
      <c r="A295" s="45" t="s">
        <v>1545</v>
      </c>
      <c r="B295" s="46" t="s">
        <v>0</v>
      </c>
      <c r="C295" s="45">
        <v>5.0999999999999996</v>
      </c>
      <c r="D295" s="122"/>
    </row>
    <row r="296" spans="1:4" ht="15.75" hidden="1" outlineLevel="1" x14ac:dyDescent="0.2">
      <c r="A296" s="45" t="s">
        <v>1545</v>
      </c>
      <c r="B296" s="46" t="s">
        <v>1</v>
      </c>
      <c r="C296" s="45">
        <v>5.2</v>
      </c>
      <c r="D296" s="122"/>
    </row>
    <row r="297" spans="1:4" ht="15.75" hidden="1" outlineLevel="1" x14ac:dyDescent="0.2">
      <c r="A297" s="45" t="s">
        <v>1545</v>
      </c>
      <c r="B297" s="46" t="s">
        <v>2</v>
      </c>
      <c r="C297" s="45">
        <v>5.3</v>
      </c>
      <c r="D297" s="122"/>
    </row>
    <row r="298" spans="1:4" ht="15.75" hidden="1" outlineLevel="1" x14ac:dyDescent="0.2">
      <c r="A298" s="45" t="s">
        <v>1545</v>
      </c>
      <c r="B298" s="46" t="s">
        <v>588</v>
      </c>
      <c r="C298" s="45">
        <v>5.14</v>
      </c>
      <c r="D298" s="122"/>
    </row>
    <row r="299" spans="1:4" ht="15.75" hidden="1" outlineLevel="1" x14ac:dyDescent="0.2">
      <c r="A299" s="45" t="s">
        <v>1545</v>
      </c>
      <c r="B299" s="46" t="s">
        <v>4</v>
      </c>
      <c r="C299" s="45">
        <v>5.19</v>
      </c>
      <c r="D299" s="122"/>
    </row>
    <row r="300" spans="1:4" ht="15.75" hidden="1" outlineLevel="1" x14ac:dyDescent="0.2">
      <c r="A300" s="45" t="s">
        <v>1545</v>
      </c>
      <c r="B300" s="46" t="s">
        <v>78</v>
      </c>
      <c r="C300" s="45">
        <v>5.24</v>
      </c>
      <c r="D300" s="122"/>
    </row>
    <row r="301" spans="1:4" ht="15.75" hidden="1" outlineLevel="1" x14ac:dyDescent="0.2">
      <c r="A301" s="45" t="s">
        <v>1545</v>
      </c>
      <c r="B301" s="46" t="s">
        <v>5</v>
      </c>
      <c r="C301" s="45">
        <v>5.26</v>
      </c>
      <c r="D301" s="122"/>
    </row>
    <row r="302" spans="1:4" ht="15.75" hidden="1" outlineLevel="1" x14ac:dyDescent="0.2">
      <c r="A302" s="45" t="s">
        <v>1545</v>
      </c>
      <c r="B302" s="46" t="s">
        <v>6</v>
      </c>
      <c r="C302" s="45">
        <v>5.27</v>
      </c>
      <c r="D302" s="122"/>
    </row>
    <row r="303" spans="1:4" ht="15.75" hidden="1" outlineLevel="1" x14ac:dyDescent="0.2">
      <c r="A303" s="45" t="s">
        <v>1545</v>
      </c>
      <c r="B303" s="46" t="s">
        <v>7</v>
      </c>
      <c r="C303" s="45">
        <v>5.28</v>
      </c>
      <c r="D303" s="122"/>
    </row>
    <row r="304" spans="1:4" ht="15.75" hidden="1" outlineLevel="1" x14ac:dyDescent="0.2">
      <c r="A304" s="45" t="s">
        <v>1545</v>
      </c>
      <c r="B304" s="46" t="s">
        <v>597</v>
      </c>
      <c r="C304" s="45">
        <v>5.37</v>
      </c>
      <c r="D304" s="122"/>
    </row>
    <row r="305" spans="1:4" ht="15.75" hidden="1" outlineLevel="1" x14ac:dyDescent="0.2">
      <c r="A305" s="45" t="s">
        <v>1545</v>
      </c>
      <c r="B305" s="46" t="s">
        <v>9</v>
      </c>
      <c r="C305" s="45">
        <v>5.49</v>
      </c>
      <c r="D305" s="122"/>
    </row>
    <row r="306" spans="1:4" ht="15.75" hidden="1" outlineLevel="1" x14ac:dyDescent="0.2">
      <c r="A306" s="45" t="s">
        <v>1545</v>
      </c>
      <c r="B306" s="46" t="s">
        <v>10</v>
      </c>
      <c r="C306" s="45">
        <v>5.51</v>
      </c>
      <c r="D306" s="122"/>
    </row>
    <row r="307" spans="1:4" ht="15.75" hidden="1" outlineLevel="1" x14ac:dyDescent="0.2">
      <c r="A307" s="45" t="s">
        <v>1545</v>
      </c>
      <c r="B307" s="46" t="s">
        <v>11</v>
      </c>
      <c r="C307" s="45">
        <v>5.53</v>
      </c>
      <c r="D307" s="122"/>
    </row>
    <row r="308" spans="1:4" ht="15.75" hidden="1" outlineLevel="1" x14ac:dyDescent="0.2">
      <c r="A308" s="45" t="s">
        <v>1545</v>
      </c>
      <c r="B308" s="46" t="s">
        <v>12</v>
      </c>
      <c r="C308" s="45">
        <v>5.69</v>
      </c>
      <c r="D308" s="122"/>
    </row>
    <row r="309" spans="1:4" ht="15.75" hidden="1" outlineLevel="1" x14ac:dyDescent="0.2">
      <c r="A309" s="45" t="s">
        <v>1545</v>
      </c>
      <c r="B309" s="46" t="s">
        <v>13</v>
      </c>
      <c r="C309" s="45">
        <v>5.75</v>
      </c>
      <c r="D309" s="122"/>
    </row>
    <row r="310" spans="1:4" ht="15.75" hidden="1" outlineLevel="1" x14ac:dyDescent="0.2">
      <c r="A310" s="45" t="s">
        <v>1545</v>
      </c>
      <c r="B310" s="46" t="s">
        <v>14</v>
      </c>
      <c r="C310" s="47">
        <v>5.7</v>
      </c>
      <c r="D310" s="122"/>
    </row>
    <row r="311" spans="1:4" ht="15.75" hidden="1" outlineLevel="1" x14ac:dyDescent="0.2">
      <c r="A311" s="45" t="s">
        <v>1545</v>
      </c>
      <c r="B311" s="46" t="s">
        <v>15</v>
      </c>
      <c r="C311" s="45">
        <v>5.74</v>
      </c>
      <c r="D311" s="122"/>
    </row>
    <row r="312" spans="1:4" ht="15.75" hidden="1" outlineLevel="1" x14ac:dyDescent="0.2">
      <c r="A312" s="45" t="s">
        <v>1545</v>
      </c>
      <c r="B312" s="46" t="s">
        <v>17</v>
      </c>
      <c r="C312" s="45">
        <v>5.58</v>
      </c>
      <c r="D312" s="122"/>
    </row>
    <row r="313" spans="1:4" ht="15.75" hidden="1" outlineLevel="1" x14ac:dyDescent="0.2">
      <c r="A313" s="45" t="s">
        <v>1545</v>
      </c>
      <c r="B313" s="46" t="s">
        <v>18</v>
      </c>
      <c r="C313" s="45">
        <v>5.54</v>
      </c>
      <c r="D313" s="122"/>
    </row>
    <row r="314" spans="1:4" ht="15.75" hidden="1" outlineLevel="1" x14ac:dyDescent="0.2">
      <c r="A314" s="45" t="s">
        <v>1545</v>
      </c>
      <c r="B314" s="46" t="s">
        <v>19</v>
      </c>
      <c r="C314" s="45">
        <v>5.55</v>
      </c>
      <c r="D314" s="122"/>
    </row>
    <row r="315" spans="1:4" ht="15.75" hidden="1" outlineLevel="1" x14ac:dyDescent="0.2">
      <c r="A315" s="45" t="s">
        <v>1545</v>
      </c>
      <c r="B315" s="46" t="s">
        <v>20</v>
      </c>
      <c r="C315" s="45">
        <v>5.63</v>
      </c>
      <c r="D315" s="122"/>
    </row>
    <row r="316" spans="1:4" ht="15.75" hidden="1" outlineLevel="1" x14ac:dyDescent="0.2">
      <c r="A316" s="45" t="s">
        <v>1545</v>
      </c>
      <c r="B316" s="46" t="s">
        <v>21</v>
      </c>
      <c r="C316" s="45">
        <v>5.65</v>
      </c>
      <c r="D316" s="122"/>
    </row>
    <row r="317" spans="1:4" ht="15.75" hidden="1" outlineLevel="1" x14ac:dyDescent="0.2">
      <c r="A317" s="45" t="s">
        <v>1545</v>
      </c>
      <c r="B317" s="46" t="s">
        <v>22</v>
      </c>
      <c r="C317" s="45">
        <v>5.68</v>
      </c>
      <c r="D317" s="122"/>
    </row>
    <row r="318" spans="1:4" ht="15.75" hidden="1" outlineLevel="1" x14ac:dyDescent="0.2">
      <c r="A318" s="45" t="s">
        <v>1545</v>
      </c>
      <c r="B318" s="46" t="s">
        <v>24</v>
      </c>
      <c r="C318" s="45">
        <v>5.47</v>
      </c>
      <c r="D318" s="122"/>
    </row>
    <row r="319" spans="1:4" ht="15.75" hidden="1" outlineLevel="1" x14ac:dyDescent="0.2">
      <c r="A319" s="45" t="s">
        <v>1545</v>
      </c>
      <c r="B319" s="46" t="s">
        <v>25</v>
      </c>
      <c r="C319" s="45">
        <v>5.48</v>
      </c>
      <c r="D319" s="122"/>
    </row>
    <row r="320" spans="1:4" ht="15.75" x14ac:dyDescent="0.2">
      <c r="A320" s="51" t="s">
        <v>1545</v>
      </c>
      <c r="B320" s="46"/>
      <c r="C320" s="45"/>
      <c r="D320" s="122"/>
    </row>
    <row r="321" spans="1:4" ht="15.75" hidden="1" outlineLevel="1" x14ac:dyDescent="0.2">
      <c r="A321" s="45" t="s">
        <v>1546</v>
      </c>
      <c r="B321" s="46" t="s">
        <v>0</v>
      </c>
      <c r="C321" s="45">
        <v>5.0999999999999996</v>
      </c>
      <c r="D321" s="122"/>
    </row>
    <row r="322" spans="1:4" ht="15.75" hidden="1" outlineLevel="1" x14ac:dyDescent="0.2">
      <c r="A322" s="45" t="s">
        <v>1546</v>
      </c>
      <c r="B322" s="46" t="s">
        <v>1</v>
      </c>
      <c r="C322" s="45">
        <v>5.2</v>
      </c>
      <c r="D322" s="122"/>
    </row>
    <row r="323" spans="1:4" ht="15.75" hidden="1" outlineLevel="1" x14ac:dyDescent="0.2">
      <c r="A323" s="45" t="s">
        <v>1546</v>
      </c>
      <c r="B323" s="46" t="s">
        <v>5</v>
      </c>
      <c r="C323" s="45">
        <v>5.26</v>
      </c>
      <c r="D323" s="122"/>
    </row>
    <row r="324" spans="1:4" ht="15.75" hidden="1" outlineLevel="1" x14ac:dyDescent="0.2">
      <c r="A324" s="45" t="s">
        <v>1546</v>
      </c>
      <c r="B324" s="46" t="s">
        <v>588</v>
      </c>
      <c r="C324" s="45">
        <v>5.14</v>
      </c>
      <c r="D324" s="122"/>
    </row>
    <row r="325" spans="1:4" ht="15.75" hidden="1" outlineLevel="1" x14ac:dyDescent="0.2">
      <c r="A325" s="45" t="s">
        <v>1546</v>
      </c>
      <c r="B325" s="46" t="s">
        <v>4</v>
      </c>
      <c r="C325" s="45">
        <v>5.19</v>
      </c>
      <c r="D325" s="122"/>
    </row>
    <row r="326" spans="1:4" ht="15.75" hidden="1" outlineLevel="1" x14ac:dyDescent="0.2">
      <c r="A326" s="45" t="s">
        <v>1546</v>
      </c>
      <c r="B326" s="46" t="s">
        <v>597</v>
      </c>
      <c r="C326" s="45">
        <v>5.37</v>
      </c>
      <c r="D326" s="122"/>
    </row>
    <row r="327" spans="1:4" ht="15.75" hidden="1" outlineLevel="1" x14ac:dyDescent="0.2">
      <c r="A327" s="45" t="s">
        <v>1546</v>
      </c>
      <c r="B327" s="46" t="s">
        <v>12</v>
      </c>
      <c r="C327" s="45">
        <v>5.69</v>
      </c>
      <c r="D327" s="122"/>
    </row>
    <row r="328" spans="1:4" ht="15.75" hidden="1" outlineLevel="1" x14ac:dyDescent="0.2">
      <c r="A328" s="45" t="s">
        <v>1546</v>
      </c>
      <c r="B328" s="46" t="s">
        <v>598</v>
      </c>
      <c r="C328" s="47">
        <v>5.8</v>
      </c>
      <c r="D328" s="122"/>
    </row>
    <row r="329" spans="1:4" ht="15.75" hidden="1" outlineLevel="1" x14ac:dyDescent="0.2">
      <c r="A329" s="45" t="s">
        <v>1546</v>
      </c>
      <c r="B329" s="46" t="s">
        <v>13</v>
      </c>
      <c r="C329" s="45">
        <v>5.75</v>
      </c>
      <c r="D329" s="122"/>
    </row>
    <row r="330" spans="1:4" ht="15.75" hidden="1" outlineLevel="1" x14ac:dyDescent="0.2">
      <c r="A330" s="45" t="s">
        <v>1546</v>
      </c>
      <c r="B330" s="46" t="s">
        <v>14</v>
      </c>
      <c r="C330" s="47">
        <v>5.7</v>
      </c>
      <c r="D330" s="122"/>
    </row>
    <row r="331" spans="1:4" ht="15.75" hidden="1" outlineLevel="1" x14ac:dyDescent="0.2">
      <c r="A331" s="45" t="s">
        <v>1546</v>
      </c>
      <c r="B331" s="46" t="s">
        <v>15</v>
      </c>
      <c r="C331" s="45">
        <v>5.74</v>
      </c>
      <c r="D331" s="122"/>
    </row>
    <row r="332" spans="1:4" ht="15.75" hidden="1" outlineLevel="1" x14ac:dyDescent="0.2">
      <c r="A332" s="45" t="s">
        <v>1546</v>
      </c>
      <c r="B332" s="46" t="s">
        <v>17</v>
      </c>
      <c r="C332" s="45">
        <v>5.58</v>
      </c>
      <c r="D332" s="122"/>
    </row>
    <row r="333" spans="1:4" ht="15.75" hidden="1" outlineLevel="1" x14ac:dyDescent="0.2">
      <c r="A333" s="45" t="s">
        <v>1546</v>
      </c>
      <c r="B333" s="46" t="s">
        <v>19</v>
      </c>
      <c r="C333" s="45">
        <v>5.55</v>
      </c>
      <c r="D333" s="122"/>
    </row>
    <row r="334" spans="1:4" ht="15.75" hidden="1" outlineLevel="1" x14ac:dyDescent="0.2">
      <c r="A334" s="45" t="s">
        <v>1546</v>
      </c>
      <c r="B334" s="46" t="s">
        <v>20</v>
      </c>
      <c r="C334" s="45">
        <v>5.63</v>
      </c>
      <c r="D334" s="122"/>
    </row>
    <row r="335" spans="1:4" ht="15.75" hidden="1" outlineLevel="1" x14ac:dyDescent="0.2">
      <c r="A335" s="45" t="s">
        <v>1546</v>
      </c>
      <c r="B335" s="46" t="s">
        <v>21</v>
      </c>
      <c r="C335" s="45">
        <v>5.65</v>
      </c>
      <c r="D335" s="122"/>
    </row>
    <row r="336" spans="1:4" ht="15.75" hidden="1" outlineLevel="1" x14ac:dyDescent="0.2">
      <c r="A336" s="45" t="s">
        <v>1546</v>
      </c>
      <c r="B336" s="46" t="s">
        <v>22</v>
      </c>
      <c r="C336" s="45">
        <v>5.68</v>
      </c>
      <c r="D336" s="122"/>
    </row>
    <row r="337" spans="1:4" ht="15.75" hidden="1" outlineLevel="1" x14ac:dyDescent="0.2">
      <c r="A337" s="45" t="s">
        <v>1546</v>
      </c>
      <c r="B337" s="46" t="s">
        <v>24</v>
      </c>
      <c r="C337" s="45">
        <v>5.47</v>
      </c>
      <c r="D337" s="122"/>
    </row>
    <row r="338" spans="1:4" ht="15.75" hidden="1" outlineLevel="1" x14ac:dyDescent="0.2">
      <c r="A338" s="45" t="s">
        <v>1546</v>
      </c>
      <c r="B338" s="46" t="s">
        <v>25</v>
      </c>
      <c r="C338" s="45">
        <v>5.48</v>
      </c>
      <c r="D338" s="122"/>
    </row>
    <row r="339" spans="1:4" ht="15.75" x14ac:dyDescent="0.2">
      <c r="A339" s="51" t="s">
        <v>1546</v>
      </c>
      <c r="B339" s="46"/>
      <c r="C339" s="45"/>
      <c r="D339" s="122"/>
    </row>
    <row r="340" spans="1:4" ht="15.75" hidden="1" outlineLevel="1" x14ac:dyDescent="0.2">
      <c r="A340" s="45" t="s">
        <v>1552</v>
      </c>
      <c r="B340" s="46" t="s">
        <v>599</v>
      </c>
      <c r="C340" s="45">
        <v>5.0999999999999996</v>
      </c>
      <c r="D340" s="122"/>
    </row>
    <row r="341" spans="1:4" ht="15.75" hidden="1" outlineLevel="1" x14ac:dyDescent="0.2">
      <c r="A341" s="45" t="s">
        <v>1552</v>
      </c>
      <c r="B341" s="46" t="s">
        <v>1</v>
      </c>
      <c r="C341" s="45">
        <v>5.2</v>
      </c>
      <c r="D341" s="122"/>
    </row>
    <row r="342" spans="1:4" ht="15.75" hidden="1" outlineLevel="1" x14ac:dyDescent="0.2">
      <c r="A342" s="45" t="s">
        <v>1552</v>
      </c>
      <c r="B342" s="46" t="s">
        <v>5</v>
      </c>
      <c r="C342" s="45">
        <v>5.26</v>
      </c>
      <c r="D342" s="122"/>
    </row>
    <row r="343" spans="1:4" ht="15.75" hidden="1" outlineLevel="1" x14ac:dyDescent="0.2">
      <c r="A343" s="45" t="s">
        <v>1552</v>
      </c>
      <c r="B343" s="46" t="s">
        <v>600</v>
      </c>
      <c r="C343" s="45">
        <v>5.38</v>
      </c>
      <c r="D343" s="122"/>
    </row>
    <row r="344" spans="1:4" ht="15.75" hidden="1" outlineLevel="1" x14ac:dyDescent="0.2">
      <c r="A344" s="45" t="s">
        <v>1552</v>
      </c>
      <c r="B344" s="46" t="s">
        <v>601</v>
      </c>
      <c r="C344" s="45">
        <v>5.39</v>
      </c>
      <c r="D344" s="122"/>
    </row>
    <row r="345" spans="1:4" ht="15.75" hidden="1" outlineLevel="1" x14ac:dyDescent="0.2">
      <c r="A345" s="45" t="s">
        <v>1552</v>
      </c>
      <c r="B345" s="46" t="s">
        <v>602</v>
      </c>
      <c r="C345" s="47">
        <v>5.6</v>
      </c>
      <c r="D345" s="122"/>
    </row>
    <row r="346" spans="1:4" ht="15.75" hidden="1" outlineLevel="1" x14ac:dyDescent="0.2">
      <c r="A346" s="45" t="s">
        <v>1552</v>
      </c>
      <c r="B346" s="46" t="s">
        <v>25</v>
      </c>
      <c r="C346" s="45">
        <v>5.48</v>
      </c>
      <c r="D346" s="122"/>
    </row>
    <row r="347" spans="1:4" ht="15.75" x14ac:dyDescent="0.2">
      <c r="A347" s="51" t="s">
        <v>1552</v>
      </c>
      <c r="B347" s="46"/>
      <c r="C347" s="45"/>
      <c r="D347" s="122"/>
    </row>
    <row r="348" spans="1:4" ht="15.75" hidden="1" outlineLevel="1" x14ac:dyDescent="0.2">
      <c r="A348" s="45" t="s">
        <v>1556</v>
      </c>
      <c r="B348" s="46" t="s">
        <v>0</v>
      </c>
      <c r="C348" s="45">
        <v>5.0999999999999996</v>
      </c>
      <c r="D348" s="122"/>
    </row>
    <row r="349" spans="1:4" ht="15.75" hidden="1" outlineLevel="1" x14ac:dyDescent="0.2">
      <c r="A349" s="45" t="s">
        <v>1556</v>
      </c>
      <c r="B349" s="46" t="s">
        <v>1</v>
      </c>
      <c r="C349" s="45">
        <v>5.2</v>
      </c>
      <c r="D349" s="122"/>
    </row>
    <row r="350" spans="1:4" ht="15.75" hidden="1" outlineLevel="1" x14ac:dyDescent="0.2">
      <c r="A350" s="45" t="s">
        <v>1556</v>
      </c>
      <c r="B350" s="46" t="s">
        <v>2</v>
      </c>
      <c r="C350" s="45">
        <v>5.3</v>
      </c>
      <c r="D350" s="122"/>
    </row>
    <row r="351" spans="1:4" ht="15.75" hidden="1" outlineLevel="1" x14ac:dyDescent="0.2">
      <c r="A351" s="45" t="s">
        <v>1556</v>
      </c>
      <c r="B351" s="46" t="s">
        <v>76</v>
      </c>
      <c r="C351" s="45">
        <v>5.6</v>
      </c>
      <c r="D351" s="122"/>
    </row>
    <row r="352" spans="1:4" ht="15.75" hidden="1" outlineLevel="1" x14ac:dyDescent="0.2">
      <c r="A352" s="45" t="s">
        <v>1556</v>
      </c>
      <c r="B352" s="46" t="s">
        <v>1790</v>
      </c>
      <c r="C352" s="47">
        <v>5.0999999999999996</v>
      </c>
      <c r="D352" s="122"/>
    </row>
    <row r="353" spans="1:4" ht="15.75" hidden="1" outlineLevel="1" x14ac:dyDescent="0.2">
      <c r="A353" s="45" t="s">
        <v>1556</v>
      </c>
      <c r="B353" s="46" t="s">
        <v>588</v>
      </c>
      <c r="C353" s="45">
        <v>5.14</v>
      </c>
      <c r="D353" s="122"/>
    </row>
    <row r="354" spans="1:4" ht="15.75" hidden="1" outlineLevel="1" x14ac:dyDescent="0.2">
      <c r="A354" s="45" t="s">
        <v>1556</v>
      </c>
      <c r="B354" s="46" t="s">
        <v>4</v>
      </c>
      <c r="C354" s="45">
        <v>5.19</v>
      </c>
      <c r="D354" s="122"/>
    </row>
    <row r="355" spans="1:4" ht="15.75" hidden="1" outlineLevel="1" x14ac:dyDescent="0.2">
      <c r="A355" s="45" t="s">
        <v>1556</v>
      </c>
      <c r="B355" s="46" t="s">
        <v>78</v>
      </c>
      <c r="C355" s="45">
        <v>5.24</v>
      </c>
      <c r="D355" s="122"/>
    </row>
    <row r="356" spans="1:4" ht="15.75" hidden="1" outlineLevel="1" x14ac:dyDescent="0.2">
      <c r="A356" s="45" t="s">
        <v>1556</v>
      </c>
      <c r="B356" s="46" t="s">
        <v>5</v>
      </c>
      <c r="C356" s="45">
        <v>5.26</v>
      </c>
      <c r="D356" s="122"/>
    </row>
    <row r="357" spans="1:4" ht="15.75" hidden="1" outlineLevel="1" x14ac:dyDescent="0.2">
      <c r="A357" s="45" t="s">
        <v>1556</v>
      </c>
      <c r="B357" s="46" t="s">
        <v>6</v>
      </c>
      <c r="C357" s="45">
        <v>5.27</v>
      </c>
      <c r="D357" s="122"/>
    </row>
    <row r="358" spans="1:4" ht="15.75" hidden="1" outlineLevel="1" x14ac:dyDescent="0.2">
      <c r="A358" s="45" t="s">
        <v>1556</v>
      </c>
      <c r="B358" s="46" t="s">
        <v>7</v>
      </c>
      <c r="C358" s="45">
        <v>5.28</v>
      </c>
      <c r="D358" s="122"/>
    </row>
    <row r="359" spans="1:4" ht="15.75" hidden="1" outlineLevel="1" x14ac:dyDescent="0.2">
      <c r="A359" s="45" t="s">
        <v>1556</v>
      </c>
      <c r="B359" s="46" t="s">
        <v>79</v>
      </c>
      <c r="C359" s="45">
        <v>5.31</v>
      </c>
      <c r="D359" s="122"/>
    </row>
    <row r="360" spans="1:4" ht="15.75" hidden="1" outlineLevel="1" x14ac:dyDescent="0.2">
      <c r="A360" s="45" t="s">
        <v>1556</v>
      </c>
      <c r="B360" s="46" t="s">
        <v>80</v>
      </c>
      <c r="C360" s="45">
        <v>5.36</v>
      </c>
      <c r="D360" s="122"/>
    </row>
    <row r="361" spans="1:4" ht="15.75" hidden="1" outlineLevel="1" x14ac:dyDescent="0.2">
      <c r="A361" s="45" t="s">
        <v>1556</v>
      </c>
      <c r="B361" s="46" t="s">
        <v>597</v>
      </c>
      <c r="C361" s="45">
        <v>5.37</v>
      </c>
      <c r="D361" s="122"/>
    </row>
    <row r="362" spans="1:4" ht="15.75" hidden="1" outlineLevel="1" x14ac:dyDescent="0.2">
      <c r="A362" s="45" t="s">
        <v>1556</v>
      </c>
      <c r="B362" s="46" t="s">
        <v>9</v>
      </c>
      <c r="C362" s="45">
        <v>5.49</v>
      </c>
      <c r="D362" s="122"/>
    </row>
    <row r="363" spans="1:4" ht="15.75" hidden="1" outlineLevel="1" x14ac:dyDescent="0.2">
      <c r="A363" s="45" t="s">
        <v>1556</v>
      </c>
      <c r="B363" s="46" t="s">
        <v>10</v>
      </c>
      <c r="C363" s="45">
        <v>5.51</v>
      </c>
      <c r="D363" s="122"/>
    </row>
    <row r="364" spans="1:4" ht="15.75" hidden="1" outlineLevel="1" x14ac:dyDescent="0.2">
      <c r="A364" s="45" t="s">
        <v>1556</v>
      </c>
      <c r="B364" s="46" t="s">
        <v>1791</v>
      </c>
      <c r="C364" s="45">
        <v>5.52</v>
      </c>
      <c r="D364" s="122"/>
    </row>
    <row r="365" spans="1:4" ht="15.75" hidden="1" outlineLevel="1" x14ac:dyDescent="0.2">
      <c r="A365" s="45" t="s">
        <v>1556</v>
      </c>
      <c r="B365" s="46" t="s">
        <v>11</v>
      </c>
      <c r="C365" s="45">
        <v>5.53</v>
      </c>
      <c r="D365" s="122"/>
    </row>
    <row r="366" spans="1:4" ht="15.75" hidden="1" outlineLevel="1" x14ac:dyDescent="0.2">
      <c r="A366" s="45" t="s">
        <v>1556</v>
      </c>
      <c r="B366" s="46" t="s">
        <v>12</v>
      </c>
      <c r="C366" s="45">
        <v>5.69</v>
      </c>
      <c r="D366" s="122"/>
    </row>
    <row r="367" spans="1:4" ht="15.75" hidden="1" outlineLevel="1" x14ac:dyDescent="0.2">
      <c r="A367" s="45" t="s">
        <v>1556</v>
      </c>
      <c r="B367" s="46" t="s">
        <v>598</v>
      </c>
      <c r="C367" s="47">
        <v>5.8</v>
      </c>
      <c r="D367" s="122"/>
    </row>
    <row r="368" spans="1:4" ht="15.75" hidden="1" outlineLevel="1" x14ac:dyDescent="0.2">
      <c r="A368" s="45" t="s">
        <v>1556</v>
      </c>
      <c r="B368" s="46" t="s">
        <v>82</v>
      </c>
      <c r="C368" s="47">
        <v>5.72</v>
      </c>
      <c r="D368" s="122"/>
    </row>
    <row r="369" spans="1:4" ht="15.75" hidden="1" outlineLevel="1" x14ac:dyDescent="0.2">
      <c r="A369" s="45" t="s">
        <v>1556</v>
      </c>
      <c r="B369" s="46" t="s">
        <v>13</v>
      </c>
      <c r="C369" s="45">
        <v>5.75</v>
      </c>
      <c r="D369" s="122"/>
    </row>
    <row r="370" spans="1:4" ht="15.75" hidden="1" outlineLevel="1" x14ac:dyDescent="0.2">
      <c r="A370" s="45" t="s">
        <v>1556</v>
      </c>
      <c r="B370" s="46" t="s">
        <v>14</v>
      </c>
      <c r="C370" s="47">
        <v>5.7</v>
      </c>
      <c r="D370" s="122"/>
    </row>
    <row r="371" spans="1:4" ht="15.75" hidden="1" outlineLevel="1" x14ac:dyDescent="0.2">
      <c r="A371" s="45" t="s">
        <v>1556</v>
      </c>
      <c r="B371" s="46" t="s">
        <v>15</v>
      </c>
      <c r="C371" s="45">
        <v>5.74</v>
      </c>
      <c r="D371" s="122"/>
    </row>
    <row r="372" spans="1:4" ht="15.75" hidden="1" outlineLevel="1" x14ac:dyDescent="0.2">
      <c r="A372" s="45" t="s">
        <v>1556</v>
      </c>
      <c r="B372" s="46" t="s">
        <v>83</v>
      </c>
      <c r="C372" s="45">
        <v>5.76</v>
      </c>
      <c r="D372" s="122"/>
    </row>
    <row r="373" spans="1:4" ht="15.75" hidden="1" outlineLevel="1" x14ac:dyDescent="0.2">
      <c r="A373" s="45" t="s">
        <v>1556</v>
      </c>
      <c r="B373" s="46" t="s">
        <v>84</v>
      </c>
      <c r="C373" s="45">
        <v>5.89</v>
      </c>
      <c r="D373" s="121" t="s">
        <v>1789</v>
      </c>
    </row>
    <row r="374" spans="1:4" ht="15.75" hidden="1" outlineLevel="1" x14ac:dyDescent="0.2">
      <c r="A374" s="45" t="s">
        <v>1556</v>
      </c>
      <c r="B374" s="46" t="s">
        <v>603</v>
      </c>
      <c r="C374" s="45">
        <v>5.109</v>
      </c>
      <c r="D374" s="121"/>
    </row>
    <row r="375" spans="1:4" ht="15.75" hidden="1" outlineLevel="1" x14ac:dyDescent="0.2">
      <c r="A375" s="45" t="s">
        <v>1556</v>
      </c>
      <c r="B375" s="46" t="s">
        <v>604</v>
      </c>
      <c r="C375" s="45">
        <v>5.1109999999999998</v>
      </c>
      <c r="D375" s="122"/>
    </row>
    <row r="376" spans="1:4" ht="15.75" hidden="1" outlineLevel="1" x14ac:dyDescent="0.2">
      <c r="A376" s="45" t="s">
        <v>1556</v>
      </c>
      <c r="B376" s="46" t="s">
        <v>606</v>
      </c>
      <c r="C376" s="45">
        <v>5.1120000000000001</v>
      </c>
      <c r="D376" s="122"/>
    </row>
    <row r="377" spans="1:4" ht="15.75" hidden="1" outlineLevel="1" x14ac:dyDescent="0.2">
      <c r="A377" s="45" t="s">
        <v>1556</v>
      </c>
      <c r="B377" s="49" t="s">
        <v>1795</v>
      </c>
      <c r="C377" s="45">
        <v>5.1130000000000004</v>
      </c>
      <c r="D377" s="122"/>
    </row>
    <row r="378" spans="1:4" ht="15.75" hidden="1" outlineLevel="1" x14ac:dyDescent="0.2">
      <c r="A378" s="45" t="s">
        <v>1556</v>
      </c>
      <c r="B378" s="46" t="s">
        <v>17</v>
      </c>
      <c r="C378" s="45">
        <v>5.58</v>
      </c>
      <c r="D378" s="122"/>
    </row>
    <row r="379" spans="1:4" ht="15.75" hidden="1" outlineLevel="1" x14ac:dyDescent="0.2">
      <c r="A379" s="45" t="s">
        <v>1556</v>
      </c>
      <c r="B379" s="46" t="s">
        <v>18</v>
      </c>
      <c r="C379" s="45">
        <v>5.54</v>
      </c>
      <c r="D379" s="122"/>
    </row>
    <row r="380" spans="1:4" ht="15.75" hidden="1" outlineLevel="1" x14ac:dyDescent="0.2">
      <c r="A380" s="45" t="s">
        <v>1556</v>
      </c>
      <c r="B380" s="46" t="s">
        <v>19</v>
      </c>
      <c r="C380" s="45">
        <v>5.55</v>
      </c>
      <c r="D380" s="122"/>
    </row>
    <row r="381" spans="1:4" ht="15.75" hidden="1" outlineLevel="1" x14ac:dyDescent="0.2">
      <c r="A381" s="45" t="s">
        <v>1556</v>
      </c>
      <c r="B381" s="46" t="s">
        <v>20</v>
      </c>
      <c r="C381" s="45">
        <v>5.63</v>
      </c>
      <c r="D381" s="122"/>
    </row>
    <row r="382" spans="1:4" ht="15.75" hidden="1" outlineLevel="1" x14ac:dyDescent="0.2">
      <c r="A382" s="45" t="s">
        <v>1556</v>
      </c>
      <c r="B382" s="46" t="s">
        <v>21</v>
      </c>
      <c r="C382" s="45">
        <v>5.65</v>
      </c>
      <c r="D382" s="122"/>
    </row>
    <row r="383" spans="1:4" ht="15.75" hidden="1" outlineLevel="1" x14ac:dyDescent="0.2">
      <c r="A383" s="45" t="s">
        <v>1556</v>
      </c>
      <c r="B383" s="46" t="s">
        <v>85</v>
      </c>
      <c r="C383" s="45">
        <v>5.66</v>
      </c>
      <c r="D383" s="122"/>
    </row>
    <row r="384" spans="1:4" ht="15.75" hidden="1" outlineLevel="1" x14ac:dyDescent="0.2">
      <c r="A384" s="45" t="s">
        <v>1556</v>
      </c>
      <c r="B384" s="46" t="s">
        <v>22</v>
      </c>
      <c r="C384" s="45">
        <v>5.68</v>
      </c>
      <c r="D384" s="122"/>
    </row>
    <row r="385" spans="1:4" ht="15.75" hidden="1" outlineLevel="1" x14ac:dyDescent="0.2">
      <c r="A385" s="45" t="s">
        <v>1556</v>
      </c>
      <c r="B385" s="46" t="s">
        <v>24</v>
      </c>
      <c r="C385" s="45">
        <v>5.47</v>
      </c>
      <c r="D385" s="122"/>
    </row>
    <row r="386" spans="1:4" ht="15.75" hidden="1" outlineLevel="1" x14ac:dyDescent="0.2">
      <c r="A386" s="45" t="s">
        <v>1556</v>
      </c>
      <c r="B386" s="46" t="s">
        <v>25</v>
      </c>
      <c r="C386" s="45">
        <v>5.48</v>
      </c>
      <c r="D386" s="122"/>
    </row>
    <row r="387" spans="1:4" ht="15.75" x14ac:dyDescent="0.2">
      <c r="A387" s="51" t="s">
        <v>1556</v>
      </c>
      <c r="B387" s="46"/>
      <c r="C387" s="45"/>
      <c r="D387" s="122"/>
    </row>
    <row r="388" spans="1:4" ht="15.75" hidden="1" outlineLevel="1" x14ac:dyDescent="0.2">
      <c r="A388" s="45" t="s">
        <v>1558</v>
      </c>
      <c r="B388" s="46" t="s">
        <v>0</v>
      </c>
      <c r="C388" s="45">
        <v>5.0999999999999996</v>
      </c>
      <c r="D388" s="122"/>
    </row>
    <row r="389" spans="1:4" ht="15.75" hidden="1" outlineLevel="1" x14ac:dyDescent="0.2">
      <c r="A389" s="45" t="s">
        <v>1558</v>
      </c>
      <c r="B389" s="46" t="s">
        <v>1</v>
      </c>
      <c r="C389" s="45">
        <v>5.2</v>
      </c>
      <c r="D389" s="122"/>
    </row>
    <row r="390" spans="1:4" ht="15.75" hidden="1" outlineLevel="1" x14ac:dyDescent="0.2">
      <c r="A390" s="45" t="s">
        <v>1558</v>
      </c>
      <c r="B390" s="46" t="s">
        <v>2</v>
      </c>
      <c r="C390" s="45">
        <v>5.3</v>
      </c>
      <c r="D390" s="122"/>
    </row>
    <row r="391" spans="1:4" ht="15.75" hidden="1" outlineLevel="1" x14ac:dyDescent="0.2">
      <c r="A391" s="45" t="s">
        <v>1558</v>
      </c>
      <c r="B391" s="46" t="s">
        <v>76</v>
      </c>
      <c r="C391" s="45">
        <v>5.6</v>
      </c>
      <c r="D391" s="122"/>
    </row>
    <row r="392" spans="1:4" ht="15.75" hidden="1" outlineLevel="1" x14ac:dyDescent="0.2">
      <c r="A392" s="45" t="s">
        <v>1558</v>
      </c>
      <c r="B392" s="46" t="s">
        <v>1790</v>
      </c>
      <c r="C392" s="47">
        <v>5.0999999999999996</v>
      </c>
      <c r="D392" s="122"/>
    </row>
    <row r="393" spans="1:4" ht="15.75" hidden="1" outlineLevel="1" x14ac:dyDescent="0.2">
      <c r="A393" s="45" t="s">
        <v>1558</v>
      </c>
      <c r="B393" s="46" t="s">
        <v>588</v>
      </c>
      <c r="C393" s="45">
        <v>5.14</v>
      </c>
      <c r="D393" s="122"/>
    </row>
    <row r="394" spans="1:4" ht="15.75" hidden="1" outlineLevel="1" x14ac:dyDescent="0.2">
      <c r="A394" s="45" t="s">
        <v>1558</v>
      </c>
      <c r="B394" s="46" t="s">
        <v>4</v>
      </c>
      <c r="C394" s="45">
        <v>5.19</v>
      </c>
      <c r="D394" s="122"/>
    </row>
    <row r="395" spans="1:4" ht="15.75" hidden="1" outlineLevel="1" x14ac:dyDescent="0.2">
      <c r="A395" s="45" t="s">
        <v>1558</v>
      </c>
      <c r="B395" s="46" t="s">
        <v>78</v>
      </c>
      <c r="C395" s="45">
        <v>5.24</v>
      </c>
      <c r="D395" s="122"/>
    </row>
    <row r="396" spans="1:4" ht="15.75" hidden="1" outlineLevel="1" x14ac:dyDescent="0.2">
      <c r="A396" s="45" t="s">
        <v>1558</v>
      </c>
      <c r="B396" s="46" t="s">
        <v>5</v>
      </c>
      <c r="C396" s="45">
        <v>5.26</v>
      </c>
      <c r="D396" s="122"/>
    </row>
    <row r="397" spans="1:4" ht="15.75" hidden="1" outlineLevel="1" x14ac:dyDescent="0.2">
      <c r="A397" s="45" t="s">
        <v>1558</v>
      </c>
      <c r="B397" s="46" t="s">
        <v>6</v>
      </c>
      <c r="C397" s="45">
        <v>5.27</v>
      </c>
      <c r="D397" s="122"/>
    </row>
    <row r="398" spans="1:4" ht="15.75" hidden="1" outlineLevel="1" x14ac:dyDescent="0.2">
      <c r="A398" s="45" t="s">
        <v>1558</v>
      </c>
      <c r="B398" s="46" t="s">
        <v>7</v>
      </c>
      <c r="C398" s="45">
        <v>5.28</v>
      </c>
      <c r="D398" s="122"/>
    </row>
    <row r="399" spans="1:4" ht="15.75" hidden="1" outlineLevel="1" x14ac:dyDescent="0.2">
      <c r="A399" s="45" t="s">
        <v>1558</v>
      </c>
      <c r="B399" s="46" t="s">
        <v>86</v>
      </c>
      <c r="C399" s="45">
        <v>5.29</v>
      </c>
      <c r="D399" s="122"/>
    </row>
    <row r="400" spans="1:4" ht="15.75" hidden="1" outlineLevel="1" x14ac:dyDescent="0.2">
      <c r="A400" s="45" t="s">
        <v>1558</v>
      </c>
      <c r="B400" s="46" t="s">
        <v>79</v>
      </c>
      <c r="C400" s="45">
        <v>5.31</v>
      </c>
      <c r="D400" s="122"/>
    </row>
    <row r="401" spans="1:4" ht="15.75" hidden="1" outlineLevel="1" x14ac:dyDescent="0.2">
      <c r="A401" s="45" t="s">
        <v>1558</v>
      </c>
      <c r="B401" s="46" t="s">
        <v>80</v>
      </c>
      <c r="C401" s="45">
        <v>5.36</v>
      </c>
      <c r="D401" s="122"/>
    </row>
    <row r="402" spans="1:4" ht="15.75" hidden="1" outlineLevel="1" x14ac:dyDescent="0.2">
      <c r="A402" s="45" t="s">
        <v>1558</v>
      </c>
      <c r="B402" s="46" t="s">
        <v>597</v>
      </c>
      <c r="C402" s="45">
        <v>5.37</v>
      </c>
      <c r="D402" s="122"/>
    </row>
    <row r="403" spans="1:4" ht="15.75" hidden="1" outlineLevel="1" x14ac:dyDescent="0.2">
      <c r="A403" s="45" t="s">
        <v>1558</v>
      </c>
      <c r="B403" s="46" t="s">
        <v>9</v>
      </c>
      <c r="C403" s="45">
        <v>5.49</v>
      </c>
      <c r="D403" s="122"/>
    </row>
    <row r="404" spans="1:4" ht="15.75" hidden="1" outlineLevel="1" x14ac:dyDescent="0.2">
      <c r="A404" s="45" t="s">
        <v>1558</v>
      </c>
      <c r="B404" s="46" t="s">
        <v>10</v>
      </c>
      <c r="C404" s="45">
        <v>5.51</v>
      </c>
      <c r="D404" s="122"/>
    </row>
    <row r="405" spans="1:4" ht="15.75" hidden="1" outlineLevel="1" x14ac:dyDescent="0.2">
      <c r="A405" s="45" t="s">
        <v>1558</v>
      </c>
      <c r="B405" s="46" t="s">
        <v>1791</v>
      </c>
      <c r="C405" s="45">
        <v>5.52</v>
      </c>
      <c r="D405" s="122"/>
    </row>
    <row r="406" spans="1:4" ht="15.75" hidden="1" outlineLevel="1" x14ac:dyDescent="0.2">
      <c r="A406" s="45" t="s">
        <v>1558</v>
      </c>
      <c r="B406" s="46" t="s">
        <v>11</v>
      </c>
      <c r="C406" s="45">
        <v>5.53</v>
      </c>
      <c r="D406" s="122"/>
    </row>
    <row r="407" spans="1:4" ht="15.75" hidden="1" outlineLevel="1" x14ac:dyDescent="0.2">
      <c r="A407" s="45" t="s">
        <v>1558</v>
      </c>
      <c r="B407" s="46" t="s">
        <v>12</v>
      </c>
      <c r="C407" s="45">
        <v>5.69</v>
      </c>
      <c r="D407" s="122"/>
    </row>
    <row r="408" spans="1:4" ht="15.75" hidden="1" outlineLevel="1" x14ac:dyDescent="0.2">
      <c r="A408" s="45" t="s">
        <v>1558</v>
      </c>
      <c r="B408" s="46" t="s">
        <v>13</v>
      </c>
      <c r="C408" s="45">
        <v>5.75</v>
      </c>
      <c r="D408" s="122"/>
    </row>
    <row r="409" spans="1:4" ht="15.75" hidden="1" outlineLevel="1" x14ac:dyDescent="0.2">
      <c r="A409" s="45" t="s">
        <v>1558</v>
      </c>
      <c r="B409" s="46" t="s">
        <v>15</v>
      </c>
      <c r="C409" s="45">
        <v>5.74</v>
      </c>
      <c r="D409" s="122"/>
    </row>
    <row r="410" spans="1:4" ht="15.75" hidden="1" outlineLevel="1" x14ac:dyDescent="0.2">
      <c r="A410" s="45" t="s">
        <v>1558</v>
      </c>
      <c r="B410" s="46" t="s">
        <v>14</v>
      </c>
      <c r="C410" s="47">
        <v>5.7</v>
      </c>
      <c r="D410" s="122"/>
    </row>
    <row r="411" spans="1:4" ht="15.75" hidden="1" outlineLevel="1" x14ac:dyDescent="0.2">
      <c r="A411" s="45" t="s">
        <v>1558</v>
      </c>
      <c r="B411" s="46" t="s">
        <v>83</v>
      </c>
      <c r="C411" s="45">
        <v>5.76</v>
      </c>
      <c r="D411" s="122"/>
    </row>
    <row r="412" spans="1:4" ht="15.75" hidden="1" outlineLevel="1" x14ac:dyDescent="0.2">
      <c r="A412" s="45" t="s">
        <v>1558</v>
      </c>
      <c r="B412" s="46" t="s">
        <v>84</v>
      </c>
      <c r="C412" s="45">
        <v>5.89</v>
      </c>
      <c r="D412" s="121" t="s">
        <v>1789</v>
      </c>
    </row>
    <row r="413" spans="1:4" ht="15.75" hidden="1" outlineLevel="1" x14ac:dyDescent="0.2">
      <c r="A413" s="45" t="s">
        <v>1558</v>
      </c>
      <c r="B413" s="46" t="s">
        <v>603</v>
      </c>
      <c r="C413" s="45">
        <v>5.109</v>
      </c>
      <c r="D413" s="122"/>
    </row>
    <row r="414" spans="1:4" ht="15.75" hidden="1" outlineLevel="1" x14ac:dyDescent="0.2">
      <c r="A414" s="45" t="s">
        <v>1558</v>
      </c>
      <c r="B414" s="46" t="s">
        <v>604</v>
      </c>
      <c r="C414" s="45">
        <v>5.1109999999999998</v>
      </c>
      <c r="D414" s="122"/>
    </row>
    <row r="415" spans="1:4" ht="15.75" hidden="1" outlineLevel="1" x14ac:dyDescent="0.2">
      <c r="A415" s="45" t="s">
        <v>1558</v>
      </c>
      <c r="B415" s="46" t="s">
        <v>606</v>
      </c>
      <c r="C415" s="45">
        <v>5.1120000000000001</v>
      </c>
      <c r="D415" s="122"/>
    </row>
    <row r="416" spans="1:4" ht="15.75" hidden="1" outlineLevel="1" x14ac:dyDescent="0.2">
      <c r="A416" s="45" t="s">
        <v>1558</v>
      </c>
      <c r="B416" s="49" t="s">
        <v>1795</v>
      </c>
      <c r="C416" s="45">
        <v>5.1130000000000004</v>
      </c>
      <c r="D416" s="122"/>
    </row>
    <row r="417" spans="1:4" ht="15.75" hidden="1" outlineLevel="1" x14ac:dyDescent="0.2">
      <c r="A417" s="45" t="s">
        <v>1558</v>
      </c>
      <c r="B417" s="46" t="s">
        <v>17</v>
      </c>
      <c r="C417" s="45">
        <v>5.58</v>
      </c>
      <c r="D417" s="122"/>
    </row>
    <row r="418" spans="1:4" ht="15.75" hidden="1" outlineLevel="1" x14ac:dyDescent="0.2">
      <c r="A418" s="45" t="s">
        <v>1558</v>
      </c>
      <c r="B418" s="46" t="s">
        <v>18</v>
      </c>
      <c r="C418" s="45">
        <v>5.54</v>
      </c>
      <c r="D418" s="122"/>
    </row>
    <row r="419" spans="1:4" ht="15.75" hidden="1" outlineLevel="1" x14ac:dyDescent="0.2">
      <c r="A419" s="45" t="s">
        <v>1558</v>
      </c>
      <c r="B419" s="46" t="s">
        <v>19</v>
      </c>
      <c r="C419" s="45">
        <v>5.55</v>
      </c>
      <c r="D419" s="122"/>
    </row>
    <row r="420" spans="1:4" ht="15.75" hidden="1" outlineLevel="1" x14ac:dyDescent="0.2">
      <c r="A420" s="45" t="s">
        <v>1558</v>
      </c>
      <c r="B420" s="46" t="s">
        <v>20</v>
      </c>
      <c r="C420" s="45">
        <v>5.63</v>
      </c>
      <c r="D420" s="122"/>
    </row>
    <row r="421" spans="1:4" ht="15.75" hidden="1" outlineLevel="1" x14ac:dyDescent="0.2">
      <c r="A421" s="45" t="s">
        <v>1558</v>
      </c>
      <c r="B421" s="46" t="s">
        <v>21</v>
      </c>
      <c r="C421" s="45">
        <v>5.65</v>
      </c>
      <c r="D421" s="122"/>
    </row>
    <row r="422" spans="1:4" ht="15.75" hidden="1" outlineLevel="1" x14ac:dyDescent="0.2">
      <c r="A422" s="45" t="s">
        <v>1558</v>
      </c>
      <c r="B422" s="46" t="s">
        <v>85</v>
      </c>
      <c r="C422" s="45">
        <v>5.66</v>
      </c>
      <c r="D422" s="122"/>
    </row>
    <row r="423" spans="1:4" ht="15.75" hidden="1" outlineLevel="1" x14ac:dyDescent="0.2">
      <c r="A423" s="45" t="s">
        <v>1558</v>
      </c>
      <c r="B423" s="46" t="s">
        <v>22</v>
      </c>
      <c r="C423" s="45">
        <v>5.68</v>
      </c>
      <c r="D423" s="122"/>
    </row>
    <row r="424" spans="1:4" ht="15.75" hidden="1" outlineLevel="1" x14ac:dyDescent="0.2">
      <c r="A424" s="45" t="s">
        <v>1558</v>
      </c>
      <c r="B424" s="46" t="s">
        <v>24</v>
      </c>
      <c r="C424" s="45">
        <v>5.47</v>
      </c>
      <c r="D424" s="122"/>
    </row>
    <row r="425" spans="1:4" ht="15.75" hidden="1" outlineLevel="1" x14ac:dyDescent="0.2">
      <c r="A425" s="45" t="s">
        <v>1558</v>
      </c>
      <c r="B425" s="46" t="s">
        <v>25</v>
      </c>
      <c r="C425" s="45">
        <v>5.48</v>
      </c>
      <c r="D425" s="122"/>
    </row>
    <row r="426" spans="1:4" ht="15.75" x14ac:dyDescent="0.2">
      <c r="A426" s="51" t="s">
        <v>1558</v>
      </c>
      <c r="B426" s="46"/>
      <c r="C426" s="45"/>
      <c r="D426" s="122"/>
    </row>
    <row r="427" spans="1:4" ht="15.75" outlineLevel="1" x14ac:dyDescent="0.2">
      <c r="A427" s="45" t="s">
        <v>1796</v>
      </c>
      <c r="B427" s="46" t="s">
        <v>0</v>
      </c>
      <c r="C427" s="45">
        <v>5.0999999999999996</v>
      </c>
      <c r="D427" s="122"/>
    </row>
    <row r="428" spans="1:4" ht="15.75" outlineLevel="1" x14ac:dyDescent="0.2">
      <c r="A428" s="45" t="s">
        <v>1796</v>
      </c>
      <c r="B428" s="46" t="s">
        <v>1</v>
      </c>
      <c r="C428" s="45">
        <v>5.2</v>
      </c>
      <c r="D428" s="122"/>
    </row>
    <row r="429" spans="1:4" ht="15.75" outlineLevel="1" x14ac:dyDescent="0.2">
      <c r="A429" s="45" t="s">
        <v>1796</v>
      </c>
      <c r="B429" s="46" t="s">
        <v>2</v>
      </c>
      <c r="C429" s="45">
        <v>5.3</v>
      </c>
      <c r="D429" s="122"/>
    </row>
    <row r="430" spans="1:4" ht="15.75" outlineLevel="1" x14ac:dyDescent="0.2">
      <c r="A430" s="45" t="s">
        <v>1796</v>
      </c>
      <c r="B430" s="46" t="s">
        <v>76</v>
      </c>
      <c r="C430" s="45">
        <v>5.6</v>
      </c>
      <c r="D430" s="122"/>
    </row>
    <row r="431" spans="1:4" ht="15.75" outlineLevel="1" x14ac:dyDescent="0.2">
      <c r="A431" s="45" t="s">
        <v>1796</v>
      </c>
      <c r="B431" s="46" t="s">
        <v>1790</v>
      </c>
      <c r="C431" s="47">
        <v>5.0999999999999996</v>
      </c>
      <c r="D431" s="122"/>
    </row>
    <row r="432" spans="1:4" ht="15.75" outlineLevel="1" x14ac:dyDescent="0.2">
      <c r="A432" s="45" t="s">
        <v>1796</v>
      </c>
      <c r="B432" s="46" t="s">
        <v>588</v>
      </c>
      <c r="C432" s="45">
        <v>5.14</v>
      </c>
      <c r="D432" s="122"/>
    </row>
    <row r="433" spans="1:4" ht="15.75" outlineLevel="1" x14ac:dyDescent="0.2">
      <c r="A433" s="45" t="s">
        <v>1796</v>
      </c>
      <c r="B433" s="46" t="s">
        <v>4</v>
      </c>
      <c r="C433" s="45">
        <v>5.19</v>
      </c>
      <c r="D433" s="122"/>
    </row>
    <row r="434" spans="1:4" ht="15.75" outlineLevel="1" x14ac:dyDescent="0.2">
      <c r="A434" s="45" t="s">
        <v>1796</v>
      </c>
      <c r="B434" s="46" t="s">
        <v>78</v>
      </c>
      <c r="C434" s="45">
        <v>5.24</v>
      </c>
      <c r="D434" s="122"/>
    </row>
    <row r="435" spans="1:4" ht="15.75" outlineLevel="1" x14ac:dyDescent="0.2">
      <c r="A435" s="45" t="s">
        <v>1796</v>
      </c>
      <c r="B435" s="46" t="s">
        <v>5</v>
      </c>
      <c r="C435" s="45">
        <v>5.26</v>
      </c>
      <c r="D435" s="122"/>
    </row>
    <row r="436" spans="1:4" ht="15.75" outlineLevel="1" x14ac:dyDescent="0.2">
      <c r="A436" s="45" t="s">
        <v>1796</v>
      </c>
      <c r="B436" s="46" t="s">
        <v>6</v>
      </c>
      <c r="C436" s="45">
        <v>5.27</v>
      </c>
      <c r="D436" s="122"/>
    </row>
    <row r="437" spans="1:4" ht="15.75" outlineLevel="1" x14ac:dyDescent="0.2">
      <c r="A437" s="45" t="s">
        <v>1796</v>
      </c>
      <c r="B437" s="46" t="s">
        <v>7</v>
      </c>
      <c r="C437" s="45">
        <v>5.28</v>
      </c>
      <c r="D437" s="122"/>
    </row>
    <row r="438" spans="1:4" ht="15.75" outlineLevel="1" x14ac:dyDescent="0.2">
      <c r="A438" s="45" t="s">
        <v>1796</v>
      </c>
      <c r="B438" s="46" t="s">
        <v>86</v>
      </c>
      <c r="C438" s="45">
        <v>5.29</v>
      </c>
      <c r="D438" s="122"/>
    </row>
    <row r="439" spans="1:4" ht="15.75" outlineLevel="1" x14ac:dyDescent="0.2">
      <c r="A439" s="45" t="s">
        <v>1796</v>
      </c>
      <c r="B439" s="46" t="s">
        <v>79</v>
      </c>
      <c r="C439" s="45">
        <v>5.31</v>
      </c>
      <c r="D439" s="122"/>
    </row>
    <row r="440" spans="1:4" ht="15.75" outlineLevel="1" x14ac:dyDescent="0.2">
      <c r="A440" s="45" t="s">
        <v>1796</v>
      </c>
      <c r="B440" s="46" t="s">
        <v>80</v>
      </c>
      <c r="C440" s="45">
        <v>5.36</v>
      </c>
      <c r="D440" s="122"/>
    </row>
    <row r="441" spans="1:4" ht="15.75" outlineLevel="1" x14ac:dyDescent="0.2">
      <c r="A441" s="45" t="s">
        <v>1796</v>
      </c>
      <c r="B441" s="46" t="s">
        <v>597</v>
      </c>
      <c r="C441" s="45">
        <v>5.37</v>
      </c>
      <c r="D441" s="122"/>
    </row>
    <row r="442" spans="1:4" ht="15.75" outlineLevel="1" x14ac:dyDescent="0.2">
      <c r="A442" s="45" t="s">
        <v>1796</v>
      </c>
      <c r="B442" s="46" t="s">
        <v>11</v>
      </c>
      <c r="C442" s="45">
        <v>5.53</v>
      </c>
      <c r="D442" s="122"/>
    </row>
    <row r="443" spans="1:4" ht="15.75" outlineLevel="1" x14ac:dyDescent="0.2">
      <c r="A443" s="45" t="s">
        <v>1796</v>
      </c>
      <c r="B443" s="46" t="s">
        <v>603</v>
      </c>
      <c r="C443" s="45">
        <v>5.109</v>
      </c>
      <c r="D443" s="122"/>
    </row>
    <row r="444" spans="1:4" ht="15.75" outlineLevel="1" x14ac:dyDescent="0.2">
      <c r="A444" s="45" t="s">
        <v>1796</v>
      </c>
      <c r="B444" s="46" t="s">
        <v>604</v>
      </c>
      <c r="C444" s="45">
        <v>5.1109999999999998</v>
      </c>
      <c r="D444" s="122"/>
    </row>
    <row r="445" spans="1:4" ht="15.75" outlineLevel="1" x14ac:dyDescent="0.2">
      <c r="A445" s="45" t="s">
        <v>1796</v>
      </c>
      <c r="B445" s="46" t="s">
        <v>606</v>
      </c>
      <c r="C445" s="45">
        <v>5.1120000000000001</v>
      </c>
      <c r="D445" s="122"/>
    </row>
    <row r="446" spans="1:4" ht="15.75" outlineLevel="1" x14ac:dyDescent="0.2">
      <c r="A446" s="45" t="s">
        <v>1796</v>
      </c>
      <c r="B446" s="49" t="s">
        <v>1795</v>
      </c>
      <c r="C446" s="45">
        <v>5.1130000000000004</v>
      </c>
      <c r="D446" s="122"/>
    </row>
    <row r="447" spans="1:4" ht="15.75" outlineLevel="1" x14ac:dyDescent="0.2">
      <c r="A447" s="45" t="s">
        <v>1796</v>
      </c>
      <c r="B447" s="46" t="s">
        <v>17</v>
      </c>
      <c r="C447" s="45">
        <v>5.58</v>
      </c>
      <c r="D447" s="122"/>
    </row>
    <row r="448" spans="1:4" ht="15.75" outlineLevel="1" x14ac:dyDescent="0.2">
      <c r="A448" s="45" t="s">
        <v>1796</v>
      </c>
      <c r="B448" s="46" t="s">
        <v>18</v>
      </c>
      <c r="C448" s="45">
        <v>5.54</v>
      </c>
      <c r="D448" s="122"/>
    </row>
    <row r="449" spans="1:4" ht="15.75" outlineLevel="1" x14ac:dyDescent="0.2">
      <c r="A449" s="45" t="s">
        <v>1796</v>
      </c>
      <c r="B449" s="46" t="s">
        <v>19</v>
      </c>
      <c r="C449" s="45">
        <v>5.55</v>
      </c>
      <c r="D449" s="122"/>
    </row>
    <row r="450" spans="1:4" ht="15.75" outlineLevel="1" x14ac:dyDescent="0.2">
      <c r="A450" s="45" t="s">
        <v>1796</v>
      </c>
      <c r="B450" s="46" t="s">
        <v>20</v>
      </c>
      <c r="C450" s="45">
        <v>5.63</v>
      </c>
      <c r="D450" s="122"/>
    </row>
    <row r="451" spans="1:4" ht="15.75" outlineLevel="1" x14ac:dyDescent="0.2">
      <c r="A451" s="45" t="s">
        <v>1796</v>
      </c>
      <c r="B451" s="46" t="s">
        <v>24</v>
      </c>
      <c r="C451" s="45">
        <v>5.47</v>
      </c>
      <c r="D451" s="122"/>
    </row>
    <row r="452" spans="1:4" ht="15.75" outlineLevel="1" x14ac:dyDescent="0.2">
      <c r="A452" s="45" t="s">
        <v>1796</v>
      </c>
      <c r="B452" s="46" t="s">
        <v>25</v>
      </c>
      <c r="C452" s="45">
        <v>5.48</v>
      </c>
      <c r="D452" s="122"/>
    </row>
    <row r="453" spans="1:4" ht="15.75" x14ac:dyDescent="0.2">
      <c r="A453" s="51" t="s">
        <v>1796</v>
      </c>
      <c r="B453" s="46"/>
      <c r="C453" s="45"/>
      <c r="D453" s="122"/>
    </row>
    <row r="454" spans="1:4" ht="15.75" outlineLevel="1" x14ac:dyDescent="0.2">
      <c r="A454" s="45" t="s">
        <v>1345</v>
      </c>
      <c r="B454" s="46" t="s">
        <v>0</v>
      </c>
      <c r="C454" s="45">
        <v>5.0999999999999996</v>
      </c>
      <c r="D454" s="122"/>
    </row>
    <row r="455" spans="1:4" ht="15.75" outlineLevel="1" x14ac:dyDescent="0.2">
      <c r="A455" s="45" t="s">
        <v>1345</v>
      </c>
      <c r="B455" s="46" t="s">
        <v>1</v>
      </c>
      <c r="C455" s="45">
        <v>5.2</v>
      </c>
      <c r="D455" s="122"/>
    </row>
    <row r="456" spans="1:4" ht="15.75" outlineLevel="1" x14ac:dyDescent="0.2">
      <c r="A456" s="45" t="s">
        <v>1345</v>
      </c>
      <c r="B456" s="46" t="s">
        <v>683</v>
      </c>
      <c r="C456" s="45">
        <v>5.5</v>
      </c>
      <c r="D456" s="122"/>
    </row>
    <row r="457" spans="1:4" ht="15.75" outlineLevel="1" x14ac:dyDescent="0.2">
      <c r="A457" s="45" t="s">
        <v>1345</v>
      </c>
      <c r="B457" s="46" t="s">
        <v>684</v>
      </c>
      <c r="C457" s="45">
        <v>5.8</v>
      </c>
      <c r="D457" s="121" t="s">
        <v>1789</v>
      </c>
    </row>
    <row r="458" spans="1:4" ht="15.75" outlineLevel="1" x14ac:dyDescent="0.2">
      <c r="A458" s="45" t="s">
        <v>1345</v>
      </c>
      <c r="B458" s="46" t="s">
        <v>685</v>
      </c>
      <c r="C458" s="45">
        <v>5.12</v>
      </c>
      <c r="D458" s="121" t="s">
        <v>1789</v>
      </c>
    </row>
    <row r="459" spans="1:4" ht="15.75" outlineLevel="1" x14ac:dyDescent="0.2">
      <c r="A459" s="45" t="s">
        <v>1345</v>
      </c>
      <c r="B459" s="46" t="s">
        <v>686</v>
      </c>
      <c r="C459" s="45">
        <v>5.15</v>
      </c>
      <c r="D459" s="122"/>
    </row>
    <row r="460" spans="1:4" ht="15.75" outlineLevel="1" x14ac:dyDescent="0.2">
      <c r="A460" s="45" t="s">
        <v>1345</v>
      </c>
      <c r="B460" s="46" t="s">
        <v>687</v>
      </c>
      <c r="C460" s="47">
        <v>5.2</v>
      </c>
      <c r="D460" s="121"/>
    </row>
    <row r="461" spans="1:4" ht="15.75" outlineLevel="1" x14ac:dyDescent="0.2">
      <c r="A461" s="45" t="s">
        <v>1345</v>
      </c>
      <c r="B461" s="46" t="s">
        <v>688</v>
      </c>
      <c r="C461" s="45">
        <v>5.25</v>
      </c>
      <c r="D461" s="122"/>
    </row>
    <row r="462" spans="1:4" ht="15.75" outlineLevel="1" x14ac:dyDescent="0.2">
      <c r="A462" s="45" t="s">
        <v>1345</v>
      </c>
      <c r="B462" s="46" t="s">
        <v>5</v>
      </c>
      <c r="C462" s="45">
        <v>5.26</v>
      </c>
      <c r="D462" s="122"/>
    </row>
    <row r="463" spans="1:4" ht="15.75" outlineLevel="1" x14ac:dyDescent="0.2">
      <c r="A463" s="45" t="s">
        <v>1345</v>
      </c>
      <c r="B463" s="46" t="s">
        <v>689</v>
      </c>
      <c r="C463" s="45">
        <v>5.1139999999999999</v>
      </c>
      <c r="D463" s="121" t="s">
        <v>1789</v>
      </c>
    </row>
    <row r="464" spans="1:4" ht="15.75" outlineLevel="1" x14ac:dyDescent="0.2">
      <c r="A464" s="45" t="s">
        <v>1345</v>
      </c>
      <c r="B464" s="46" t="s">
        <v>6</v>
      </c>
      <c r="C464" s="45">
        <v>5.27</v>
      </c>
      <c r="D464" s="122"/>
    </row>
    <row r="465" spans="1:4" ht="15.75" outlineLevel="1" x14ac:dyDescent="0.2">
      <c r="A465" s="45" t="s">
        <v>1345</v>
      </c>
      <c r="B465" s="46" t="s">
        <v>690</v>
      </c>
      <c r="C465" s="45">
        <v>5.1150000000000002</v>
      </c>
      <c r="D465" s="121" t="s">
        <v>1789</v>
      </c>
    </row>
    <row r="466" spans="1:4" ht="15.75" outlineLevel="1" x14ac:dyDescent="0.2">
      <c r="A466" s="45" t="s">
        <v>1345</v>
      </c>
      <c r="B466" s="46" t="s">
        <v>691</v>
      </c>
      <c r="C466" s="45">
        <v>5.1159999999999997</v>
      </c>
      <c r="D466" s="121" t="s">
        <v>1789</v>
      </c>
    </row>
    <row r="467" spans="1:4" ht="15.75" outlineLevel="1" x14ac:dyDescent="0.2">
      <c r="A467" s="45" t="s">
        <v>1345</v>
      </c>
      <c r="B467" s="46" t="s">
        <v>7</v>
      </c>
      <c r="C467" s="45">
        <v>5.28</v>
      </c>
      <c r="D467" s="122"/>
    </row>
    <row r="468" spans="1:4" ht="15.75" outlineLevel="1" x14ac:dyDescent="0.2">
      <c r="A468" s="45" t="s">
        <v>1345</v>
      </c>
      <c r="B468" s="46" t="s">
        <v>80</v>
      </c>
      <c r="C468" s="45">
        <v>5.36</v>
      </c>
      <c r="D468" s="122"/>
    </row>
    <row r="469" spans="1:4" ht="15.75" outlineLevel="1" x14ac:dyDescent="0.2">
      <c r="A469" s="45" t="s">
        <v>1345</v>
      </c>
      <c r="B469" s="46" t="s">
        <v>597</v>
      </c>
      <c r="C469" s="45">
        <v>5.37</v>
      </c>
      <c r="D469" s="122"/>
    </row>
    <row r="470" spans="1:4" ht="15.75" outlineLevel="1" x14ac:dyDescent="0.2">
      <c r="A470" s="45" t="s">
        <v>1345</v>
      </c>
      <c r="B470" s="46" t="s">
        <v>11</v>
      </c>
      <c r="C470" s="45">
        <v>5.53</v>
      </c>
      <c r="D470" s="122"/>
    </row>
    <row r="471" spans="1:4" ht="15.75" outlineLevel="1" x14ac:dyDescent="0.2">
      <c r="A471" s="45" t="s">
        <v>1345</v>
      </c>
      <c r="B471" s="46" t="s">
        <v>603</v>
      </c>
      <c r="C471" s="45">
        <v>5.109</v>
      </c>
      <c r="D471" s="122"/>
    </row>
    <row r="472" spans="1:4" ht="15.75" outlineLevel="1" x14ac:dyDescent="0.2">
      <c r="A472" s="45" t="s">
        <v>1345</v>
      </c>
      <c r="B472" s="46" t="s">
        <v>604</v>
      </c>
      <c r="C472" s="45">
        <v>5.1109999999999998</v>
      </c>
      <c r="D472" s="122"/>
    </row>
    <row r="473" spans="1:4" ht="15.75" outlineLevel="1" x14ac:dyDescent="0.2">
      <c r="A473" s="45" t="s">
        <v>1345</v>
      </c>
      <c r="B473" s="46" t="s">
        <v>606</v>
      </c>
      <c r="C473" s="45">
        <v>5.1120000000000001</v>
      </c>
      <c r="D473" s="122"/>
    </row>
    <row r="474" spans="1:4" ht="15.75" outlineLevel="1" x14ac:dyDescent="0.2">
      <c r="A474" s="45" t="s">
        <v>1345</v>
      </c>
      <c r="B474" s="46" t="s">
        <v>18</v>
      </c>
      <c r="C474" s="45">
        <v>5.54</v>
      </c>
      <c r="D474" s="122"/>
    </row>
    <row r="475" spans="1:4" ht="15.75" outlineLevel="1" x14ac:dyDescent="0.2">
      <c r="A475" s="45" t="s">
        <v>1345</v>
      </c>
      <c r="B475" s="46" t="s">
        <v>692</v>
      </c>
      <c r="C475" s="45">
        <v>5.61</v>
      </c>
      <c r="D475" s="122"/>
    </row>
    <row r="476" spans="1:4" ht="15.75" outlineLevel="1" x14ac:dyDescent="0.2">
      <c r="A476" s="45" t="s">
        <v>1345</v>
      </c>
      <c r="B476" s="46" t="s">
        <v>20</v>
      </c>
      <c r="C476" s="45">
        <v>5.63</v>
      </c>
      <c r="D476" s="122"/>
    </row>
    <row r="477" spans="1:4" ht="15.75" outlineLevel="1" x14ac:dyDescent="0.2">
      <c r="A477" s="45" t="s">
        <v>1345</v>
      </c>
      <c r="B477" s="46" t="s">
        <v>693</v>
      </c>
      <c r="C477" s="45">
        <v>5.46</v>
      </c>
      <c r="D477" s="122"/>
    </row>
    <row r="478" spans="1:4" ht="15.75" outlineLevel="1" x14ac:dyDescent="0.2">
      <c r="A478" s="45" t="s">
        <v>1345</v>
      </c>
      <c r="B478" s="46" t="s">
        <v>24</v>
      </c>
      <c r="C478" s="45">
        <v>5.47</v>
      </c>
      <c r="D478" s="122"/>
    </row>
    <row r="479" spans="1:4" ht="15.75" outlineLevel="1" x14ac:dyDescent="0.2">
      <c r="A479" s="45" t="s">
        <v>1345</v>
      </c>
      <c r="B479" s="46" t="s">
        <v>25</v>
      </c>
      <c r="C479" s="45">
        <v>5.48</v>
      </c>
      <c r="D479" s="122"/>
    </row>
    <row r="480" spans="1:4" ht="15.75" x14ac:dyDescent="0.2">
      <c r="A480" s="51" t="s">
        <v>1345</v>
      </c>
      <c r="B480" s="46"/>
      <c r="C480" s="45"/>
      <c r="D480" s="122"/>
    </row>
    <row r="481" spans="1:4" ht="15.75" hidden="1" outlineLevel="1" x14ac:dyDescent="0.2">
      <c r="A481" s="45" t="s">
        <v>1797</v>
      </c>
      <c r="B481" s="46" t="s">
        <v>0</v>
      </c>
      <c r="C481" s="45">
        <v>5.0999999999999996</v>
      </c>
      <c r="D481" s="122"/>
    </row>
    <row r="482" spans="1:4" ht="15.75" hidden="1" outlineLevel="1" x14ac:dyDescent="0.2">
      <c r="A482" s="45" t="s">
        <v>1797</v>
      </c>
      <c r="B482" s="46" t="s">
        <v>1</v>
      </c>
      <c r="C482" s="45">
        <v>5.2</v>
      </c>
      <c r="D482" s="122"/>
    </row>
    <row r="483" spans="1:4" ht="15.75" hidden="1" outlineLevel="1" x14ac:dyDescent="0.2">
      <c r="A483" s="45" t="s">
        <v>1797</v>
      </c>
      <c r="B483" s="46" t="s">
        <v>2</v>
      </c>
      <c r="C483" s="45">
        <v>5.3</v>
      </c>
      <c r="D483" s="122"/>
    </row>
    <row r="484" spans="1:4" ht="15.75" hidden="1" outlineLevel="1" x14ac:dyDescent="0.2">
      <c r="A484" s="45" t="s">
        <v>1797</v>
      </c>
      <c r="B484" s="46" t="s">
        <v>76</v>
      </c>
      <c r="C484" s="45">
        <v>5.6</v>
      </c>
      <c r="D484" s="122"/>
    </row>
    <row r="485" spans="1:4" ht="15.75" hidden="1" outlineLevel="1" x14ac:dyDescent="0.2">
      <c r="A485" s="45" t="s">
        <v>1797</v>
      </c>
      <c r="B485" s="46" t="s">
        <v>1790</v>
      </c>
      <c r="C485" s="47">
        <v>5.0999999999999996</v>
      </c>
      <c r="D485" s="122"/>
    </row>
    <row r="486" spans="1:4" ht="15.75" hidden="1" outlineLevel="1" x14ac:dyDescent="0.2">
      <c r="A486" s="45" t="s">
        <v>1797</v>
      </c>
      <c r="B486" s="46" t="s">
        <v>588</v>
      </c>
      <c r="C486" s="45">
        <v>5.14</v>
      </c>
      <c r="D486" s="122"/>
    </row>
    <row r="487" spans="1:4" ht="15.75" hidden="1" outlineLevel="1" x14ac:dyDescent="0.2">
      <c r="A487" s="45" t="s">
        <v>1797</v>
      </c>
      <c r="B487" s="46" t="s">
        <v>4</v>
      </c>
      <c r="C487" s="45">
        <v>5.19</v>
      </c>
      <c r="D487" s="122"/>
    </row>
    <row r="488" spans="1:4" ht="15.75" hidden="1" outlineLevel="1" x14ac:dyDescent="0.2">
      <c r="A488" s="45" t="s">
        <v>1797</v>
      </c>
      <c r="B488" s="46" t="s">
        <v>78</v>
      </c>
      <c r="C488" s="45">
        <v>5.24</v>
      </c>
      <c r="D488" s="122"/>
    </row>
    <row r="489" spans="1:4" ht="15.75" hidden="1" outlineLevel="1" x14ac:dyDescent="0.2">
      <c r="A489" s="45" t="s">
        <v>1797</v>
      </c>
      <c r="B489" s="46" t="s">
        <v>6</v>
      </c>
      <c r="C489" s="45">
        <v>5.27</v>
      </c>
      <c r="D489" s="122"/>
    </row>
    <row r="490" spans="1:4" ht="15.75" hidden="1" outlineLevel="1" x14ac:dyDescent="0.2">
      <c r="A490" s="45" t="s">
        <v>1797</v>
      </c>
      <c r="B490" s="46" t="s">
        <v>7</v>
      </c>
      <c r="C490" s="45">
        <v>5.28</v>
      </c>
      <c r="D490" s="122"/>
    </row>
    <row r="491" spans="1:4" ht="15.75" hidden="1" outlineLevel="1" x14ac:dyDescent="0.2">
      <c r="A491" s="45" t="s">
        <v>1797</v>
      </c>
      <c r="B491" s="46" t="s">
        <v>86</v>
      </c>
      <c r="C491" s="45">
        <v>5.29</v>
      </c>
      <c r="D491" s="122"/>
    </row>
    <row r="492" spans="1:4" ht="15.75" hidden="1" outlineLevel="1" x14ac:dyDescent="0.2">
      <c r="A492" s="45" t="s">
        <v>1797</v>
      </c>
      <c r="B492" s="46" t="s">
        <v>589</v>
      </c>
      <c r="C492" s="45">
        <v>5.34</v>
      </c>
      <c r="D492" s="122"/>
    </row>
    <row r="493" spans="1:4" ht="15.75" hidden="1" outlineLevel="1" x14ac:dyDescent="0.2">
      <c r="A493" s="45" t="s">
        <v>1797</v>
      </c>
      <c r="B493" s="46" t="s">
        <v>79</v>
      </c>
      <c r="C493" s="45">
        <v>5.31</v>
      </c>
      <c r="D493" s="122"/>
    </row>
    <row r="494" spans="1:4" ht="15.75" hidden="1" outlineLevel="1" x14ac:dyDescent="0.2">
      <c r="A494" s="45" t="s">
        <v>1797</v>
      </c>
      <c r="B494" s="46" t="s">
        <v>590</v>
      </c>
      <c r="C494" s="45">
        <v>5.101</v>
      </c>
      <c r="D494" s="122"/>
    </row>
    <row r="495" spans="1:4" ht="15.75" hidden="1" outlineLevel="1" x14ac:dyDescent="0.2">
      <c r="A495" s="45" t="s">
        <v>1797</v>
      </c>
      <c r="B495" s="46" t="s">
        <v>80</v>
      </c>
      <c r="C495" s="45">
        <v>5.36</v>
      </c>
      <c r="D495" s="122"/>
    </row>
    <row r="496" spans="1:4" ht="15.75" hidden="1" outlineLevel="1" x14ac:dyDescent="0.2">
      <c r="A496" s="45" t="s">
        <v>1797</v>
      </c>
      <c r="B496" s="46" t="s">
        <v>597</v>
      </c>
      <c r="C496" s="45">
        <v>5.37</v>
      </c>
      <c r="D496" s="122"/>
    </row>
    <row r="497" spans="1:4" ht="15.75" hidden="1" outlineLevel="1" x14ac:dyDescent="0.2">
      <c r="A497" s="45" t="s">
        <v>1797</v>
      </c>
      <c r="B497" s="46" t="s">
        <v>11</v>
      </c>
      <c r="C497" s="45">
        <v>5.53</v>
      </c>
      <c r="D497" s="122"/>
    </row>
    <row r="498" spans="1:4" ht="15.75" hidden="1" outlineLevel="1" x14ac:dyDescent="0.2">
      <c r="A498" s="45" t="s">
        <v>1797</v>
      </c>
      <c r="B498" s="46" t="s">
        <v>603</v>
      </c>
      <c r="C498" s="45">
        <v>5.109</v>
      </c>
      <c r="D498" s="122"/>
    </row>
    <row r="499" spans="1:4" ht="15.75" hidden="1" outlineLevel="1" x14ac:dyDescent="0.2">
      <c r="A499" s="45" t="s">
        <v>1797</v>
      </c>
      <c r="B499" s="46" t="s">
        <v>604</v>
      </c>
      <c r="C499" s="45">
        <v>5.1109999999999998</v>
      </c>
      <c r="D499" s="122"/>
    </row>
    <row r="500" spans="1:4" ht="15.75" hidden="1" outlineLevel="1" x14ac:dyDescent="0.2">
      <c r="A500" s="45" t="s">
        <v>1797</v>
      </c>
      <c r="B500" s="46" t="s">
        <v>606</v>
      </c>
      <c r="C500" s="45">
        <v>5.1120000000000001</v>
      </c>
      <c r="D500" s="122"/>
    </row>
    <row r="501" spans="1:4" ht="15.75" hidden="1" outlineLevel="1" x14ac:dyDescent="0.2">
      <c r="A501" s="45" t="s">
        <v>1797</v>
      </c>
      <c r="B501" s="46" t="s">
        <v>591</v>
      </c>
      <c r="C501" s="45">
        <v>5.1020000000000003</v>
      </c>
      <c r="D501" s="122"/>
    </row>
    <row r="502" spans="1:4" ht="15.75" hidden="1" outlineLevel="1" x14ac:dyDescent="0.2">
      <c r="A502" s="45" t="s">
        <v>1797</v>
      </c>
      <c r="B502" s="46" t="s">
        <v>592</v>
      </c>
      <c r="C502" s="48">
        <v>5.0999999999999996</v>
      </c>
      <c r="D502" s="122"/>
    </row>
    <row r="503" spans="1:4" ht="15.75" hidden="1" outlineLevel="1" x14ac:dyDescent="0.2">
      <c r="A503" s="45" t="s">
        <v>1797</v>
      </c>
      <c r="B503" s="46" t="s">
        <v>17</v>
      </c>
      <c r="C503" s="45">
        <v>5.58</v>
      </c>
      <c r="D503" s="122"/>
    </row>
    <row r="504" spans="1:4" ht="15.75" hidden="1" outlineLevel="1" x14ac:dyDescent="0.2">
      <c r="A504" s="45" t="s">
        <v>1797</v>
      </c>
      <c r="B504" s="46" t="s">
        <v>19</v>
      </c>
      <c r="C504" s="45">
        <v>5.55</v>
      </c>
      <c r="D504" s="122"/>
    </row>
    <row r="505" spans="1:4" ht="15.75" hidden="1" outlineLevel="1" x14ac:dyDescent="0.2">
      <c r="A505" s="45" t="s">
        <v>1797</v>
      </c>
      <c r="B505" s="46" t="s">
        <v>18</v>
      </c>
      <c r="C505" s="45">
        <v>5.54</v>
      </c>
      <c r="D505" s="122"/>
    </row>
    <row r="506" spans="1:4" ht="15.75" hidden="1" outlineLevel="1" x14ac:dyDescent="0.2">
      <c r="A506" s="45" t="s">
        <v>1797</v>
      </c>
      <c r="B506" s="46" t="s">
        <v>20</v>
      </c>
      <c r="C506" s="45">
        <v>5.63</v>
      </c>
      <c r="D506" s="122"/>
    </row>
    <row r="507" spans="1:4" ht="15.75" hidden="1" outlineLevel="1" x14ac:dyDescent="0.2">
      <c r="A507" s="45" t="s">
        <v>1797</v>
      </c>
      <c r="B507" s="46" t="s">
        <v>24</v>
      </c>
      <c r="C507" s="45">
        <v>5.47</v>
      </c>
      <c r="D507" s="122"/>
    </row>
    <row r="508" spans="1:4" ht="15.75" hidden="1" outlineLevel="1" x14ac:dyDescent="0.2">
      <c r="A508" s="45" t="s">
        <v>1797</v>
      </c>
      <c r="B508" s="46" t="s">
        <v>25</v>
      </c>
      <c r="C508" s="45">
        <v>5.48</v>
      </c>
      <c r="D508" s="122"/>
    </row>
    <row r="509" spans="1:4" ht="15.75" x14ac:dyDescent="0.2">
      <c r="A509" s="51" t="s">
        <v>1797</v>
      </c>
      <c r="B509" s="46"/>
      <c r="C509" s="45"/>
      <c r="D509" s="122"/>
    </row>
    <row r="510" spans="1:4" ht="15.75" hidden="1" outlineLevel="1" x14ac:dyDescent="0.2">
      <c r="A510" s="45" t="s">
        <v>1574</v>
      </c>
      <c r="B510" s="46" t="s">
        <v>0</v>
      </c>
      <c r="C510" s="45">
        <v>5.0999999999999996</v>
      </c>
      <c r="D510" s="122"/>
    </row>
    <row r="511" spans="1:4" ht="15.75" hidden="1" outlineLevel="1" x14ac:dyDescent="0.2">
      <c r="A511" s="45" t="s">
        <v>1574</v>
      </c>
      <c r="B511" s="46" t="s">
        <v>1</v>
      </c>
      <c r="C511" s="45">
        <v>5.2</v>
      </c>
      <c r="D511" s="122"/>
    </row>
    <row r="512" spans="1:4" ht="15.75" hidden="1" outlineLevel="1" x14ac:dyDescent="0.2">
      <c r="A512" s="45" t="s">
        <v>1574</v>
      </c>
      <c r="B512" s="46" t="s">
        <v>2</v>
      </c>
      <c r="C512" s="45">
        <v>5.3</v>
      </c>
      <c r="D512" s="122"/>
    </row>
    <row r="513" spans="1:4" ht="15.75" hidden="1" outlineLevel="1" x14ac:dyDescent="0.2">
      <c r="A513" s="45" t="s">
        <v>1574</v>
      </c>
      <c r="B513" s="46" t="s">
        <v>76</v>
      </c>
      <c r="C513" s="45">
        <v>5.6</v>
      </c>
      <c r="D513" s="122"/>
    </row>
    <row r="514" spans="1:4" ht="15.75" hidden="1" outlineLevel="1" x14ac:dyDescent="0.2">
      <c r="A514" s="45" t="s">
        <v>1574</v>
      </c>
      <c r="B514" s="46" t="s">
        <v>1790</v>
      </c>
      <c r="C514" s="47">
        <v>5.0999999999999996</v>
      </c>
      <c r="D514" s="122"/>
    </row>
    <row r="515" spans="1:4" ht="15.75" hidden="1" outlineLevel="1" x14ac:dyDescent="0.2">
      <c r="A515" s="45" t="s">
        <v>1574</v>
      </c>
      <c r="B515" s="46" t="s">
        <v>588</v>
      </c>
      <c r="C515" s="45">
        <v>5.14</v>
      </c>
      <c r="D515" s="122"/>
    </row>
    <row r="516" spans="1:4" ht="15.75" hidden="1" outlineLevel="1" x14ac:dyDescent="0.2">
      <c r="A516" s="45" t="s">
        <v>1574</v>
      </c>
      <c r="B516" s="46" t="s">
        <v>4</v>
      </c>
      <c r="C516" s="45">
        <v>5.19</v>
      </c>
      <c r="D516" s="122"/>
    </row>
    <row r="517" spans="1:4" ht="15.75" hidden="1" outlineLevel="1" x14ac:dyDescent="0.2">
      <c r="A517" s="45" t="s">
        <v>1574</v>
      </c>
      <c r="B517" s="46" t="s">
        <v>78</v>
      </c>
      <c r="C517" s="45">
        <v>5.24</v>
      </c>
      <c r="D517" s="122"/>
    </row>
    <row r="518" spans="1:4" ht="15.75" hidden="1" outlineLevel="1" x14ac:dyDescent="0.2">
      <c r="A518" s="45" t="s">
        <v>1574</v>
      </c>
      <c r="B518" s="46" t="s">
        <v>5</v>
      </c>
      <c r="C518" s="45">
        <v>5.26</v>
      </c>
      <c r="D518" s="122"/>
    </row>
    <row r="519" spans="1:4" ht="15.75" hidden="1" outlineLevel="1" x14ac:dyDescent="0.2">
      <c r="A519" s="45" t="s">
        <v>1574</v>
      </c>
      <c r="B519" s="46" t="s">
        <v>6</v>
      </c>
      <c r="C519" s="45">
        <v>5.27</v>
      </c>
      <c r="D519" s="122"/>
    </row>
    <row r="520" spans="1:4" ht="15.75" hidden="1" outlineLevel="1" x14ac:dyDescent="0.2">
      <c r="A520" s="45" t="s">
        <v>1574</v>
      </c>
      <c r="B520" s="46" t="s">
        <v>7</v>
      </c>
      <c r="C520" s="45">
        <v>5.28</v>
      </c>
      <c r="D520" s="122"/>
    </row>
    <row r="521" spans="1:4" ht="15.75" hidden="1" outlineLevel="1" x14ac:dyDescent="0.2">
      <c r="A521" s="45" t="s">
        <v>1574</v>
      </c>
      <c r="B521" s="46" t="s">
        <v>79</v>
      </c>
      <c r="C521" s="45">
        <v>5.31</v>
      </c>
      <c r="D521" s="122"/>
    </row>
    <row r="522" spans="1:4" ht="15.75" hidden="1" outlineLevel="1" x14ac:dyDescent="0.2">
      <c r="A522" s="45" t="s">
        <v>1574</v>
      </c>
      <c r="B522" s="46" t="s">
        <v>596</v>
      </c>
      <c r="C522" s="45">
        <v>5.33</v>
      </c>
      <c r="D522" s="122"/>
    </row>
    <row r="523" spans="1:4" ht="15.75" hidden="1" outlineLevel="1" x14ac:dyDescent="0.2">
      <c r="A523" s="45" t="s">
        <v>1574</v>
      </c>
      <c r="B523" s="46" t="s">
        <v>590</v>
      </c>
      <c r="C523" s="45">
        <v>5.101</v>
      </c>
      <c r="D523" s="122"/>
    </row>
    <row r="524" spans="1:4" ht="15.75" hidden="1" outlineLevel="1" x14ac:dyDescent="0.2">
      <c r="A524" s="45" t="s">
        <v>1574</v>
      </c>
      <c r="B524" s="46" t="s">
        <v>80</v>
      </c>
      <c r="C524" s="45">
        <v>5.36</v>
      </c>
      <c r="D524" s="122"/>
    </row>
    <row r="525" spans="1:4" ht="15.75" hidden="1" outlineLevel="1" x14ac:dyDescent="0.2">
      <c r="A525" s="45" t="s">
        <v>1574</v>
      </c>
      <c r="B525" s="46" t="s">
        <v>597</v>
      </c>
      <c r="C525" s="45">
        <v>5.37</v>
      </c>
      <c r="D525" s="122"/>
    </row>
    <row r="526" spans="1:4" ht="15.75" hidden="1" outlineLevel="1" x14ac:dyDescent="0.2">
      <c r="A526" s="45" t="s">
        <v>1574</v>
      </c>
      <c r="B526" s="46" t="s">
        <v>11</v>
      </c>
      <c r="C526" s="45">
        <v>5.53</v>
      </c>
      <c r="D526" s="122"/>
    </row>
    <row r="527" spans="1:4" ht="15.75" hidden="1" outlineLevel="1" x14ac:dyDescent="0.2">
      <c r="A527" s="45" t="s">
        <v>1574</v>
      </c>
      <c r="B527" s="46" t="s">
        <v>603</v>
      </c>
      <c r="C527" s="45">
        <v>5.109</v>
      </c>
      <c r="D527" s="122"/>
    </row>
    <row r="528" spans="1:4" ht="15.75" hidden="1" outlineLevel="1" x14ac:dyDescent="0.2">
      <c r="A528" s="45" t="s">
        <v>1574</v>
      </c>
      <c r="B528" s="46" t="s">
        <v>604</v>
      </c>
      <c r="C528" s="45">
        <v>5.1109999999999998</v>
      </c>
      <c r="D528" s="122"/>
    </row>
    <row r="529" spans="1:4" ht="15.75" hidden="1" outlineLevel="1" x14ac:dyDescent="0.2">
      <c r="A529" s="45" t="s">
        <v>1574</v>
      </c>
      <c r="B529" s="46" t="s">
        <v>606</v>
      </c>
      <c r="C529" s="45">
        <v>5.1120000000000001</v>
      </c>
      <c r="D529" s="122"/>
    </row>
    <row r="530" spans="1:4" ht="15.75" hidden="1" outlineLevel="1" x14ac:dyDescent="0.2">
      <c r="A530" s="45" t="s">
        <v>1574</v>
      </c>
      <c r="B530" s="46" t="s">
        <v>591</v>
      </c>
      <c r="C530" s="45">
        <v>5.1020000000000003</v>
      </c>
      <c r="D530" s="122"/>
    </row>
    <row r="531" spans="1:4" ht="15.75" hidden="1" outlineLevel="1" x14ac:dyDescent="0.2">
      <c r="A531" s="45" t="s">
        <v>1574</v>
      </c>
      <c r="B531" s="46" t="s">
        <v>592</v>
      </c>
      <c r="C531" s="48">
        <v>5.0999999999999996</v>
      </c>
      <c r="D531" s="122"/>
    </row>
    <row r="532" spans="1:4" ht="15.75" hidden="1" outlineLevel="1" x14ac:dyDescent="0.2">
      <c r="A532" s="45" t="s">
        <v>1574</v>
      </c>
      <c r="B532" s="46" t="s">
        <v>17</v>
      </c>
      <c r="C532" s="45">
        <v>5.58</v>
      </c>
      <c r="D532" s="122"/>
    </row>
    <row r="533" spans="1:4" ht="15.75" hidden="1" outlineLevel="1" x14ac:dyDescent="0.2">
      <c r="A533" s="45" t="s">
        <v>1574</v>
      </c>
      <c r="B533" s="46" t="s">
        <v>19</v>
      </c>
      <c r="C533" s="45">
        <v>5.55</v>
      </c>
      <c r="D533" s="122"/>
    </row>
    <row r="534" spans="1:4" ht="15.75" hidden="1" outlineLevel="1" x14ac:dyDescent="0.2">
      <c r="A534" s="45" t="s">
        <v>1574</v>
      </c>
      <c r="B534" s="46" t="s">
        <v>18</v>
      </c>
      <c r="C534" s="45">
        <v>5.54</v>
      </c>
      <c r="D534" s="122"/>
    </row>
    <row r="535" spans="1:4" ht="15.75" hidden="1" outlineLevel="1" x14ac:dyDescent="0.2">
      <c r="A535" s="45" t="s">
        <v>1574</v>
      </c>
      <c r="B535" s="46" t="s">
        <v>20</v>
      </c>
      <c r="C535" s="45">
        <v>5.63</v>
      </c>
      <c r="D535" s="122"/>
    </row>
    <row r="536" spans="1:4" ht="15.75" hidden="1" outlineLevel="1" x14ac:dyDescent="0.2">
      <c r="A536" s="45" t="s">
        <v>1574</v>
      </c>
      <c r="B536" s="46" t="s">
        <v>24</v>
      </c>
      <c r="C536" s="45">
        <v>5.47</v>
      </c>
      <c r="D536" s="122"/>
    </row>
    <row r="537" spans="1:4" ht="15.75" hidden="1" outlineLevel="1" x14ac:dyDescent="0.2">
      <c r="A537" s="45" t="s">
        <v>1574</v>
      </c>
      <c r="B537" s="46" t="s">
        <v>25</v>
      </c>
      <c r="C537" s="45">
        <v>5.48</v>
      </c>
      <c r="D537" s="122"/>
    </row>
    <row r="538" spans="1:4" ht="15.75" x14ac:dyDescent="0.2">
      <c r="A538" s="51" t="s">
        <v>1574</v>
      </c>
      <c r="B538" s="46"/>
      <c r="C538" s="45"/>
      <c r="D538" s="122"/>
    </row>
    <row r="539" spans="1:4" ht="15.75" hidden="1" outlineLevel="1" x14ac:dyDescent="0.2">
      <c r="A539" s="45" t="s">
        <v>1583</v>
      </c>
      <c r="B539" s="46" t="s">
        <v>0</v>
      </c>
      <c r="C539" s="45">
        <v>5.0999999999999996</v>
      </c>
      <c r="D539" s="122"/>
    </row>
    <row r="540" spans="1:4" ht="15.75" hidden="1" outlineLevel="1" x14ac:dyDescent="0.2">
      <c r="A540" s="45" t="s">
        <v>1583</v>
      </c>
      <c r="B540" s="46" t="s">
        <v>1</v>
      </c>
      <c r="C540" s="45">
        <v>5.2</v>
      </c>
      <c r="D540" s="122"/>
    </row>
    <row r="541" spans="1:4" ht="15.75" hidden="1" outlineLevel="1" x14ac:dyDescent="0.2">
      <c r="A541" s="45" t="s">
        <v>1583</v>
      </c>
      <c r="B541" s="46" t="s">
        <v>5</v>
      </c>
      <c r="C541" s="45">
        <v>5.26</v>
      </c>
      <c r="D541" s="122"/>
    </row>
    <row r="542" spans="1:4" ht="15.75" hidden="1" outlineLevel="1" x14ac:dyDescent="0.2">
      <c r="A542" s="45" t="s">
        <v>1583</v>
      </c>
      <c r="B542" s="46" t="s">
        <v>774</v>
      </c>
      <c r="C542" s="45">
        <v>5.21</v>
      </c>
      <c r="D542" s="122"/>
    </row>
    <row r="543" spans="1:4" ht="15.75" hidden="1" outlineLevel="1" x14ac:dyDescent="0.2">
      <c r="A543" s="45" t="s">
        <v>1583</v>
      </c>
      <c r="B543" s="46" t="s">
        <v>775</v>
      </c>
      <c r="C543" s="45">
        <v>5.53</v>
      </c>
      <c r="D543" s="122"/>
    </row>
    <row r="544" spans="1:4" ht="15.75" hidden="1" outlineLevel="1" x14ac:dyDescent="0.2">
      <c r="A544" s="45" t="s">
        <v>1583</v>
      </c>
      <c r="B544" s="46" t="s">
        <v>18</v>
      </c>
      <c r="C544" s="45">
        <v>5.54</v>
      </c>
      <c r="D544" s="122"/>
    </row>
    <row r="545" spans="1:4" ht="15.75" hidden="1" outlineLevel="1" x14ac:dyDescent="0.2">
      <c r="A545" s="45" t="s">
        <v>1583</v>
      </c>
      <c r="B545" s="46" t="s">
        <v>776</v>
      </c>
      <c r="C545" s="45">
        <v>5.58</v>
      </c>
      <c r="D545" s="122"/>
    </row>
    <row r="546" spans="1:4" ht="15.75" hidden="1" outlineLevel="1" x14ac:dyDescent="0.2">
      <c r="A546" s="45" t="s">
        <v>1583</v>
      </c>
      <c r="B546" s="46" t="s">
        <v>777</v>
      </c>
      <c r="C546" s="45">
        <v>5.1180000000000003</v>
      </c>
      <c r="D546" s="122"/>
    </row>
    <row r="547" spans="1:4" ht="15.75" hidden="1" outlineLevel="1" x14ac:dyDescent="0.2">
      <c r="A547" s="45" t="s">
        <v>1583</v>
      </c>
      <c r="B547" s="49" t="s">
        <v>778</v>
      </c>
      <c r="C547" s="45">
        <v>5.47</v>
      </c>
      <c r="D547" s="122"/>
    </row>
    <row r="548" spans="1:4" ht="15.75" hidden="1" outlineLevel="1" x14ac:dyDescent="0.2">
      <c r="A548" s="45" t="s">
        <v>1583</v>
      </c>
      <c r="B548" s="46" t="s">
        <v>779</v>
      </c>
      <c r="C548" s="45">
        <v>5.48</v>
      </c>
      <c r="D548" s="122"/>
    </row>
    <row r="549" spans="1:4" ht="15.75" hidden="1" outlineLevel="1" x14ac:dyDescent="0.2">
      <c r="A549" s="45" t="s">
        <v>1583</v>
      </c>
      <c r="B549" s="46" t="s">
        <v>780</v>
      </c>
      <c r="C549" s="45">
        <v>5.21</v>
      </c>
      <c r="D549" s="122"/>
    </row>
    <row r="550" spans="1:4" ht="15.75" hidden="1" outlineLevel="1" x14ac:dyDescent="0.2">
      <c r="A550" s="45" t="s">
        <v>1583</v>
      </c>
      <c r="B550" s="46" t="s">
        <v>781</v>
      </c>
      <c r="C550" s="45">
        <v>5.53</v>
      </c>
      <c r="D550" s="122"/>
    </row>
    <row r="551" spans="1:4" ht="15.75" hidden="1" outlineLevel="1" x14ac:dyDescent="0.2">
      <c r="A551" s="45" t="s">
        <v>1583</v>
      </c>
      <c r="B551" s="46" t="s">
        <v>18</v>
      </c>
      <c r="C551" s="45">
        <v>5.54</v>
      </c>
      <c r="D551" s="122"/>
    </row>
    <row r="552" spans="1:4" ht="15.75" hidden="1" outlineLevel="1" x14ac:dyDescent="0.2">
      <c r="A552" s="45" t="s">
        <v>1583</v>
      </c>
      <c r="B552" s="46" t="s">
        <v>782</v>
      </c>
      <c r="C552" s="45">
        <v>5.58</v>
      </c>
      <c r="D552" s="122"/>
    </row>
    <row r="553" spans="1:4" ht="15.75" hidden="1" outlineLevel="1" x14ac:dyDescent="0.2">
      <c r="A553" s="45" t="s">
        <v>1583</v>
      </c>
      <c r="B553" s="46" t="s">
        <v>783</v>
      </c>
      <c r="C553" s="45">
        <v>5.1180000000000003</v>
      </c>
      <c r="D553" s="122"/>
    </row>
    <row r="554" spans="1:4" ht="15.75" hidden="1" outlineLevel="1" x14ac:dyDescent="0.2">
      <c r="A554" s="45" t="s">
        <v>1583</v>
      </c>
      <c r="B554" s="46" t="s">
        <v>1798</v>
      </c>
      <c r="C554" s="45">
        <v>5.47</v>
      </c>
      <c r="D554" s="122"/>
    </row>
    <row r="555" spans="1:4" ht="15.75" hidden="1" outlineLevel="1" x14ac:dyDescent="0.2">
      <c r="A555" s="45" t="s">
        <v>1583</v>
      </c>
      <c r="B555" s="46" t="s">
        <v>1799</v>
      </c>
      <c r="C555" s="45">
        <v>5.48</v>
      </c>
      <c r="D555" s="122"/>
    </row>
    <row r="556" spans="1:4" ht="15.75" hidden="1" outlineLevel="1" x14ac:dyDescent="0.2">
      <c r="A556" s="45" t="s">
        <v>1583</v>
      </c>
      <c r="B556" s="46" t="s">
        <v>1800</v>
      </c>
      <c r="C556" s="45">
        <v>5.63</v>
      </c>
      <c r="D556" s="122"/>
    </row>
    <row r="557" spans="1:4" ht="15.75" hidden="1" outlineLevel="1" x14ac:dyDescent="0.2">
      <c r="A557" s="45" t="s">
        <v>1583</v>
      </c>
      <c r="B557" s="46" t="s">
        <v>6</v>
      </c>
      <c r="C557" s="45">
        <v>5.27</v>
      </c>
      <c r="D557" s="122"/>
    </row>
    <row r="558" spans="1:4" ht="15.75" hidden="1" outlineLevel="1" x14ac:dyDescent="0.2">
      <c r="A558" s="45" t="s">
        <v>1583</v>
      </c>
      <c r="B558" s="46" t="s">
        <v>7</v>
      </c>
      <c r="C558" s="45">
        <v>5.28</v>
      </c>
      <c r="D558" s="122"/>
    </row>
    <row r="559" spans="1:4" ht="15.75" hidden="1" outlineLevel="1" x14ac:dyDescent="0.2">
      <c r="A559" s="45" t="s">
        <v>1583</v>
      </c>
      <c r="B559" s="46" t="s">
        <v>787</v>
      </c>
      <c r="C559" s="45">
        <v>5.35</v>
      </c>
      <c r="D559" s="122"/>
    </row>
    <row r="560" spans="1:4" ht="15.75" hidden="1" outlineLevel="1" x14ac:dyDescent="0.2">
      <c r="A560" s="45" t="s">
        <v>1583</v>
      </c>
      <c r="B560" s="46" t="s">
        <v>788</v>
      </c>
      <c r="C560" s="45">
        <v>5.1189999999999998</v>
      </c>
      <c r="D560" s="122"/>
    </row>
    <row r="561" spans="1:4" ht="15.75" hidden="1" outlineLevel="1" x14ac:dyDescent="0.2">
      <c r="A561" s="45" t="s">
        <v>1583</v>
      </c>
      <c r="B561" s="46" t="s">
        <v>789</v>
      </c>
      <c r="C561" s="48">
        <v>5.12</v>
      </c>
      <c r="D561" s="122"/>
    </row>
    <row r="562" spans="1:4" ht="15.75" hidden="1" outlineLevel="1" x14ac:dyDescent="0.2">
      <c r="A562" s="45" t="s">
        <v>1583</v>
      </c>
      <c r="B562" s="46" t="s">
        <v>790</v>
      </c>
      <c r="C562" s="45">
        <v>5.1210000000000004</v>
      </c>
      <c r="D562" s="122"/>
    </row>
    <row r="563" spans="1:4" ht="15.75" hidden="1" outlineLevel="1" x14ac:dyDescent="0.2">
      <c r="A563" s="45" t="s">
        <v>1583</v>
      </c>
      <c r="B563" s="46" t="s">
        <v>80</v>
      </c>
      <c r="C563" s="45">
        <v>5.36</v>
      </c>
      <c r="D563" s="122"/>
    </row>
    <row r="564" spans="1:4" ht="15.75" hidden="1" outlineLevel="1" x14ac:dyDescent="0.2">
      <c r="A564" s="45" t="s">
        <v>1583</v>
      </c>
      <c r="B564" s="46" t="s">
        <v>791</v>
      </c>
      <c r="C564" s="45">
        <v>5.1219999999999999</v>
      </c>
      <c r="D564" s="122"/>
    </row>
    <row r="565" spans="1:4" ht="15.75" hidden="1" outlineLevel="1" x14ac:dyDescent="0.2">
      <c r="A565" s="45" t="s">
        <v>1583</v>
      </c>
      <c r="B565" s="46" t="s">
        <v>792</v>
      </c>
      <c r="C565" s="45">
        <v>5.1230000000000002</v>
      </c>
      <c r="D565" s="122"/>
    </row>
    <row r="566" spans="1:4" ht="15.75" hidden="1" outlineLevel="1" x14ac:dyDescent="0.2">
      <c r="A566" s="45" t="s">
        <v>1583</v>
      </c>
      <c r="B566" s="46" t="s">
        <v>793</v>
      </c>
      <c r="C566" s="45">
        <v>5.1239999999999997</v>
      </c>
      <c r="D566" s="122"/>
    </row>
    <row r="567" spans="1:4" ht="15.75" hidden="1" outlineLevel="1" x14ac:dyDescent="0.2">
      <c r="A567" s="45" t="s">
        <v>1583</v>
      </c>
      <c r="B567" s="46" t="s">
        <v>794</v>
      </c>
      <c r="C567" s="45">
        <v>5.125</v>
      </c>
      <c r="D567" s="122"/>
    </row>
    <row r="568" spans="1:4" ht="15.75" hidden="1" outlineLevel="1" x14ac:dyDescent="0.2">
      <c r="A568" s="45" t="s">
        <v>1583</v>
      </c>
      <c r="B568" s="46" t="s">
        <v>795</v>
      </c>
      <c r="C568" s="45">
        <v>5.1260000000000003</v>
      </c>
      <c r="D568" s="122"/>
    </row>
    <row r="569" spans="1:4" ht="15.75" hidden="1" outlineLevel="1" x14ac:dyDescent="0.2">
      <c r="A569" s="45" t="s">
        <v>1583</v>
      </c>
      <c r="B569" s="46" t="s">
        <v>796</v>
      </c>
      <c r="C569" s="45">
        <v>5.1269999999999998</v>
      </c>
      <c r="D569" s="122"/>
    </row>
    <row r="570" spans="1:4" ht="15.75" hidden="1" outlineLevel="1" x14ac:dyDescent="0.2">
      <c r="A570" s="45" t="s">
        <v>1583</v>
      </c>
      <c r="B570" s="46" t="s">
        <v>82</v>
      </c>
      <c r="C570" s="47">
        <v>5.72</v>
      </c>
      <c r="D570" s="122"/>
    </row>
    <row r="571" spans="1:4" ht="15.75" hidden="1" outlineLevel="1" x14ac:dyDescent="0.2">
      <c r="A571" s="45" t="s">
        <v>1583</v>
      </c>
      <c r="B571" s="46" t="s">
        <v>797</v>
      </c>
      <c r="C571" s="45">
        <v>5.1280000000000001</v>
      </c>
      <c r="D571" s="122"/>
    </row>
    <row r="572" spans="1:4" ht="15.75" hidden="1" outlineLevel="1" x14ac:dyDescent="0.2">
      <c r="A572" s="45" t="s">
        <v>1583</v>
      </c>
      <c r="B572" s="46" t="s">
        <v>798</v>
      </c>
      <c r="C572" s="45">
        <v>5.1289999999999996</v>
      </c>
      <c r="D572" s="121" t="s">
        <v>1789</v>
      </c>
    </row>
    <row r="573" spans="1:4" ht="15.75" hidden="1" outlineLevel="1" x14ac:dyDescent="0.2">
      <c r="A573" s="45" t="s">
        <v>1583</v>
      </c>
      <c r="B573" s="46" t="s">
        <v>799</v>
      </c>
      <c r="C573" s="45">
        <v>5.1310000000000002</v>
      </c>
      <c r="D573" s="122"/>
    </row>
    <row r="574" spans="1:4" ht="15.75" hidden="1" outlineLevel="1" x14ac:dyDescent="0.2">
      <c r="A574" s="45" t="s">
        <v>1583</v>
      </c>
      <c r="B574" s="46" t="s">
        <v>800</v>
      </c>
      <c r="C574" s="45">
        <v>5.1319999999999997</v>
      </c>
      <c r="D574" s="121" t="s">
        <v>1789</v>
      </c>
    </row>
    <row r="575" spans="1:4" ht="15.75" hidden="1" outlineLevel="1" x14ac:dyDescent="0.2">
      <c r="A575" s="45" t="s">
        <v>1583</v>
      </c>
      <c r="B575" s="46" t="s">
        <v>801</v>
      </c>
      <c r="C575" s="45">
        <v>5.133</v>
      </c>
      <c r="D575" s="121" t="s">
        <v>1789</v>
      </c>
    </row>
    <row r="576" spans="1:4" ht="15.75" hidden="1" outlineLevel="1" x14ac:dyDescent="0.2">
      <c r="A576" s="45" t="s">
        <v>1583</v>
      </c>
      <c r="B576" s="46" t="s">
        <v>802</v>
      </c>
      <c r="C576" s="45">
        <v>5.1340000000000003</v>
      </c>
      <c r="D576" s="121" t="s">
        <v>1789</v>
      </c>
    </row>
    <row r="577" spans="1:4" ht="15.75" hidden="1" outlineLevel="1" x14ac:dyDescent="0.2">
      <c r="A577" s="45" t="s">
        <v>1583</v>
      </c>
      <c r="B577" s="46" t="s">
        <v>803</v>
      </c>
      <c r="C577" s="48">
        <v>5.13</v>
      </c>
      <c r="D577" s="122"/>
    </row>
    <row r="578" spans="1:4" ht="15.75" hidden="1" outlineLevel="1" x14ac:dyDescent="0.2">
      <c r="A578" s="45" t="s">
        <v>1583</v>
      </c>
      <c r="B578" s="46" t="s">
        <v>24</v>
      </c>
      <c r="C578" s="45">
        <v>5.47</v>
      </c>
      <c r="D578" s="122"/>
    </row>
    <row r="579" spans="1:4" ht="15.75" hidden="1" outlineLevel="1" x14ac:dyDescent="0.2">
      <c r="A579" s="45" t="s">
        <v>1583</v>
      </c>
      <c r="B579" s="46" t="s">
        <v>25</v>
      </c>
      <c r="C579" s="45">
        <v>5.48</v>
      </c>
      <c r="D579" s="122"/>
    </row>
    <row r="580" spans="1:4" ht="15.75" x14ac:dyDescent="0.2">
      <c r="A580" s="51" t="s">
        <v>1583</v>
      </c>
      <c r="B580" s="46"/>
      <c r="C580" s="45"/>
      <c r="D580" s="122"/>
    </row>
    <row r="581" spans="1:4" ht="15.75" hidden="1" outlineLevel="1" x14ac:dyDescent="0.2">
      <c r="A581" s="45" t="s">
        <v>1576</v>
      </c>
      <c r="B581" s="46" t="s">
        <v>0</v>
      </c>
      <c r="C581" s="45">
        <v>5.0999999999999996</v>
      </c>
      <c r="D581" s="122"/>
    </row>
    <row r="582" spans="1:4" ht="15.75" hidden="1" outlineLevel="1" x14ac:dyDescent="0.2">
      <c r="A582" s="45" t="s">
        <v>1576</v>
      </c>
      <c r="B582" s="46" t="s">
        <v>1</v>
      </c>
      <c r="C582" s="45">
        <v>5.2</v>
      </c>
      <c r="D582" s="122"/>
    </row>
    <row r="583" spans="1:4" ht="15.75" hidden="1" outlineLevel="1" x14ac:dyDescent="0.2">
      <c r="A583" s="45" t="s">
        <v>1576</v>
      </c>
      <c r="B583" s="46" t="s">
        <v>804</v>
      </c>
      <c r="C583" s="45">
        <v>5.9</v>
      </c>
      <c r="D583" s="121" t="s">
        <v>1789</v>
      </c>
    </row>
    <row r="584" spans="1:4" ht="15.75" hidden="1" outlineLevel="1" x14ac:dyDescent="0.2">
      <c r="A584" s="45" t="s">
        <v>1576</v>
      </c>
      <c r="B584" s="46" t="s">
        <v>805</v>
      </c>
      <c r="C584" s="45">
        <v>5.13</v>
      </c>
      <c r="D584" s="121" t="s">
        <v>1789</v>
      </c>
    </row>
    <row r="585" spans="1:4" ht="15.75" hidden="1" outlineLevel="1" x14ac:dyDescent="0.2">
      <c r="A585" s="45" t="s">
        <v>1576</v>
      </c>
      <c r="B585" s="46" t="s">
        <v>806</v>
      </c>
      <c r="C585" s="45">
        <v>5.16</v>
      </c>
      <c r="D585" s="121" t="s">
        <v>1789</v>
      </c>
    </row>
    <row r="586" spans="1:4" ht="15.75" hidden="1" outlineLevel="1" x14ac:dyDescent="0.2">
      <c r="A586" s="45" t="s">
        <v>1576</v>
      </c>
      <c r="B586" s="46" t="s">
        <v>807</v>
      </c>
      <c r="C586" s="45">
        <v>5.22</v>
      </c>
      <c r="D586" s="121"/>
    </row>
    <row r="587" spans="1:4" ht="15.75" hidden="1" outlineLevel="1" x14ac:dyDescent="0.2">
      <c r="A587" s="45" t="s">
        <v>1576</v>
      </c>
      <c r="B587" s="46" t="s">
        <v>5</v>
      </c>
      <c r="C587" s="45">
        <v>5.26</v>
      </c>
      <c r="D587" s="122"/>
    </row>
    <row r="588" spans="1:4" ht="15.75" hidden="1" outlineLevel="1" x14ac:dyDescent="0.2">
      <c r="A588" s="45" t="s">
        <v>1576</v>
      </c>
      <c r="B588" s="46" t="s">
        <v>808</v>
      </c>
      <c r="C588" s="45">
        <v>5.77</v>
      </c>
      <c r="D588" s="122"/>
    </row>
    <row r="589" spans="1:4" ht="15.75" hidden="1" outlineLevel="1" x14ac:dyDescent="0.2">
      <c r="A589" s="45" t="s">
        <v>1576</v>
      </c>
      <c r="B589" s="46" t="s">
        <v>6</v>
      </c>
      <c r="C589" s="45">
        <v>5.27</v>
      </c>
      <c r="D589" s="122"/>
    </row>
    <row r="590" spans="1:4" ht="15.75" hidden="1" outlineLevel="1" x14ac:dyDescent="0.2">
      <c r="A590" s="45" t="s">
        <v>1576</v>
      </c>
      <c r="B590" s="46" t="s">
        <v>7</v>
      </c>
      <c r="C590" s="45">
        <v>5.28</v>
      </c>
      <c r="D590" s="121" t="s">
        <v>1789</v>
      </c>
    </row>
    <row r="591" spans="1:4" ht="15.75" hidden="1" outlineLevel="1" x14ac:dyDescent="0.2">
      <c r="A591" s="45" t="s">
        <v>1576</v>
      </c>
      <c r="B591" s="46" t="s">
        <v>79</v>
      </c>
      <c r="C591" s="45">
        <v>5.31</v>
      </c>
      <c r="D591" s="122"/>
    </row>
    <row r="592" spans="1:4" ht="15.75" hidden="1" outlineLevel="1" x14ac:dyDescent="0.2">
      <c r="A592" s="45" t="s">
        <v>1576</v>
      </c>
      <c r="B592" s="46" t="s">
        <v>80</v>
      </c>
      <c r="C592" s="45">
        <v>5.36</v>
      </c>
      <c r="D592" s="122"/>
    </row>
    <row r="593" spans="1:4" ht="15.75" hidden="1" outlineLevel="1" x14ac:dyDescent="0.2">
      <c r="A593" s="45" t="s">
        <v>1576</v>
      </c>
      <c r="B593" s="46" t="s">
        <v>809</v>
      </c>
      <c r="C593" s="45">
        <v>5.78</v>
      </c>
      <c r="D593" s="122"/>
    </row>
    <row r="594" spans="1:4" ht="15.75" hidden="1" outlineLevel="1" x14ac:dyDescent="0.2">
      <c r="A594" s="45" t="s">
        <v>1576</v>
      </c>
      <c r="B594" s="46" t="s">
        <v>810</v>
      </c>
      <c r="C594" s="45">
        <v>5.79</v>
      </c>
      <c r="D594" s="121" t="s">
        <v>1789</v>
      </c>
    </row>
    <row r="595" spans="1:4" ht="15.75" hidden="1" outlineLevel="1" x14ac:dyDescent="0.2">
      <c r="A595" s="45" t="s">
        <v>1576</v>
      </c>
      <c r="B595" s="46" t="s">
        <v>811</v>
      </c>
      <c r="C595" s="45">
        <v>5.41</v>
      </c>
      <c r="D595" s="122"/>
    </row>
    <row r="596" spans="1:4" ht="15.75" hidden="1" outlineLevel="1" x14ac:dyDescent="0.2">
      <c r="A596" s="45" t="s">
        <v>1576</v>
      </c>
      <c r="B596" s="46" t="s">
        <v>9</v>
      </c>
      <c r="C596" s="45">
        <v>5.49</v>
      </c>
      <c r="D596" s="122"/>
    </row>
    <row r="597" spans="1:4" ht="15.75" hidden="1" outlineLevel="1" x14ac:dyDescent="0.2">
      <c r="A597" s="45" t="s">
        <v>1576</v>
      </c>
      <c r="B597" s="46" t="s">
        <v>10</v>
      </c>
      <c r="C597" s="45">
        <v>5.51</v>
      </c>
      <c r="D597" s="122"/>
    </row>
    <row r="598" spans="1:4" ht="15.75" hidden="1" outlineLevel="1" x14ac:dyDescent="0.2">
      <c r="A598" s="45" t="s">
        <v>1576</v>
      </c>
      <c r="B598" s="46" t="s">
        <v>1801</v>
      </c>
      <c r="C598" s="45">
        <v>5.52</v>
      </c>
      <c r="D598" s="122"/>
    </row>
    <row r="599" spans="1:4" ht="15.75" hidden="1" outlineLevel="1" x14ac:dyDescent="0.2">
      <c r="A599" s="45" t="s">
        <v>1576</v>
      </c>
      <c r="B599" s="46" t="s">
        <v>11</v>
      </c>
      <c r="C599" s="45">
        <v>5.53</v>
      </c>
      <c r="D599" s="122"/>
    </row>
    <row r="600" spans="1:4" ht="15.75" hidden="1" outlineLevel="1" x14ac:dyDescent="0.2">
      <c r="A600" s="45" t="s">
        <v>1576</v>
      </c>
      <c r="B600" s="46" t="s">
        <v>12</v>
      </c>
      <c r="C600" s="45">
        <v>5.69</v>
      </c>
      <c r="D600" s="122"/>
    </row>
    <row r="601" spans="1:4" ht="15.75" hidden="1" outlineLevel="1" x14ac:dyDescent="0.2">
      <c r="A601" s="45" t="s">
        <v>1576</v>
      </c>
      <c r="B601" s="46" t="s">
        <v>813</v>
      </c>
      <c r="C601" s="45">
        <v>5.71</v>
      </c>
      <c r="D601" s="122"/>
    </row>
    <row r="602" spans="1:4" ht="15.75" hidden="1" outlineLevel="1" x14ac:dyDescent="0.2">
      <c r="A602" s="45" t="s">
        <v>1576</v>
      </c>
      <c r="B602" s="46" t="s">
        <v>14</v>
      </c>
      <c r="C602" s="47">
        <v>5.7</v>
      </c>
      <c r="D602" s="122"/>
    </row>
    <row r="603" spans="1:4" ht="15.75" hidden="1" outlineLevel="1" x14ac:dyDescent="0.2">
      <c r="A603" s="45" t="s">
        <v>1576</v>
      </c>
      <c r="B603" s="46" t="s">
        <v>598</v>
      </c>
      <c r="C603" s="47">
        <v>5.8</v>
      </c>
      <c r="D603" s="121" t="s">
        <v>1789</v>
      </c>
    </row>
    <row r="604" spans="1:4" ht="15.75" hidden="1" outlineLevel="1" x14ac:dyDescent="0.2">
      <c r="A604" s="45" t="s">
        <v>1576</v>
      </c>
      <c r="B604" s="46" t="s">
        <v>82</v>
      </c>
      <c r="C604" s="47">
        <v>5.72</v>
      </c>
      <c r="D604" s="121" t="s">
        <v>1789</v>
      </c>
    </row>
    <row r="605" spans="1:4" ht="15.75" hidden="1" outlineLevel="1" x14ac:dyDescent="0.2">
      <c r="A605" s="45" t="s">
        <v>1576</v>
      </c>
      <c r="B605" s="46" t="s">
        <v>814</v>
      </c>
      <c r="C605" s="45">
        <v>5.73</v>
      </c>
      <c r="D605" s="121" t="s">
        <v>1789</v>
      </c>
    </row>
    <row r="606" spans="1:4" ht="15.75" hidden="1" outlineLevel="1" x14ac:dyDescent="0.2">
      <c r="A606" s="45" t="s">
        <v>1576</v>
      </c>
      <c r="B606" s="46" t="s">
        <v>15</v>
      </c>
      <c r="C606" s="45">
        <v>5.74</v>
      </c>
      <c r="D606" s="122"/>
    </row>
    <row r="607" spans="1:4" ht="15.75" hidden="1" outlineLevel="1" x14ac:dyDescent="0.2">
      <c r="A607" s="45" t="s">
        <v>1576</v>
      </c>
      <c r="B607" s="46" t="s">
        <v>13</v>
      </c>
      <c r="C607" s="45">
        <v>5.75</v>
      </c>
      <c r="D607" s="122"/>
    </row>
    <row r="608" spans="1:4" ht="15.75" hidden="1" outlineLevel="1" x14ac:dyDescent="0.2">
      <c r="A608" s="45" t="s">
        <v>1576</v>
      </c>
      <c r="B608" s="46" t="s">
        <v>83</v>
      </c>
      <c r="C608" s="45">
        <v>5.76</v>
      </c>
      <c r="D608" s="122"/>
    </row>
    <row r="609" spans="1:4" ht="15.75" hidden="1" outlineLevel="1" x14ac:dyDescent="0.2">
      <c r="A609" s="45" t="s">
        <v>1576</v>
      </c>
      <c r="B609" s="46" t="s">
        <v>815</v>
      </c>
      <c r="C609" s="45">
        <v>5.81</v>
      </c>
      <c r="D609" s="121" t="s">
        <v>1789</v>
      </c>
    </row>
    <row r="610" spans="1:4" ht="15.75" hidden="1" outlineLevel="1" x14ac:dyDescent="0.2">
      <c r="A610" s="45" t="s">
        <v>1576</v>
      </c>
      <c r="B610" s="46" t="s">
        <v>816</v>
      </c>
      <c r="C610" s="45">
        <v>5.82</v>
      </c>
      <c r="D610" s="121" t="s">
        <v>1789</v>
      </c>
    </row>
    <row r="611" spans="1:4" ht="15.75" hidden="1" outlineLevel="1" x14ac:dyDescent="0.2">
      <c r="A611" s="45" t="s">
        <v>1576</v>
      </c>
      <c r="B611" s="46" t="s">
        <v>817</v>
      </c>
      <c r="C611" s="45">
        <v>5.83</v>
      </c>
      <c r="D611" s="121" t="s">
        <v>1789</v>
      </c>
    </row>
    <row r="612" spans="1:4" ht="15.75" hidden="1" outlineLevel="1" x14ac:dyDescent="0.2">
      <c r="A612" s="45" t="s">
        <v>1576</v>
      </c>
      <c r="B612" s="46" t="s">
        <v>818</v>
      </c>
      <c r="C612" s="45">
        <v>5.84</v>
      </c>
      <c r="D612" s="122"/>
    </row>
    <row r="613" spans="1:4" ht="15.75" hidden="1" outlineLevel="1" x14ac:dyDescent="0.2">
      <c r="A613" s="45" t="s">
        <v>1576</v>
      </c>
      <c r="B613" s="46" t="s">
        <v>819</v>
      </c>
      <c r="C613" s="45">
        <v>5.85</v>
      </c>
      <c r="D613" s="121" t="s">
        <v>1789</v>
      </c>
    </row>
    <row r="614" spans="1:4" ht="15.75" hidden="1" outlineLevel="1" x14ac:dyDescent="0.2">
      <c r="A614" s="45" t="s">
        <v>1576</v>
      </c>
      <c r="B614" s="46" t="s">
        <v>820</v>
      </c>
      <c r="C614" s="45">
        <v>5.86</v>
      </c>
      <c r="D614" s="121" t="s">
        <v>1789</v>
      </c>
    </row>
    <row r="615" spans="1:4" ht="15.75" hidden="1" outlineLevel="1" x14ac:dyDescent="0.2">
      <c r="A615" s="45" t="s">
        <v>1576</v>
      </c>
      <c r="B615" s="46" t="s">
        <v>821</v>
      </c>
      <c r="C615" s="45">
        <v>5.88</v>
      </c>
      <c r="D615" s="121" t="s">
        <v>1789</v>
      </c>
    </row>
    <row r="616" spans="1:4" ht="15.75" hidden="1" outlineLevel="1" x14ac:dyDescent="0.2">
      <c r="A616" s="45" t="s">
        <v>1576</v>
      </c>
      <c r="B616" s="46" t="s">
        <v>822</v>
      </c>
      <c r="C616" s="45">
        <v>5.87</v>
      </c>
      <c r="D616" s="122"/>
    </row>
    <row r="617" spans="1:4" ht="15.75" hidden="1" outlineLevel="1" x14ac:dyDescent="0.2">
      <c r="A617" s="45" t="s">
        <v>1576</v>
      </c>
      <c r="B617" s="46" t="s">
        <v>603</v>
      </c>
      <c r="C617" s="45">
        <v>5.109</v>
      </c>
      <c r="D617" s="122"/>
    </row>
    <row r="618" spans="1:4" ht="15.75" hidden="1" outlineLevel="1" x14ac:dyDescent="0.2">
      <c r="A618" s="45" t="s">
        <v>1576</v>
      </c>
      <c r="B618" s="46" t="s">
        <v>605</v>
      </c>
      <c r="C618" s="48">
        <v>5.1100000000000003</v>
      </c>
      <c r="D618" s="121" t="s">
        <v>1789</v>
      </c>
    </row>
    <row r="619" spans="1:4" ht="15.75" hidden="1" outlineLevel="1" x14ac:dyDescent="0.2">
      <c r="A619" s="45" t="s">
        <v>1576</v>
      </c>
      <c r="B619" s="46" t="s">
        <v>604</v>
      </c>
      <c r="C619" s="45">
        <v>5.1109999999999998</v>
      </c>
      <c r="D619" s="122"/>
    </row>
    <row r="620" spans="1:4" ht="15.75" hidden="1" outlineLevel="1" x14ac:dyDescent="0.2">
      <c r="A620" s="45" t="s">
        <v>1576</v>
      </c>
      <c r="B620" s="46" t="s">
        <v>606</v>
      </c>
      <c r="C620" s="45">
        <v>5.1120000000000001</v>
      </c>
      <c r="D620" s="122"/>
    </row>
    <row r="621" spans="1:4" ht="15.75" hidden="1" outlineLevel="1" x14ac:dyDescent="0.2">
      <c r="A621" s="45" t="s">
        <v>1576</v>
      </c>
      <c r="B621" s="46" t="s">
        <v>1795</v>
      </c>
      <c r="C621" s="45">
        <v>5.1130000000000004</v>
      </c>
      <c r="D621" s="122"/>
    </row>
    <row r="622" spans="1:4" ht="15.75" hidden="1" outlineLevel="1" x14ac:dyDescent="0.2">
      <c r="A622" s="45" t="s">
        <v>1576</v>
      </c>
      <c r="B622" s="46" t="s">
        <v>823</v>
      </c>
      <c r="C622" s="45">
        <v>5.99</v>
      </c>
      <c r="D622" s="121" t="s">
        <v>1789</v>
      </c>
    </row>
    <row r="623" spans="1:4" ht="15.75" hidden="1" outlineLevel="1" x14ac:dyDescent="0.2">
      <c r="A623" s="45" t="s">
        <v>1576</v>
      </c>
      <c r="B623" s="46" t="s">
        <v>824</v>
      </c>
      <c r="C623" s="45">
        <v>5.58</v>
      </c>
      <c r="D623" s="121"/>
    </row>
    <row r="624" spans="1:4" ht="15.75" hidden="1" outlineLevel="1" x14ac:dyDescent="0.2">
      <c r="A624" s="45" t="s">
        <v>1576</v>
      </c>
      <c r="B624" s="46" t="s">
        <v>18</v>
      </c>
      <c r="C624" s="45">
        <v>5.54</v>
      </c>
      <c r="D624" s="122"/>
    </row>
    <row r="625" spans="1:4" ht="15.75" hidden="1" outlineLevel="1" x14ac:dyDescent="0.2">
      <c r="A625" s="45" t="s">
        <v>1576</v>
      </c>
      <c r="B625" s="46" t="s">
        <v>825</v>
      </c>
      <c r="C625" s="45">
        <v>5.56</v>
      </c>
      <c r="D625" s="122"/>
    </row>
    <row r="626" spans="1:4" ht="15.75" hidden="1" outlineLevel="1" x14ac:dyDescent="0.2">
      <c r="A626" s="45" t="s">
        <v>1576</v>
      </c>
      <c r="B626" s="46" t="s">
        <v>20</v>
      </c>
      <c r="C626" s="45">
        <v>5.63</v>
      </c>
      <c r="D626" s="122"/>
    </row>
    <row r="627" spans="1:4" ht="15.75" hidden="1" outlineLevel="1" x14ac:dyDescent="0.2">
      <c r="A627" s="45" t="s">
        <v>1576</v>
      </c>
      <c r="B627" s="46" t="s">
        <v>826</v>
      </c>
      <c r="C627" s="45">
        <v>5.64</v>
      </c>
      <c r="D627" s="122"/>
    </row>
    <row r="628" spans="1:4" ht="15.75" hidden="1" outlineLevel="1" x14ac:dyDescent="0.2">
      <c r="A628" s="45" t="s">
        <v>1576</v>
      </c>
      <c r="B628" s="46" t="s">
        <v>21</v>
      </c>
      <c r="C628" s="45">
        <v>5.65</v>
      </c>
      <c r="D628" s="122"/>
    </row>
    <row r="629" spans="1:4" ht="15.75" hidden="1" outlineLevel="1" x14ac:dyDescent="0.2">
      <c r="A629" s="45" t="s">
        <v>1576</v>
      </c>
      <c r="B629" s="46" t="s">
        <v>85</v>
      </c>
      <c r="C629" s="45">
        <v>5.66</v>
      </c>
      <c r="D629" s="122"/>
    </row>
    <row r="630" spans="1:4" ht="15.75" hidden="1" outlineLevel="1" x14ac:dyDescent="0.2">
      <c r="A630" s="45" t="s">
        <v>1576</v>
      </c>
      <c r="B630" s="46" t="s">
        <v>84</v>
      </c>
      <c r="C630" s="45">
        <v>5.89</v>
      </c>
      <c r="D630" s="121" t="s">
        <v>1789</v>
      </c>
    </row>
    <row r="631" spans="1:4" ht="15.75" hidden="1" outlineLevel="1" x14ac:dyDescent="0.2">
      <c r="A631" s="45" t="s">
        <v>1576</v>
      </c>
      <c r="B631" s="46" t="s">
        <v>22</v>
      </c>
      <c r="C631" s="45">
        <v>5.68</v>
      </c>
      <c r="D631" s="122"/>
    </row>
    <row r="632" spans="1:4" ht="15.75" hidden="1" outlineLevel="1" x14ac:dyDescent="0.2">
      <c r="A632" s="45" t="s">
        <v>1576</v>
      </c>
      <c r="B632" s="46" t="s">
        <v>24</v>
      </c>
      <c r="C632" s="45">
        <v>5.47</v>
      </c>
      <c r="D632" s="122"/>
    </row>
    <row r="633" spans="1:4" ht="15.75" hidden="1" outlineLevel="1" x14ac:dyDescent="0.2">
      <c r="A633" s="45" t="s">
        <v>1576</v>
      </c>
      <c r="B633" s="46" t="s">
        <v>25</v>
      </c>
      <c r="C633" s="45">
        <v>5.48</v>
      </c>
      <c r="D633" s="122"/>
    </row>
    <row r="634" spans="1:4" ht="15.75" x14ac:dyDescent="0.2">
      <c r="A634" s="51" t="s">
        <v>1576</v>
      </c>
      <c r="B634" s="46"/>
      <c r="C634" s="45"/>
      <c r="D634" s="122"/>
    </row>
    <row r="635" spans="1:4" ht="15.75" hidden="1" outlineLevel="1" x14ac:dyDescent="0.2">
      <c r="A635" s="45" t="s">
        <v>1595</v>
      </c>
      <c r="B635" s="46" t="s">
        <v>0</v>
      </c>
      <c r="C635" s="45">
        <v>5.0999999999999996</v>
      </c>
      <c r="D635" s="122"/>
    </row>
    <row r="636" spans="1:4" ht="15.75" hidden="1" outlineLevel="1" x14ac:dyDescent="0.2">
      <c r="A636" s="45" t="s">
        <v>1595</v>
      </c>
      <c r="B636" s="46" t="s">
        <v>1</v>
      </c>
      <c r="C636" s="45">
        <v>5.2</v>
      </c>
      <c r="D636" s="122"/>
    </row>
    <row r="637" spans="1:4" ht="15.75" hidden="1" outlineLevel="1" x14ac:dyDescent="0.2">
      <c r="A637" s="45" t="s">
        <v>1595</v>
      </c>
      <c r="B637" s="46" t="s">
        <v>2</v>
      </c>
      <c r="C637" s="45">
        <v>5.3</v>
      </c>
      <c r="D637" s="122"/>
    </row>
    <row r="638" spans="1:4" ht="15.75" hidden="1" outlineLevel="1" x14ac:dyDescent="0.2">
      <c r="A638" s="45" t="s">
        <v>1595</v>
      </c>
      <c r="B638" s="46" t="s">
        <v>76</v>
      </c>
      <c r="C638" s="45">
        <v>5.6</v>
      </c>
      <c r="D638" s="122"/>
    </row>
    <row r="639" spans="1:4" ht="15.75" hidden="1" outlineLevel="1" x14ac:dyDescent="0.2">
      <c r="A639" s="45" t="s">
        <v>1595</v>
      </c>
      <c r="B639" s="46" t="s">
        <v>1790</v>
      </c>
      <c r="C639" s="47">
        <v>5.0999999999999996</v>
      </c>
      <c r="D639" s="122"/>
    </row>
    <row r="640" spans="1:4" ht="15.75" hidden="1" outlineLevel="1" x14ac:dyDescent="0.2">
      <c r="A640" s="45" t="s">
        <v>1595</v>
      </c>
      <c r="B640" s="46" t="s">
        <v>588</v>
      </c>
      <c r="C640" s="45">
        <v>5.14</v>
      </c>
      <c r="D640" s="122"/>
    </row>
    <row r="641" spans="1:4" ht="15.75" hidden="1" outlineLevel="1" x14ac:dyDescent="0.2">
      <c r="A641" s="45" t="s">
        <v>1595</v>
      </c>
      <c r="B641" s="46" t="s">
        <v>4</v>
      </c>
      <c r="C641" s="45">
        <v>5.19</v>
      </c>
      <c r="D641" s="122"/>
    </row>
    <row r="642" spans="1:4" ht="15.75" hidden="1" outlineLevel="1" x14ac:dyDescent="0.2">
      <c r="A642" s="45" t="s">
        <v>1595</v>
      </c>
      <c r="B642" s="46" t="s">
        <v>78</v>
      </c>
      <c r="C642" s="45">
        <v>5.24</v>
      </c>
      <c r="D642" s="122"/>
    </row>
    <row r="643" spans="1:4" ht="15.75" hidden="1" outlineLevel="1" x14ac:dyDescent="0.2">
      <c r="A643" s="45" t="s">
        <v>1595</v>
      </c>
      <c r="B643" s="46" t="s">
        <v>5</v>
      </c>
      <c r="C643" s="45">
        <v>5.26</v>
      </c>
      <c r="D643" s="122"/>
    </row>
    <row r="644" spans="1:4" ht="15.75" hidden="1" outlineLevel="1" x14ac:dyDescent="0.2">
      <c r="A644" s="45" t="s">
        <v>1595</v>
      </c>
      <c r="B644" s="46" t="s">
        <v>6</v>
      </c>
      <c r="C644" s="45">
        <v>5.27</v>
      </c>
      <c r="D644" s="122"/>
    </row>
    <row r="645" spans="1:4" ht="15.75" hidden="1" outlineLevel="1" x14ac:dyDescent="0.2">
      <c r="A645" s="45" t="s">
        <v>1595</v>
      </c>
      <c r="B645" s="46" t="s">
        <v>7</v>
      </c>
      <c r="C645" s="45">
        <v>5.28</v>
      </c>
      <c r="D645" s="122"/>
    </row>
    <row r="646" spans="1:4" ht="15.75" hidden="1" outlineLevel="1" x14ac:dyDescent="0.2">
      <c r="A646" s="45" t="s">
        <v>1595</v>
      </c>
      <c r="B646" s="46" t="s">
        <v>80</v>
      </c>
      <c r="C646" s="45">
        <v>5.36</v>
      </c>
      <c r="D646" s="122"/>
    </row>
    <row r="647" spans="1:4" ht="15.75" hidden="1" outlineLevel="1" x14ac:dyDescent="0.2">
      <c r="A647" s="45" t="s">
        <v>1595</v>
      </c>
      <c r="B647" s="46" t="s">
        <v>596</v>
      </c>
      <c r="C647" s="45">
        <v>5.33</v>
      </c>
      <c r="D647" s="122"/>
    </row>
    <row r="648" spans="1:4" ht="15.75" hidden="1" outlineLevel="1" x14ac:dyDescent="0.2">
      <c r="A648" s="45" t="s">
        <v>1595</v>
      </c>
      <c r="B648" s="46" t="s">
        <v>597</v>
      </c>
      <c r="C648" s="45">
        <v>5.37</v>
      </c>
      <c r="D648" s="122"/>
    </row>
    <row r="649" spans="1:4" ht="15.75" hidden="1" outlineLevel="1" x14ac:dyDescent="0.2">
      <c r="A649" s="45" t="s">
        <v>1595</v>
      </c>
      <c r="B649" s="46" t="s">
        <v>9</v>
      </c>
      <c r="C649" s="45">
        <v>5.49</v>
      </c>
      <c r="D649" s="122"/>
    </row>
    <row r="650" spans="1:4" ht="15.75" hidden="1" outlineLevel="1" x14ac:dyDescent="0.2">
      <c r="A650" s="45" t="s">
        <v>1595</v>
      </c>
      <c r="B650" s="46" t="s">
        <v>10</v>
      </c>
      <c r="C650" s="45">
        <v>5.51</v>
      </c>
      <c r="D650" s="122"/>
    </row>
    <row r="651" spans="1:4" ht="15.75" hidden="1" outlineLevel="1" x14ac:dyDescent="0.2">
      <c r="A651" s="45" t="s">
        <v>1595</v>
      </c>
      <c r="B651" s="46" t="s">
        <v>1791</v>
      </c>
      <c r="C651" s="45">
        <v>5.52</v>
      </c>
      <c r="D651" s="122"/>
    </row>
    <row r="652" spans="1:4" ht="15.75" hidden="1" outlineLevel="1" x14ac:dyDescent="0.2">
      <c r="A652" s="45" t="s">
        <v>1595</v>
      </c>
      <c r="B652" s="46" t="s">
        <v>11</v>
      </c>
      <c r="C652" s="45">
        <v>5.53</v>
      </c>
      <c r="D652" s="122"/>
    </row>
    <row r="653" spans="1:4" ht="15.75" hidden="1" outlineLevel="1" x14ac:dyDescent="0.2">
      <c r="A653" s="45" t="s">
        <v>1595</v>
      </c>
      <c r="B653" s="46" t="s">
        <v>12</v>
      </c>
      <c r="C653" s="45">
        <v>5.69</v>
      </c>
      <c r="D653" s="122"/>
    </row>
    <row r="654" spans="1:4" ht="15.75" hidden="1" outlineLevel="1" x14ac:dyDescent="0.2">
      <c r="A654" s="45" t="s">
        <v>1595</v>
      </c>
      <c r="B654" s="46" t="s">
        <v>14</v>
      </c>
      <c r="C654" s="47">
        <v>5.7</v>
      </c>
      <c r="D654" s="122"/>
    </row>
    <row r="655" spans="1:4" ht="15.75" hidden="1" outlineLevel="1" x14ac:dyDescent="0.2">
      <c r="A655" s="45" t="s">
        <v>1595</v>
      </c>
      <c r="B655" s="46" t="s">
        <v>15</v>
      </c>
      <c r="C655" s="45">
        <v>5.74</v>
      </c>
      <c r="D655" s="122"/>
    </row>
    <row r="656" spans="1:4" ht="15.75" hidden="1" outlineLevel="1" x14ac:dyDescent="0.2">
      <c r="A656" s="45" t="s">
        <v>1595</v>
      </c>
      <c r="B656" s="46" t="s">
        <v>603</v>
      </c>
      <c r="C656" s="45">
        <v>5.109</v>
      </c>
      <c r="D656" s="122"/>
    </row>
    <row r="657" spans="1:4" ht="15.75" hidden="1" outlineLevel="1" x14ac:dyDescent="0.2">
      <c r="A657" s="45" t="s">
        <v>1595</v>
      </c>
      <c r="B657" s="46" t="s">
        <v>604</v>
      </c>
      <c r="C657" s="45">
        <v>5.1109999999999998</v>
      </c>
      <c r="D657" s="122"/>
    </row>
    <row r="658" spans="1:4" ht="15.75" hidden="1" outlineLevel="1" x14ac:dyDescent="0.2">
      <c r="A658" s="45" t="s">
        <v>1595</v>
      </c>
      <c r="B658" s="46" t="s">
        <v>606</v>
      </c>
      <c r="C658" s="45">
        <v>5.1120000000000001</v>
      </c>
      <c r="D658" s="122"/>
    </row>
    <row r="659" spans="1:4" ht="15.75" hidden="1" outlineLevel="1" x14ac:dyDescent="0.2">
      <c r="A659" s="45" t="s">
        <v>1595</v>
      </c>
      <c r="B659" s="46" t="s">
        <v>17</v>
      </c>
      <c r="C659" s="45">
        <v>5.58</v>
      </c>
      <c r="D659" s="122"/>
    </row>
    <row r="660" spans="1:4" ht="15.75" hidden="1" outlineLevel="1" x14ac:dyDescent="0.2">
      <c r="A660" s="45" t="s">
        <v>1595</v>
      </c>
      <c r="B660" s="46" t="s">
        <v>18</v>
      </c>
      <c r="C660" s="45">
        <v>5.54</v>
      </c>
      <c r="D660" s="122"/>
    </row>
    <row r="661" spans="1:4" ht="15.75" hidden="1" outlineLevel="1" x14ac:dyDescent="0.2">
      <c r="A661" s="45" t="s">
        <v>1595</v>
      </c>
      <c r="B661" s="46" t="s">
        <v>19</v>
      </c>
      <c r="C661" s="45">
        <v>5.55</v>
      </c>
      <c r="D661" s="122"/>
    </row>
    <row r="662" spans="1:4" ht="15.75" hidden="1" outlineLevel="1" x14ac:dyDescent="0.2">
      <c r="A662" s="45" t="s">
        <v>1595</v>
      </c>
      <c r="B662" s="46" t="s">
        <v>20</v>
      </c>
      <c r="C662" s="45">
        <v>5.63</v>
      </c>
      <c r="D662" s="122"/>
    </row>
    <row r="663" spans="1:4" ht="15.75" hidden="1" outlineLevel="1" x14ac:dyDescent="0.2">
      <c r="A663" s="45" t="s">
        <v>1595</v>
      </c>
      <c r="B663" s="46" t="s">
        <v>24</v>
      </c>
      <c r="C663" s="45">
        <v>5.47</v>
      </c>
      <c r="D663" s="122"/>
    </row>
    <row r="664" spans="1:4" ht="15.75" hidden="1" outlineLevel="1" x14ac:dyDescent="0.2">
      <c r="A664" s="45" t="s">
        <v>1595</v>
      </c>
      <c r="B664" s="46" t="s">
        <v>25</v>
      </c>
      <c r="C664" s="45">
        <v>5.48</v>
      </c>
      <c r="D664" s="122"/>
    </row>
    <row r="665" spans="1:4" ht="15.75" x14ac:dyDescent="0.2">
      <c r="A665" s="51" t="s">
        <v>1595</v>
      </c>
      <c r="B665" s="46"/>
      <c r="C665" s="45"/>
      <c r="D665" s="122"/>
    </row>
    <row r="666" spans="1:4" ht="15.75" hidden="1" outlineLevel="1" x14ac:dyDescent="0.2">
      <c r="A666" s="45" t="s">
        <v>1600</v>
      </c>
      <c r="B666" s="46" t="s">
        <v>0</v>
      </c>
      <c r="C666" s="45">
        <v>5.0999999999999996</v>
      </c>
      <c r="D666" s="122"/>
    </row>
    <row r="667" spans="1:4" ht="15.75" hidden="1" outlineLevel="1" x14ac:dyDescent="0.2">
      <c r="A667" s="45" t="s">
        <v>1600</v>
      </c>
      <c r="B667" s="46" t="s">
        <v>1</v>
      </c>
      <c r="C667" s="45">
        <v>5.2</v>
      </c>
      <c r="D667" s="122"/>
    </row>
    <row r="668" spans="1:4" ht="15.75" hidden="1" outlineLevel="1" x14ac:dyDescent="0.2">
      <c r="A668" s="45" t="s">
        <v>1600</v>
      </c>
      <c r="B668" s="46" t="s">
        <v>827</v>
      </c>
      <c r="C668" s="45">
        <v>5.4</v>
      </c>
      <c r="D668" s="122"/>
    </row>
    <row r="669" spans="1:4" ht="15.75" hidden="1" outlineLevel="1" x14ac:dyDescent="0.2">
      <c r="A669" s="45" t="s">
        <v>1600</v>
      </c>
      <c r="B669" s="46" t="s">
        <v>828</v>
      </c>
      <c r="C669" s="45">
        <v>5.7</v>
      </c>
      <c r="D669" s="122"/>
    </row>
    <row r="670" spans="1:4" ht="15.75" hidden="1" outlineLevel="1" x14ac:dyDescent="0.2">
      <c r="A670" s="45" t="s">
        <v>1600</v>
      </c>
      <c r="B670" s="46" t="s">
        <v>829</v>
      </c>
      <c r="C670" s="45">
        <v>5.1100000000000003</v>
      </c>
      <c r="D670" s="122"/>
    </row>
    <row r="671" spans="1:4" ht="15.75" hidden="1" outlineLevel="1" x14ac:dyDescent="0.2">
      <c r="A671" s="45" t="s">
        <v>1600</v>
      </c>
      <c r="B671" s="46" t="s">
        <v>5</v>
      </c>
      <c r="C671" s="45">
        <v>5.26</v>
      </c>
      <c r="D671" s="122"/>
    </row>
    <row r="672" spans="1:4" ht="15.75" hidden="1" outlineLevel="1" x14ac:dyDescent="0.2">
      <c r="A672" s="45" t="s">
        <v>1600</v>
      </c>
      <c r="B672" s="46" t="s">
        <v>830</v>
      </c>
      <c r="C672" s="45">
        <v>5.43</v>
      </c>
      <c r="D672" s="122"/>
    </row>
    <row r="673" spans="1:4" ht="15.75" hidden="1" outlineLevel="1" x14ac:dyDescent="0.2">
      <c r="A673" s="45" t="s">
        <v>1600</v>
      </c>
      <c r="B673" s="46" t="s">
        <v>6</v>
      </c>
      <c r="C673" s="45">
        <v>5.27</v>
      </c>
      <c r="D673" s="122"/>
    </row>
    <row r="674" spans="1:4" ht="15.75" hidden="1" outlineLevel="1" x14ac:dyDescent="0.2">
      <c r="A674" s="45" t="s">
        <v>1600</v>
      </c>
      <c r="B674" s="46" t="s">
        <v>7</v>
      </c>
      <c r="C674" s="45">
        <v>5.28</v>
      </c>
      <c r="D674" s="122"/>
    </row>
    <row r="675" spans="1:4" ht="15.75" hidden="1" outlineLevel="1" x14ac:dyDescent="0.2">
      <c r="A675" s="45" t="s">
        <v>1600</v>
      </c>
      <c r="B675" s="46" t="s">
        <v>80</v>
      </c>
      <c r="C675" s="45">
        <v>5.36</v>
      </c>
      <c r="D675" s="122"/>
    </row>
    <row r="676" spans="1:4" ht="15.75" hidden="1" outlineLevel="1" x14ac:dyDescent="0.2">
      <c r="A676" s="45" t="s">
        <v>1600</v>
      </c>
      <c r="B676" s="46" t="s">
        <v>831</v>
      </c>
      <c r="C676" s="47">
        <v>5.5</v>
      </c>
      <c r="D676" s="122"/>
    </row>
    <row r="677" spans="1:4" ht="15.75" hidden="1" outlineLevel="1" x14ac:dyDescent="0.2">
      <c r="A677" s="45" t="s">
        <v>1600</v>
      </c>
      <c r="B677" s="46" t="s">
        <v>10</v>
      </c>
      <c r="C677" s="45">
        <v>5.51</v>
      </c>
      <c r="D677" s="122"/>
    </row>
    <row r="678" spans="1:4" ht="15.75" hidden="1" outlineLevel="1" x14ac:dyDescent="0.2">
      <c r="A678" s="45" t="s">
        <v>1600</v>
      </c>
      <c r="B678" s="46" t="s">
        <v>11</v>
      </c>
      <c r="C678" s="45">
        <v>5.53</v>
      </c>
      <c r="D678" s="122"/>
    </row>
    <row r="679" spans="1:4" ht="15.75" hidden="1" outlineLevel="1" x14ac:dyDescent="0.2">
      <c r="A679" s="45" t="s">
        <v>1600</v>
      </c>
      <c r="B679" s="46" t="s">
        <v>12</v>
      </c>
      <c r="C679" s="45">
        <v>5.69</v>
      </c>
      <c r="D679" s="122"/>
    </row>
    <row r="680" spans="1:4" ht="15.75" hidden="1" outlineLevel="1" x14ac:dyDescent="0.2">
      <c r="A680" s="45" t="s">
        <v>1600</v>
      </c>
      <c r="B680" s="46" t="s">
        <v>14</v>
      </c>
      <c r="C680" s="47">
        <v>5.7</v>
      </c>
      <c r="D680" s="121" t="s">
        <v>1789</v>
      </c>
    </row>
    <row r="681" spans="1:4" ht="15.75" hidden="1" outlineLevel="1" x14ac:dyDescent="0.2">
      <c r="A681" s="45" t="s">
        <v>1600</v>
      </c>
      <c r="B681" s="46" t="s">
        <v>15</v>
      </c>
      <c r="C681" s="45">
        <v>5.74</v>
      </c>
      <c r="D681" s="122"/>
    </row>
    <row r="682" spans="1:4" ht="15.75" hidden="1" outlineLevel="1" x14ac:dyDescent="0.2">
      <c r="A682" s="45" t="s">
        <v>1600</v>
      </c>
      <c r="B682" s="46" t="s">
        <v>832</v>
      </c>
      <c r="C682" s="45">
        <v>5.59</v>
      </c>
      <c r="D682" s="122"/>
    </row>
    <row r="683" spans="1:4" ht="15.75" hidden="1" outlineLevel="1" x14ac:dyDescent="0.2">
      <c r="A683" s="45" t="s">
        <v>1600</v>
      </c>
      <c r="B683" s="46" t="s">
        <v>18</v>
      </c>
      <c r="C683" s="45">
        <v>5.54</v>
      </c>
      <c r="D683" s="122"/>
    </row>
    <row r="684" spans="1:4" ht="15.75" hidden="1" outlineLevel="1" x14ac:dyDescent="0.2">
      <c r="A684" s="45" t="s">
        <v>1600</v>
      </c>
      <c r="B684" s="46" t="s">
        <v>833</v>
      </c>
      <c r="C684" s="45">
        <v>5.57</v>
      </c>
      <c r="D684" s="122"/>
    </row>
    <row r="685" spans="1:4" ht="15.75" hidden="1" outlineLevel="1" x14ac:dyDescent="0.2">
      <c r="A685" s="45" t="s">
        <v>1600</v>
      </c>
      <c r="B685" s="46" t="s">
        <v>20</v>
      </c>
      <c r="C685" s="45">
        <v>5.63</v>
      </c>
      <c r="D685" s="122"/>
    </row>
    <row r="686" spans="1:4" ht="15.75" hidden="1" outlineLevel="1" x14ac:dyDescent="0.2">
      <c r="A686" s="45" t="s">
        <v>1600</v>
      </c>
      <c r="B686" s="46" t="s">
        <v>24</v>
      </c>
      <c r="C686" s="45">
        <v>5.47</v>
      </c>
      <c r="D686" s="122"/>
    </row>
    <row r="687" spans="1:4" ht="15.75" hidden="1" outlineLevel="1" x14ac:dyDescent="0.2">
      <c r="A687" s="45" t="s">
        <v>1600</v>
      </c>
      <c r="B687" s="46" t="s">
        <v>25</v>
      </c>
      <c r="C687" s="45">
        <v>5.48</v>
      </c>
      <c r="D687" s="122"/>
    </row>
    <row r="688" spans="1:4" ht="15.75" x14ac:dyDescent="0.2">
      <c r="A688" s="51" t="s">
        <v>1600</v>
      </c>
      <c r="B688" s="46"/>
      <c r="C688" s="45"/>
      <c r="D688" s="122"/>
    </row>
    <row r="689" spans="1:4" ht="15.75" hidden="1" outlineLevel="1" x14ac:dyDescent="0.2">
      <c r="A689" s="45" t="s">
        <v>1603</v>
      </c>
      <c r="B689" s="46" t="s">
        <v>0</v>
      </c>
      <c r="C689" s="45">
        <v>5.0999999999999996</v>
      </c>
      <c r="D689" s="122"/>
    </row>
    <row r="690" spans="1:4" ht="15.75" hidden="1" outlineLevel="1" x14ac:dyDescent="0.2">
      <c r="A690" s="45" t="s">
        <v>1603</v>
      </c>
      <c r="B690" s="46" t="s">
        <v>1</v>
      </c>
      <c r="C690" s="45">
        <v>5.2</v>
      </c>
      <c r="D690" s="122"/>
    </row>
    <row r="691" spans="1:4" ht="15.75" hidden="1" outlineLevel="1" x14ac:dyDescent="0.2">
      <c r="A691" s="45" t="s">
        <v>1603</v>
      </c>
      <c r="B691" s="46" t="s">
        <v>834</v>
      </c>
      <c r="C691" s="45">
        <v>5.17</v>
      </c>
      <c r="D691" s="122"/>
    </row>
    <row r="692" spans="1:4" ht="15.75" hidden="1" outlineLevel="1" x14ac:dyDescent="0.2">
      <c r="A692" s="45" t="s">
        <v>1603</v>
      </c>
      <c r="B692" s="46" t="s">
        <v>5</v>
      </c>
      <c r="C692" s="45">
        <v>5.26</v>
      </c>
      <c r="D692" s="122"/>
    </row>
    <row r="693" spans="1:4" ht="15.75" hidden="1" outlineLevel="1" x14ac:dyDescent="0.2">
      <c r="A693" s="45" t="s">
        <v>1603</v>
      </c>
      <c r="B693" s="46" t="s">
        <v>835</v>
      </c>
      <c r="C693" s="45">
        <v>5.1029999999999998</v>
      </c>
      <c r="D693" s="122"/>
    </row>
    <row r="694" spans="1:4" ht="15.75" hidden="1" outlineLevel="1" x14ac:dyDescent="0.2">
      <c r="A694" s="45" t="s">
        <v>1603</v>
      </c>
      <c r="B694" s="46" t="s">
        <v>80</v>
      </c>
      <c r="C694" s="45">
        <v>5.36</v>
      </c>
      <c r="D694" s="122"/>
    </row>
    <row r="695" spans="1:4" ht="15.75" hidden="1" outlineLevel="1" x14ac:dyDescent="0.2">
      <c r="A695" s="45" t="s">
        <v>1603</v>
      </c>
      <c r="B695" s="46" t="s">
        <v>597</v>
      </c>
      <c r="C695" s="45">
        <v>5.37</v>
      </c>
      <c r="D695" s="122"/>
    </row>
    <row r="696" spans="1:4" ht="15.75" hidden="1" outlineLevel="1" x14ac:dyDescent="0.2">
      <c r="A696" s="45" t="s">
        <v>1603</v>
      </c>
      <c r="B696" s="46" t="s">
        <v>836</v>
      </c>
      <c r="C696" s="45">
        <v>5.1040000000000001</v>
      </c>
      <c r="D696" s="122"/>
    </row>
    <row r="697" spans="1:4" ht="15.75" hidden="1" outlineLevel="1" x14ac:dyDescent="0.2">
      <c r="A697" s="45" t="s">
        <v>1603</v>
      </c>
      <c r="B697" s="46" t="s">
        <v>837</v>
      </c>
      <c r="C697" s="45">
        <v>5.1050000000000004</v>
      </c>
      <c r="D697" s="122"/>
    </row>
    <row r="698" spans="1:4" ht="15.75" hidden="1" outlineLevel="1" x14ac:dyDescent="0.2">
      <c r="A698" s="45" t="s">
        <v>1603</v>
      </c>
      <c r="B698" s="46" t="s">
        <v>838</v>
      </c>
      <c r="C698" s="45">
        <v>5.1059999999999999</v>
      </c>
      <c r="D698" s="122"/>
    </row>
    <row r="699" spans="1:4" ht="15.75" hidden="1" outlineLevel="1" x14ac:dyDescent="0.2">
      <c r="A699" s="45" t="s">
        <v>1603</v>
      </c>
      <c r="B699" s="46" t="s">
        <v>839</v>
      </c>
      <c r="C699" s="45">
        <v>5.1070000000000002</v>
      </c>
      <c r="D699" s="122"/>
    </row>
    <row r="700" spans="1:4" ht="15.75" hidden="1" outlineLevel="1" x14ac:dyDescent="0.2">
      <c r="A700" s="45" t="s">
        <v>1603</v>
      </c>
      <c r="B700" s="46" t="s">
        <v>1443</v>
      </c>
      <c r="C700" s="45">
        <v>5.1079999999999997</v>
      </c>
      <c r="D700" s="121" t="s">
        <v>1789</v>
      </c>
    </row>
    <row r="701" spans="1:4" ht="15.75" hidden="1" outlineLevel="1" x14ac:dyDescent="0.2">
      <c r="A701" s="45" t="s">
        <v>1603</v>
      </c>
      <c r="B701" s="46" t="s">
        <v>603</v>
      </c>
      <c r="C701" s="45">
        <v>5.109</v>
      </c>
      <c r="D701" s="122"/>
    </row>
    <row r="702" spans="1:4" ht="15.75" hidden="1" outlineLevel="1" x14ac:dyDescent="0.2">
      <c r="A702" s="45" t="s">
        <v>1603</v>
      </c>
      <c r="B702" s="46" t="s">
        <v>605</v>
      </c>
      <c r="C702" s="48">
        <v>5.1100000000000003</v>
      </c>
      <c r="D702" s="121" t="s">
        <v>1789</v>
      </c>
    </row>
    <row r="703" spans="1:4" ht="15.75" hidden="1" outlineLevel="1" x14ac:dyDescent="0.2">
      <c r="A703" s="45" t="s">
        <v>1603</v>
      </c>
      <c r="B703" s="46" t="s">
        <v>604</v>
      </c>
      <c r="C703" s="45">
        <v>5.1109999999999998</v>
      </c>
      <c r="D703" s="122"/>
    </row>
    <row r="704" spans="1:4" ht="15.75" hidden="1" outlineLevel="1" x14ac:dyDescent="0.2">
      <c r="A704" s="45" t="s">
        <v>1603</v>
      </c>
      <c r="B704" s="46" t="s">
        <v>606</v>
      </c>
      <c r="C704" s="45">
        <v>5.1120000000000001</v>
      </c>
      <c r="D704" s="122"/>
    </row>
    <row r="705" spans="1:4" ht="15.75" hidden="1" outlineLevel="1" x14ac:dyDescent="0.2">
      <c r="A705" s="45" t="s">
        <v>1603</v>
      </c>
      <c r="B705" s="46" t="s">
        <v>11</v>
      </c>
      <c r="C705" s="45">
        <v>5.53</v>
      </c>
      <c r="D705" s="122"/>
    </row>
    <row r="706" spans="1:4" ht="15.75" hidden="1" outlineLevel="1" x14ac:dyDescent="0.2">
      <c r="A706" s="45" t="s">
        <v>1603</v>
      </c>
      <c r="B706" s="46" t="s">
        <v>826</v>
      </c>
      <c r="C706" s="45">
        <v>5.64</v>
      </c>
      <c r="D706" s="122"/>
    </row>
    <row r="707" spans="1:4" ht="15.75" hidden="1" outlineLevel="1" x14ac:dyDescent="0.2">
      <c r="A707" s="45" t="s">
        <v>1603</v>
      </c>
      <c r="B707" s="46" t="s">
        <v>20</v>
      </c>
      <c r="C707" s="45">
        <v>5.63</v>
      </c>
      <c r="D707" s="122"/>
    </row>
    <row r="708" spans="1:4" ht="15.75" hidden="1" outlineLevel="1" x14ac:dyDescent="0.2">
      <c r="A708" s="45" t="s">
        <v>1603</v>
      </c>
      <c r="B708" s="46" t="s">
        <v>21</v>
      </c>
      <c r="C708" s="45">
        <v>5.65</v>
      </c>
      <c r="D708" s="122"/>
    </row>
    <row r="709" spans="1:4" ht="15.75" hidden="1" outlineLevel="1" x14ac:dyDescent="0.2">
      <c r="A709" s="45" t="s">
        <v>1603</v>
      </c>
      <c r="B709" s="46" t="s">
        <v>85</v>
      </c>
      <c r="C709" s="45">
        <v>5.66</v>
      </c>
      <c r="D709" s="122"/>
    </row>
    <row r="710" spans="1:4" ht="15.75" hidden="1" outlineLevel="1" x14ac:dyDescent="0.2">
      <c r="A710" s="45" t="s">
        <v>1603</v>
      </c>
      <c r="B710" s="46" t="s">
        <v>22</v>
      </c>
      <c r="C710" s="45">
        <v>5.68</v>
      </c>
      <c r="D710" s="122"/>
    </row>
    <row r="711" spans="1:4" ht="15.75" hidden="1" outlineLevel="1" x14ac:dyDescent="0.2">
      <c r="A711" s="45" t="s">
        <v>1603</v>
      </c>
      <c r="B711" s="46" t="s">
        <v>24</v>
      </c>
      <c r="C711" s="45">
        <v>5.47</v>
      </c>
      <c r="D711" s="122"/>
    </row>
    <row r="712" spans="1:4" ht="15.75" hidden="1" outlineLevel="1" x14ac:dyDescent="0.2">
      <c r="A712" s="45" t="s">
        <v>1603</v>
      </c>
      <c r="B712" s="46" t="s">
        <v>25</v>
      </c>
      <c r="C712" s="45">
        <v>5.48</v>
      </c>
      <c r="D712" s="122"/>
    </row>
    <row r="713" spans="1:4" ht="15.75" x14ac:dyDescent="0.2">
      <c r="A713" s="51" t="s">
        <v>1603</v>
      </c>
      <c r="B713" s="46"/>
      <c r="C713" s="45"/>
      <c r="D713" s="122"/>
    </row>
    <row r="714" spans="1:4" ht="15.75" hidden="1" outlineLevel="1" x14ac:dyDescent="0.2">
      <c r="A714" s="45" t="s">
        <v>1802</v>
      </c>
      <c r="B714" s="46" t="s">
        <v>0</v>
      </c>
      <c r="C714" s="45">
        <v>5.0999999999999996</v>
      </c>
      <c r="D714" s="122"/>
    </row>
    <row r="715" spans="1:4" ht="15.75" hidden="1" outlineLevel="1" x14ac:dyDescent="0.2">
      <c r="A715" s="45" t="s">
        <v>1802</v>
      </c>
      <c r="B715" s="46" t="s">
        <v>1</v>
      </c>
      <c r="C715" s="45">
        <v>5.2</v>
      </c>
      <c r="D715" s="122"/>
    </row>
    <row r="716" spans="1:4" ht="15.75" hidden="1" outlineLevel="1" x14ac:dyDescent="0.2">
      <c r="A716" s="45" t="s">
        <v>1802</v>
      </c>
      <c r="B716" s="46" t="s">
        <v>2</v>
      </c>
      <c r="C716" s="45">
        <v>5.3</v>
      </c>
      <c r="D716" s="122"/>
    </row>
    <row r="717" spans="1:4" ht="15.75" hidden="1" outlineLevel="1" x14ac:dyDescent="0.2">
      <c r="A717" s="45" t="s">
        <v>1802</v>
      </c>
      <c r="B717" s="46" t="s">
        <v>76</v>
      </c>
      <c r="C717" s="45">
        <v>5.6</v>
      </c>
      <c r="D717" s="122"/>
    </row>
    <row r="718" spans="1:4" ht="15.75" hidden="1" outlineLevel="1" x14ac:dyDescent="0.2">
      <c r="A718" s="45" t="s">
        <v>1802</v>
      </c>
      <c r="B718" s="46" t="s">
        <v>1790</v>
      </c>
      <c r="C718" s="47">
        <v>5.0999999999999996</v>
      </c>
      <c r="D718" s="122"/>
    </row>
    <row r="719" spans="1:4" ht="15.75" hidden="1" outlineLevel="1" x14ac:dyDescent="0.2">
      <c r="A719" s="45" t="s">
        <v>1802</v>
      </c>
      <c r="B719" s="46" t="s">
        <v>588</v>
      </c>
      <c r="C719" s="45">
        <v>5.14</v>
      </c>
      <c r="D719" s="122"/>
    </row>
    <row r="720" spans="1:4" ht="15.75" hidden="1" outlineLevel="1" x14ac:dyDescent="0.2">
      <c r="A720" s="45" t="s">
        <v>1802</v>
      </c>
      <c r="B720" s="46" t="s">
        <v>4</v>
      </c>
      <c r="C720" s="45">
        <v>5.19</v>
      </c>
      <c r="D720" s="122"/>
    </row>
    <row r="721" spans="1:4" ht="15.75" hidden="1" outlineLevel="1" x14ac:dyDescent="0.2">
      <c r="A721" s="45" t="s">
        <v>1802</v>
      </c>
      <c r="B721" s="46" t="s">
        <v>78</v>
      </c>
      <c r="C721" s="45">
        <v>5.24</v>
      </c>
      <c r="D721" s="122"/>
    </row>
    <row r="722" spans="1:4" ht="15.75" hidden="1" outlineLevel="1" x14ac:dyDescent="0.2">
      <c r="A722" s="45" t="s">
        <v>1802</v>
      </c>
      <c r="B722" s="46" t="s">
        <v>5</v>
      </c>
      <c r="C722" s="45">
        <v>5.26</v>
      </c>
      <c r="D722" s="122"/>
    </row>
    <row r="723" spans="1:4" ht="15.75" hidden="1" outlineLevel="1" x14ac:dyDescent="0.2">
      <c r="A723" s="45" t="s">
        <v>1802</v>
      </c>
      <c r="B723" s="46" t="s">
        <v>6</v>
      </c>
      <c r="C723" s="45">
        <v>5.27</v>
      </c>
      <c r="D723" s="122"/>
    </row>
    <row r="724" spans="1:4" ht="15.75" hidden="1" outlineLevel="1" x14ac:dyDescent="0.2">
      <c r="A724" s="45" t="s">
        <v>1802</v>
      </c>
      <c r="B724" s="46" t="s">
        <v>7</v>
      </c>
      <c r="C724" s="45">
        <v>5.28</v>
      </c>
      <c r="D724" s="122"/>
    </row>
    <row r="725" spans="1:4" ht="15.75" hidden="1" outlineLevel="1" x14ac:dyDescent="0.2">
      <c r="A725" s="45" t="s">
        <v>1802</v>
      </c>
      <c r="B725" s="46" t="s">
        <v>79</v>
      </c>
      <c r="C725" s="45">
        <v>5.31</v>
      </c>
      <c r="D725" s="122"/>
    </row>
    <row r="726" spans="1:4" ht="15.75" hidden="1" outlineLevel="1" x14ac:dyDescent="0.2">
      <c r="A726" s="45" t="s">
        <v>1802</v>
      </c>
      <c r="B726" s="46" t="s">
        <v>80</v>
      </c>
      <c r="C726" s="45">
        <v>5.36</v>
      </c>
      <c r="D726" s="122"/>
    </row>
    <row r="727" spans="1:4" ht="15.75" hidden="1" outlineLevel="1" x14ac:dyDescent="0.2">
      <c r="A727" s="45" t="s">
        <v>1802</v>
      </c>
      <c r="B727" s="46" t="s">
        <v>11</v>
      </c>
      <c r="C727" s="45">
        <v>5.53</v>
      </c>
      <c r="D727" s="122"/>
    </row>
    <row r="728" spans="1:4" ht="15.75" hidden="1" outlineLevel="1" x14ac:dyDescent="0.2">
      <c r="A728" s="45" t="s">
        <v>1802</v>
      </c>
      <c r="B728" s="46" t="s">
        <v>603</v>
      </c>
      <c r="C728" s="45">
        <v>5.109</v>
      </c>
      <c r="D728" s="122"/>
    </row>
    <row r="729" spans="1:4" ht="15.75" hidden="1" outlineLevel="1" x14ac:dyDescent="0.2">
      <c r="A729" s="45" t="s">
        <v>1802</v>
      </c>
      <c r="B729" s="46" t="s">
        <v>604</v>
      </c>
      <c r="C729" s="45">
        <v>5.1109999999999998</v>
      </c>
      <c r="D729" s="122"/>
    </row>
    <row r="730" spans="1:4" ht="15.75" hidden="1" outlineLevel="1" x14ac:dyDescent="0.2">
      <c r="A730" s="45" t="s">
        <v>1802</v>
      </c>
      <c r="B730" s="46" t="s">
        <v>606</v>
      </c>
      <c r="C730" s="45">
        <v>5.1120000000000001</v>
      </c>
      <c r="D730" s="122"/>
    </row>
    <row r="731" spans="1:4" ht="15.75" hidden="1" outlineLevel="1" x14ac:dyDescent="0.2">
      <c r="A731" s="45" t="s">
        <v>1802</v>
      </c>
      <c r="B731" s="46" t="s">
        <v>1795</v>
      </c>
      <c r="C731" s="45">
        <v>5.1130000000000004</v>
      </c>
      <c r="D731" s="122"/>
    </row>
    <row r="732" spans="1:4" ht="15.75" hidden="1" outlineLevel="1" x14ac:dyDescent="0.2">
      <c r="A732" s="45" t="s">
        <v>1802</v>
      </c>
      <c r="B732" s="46" t="s">
        <v>841</v>
      </c>
      <c r="C732" s="45">
        <v>5.117</v>
      </c>
      <c r="D732" s="122"/>
    </row>
    <row r="733" spans="1:4" ht="15.75" hidden="1" outlineLevel="1" x14ac:dyDescent="0.2">
      <c r="A733" s="45" t="s">
        <v>1802</v>
      </c>
      <c r="B733" s="46" t="s">
        <v>842</v>
      </c>
      <c r="C733" s="45">
        <v>5.67</v>
      </c>
      <c r="D733" s="122"/>
    </row>
    <row r="734" spans="1:4" ht="15.75" hidden="1" outlineLevel="1" x14ac:dyDescent="0.2">
      <c r="A734" s="45" t="s">
        <v>1802</v>
      </c>
      <c r="B734" s="46" t="s">
        <v>20</v>
      </c>
      <c r="C734" s="45">
        <v>5.63</v>
      </c>
      <c r="D734" s="122"/>
    </row>
    <row r="735" spans="1:4" ht="15.75" hidden="1" outlineLevel="1" x14ac:dyDescent="0.2">
      <c r="A735" s="45" t="s">
        <v>1802</v>
      </c>
      <c r="B735" s="46" t="s">
        <v>24</v>
      </c>
      <c r="C735" s="45">
        <v>5.47</v>
      </c>
      <c r="D735" s="122"/>
    </row>
    <row r="736" spans="1:4" ht="15.75" hidden="1" outlineLevel="1" x14ac:dyDescent="0.2">
      <c r="A736" s="45" t="s">
        <v>1802</v>
      </c>
      <c r="B736" s="46" t="s">
        <v>25</v>
      </c>
      <c r="C736" s="45">
        <v>5.48</v>
      </c>
      <c r="D736" s="122"/>
    </row>
    <row r="737" spans="1:4" ht="15.75" x14ac:dyDescent="0.2">
      <c r="A737" s="51" t="s">
        <v>1803</v>
      </c>
      <c r="B737" s="46"/>
      <c r="C737" s="45"/>
      <c r="D737" s="122"/>
    </row>
    <row r="738" spans="1:4" ht="15.75" hidden="1" outlineLevel="1" x14ac:dyDescent="0.2">
      <c r="A738" s="45" t="s">
        <v>1606</v>
      </c>
      <c r="B738" s="46" t="s">
        <v>0</v>
      </c>
      <c r="C738" s="45">
        <v>5.0999999999999996</v>
      </c>
      <c r="D738" s="122"/>
    </row>
    <row r="739" spans="1:4" ht="15.75" hidden="1" outlineLevel="1" x14ac:dyDescent="0.2">
      <c r="A739" s="45" t="s">
        <v>1606</v>
      </c>
      <c r="B739" s="46" t="s">
        <v>1</v>
      </c>
      <c r="C739" s="45">
        <v>5.2</v>
      </c>
      <c r="D739" s="122"/>
    </row>
    <row r="740" spans="1:4" ht="15.75" hidden="1" outlineLevel="1" x14ac:dyDescent="0.2">
      <c r="A740" s="45" t="s">
        <v>1606</v>
      </c>
      <c r="B740" s="46" t="s">
        <v>843</v>
      </c>
      <c r="C740" s="45">
        <v>5.18</v>
      </c>
      <c r="D740" s="122"/>
    </row>
    <row r="741" spans="1:4" ht="15.75" hidden="1" outlineLevel="1" x14ac:dyDescent="0.2">
      <c r="A741" s="45" t="s">
        <v>1606</v>
      </c>
      <c r="B741" s="46" t="s">
        <v>844</v>
      </c>
      <c r="C741" s="45">
        <v>5.23</v>
      </c>
      <c r="D741" s="122"/>
    </row>
    <row r="742" spans="1:4" ht="15.75" hidden="1" outlineLevel="1" x14ac:dyDescent="0.2">
      <c r="A742" s="45" t="s">
        <v>1606</v>
      </c>
      <c r="B742" s="46" t="s">
        <v>5</v>
      </c>
      <c r="C742" s="45">
        <v>5.26</v>
      </c>
      <c r="D742" s="122"/>
    </row>
    <row r="743" spans="1:4" ht="15.75" hidden="1" outlineLevel="1" x14ac:dyDescent="0.2">
      <c r="A743" s="45" t="s">
        <v>1606</v>
      </c>
      <c r="B743" s="46" t="s">
        <v>6</v>
      </c>
      <c r="C743" s="45">
        <v>5.27</v>
      </c>
      <c r="D743" s="122"/>
    </row>
    <row r="744" spans="1:4" ht="15.75" hidden="1" outlineLevel="1" x14ac:dyDescent="0.2">
      <c r="A744" s="45" t="s">
        <v>1606</v>
      </c>
      <c r="B744" s="46" t="s">
        <v>7</v>
      </c>
      <c r="C744" s="45">
        <v>5.28</v>
      </c>
      <c r="D744" s="122"/>
    </row>
    <row r="745" spans="1:4" ht="15.75" hidden="1" outlineLevel="1" x14ac:dyDescent="0.2">
      <c r="A745" s="45" t="s">
        <v>1606</v>
      </c>
      <c r="B745" s="46" t="s">
        <v>80</v>
      </c>
      <c r="C745" s="45">
        <v>5.36</v>
      </c>
      <c r="D745" s="122"/>
    </row>
    <row r="746" spans="1:4" ht="15.75" hidden="1" outlineLevel="1" x14ac:dyDescent="0.2">
      <c r="A746" s="45" t="s">
        <v>1606</v>
      </c>
      <c r="B746" s="46" t="s">
        <v>845</v>
      </c>
      <c r="C746" s="45">
        <v>5.44</v>
      </c>
      <c r="D746" s="122"/>
    </row>
    <row r="747" spans="1:4" ht="15.75" hidden="1" outlineLevel="1" x14ac:dyDescent="0.2">
      <c r="A747" s="45" t="s">
        <v>1606</v>
      </c>
      <c r="B747" s="46" t="s">
        <v>11</v>
      </c>
      <c r="C747" s="45">
        <v>5.53</v>
      </c>
      <c r="D747" s="122"/>
    </row>
    <row r="748" spans="1:4" ht="15.75" hidden="1" outlineLevel="1" x14ac:dyDescent="0.2">
      <c r="A748" s="45" t="s">
        <v>1606</v>
      </c>
      <c r="B748" s="46" t="s">
        <v>606</v>
      </c>
      <c r="C748" s="45">
        <v>5.1120000000000001</v>
      </c>
      <c r="D748" s="122"/>
    </row>
    <row r="749" spans="1:4" ht="15.75" hidden="1" outlineLevel="1" x14ac:dyDescent="0.2">
      <c r="A749" s="45" t="s">
        <v>1606</v>
      </c>
      <c r="B749" s="46" t="s">
        <v>832</v>
      </c>
      <c r="C749" s="45">
        <v>5.59</v>
      </c>
      <c r="D749" s="122"/>
    </row>
    <row r="750" spans="1:4" ht="15.75" hidden="1" outlineLevel="1" x14ac:dyDescent="0.2">
      <c r="A750" s="45" t="s">
        <v>1606</v>
      </c>
      <c r="B750" s="46" t="s">
        <v>18</v>
      </c>
      <c r="C750" s="45">
        <v>5.54</v>
      </c>
      <c r="D750" s="122"/>
    </row>
    <row r="751" spans="1:4" ht="15.75" hidden="1" outlineLevel="1" x14ac:dyDescent="0.2">
      <c r="A751" s="45" t="s">
        <v>1606</v>
      </c>
      <c r="B751" s="46" t="s">
        <v>20</v>
      </c>
      <c r="C751" s="45">
        <v>5.63</v>
      </c>
      <c r="D751" s="122"/>
    </row>
    <row r="752" spans="1:4" ht="15.75" hidden="1" outlineLevel="1" x14ac:dyDescent="0.2">
      <c r="A752" s="45" t="s">
        <v>1606</v>
      </c>
      <c r="B752" s="46" t="s">
        <v>21</v>
      </c>
      <c r="C752" s="45">
        <v>5.65</v>
      </c>
      <c r="D752" s="122"/>
    </row>
    <row r="753" spans="1:4" ht="15.75" hidden="1" outlineLevel="1" x14ac:dyDescent="0.2">
      <c r="A753" s="45" t="s">
        <v>1606</v>
      </c>
      <c r="B753" s="46" t="s">
        <v>22</v>
      </c>
      <c r="C753" s="45">
        <v>5.68</v>
      </c>
      <c r="D753" s="122"/>
    </row>
    <row r="754" spans="1:4" ht="15.75" hidden="1" outlineLevel="1" x14ac:dyDescent="0.2">
      <c r="A754" s="45" t="s">
        <v>1606</v>
      </c>
      <c r="B754" s="46" t="s">
        <v>24</v>
      </c>
      <c r="C754" s="45">
        <v>5.47</v>
      </c>
      <c r="D754" s="122"/>
    </row>
    <row r="755" spans="1:4" ht="15.75" hidden="1" outlineLevel="1" x14ac:dyDescent="0.2">
      <c r="A755" s="45" t="s">
        <v>1606</v>
      </c>
      <c r="B755" s="46" t="s">
        <v>25</v>
      </c>
      <c r="C755" s="45">
        <v>5.48</v>
      </c>
      <c r="D755" s="122"/>
    </row>
    <row r="756" spans="1:4" ht="15.75" x14ac:dyDescent="0.2">
      <c r="A756" s="51" t="s">
        <v>1606</v>
      </c>
      <c r="B756" s="46"/>
      <c r="C756" s="45"/>
      <c r="D756" s="122"/>
    </row>
    <row r="757" spans="1:4" ht="15.75" hidden="1" outlineLevel="1" x14ac:dyDescent="0.2">
      <c r="A757" s="45" t="s">
        <v>1804</v>
      </c>
      <c r="B757" s="46" t="s">
        <v>0</v>
      </c>
      <c r="C757" s="45">
        <v>5.0999999999999996</v>
      </c>
      <c r="D757" s="122"/>
    </row>
    <row r="758" spans="1:4" ht="15.75" hidden="1" outlineLevel="1" x14ac:dyDescent="0.2">
      <c r="A758" s="45" t="s">
        <v>1804</v>
      </c>
      <c r="B758" s="46" t="s">
        <v>1</v>
      </c>
      <c r="C758" s="45">
        <v>5.2</v>
      </c>
      <c r="D758" s="122"/>
    </row>
    <row r="759" spans="1:4" ht="15.75" hidden="1" outlineLevel="1" x14ac:dyDescent="0.2">
      <c r="A759" s="45" t="s">
        <v>1804</v>
      </c>
      <c r="B759" s="46" t="s">
        <v>804</v>
      </c>
      <c r="C759" s="45">
        <v>5.9</v>
      </c>
      <c r="D759" s="121" t="s">
        <v>1789</v>
      </c>
    </row>
    <row r="760" spans="1:4" ht="15.75" hidden="1" outlineLevel="1" x14ac:dyDescent="0.2">
      <c r="A760" s="45" t="s">
        <v>1804</v>
      </c>
      <c r="B760" s="46" t="s">
        <v>805</v>
      </c>
      <c r="C760" s="45">
        <v>5.13</v>
      </c>
      <c r="D760" s="122"/>
    </row>
    <row r="761" spans="1:4" ht="15.75" hidden="1" outlineLevel="1" x14ac:dyDescent="0.2">
      <c r="A761" s="45" t="s">
        <v>1804</v>
      </c>
      <c r="B761" s="46" t="s">
        <v>806</v>
      </c>
      <c r="C761" s="45">
        <v>5.16</v>
      </c>
      <c r="D761" s="121" t="s">
        <v>1789</v>
      </c>
    </row>
    <row r="762" spans="1:4" ht="15.75" hidden="1" outlineLevel="1" x14ac:dyDescent="0.2">
      <c r="A762" s="45" t="s">
        <v>1804</v>
      </c>
      <c r="B762" s="46" t="s">
        <v>807</v>
      </c>
      <c r="C762" s="45">
        <v>5.22</v>
      </c>
      <c r="D762" s="121"/>
    </row>
    <row r="763" spans="1:4" ht="15.75" hidden="1" outlineLevel="1" x14ac:dyDescent="0.2">
      <c r="A763" s="45" t="s">
        <v>1804</v>
      </c>
      <c r="B763" s="46" t="s">
        <v>849</v>
      </c>
      <c r="C763" s="45">
        <v>5.42</v>
      </c>
      <c r="D763" s="122"/>
    </row>
    <row r="764" spans="1:4" ht="15.75" hidden="1" outlineLevel="1" x14ac:dyDescent="0.2">
      <c r="A764" s="45" t="s">
        <v>1804</v>
      </c>
      <c r="B764" s="46" t="s">
        <v>6</v>
      </c>
      <c r="C764" s="45">
        <v>5.27</v>
      </c>
      <c r="D764" s="122"/>
    </row>
    <row r="765" spans="1:4" ht="15.75" hidden="1" outlineLevel="1" x14ac:dyDescent="0.2">
      <c r="A765" s="45" t="s">
        <v>1804</v>
      </c>
      <c r="B765" s="46" t="s">
        <v>7</v>
      </c>
      <c r="C765" s="45">
        <v>5.28</v>
      </c>
      <c r="D765" s="121" t="s">
        <v>1789</v>
      </c>
    </row>
    <row r="766" spans="1:4" ht="15.75" hidden="1" outlineLevel="1" x14ac:dyDescent="0.2">
      <c r="A766" s="45" t="s">
        <v>1804</v>
      </c>
      <c r="B766" s="46" t="s">
        <v>80</v>
      </c>
      <c r="C766" s="45">
        <v>5.36</v>
      </c>
      <c r="D766" s="122"/>
    </row>
    <row r="767" spans="1:4" ht="15.75" hidden="1" outlineLevel="1" x14ac:dyDescent="0.2">
      <c r="A767" s="45" t="s">
        <v>1804</v>
      </c>
      <c r="B767" s="46" t="s">
        <v>9</v>
      </c>
      <c r="C767" s="45">
        <v>5.49</v>
      </c>
      <c r="D767" s="122"/>
    </row>
    <row r="768" spans="1:4" ht="15.75" hidden="1" outlineLevel="1" x14ac:dyDescent="0.2">
      <c r="A768" s="45" t="s">
        <v>1804</v>
      </c>
      <c r="B768" s="46" t="s">
        <v>10</v>
      </c>
      <c r="C768" s="45">
        <v>5.51</v>
      </c>
      <c r="D768" s="122"/>
    </row>
    <row r="769" spans="1:4" ht="15.75" hidden="1" outlineLevel="1" x14ac:dyDescent="0.2">
      <c r="A769" s="45" t="s">
        <v>1804</v>
      </c>
      <c r="B769" s="46" t="s">
        <v>1801</v>
      </c>
      <c r="C769" s="45">
        <v>5.52</v>
      </c>
      <c r="D769" s="122"/>
    </row>
    <row r="770" spans="1:4" ht="15.75" hidden="1" outlineLevel="1" x14ac:dyDescent="0.2">
      <c r="A770" s="45" t="s">
        <v>1804</v>
      </c>
      <c r="B770" s="46" t="s">
        <v>11</v>
      </c>
      <c r="C770" s="45">
        <v>5.53</v>
      </c>
      <c r="D770" s="122"/>
    </row>
    <row r="771" spans="1:4" ht="15.75" hidden="1" outlineLevel="1" x14ac:dyDescent="0.2">
      <c r="A771" s="45" t="s">
        <v>1804</v>
      </c>
      <c r="B771" s="46" t="s">
        <v>18</v>
      </c>
      <c r="C771" s="45">
        <v>5.54</v>
      </c>
      <c r="D771" s="122"/>
    </row>
    <row r="772" spans="1:4" ht="15.75" hidden="1" outlineLevel="1" x14ac:dyDescent="0.2">
      <c r="A772" s="45" t="s">
        <v>1804</v>
      </c>
      <c r="B772" s="46" t="s">
        <v>14</v>
      </c>
      <c r="C772" s="47">
        <v>5.7</v>
      </c>
      <c r="D772" s="122"/>
    </row>
    <row r="773" spans="1:4" ht="15.75" hidden="1" outlineLevel="1" x14ac:dyDescent="0.2">
      <c r="A773" s="45" t="s">
        <v>1804</v>
      </c>
      <c r="B773" s="46" t="s">
        <v>813</v>
      </c>
      <c r="C773" s="45">
        <v>5.71</v>
      </c>
      <c r="D773" s="122"/>
    </row>
    <row r="774" spans="1:4" ht="15.75" hidden="1" outlineLevel="1" x14ac:dyDescent="0.2">
      <c r="A774" s="45" t="s">
        <v>1804</v>
      </c>
      <c r="B774" s="46" t="s">
        <v>850</v>
      </c>
      <c r="C774" s="47">
        <v>5.9</v>
      </c>
      <c r="D774" s="122"/>
    </row>
    <row r="775" spans="1:4" ht="15.75" hidden="1" outlineLevel="1" x14ac:dyDescent="0.2">
      <c r="A775" s="45" t="s">
        <v>1804</v>
      </c>
      <c r="B775" s="46" t="s">
        <v>851</v>
      </c>
      <c r="C775" s="45">
        <v>5.91</v>
      </c>
      <c r="D775" s="122"/>
    </row>
    <row r="776" spans="1:4" ht="15.75" hidden="1" outlineLevel="1" x14ac:dyDescent="0.2">
      <c r="A776" s="45" t="s">
        <v>1804</v>
      </c>
      <c r="B776" s="46" t="s">
        <v>852</v>
      </c>
      <c r="C776" s="45">
        <v>5.97</v>
      </c>
      <c r="D776" s="122"/>
    </row>
    <row r="777" spans="1:4" ht="15.75" x14ac:dyDescent="0.2">
      <c r="A777" s="51" t="s">
        <v>1804</v>
      </c>
      <c r="B777" s="46"/>
      <c r="C777" s="45"/>
      <c r="D777" s="122"/>
    </row>
    <row r="778" spans="1:4" ht="15.75" hidden="1" outlineLevel="1" x14ac:dyDescent="0.2">
      <c r="A778" s="45" t="s">
        <v>1642</v>
      </c>
      <c r="B778" s="46" t="s">
        <v>0</v>
      </c>
      <c r="C778" s="45">
        <v>5.0999999999999996</v>
      </c>
      <c r="D778" s="122"/>
    </row>
    <row r="779" spans="1:4" ht="15.75" hidden="1" outlineLevel="1" x14ac:dyDescent="0.2">
      <c r="A779" s="45" t="s">
        <v>1642</v>
      </c>
      <c r="B779" s="46" t="s">
        <v>1</v>
      </c>
      <c r="C779" s="45">
        <v>5.2</v>
      </c>
      <c r="D779" s="122"/>
    </row>
    <row r="780" spans="1:4" ht="15.75" hidden="1" outlineLevel="1" x14ac:dyDescent="0.2">
      <c r="A780" s="45" t="s">
        <v>1642</v>
      </c>
      <c r="B780" s="46" t="s">
        <v>5</v>
      </c>
      <c r="C780" s="45">
        <v>5.26</v>
      </c>
      <c r="D780" s="122"/>
    </row>
    <row r="781" spans="1:4" ht="15.75" hidden="1" outlineLevel="1" x14ac:dyDescent="0.2">
      <c r="A781" s="45" t="s">
        <v>1642</v>
      </c>
      <c r="B781" s="46" t="s">
        <v>683</v>
      </c>
      <c r="C781" s="45">
        <v>5.5</v>
      </c>
      <c r="D781" s="122"/>
    </row>
    <row r="782" spans="1:4" ht="15.75" hidden="1" outlineLevel="1" x14ac:dyDescent="0.2">
      <c r="A782" s="45" t="s">
        <v>1642</v>
      </c>
      <c r="B782" s="46" t="s">
        <v>684</v>
      </c>
      <c r="C782" s="45">
        <v>5.8</v>
      </c>
      <c r="D782" s="121" t="s">
        <v>1789</v>
      </c>
    </row>
    <row r="783" spans="1:4" ht="15.75" hidden="1" outlineLevel="1" x14ac:dyDescent="0.2">
      <c r="A783" s="45" t="s">
        <v>1642</v>
      </c>
      <c r="B783" s="46" t="s">
        <v>685</v>
      </c>
      <c r="C783" s="45">
        <v>5.12</v>
      </c>
      <c r="D783" s="45"/>
    </row>
    <row r="784" spans="1:4" ht="15.75" hidden="1" outlineLevel="1" x14ac:dyDescent="0.2">
      <c r="A784" s="45" t="s">
        <v>1642</v>
      </c>
      <c r="B784" s="46" t="s">
        <v>686</v>
      </c>
      <c r="C784" s="45">
        <v>5.15</v>
      </c>
      <c r="D784" s="45"/>
    </row>
    <row r="785" spans="1:4" ht="15.75" hidden="1" outlineLevel="1" x14ac:dyDescent="0.2">
      <c r="A785" s="45" t="s">
        <v>1642</v>
      </c>
      <c r="B785" s="46" t="s">
        <v>687</v>
      </c>
      <c r="C785" s="47">
        <v>5.2</v>
      </c>
      <c r="D785" s="121"/>
    </row>
    <row r="786" spans="1:4" ht="15.75" hidden="1" outlineLevel="1" x14ac:dyDescent="0.2">
      <c r="A786" s="45" t="s">
        <v>1642</v>
      </c>
      <c r="B786" s="46" t="s">
        <v>688</v>
      </c>
      <c r="C786" s="45">
        <v>5.25</v>
      </c>
      <c r="D786" s="45"/>
    </row>
    <row r="787" spans="1:4" ht="15.75" hidden="1" outlineLevel="1" x14ac:dyDescent="0.2">
      <c r="A787" s="45" t="s">
        <v>1642</v>
      </c>
      <c r="B787" s="46" t="s">
        <v>11</v>
      </c>
      <c r="C787" s="45">
        <v>5.53</v>
      </c>
      <c r="D787" s="45"/>
    </row>
    <row r="788" spans="1:4" ht="15.75" hidden="1" outlineLevel="1" x14ac:dyDescent="0.2">
      <c r="A788" s="45" t="s">
        <v>1642</v>
      </c>
      <c r="B788" s="46" t="s">
        <v>853</v>
      </c>
      <c r="C788" s="47">
        <v>5.4</v>
      </c>
      <c r="D788" s="45"/>
    </row>
    <row r="789" spans="1:4" ht="15.75" hidden="1" outlineLevel="1" x14ac:dyDescent="0.2">
      <c r="A789" s="45" t="s">
        <v>1642</v>
      </c>
      <c r="B789" s="46" t="s">
        <v>854</v>
      </c>
      <c r="C789" s="45">
        <v>5.92</v>
      </c>
      <c r="D789" s="45"/>
    </row>
    <row r="790" spans="1:4" ht="15.75" hidden="1" outlineLevel="1" x14ac:dyDescent="0.2">
      <c r="A790" s="45" t="s">
        <v>1642</v>
      </c>
      <c r="B790" s="46" t="s">
        <v>855</v>
      </c>
      <c r="C790" s="45">
        <v>5.93</v>
      </c>
      <c r="D790" s="45"/>
    </row>
    <row r="791" spans="1:4" ht="31.5" hidden="1" outlineLevel="1" x14ac:dyDescent="0.2">
      <c r="A791" s="45" t="s">
        <v>1642</v>
      </c>
      <c r="B791" s="46" t="s">
        <v>856</v>
      </c>
      <c r="C791" s="45">
        <v>5.94</v>
      </c>
      <c r="D791" s="45"/>
    </row>
    <row r="792" spans="1:4" ht="15.75" hidden="1" outlineLevel="1" x14ac:dyDescent="0.2">
      <c r="A792" s="45" t="s">
        <v>1642</v>
      </c>
      <c r="B792" s="46" t="s">
        <v>857</v>
      </c>
      <c r="C792" s="45">
        <v>5.95</v>
      </c>
      <c r="D792" s="45"/>
    </row>
    <row r="793" spans="1:4" ht="15.75" hidden="1" outlineLevel="1" x14ac:dyDescent="0.2">
      <c r="A793" s="45" t="s">
        <v>1642</v>
      </c>
      <c r="B793" s="46" t="s">
        <v>858</v>
      </c>
      <c r="C793" s="45">
        <v>5.98</v>
      </c>
      <c r="D793" s="45"/>
    </row>
    <row r="794" spans="1:4" ht="15.75" hidden="1" outlineLevel="1" x14ac:dyDescent="0.2">
      <c r="A794" s="45" t="s">
        <v>1642</v>
      </c>
      <c r="B794" s="46" t="s">
        <v>859</v>
      </c>
      <c r="C794" s="45">
        <v>5.96</v>
      </c>
      <c r="D794" s="45"/>
    </row>
    <row r="795" spans="1:4" ht="15.75" x14ac:dyDescent="0.2">
      <c r="A795" s="51" t="s">
        <v>1642</v>
      </c>
      <c r="B795" s="46"/>
      <c r="C795" s="45"/>
      <c r="D795" s="4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6" t="s">
        <v>1665</v>
      </c>
    </row>
    <row r="3" spans="1:2" x14ac:dyDescent="0.2">
      <c r="A3" t="s">
        <v>1666</v>
      </c>
      <c r="B3" t="s">
        <v>1667</v>
      </c>
    </row>
    <row r="4" spans="1:2" x14ac:dyDescent="0.2">
      <c r="A4" t="s">
        <v>1668</v>
      </c>
      <c r="B4" t="s">
        <v>1669</v>
      </c>
    </row>
    <row r="5" spans="1:2" x14ac:dyDescent="0.2">
      <c r="A5" t="s">
        <v>1670</v>
      </c>
      <c r="B5" t="s">
        <v>1671</v>
      </c>
    </row>
    <row r="6" spans="1:2" x14ac:dyDescent="0.2">
      <c r="A6" t="s">
        <v>1672</v>
      </c>
      <c r="B6" t="s">
        <v>1673</v>
      </c>
    </row>
    <row r="7" spans="1:2" x14ac:dyDescent="0.2">
      <c r="A7" t="s">
        <v>1674</v>
      </c>
      <c r="B7" t="s">
        <v>1675</v>
      </c>
    </row>
    <row r="8" spans="1:2" x14ac:dyDescent="0.2">
      <c r="A8" t="s">
        <v>1676</v>
      </c>
      <c r="B8" t="s">
        <v>1677</v>
      </c>
    </row>
    <row r="10" spans="1:2" ht="15" x14ac:dyDescent="0.25">
      <c r="A10" s="26" t="s">
        <v>1678</v>
      </c>
    </row>
    <row r="11" spans="1:2" x14ac:dyDescent="0.2">
      <c r="A11" t="s">
        <v>1679</v>
      </c>
    </row>
    <row r="12" spans="1:2" x14ac:dyDescent="0.2">
      <c r="A12" t="s">
        <v>1680</v>
      </c>
      <c r="B12" t="s">
        <v>1681</v>
      </c>
    </row>
    <row r="14" spans="1:2" x14ac:dyDescent="0.2">
      <c r="A14" s="37"/>
    </row>
    <row r="15" spans="1:2" ht="15" x14ac:dyDescent="0.25">
      <c r="A15" s="26" t="s">
        <v>1682</v>
      </c>
    </row>
    <row r="16" spans="1:2" x14ac:dyDescent="0.2">
      <c r="A16" s="35" t="s">
        <v>1683</v>
      </c>
    </row>
    <row r="17" spans="1:2" x14ac:dyDescent="0.2">
      <c r="A17" s="35" t="s">
        <v>1684</v>
      </c>
    </row>
    <row r="18" spans="1:2" x14ac:dyDescent="0.2">
      <c r="A18" s="35" t="s">
        <v>1685</v>
      </c>
    </row>
    <row r="19" spans="1:2" x14ac:dyDescent="0.2">
      <c r="A19" s="35" t="s">
        <v>1686</v>
      </c>
    </row>
    <row r="21" spans="1:2" ht="15" x14ac:dyDescent="0.25">
      <c r="A21" s="36" t="s">
        <v>1687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6" t="s">
        <v>1688</v>
      </c>
      <c r="B34" s="26" t="s">
        <v>89</v>
      </c>
    </row>
    <row r="35" spans="1:2" x14ac:dyDescent="0.2">
      <c r="A35" s="143" t="s">
        <v>1689</v>
      </c>
      <c r="B35" s="144">
        <v>520023185</v>
      </c>
    </row>
    <row r="36" spans="1:2" x14ac:dyDescent="0.2">
      <c r="A36" s="145" t="s">
        <v>1690</v>
      </c>
      <c r="B36" s="144">
        <v>520024647</v>
      </c>
    </row>
    <row r="37" spans="1:2" x14ac:dyDescent="0.2">
      <c r="A37" s="145" t="s">
        <v>1691</v>
      </c>
      <c r="B37" s="144">
        <v>520004896</v>
      </c>
    </row>
    <row r="38" spans="1:2" x14ac:dyDescent="0.2">
      <c r="A38" s="145" t="s">
        <v>1692</v>
      </c>
      <c r="B38" s="144">
        <v>520042540</v>
      </c>
    </row>
    <row r="39" spans="1:2" x14ac:dyDescent="0.2">
      <c r="A39" s="145" t="s">
        <v>1693</v>
      </c>
      <c r="B39" s="144">
        <v>520021916</v>
      </c>
    </row>
    <row r="40" spans="1:2" x14ac:dyDescent="0.2">
      <c r="A40" s="145" t="s">
        <v>1694</v>
      </c>
      <c r="B40" s="146">
        <v>510015951</v>
      </c>
    </row>
    <row r="41" spans="1:2" x14ac:dyDescent="0.2">
      <c r="A41" s="145" t="s">
        <v>1695</v>
      </c>
      <c r="B41" s="146">
        <v>510888985</v>
      </c>
    </row>
    <row r="42" spans="1:2" x14ac:dyDescent="0.2">
      <c r="A42" s="145" t="s">
        <v>1696</v>
      </c>
      <c r="B42" s="146">
        <v>520042177</v>
      </c>
    </row>
    <row r="43" spans="1:2" x14ac:dyDescent="0.2">
      <c r="A43" s="145" t="s">
        <v>1697</v>
      </c>
      <c r="B43" s="145">
        <v>520031030</v>
      </c>
    </row>
    <row r="44" spans="1:2" x14ac:dyDescent="0.2">
      <c r="A44" s="145" t="s">
        <v>1698</v>
      </c>
      <c r="B44" s="145">
        <v>520030677</v>
      </c>
    </row>
    <row r="45" spans="1:2" x14ac:dyDescent="0.2">
      <c r="A45" s="145" t="s">
        <v>1699</v>
      </c>
      <c r="B45" s="145">
        <v>513879189</v>
      </c>
    </row>
    <row r="46" spans="1:2" x14ac:dyDescent="0.2">
      <c r="A46" s="145" t="s">
        <v>1700</v>
      </c>
      <c r="B46" s="146">
        <v>520027848</v>
      </c>
    </row>
    <row r="47" spans="1:2" x14ac:dyDescent="0.2">
      <c r="A47" s="145" t="s">
        <v>1701</v>
      </c>
      <c r="B47" s="146">
        <v>570003152</v>
      </c>
    </row>
    <row r="48" spans="1:2" x14ac:dyDescent="0.2">
      <c r="A48" s="145" t="s">
        <v>1702</v>
      </c>
      <c r="B48" s="145">
        <v>513910703</v>
      </c>
    </row>
    <row r="49" spans="1:2" x14ac:dyDescent="0.2">
      <c r="A49" s="145" t="s">
        <v>1703</v>
      </c>
      <c r="B49" s="146">
        <v>512304882</v>
      </c>
    </row>
    <row r="50" spans="1:2" x14ac:dyDescent="0.2">
      <c r="A50" s="145" t="s">
        <v>1704</v>
      </c>
      <c r="B50" s="146">
        <v>512310509</v>
      </c>
    </row>
    <row r="51" spans="1:2" x14ac:dyDescent="0.2">
      <c r="A51" s="145" t="s">
        <v>1705</v>
      </c>
      <c r="B51" s="146">
        <v>512904608</v>
      </c>
    </row>
    <row r="52" spans="1:2" x14ac:dyDescent="0.2">
      <c r="A52" s="145" t="s">
        <v>1706</v>
      </c>
      <c r="B52" s="146">
        <v>500500376</v>
      </c>
    </row>
    <row r="53" spans="1:2" x14ac:dyDescent="0.2">
      <c r="A53" s="145" t="s">
        <v>1707</v>
      </c>
      <c r="B53" s="146">
        <v>520044025</v>
      </c>
    </row>
    <row r="54" spans="1:2" x14ac:dyDescent="0.2">
      <c r="A54" s="145" t="s">
        <v>1708</v>
      </c>
      <c r="B54" s="146">
        <v>513136895</v>
      </c>
    </row>
    <row r="55" spans="1:2" x14ac:dyDescent="0.2">
      <c r="A55" s="145" t="s">
        <v>1709</v>
      </c>
      <c r="B55" s="146">
        <v>520004078</v>
      </c>
    </row>
    <row r="56" spans="1:2" x14ac:dyDescent="0.2">
      <c r="A56" s="145" t="s">
        <v>1710</v>
      </c>
      <c r="B56" s="146">
        <v>515761625</v>
      </c>
    </row>
    <row r="57" spans="1:2" x14ac:dyDescent="0.2">
      <c r="A57" s="145" t="s">
        <v>1711</v>
      </c>
      <c r="B57" s="146">
        <v>515764868</v>
      </c>
    </row>
    <row r="58" spans="1:2" x14ac:dyDescent="0.2">
      <c r="A58" s="145" t="s">
        <v>1712</v>
      </c>
      <c r="B58" s="147">
        <v>515859379</v>
      </c>
    </row>
    <row r="59" spans="1:2" x14ac:dyDescent="0.2">
      <c r="A59" s="145" t="s">
        <v>1713</v>
      </c>
      <c r="B59" s="146">
        <v>516687407</v>
      </c>
    </row>
    <row r="60" spans="1:2" x14ac:dyDescent="0.2">
      <c r="A60" s="145" t="s">
        <v>1714</v>
      </c>
      <c r="B60" s="146">
        <v>516885639</v>
      </c>
    </row>
    <row r="61" spans="1:2" x14ac:dyDescent="0.2">
      <c r="A61" s="145" t="s">
        <v>1715</v>
      </c>
      <c r="B61" s="145">
        <v>570009449</v>
      </c>
    </row>
    <row r="62" spans="1:2" x14ac:dyDescent="0.2">
      <c r="A62" s="145" t="s">
        <v>1716</v>
      </c>
      <c r="B62" s="146">
        <v>520027954</v>
      </c>
    </row>
    <row r="63" spans="1:2" x14ac:dyDescent="0.2">
      <c r="A63" s="145" t="s">
        <v>1717</v>
      </c>
      <c r="B63" s="146">
        <v>512362914</v>
      </c>
    </row>
    <row r="64" spans="1:2" x14ac:dyDescent="0.2">
      <c r="A64" s="145" t="s">
        <v>1718</v>
      </c>
      <c r="B64" s="146">
        <v>511880460</v>
      </c>
    </row>
    <row r="65" spans="1:2" x14ac:dyDescent="0.2">
      <c r="A65" s="145" t="s">
        <v>1719</v>
      </c>
      <c r="B65" s="145">
        <v>511033060</v>
      </c>
    </row>
    <row r="66" spans="1:2" x14ac:dyDescent="0.2">
      <c r="A66" s="145" t="s">
        <v>1720</v>
      </c>
      <c r="B66" s="145">
        <v>570005850</v>
      </c>
    </row>
    <row r="67" spans="1:2" x14ac:dyDescent="0.2">
      <c r="A67" s="145" t="s">
        <v>1721</v>
      </c>
      <c r="B67" s="146">
        <v>510694821</v>
      </c>
    </row>
    <row r="68" spans="1:2" x14ac:dyDescent="0.2">
      <c r="A68" s="145" t="s">
        <v>1722</v>
      </c>
      <c r="B68" s="145">
        <v>520027624</v>
      </c>
    </row>
    <row r="69" spans="1:2" x14ac:dyDescent="0.2">
      <c r="A69" s="145" t="s">
        <v>1723</v>
      </c>
      <c r="B69" s="146">
        <v>520027715</v>
      </c>
    </row>
    <row r="70" spans="1:2" x14ac:dyDescent="0.2">
      <c r="A70" s="145" t="s">
        <v>1724</v>
      </c>
      <c r="B70" s="146">
        <v>520028861</v>
      </c>
    </row>
    <row r="71" spans="1:2" x14ac:dyDescent="0.2">
      <c r="A71" s="145" t="s">
        <v>1725</v>
      </c>
      <c r="B71" s="146">
        <v>520029620</v>
      </c>
    </row>
    <row r="72" spans="1:2" x14ac:dyDescent="0.2">
      <c r="A72" s="145" t="s">
        <v>1726</v>
      </c>
      <c r="B72" s="146">
        <v>520030743</v>
      </c>
    </row>
    <row r="73" spans="1:2" x14ac:dyDescent="0.2">
      <c r="A73" s="145" t="s">
        <v>1727</v>
      </c>
      <c r="B73" s="146">
        <v>520030198</v>
      </c>
    </row>
    <row r="74" spans="1:2" x14ac:dyDescent="0.2">
      <c r="A74" s="145" t="s">
        <v>1728</v>
      </c>
      <c r="B74" s="146">
        <v>520042631</v>
      </c>
    </row>
    <row r="75" spans="1:2" x14ac:dyDescent="0.2">
      <c r="A75" s="145" t="s">
        <v>1729</v>
      </c>
      <c r="B75" s="146">
        <v>520030941</v>
      </c>
    </row>
    <row r="76" spans="1:2" x14ac:dyDescent="0.2">
      <c r="A76" s="145" t="s">
        <v>1730</v>
      </c>
      <c r="B76" s="146">
        <v>520032269</v>
      </c>
    </row>
    <row r="77" spans="1:2" x14ac:dyDescent="0.2">
      <c r="A77" s="145" t="s">
        <v>1731</v>
      </c>
      <c r="B77" s="145">
        <v>510806870</v>
      </c>
    </row>
    <row r="78" spans="1:2" x14ac:dyDescent="0.2">
      <c r="A78" s="145" t="s">
        <v>1732</v>
      </c>
      <c r="B78" s="145">
        <v>520031824</v>
      </c>
    </row>
    <row r="79" spans="1:2" x14ac:dyDescent="0.2">
      <c r="A79" s="145" t="s">
        <v>1733</v>
      </c>
      <c r="B79" s="146">
        <v>510927536</v>
      </c>
    </row>
    <row r="80" spans="1:2" x14ac:dyDescent="0.2">
      <c r="A80" s="145" t="s">
        <v>1734</v>
      </c>
      <c r="B80" s="146">
        <v>510930654</v>
      </c>
    </row>
    <row r="81" spans="1:2" x14ac:dyDescent="0.2">
      <c r="A81" s="145" t="s">
        <v>1735</v>
      </c>
      <c r="B81" s="145">
        <v>510930670</v>
      </c>
    </row>
    <row r="82" spans="1:2" x14ac:dyDescent="0.2">
      <c r="A82" s="145" t="s">
        <v>1736</v>
      </c>
      <c r="B82" s="146">
        <v>520034968</v>
      </c>
    </row>
    <row r="83" spans="1:2" x14ac:dyDescent="0.2">
      <c r="A83" s="145" t="s">
        <v>1737</v>
      </c>
      <c r="B83" s="146">
        <v>520024985</v>
      </c>
    </row>
    <row r="84" spans="1:2" x14ac:dyDescent="0.2">
      <c r="A84" s="145" t="s">
        <v>1738</v>
      </c>
      <c r="B84" s="145">
        <v>520030990</v>
      </c>
    </row>
    <row r="85" spans="1:2" x14ac:dyDescent="0.2">
      <c r="A85" s="145" t="s">
        <v>1739</v>
      </c>
      <c r="B85" s="146">
        <v>520042615</v>
      </c>
    </row>
    <row r="86" spans="1:2" x14ac:dyDescent="0.2">
      <c r="A86" s="145" t="s">
        <v>1740</v>
      </c>
      <c r="B86" s="146">
        <v>520042607</v>
      </c>
    </row>
    <row r="87" spans="1:2" x14ac:dyDescent="0.2">
      <c r="A87" s="145" t="s">
        <v>1741</v>
      </c>
      <c r="B87" s="146">
        <v>520019688</v>
      </c>
    </row>
    <row r="88" spans="1:2" x14ac:dyDescent="0.2">
      <c r="A88" s="145" t="s">
        <v>1742</v>
      </c>
      <c r="B88" s="146">
        <v>570014928</v>
      </c>
    </row>
    <row r="89" spans="1:2" x14ac:dyDescent="0.2">
      <c r="A89" s="145" t="s">
        <v>1743</v>
      </c>
      <c r="B89" s="146">
        <v>510960586</v>
      </c>
    </row>
    <row r="90" spans="1:2" x14ac:dyDescent="0.2">
      <c r="A90" s="145" t="s">
        <v>1744</v>
      </c>
      <c r="B90" s="145">
        <v>520042581</v>
      </c>
    </row>
    <row r="91" spans="1:2" x14ac:dyDescent="0.2">
      <c r="A91" s="145" t="s">
        <v>1745</v>
      </c>
      <c r="B91" s="146">
        <v>570005959</v>
      </c>
    </row>
    <row r="92" spans="1:2" x14ac:dyDescent="0.2">
      <c r="A92" s="145" t="s">
        <v>1746</v>
      </c>
      <c r="B92" s="146">
        <v>570002618</v>
      </c>
    </row>
    <row r="93" spans="1:2" x14ac:dyDescent="0.2">
      <c r="A93" s="145" t="s">
        <v>1747</v>
      </c>
      <c r="B93" s="146">
        <v>511789190</v>
      </c>
    </row>
    <row r="94" spans="1:2" x14ac:dyDescent="0.2">
      <c r="A94" s="145" t="s">
        <v>1748</v>
      </c>
      <c r="B94" s="146">
        <v>520022518</v>
      </c>
    </row>
    <row r="95" spans="1:2" x14ac:dyDescent="0.2">
      <c r="A95" s="145" t="s">
        <v>1749</v>
      </c>
      <c r="B95" s="146">
        <v>520031659</v>
      </c>
    </row>
    <row r="96" spans="1:2" x14ac:dyDescent="0.2">
      <c r="A96" s="145" t="s">
        <v>1750</v>
      </c>
      <c r="B96" s="146">
        <v>570007476</v>
      </c>
    </row>
    <row r="97" spans="1:2" x14ac:dyDescent="0.2">
      <c r="A97" s="145" t="s">
        <v>1751</v>
      </c>
      <c r="B97" s="146">
        <v>570009852</v>
      </c>
    </row>
    <row r="98" spans="1:2" x14ac:dyDescent="0.2">
      <c r="A98" s="145" t="s">
        <v>1752</v>
      </c>
      <c r="B98" s="146">
        <v>510800402</v>
      </c>
    </row>
    <row r="99" spans="1:2" x14ac:dyDescent="0.2">
      <c r="A99" s="145" t="s">
        <v>1753</v>
      </c>
      <c r="B99" s="146">
        <v>510773922</v>
      </c>
    </row>
    <row r="100" spans="1:2" x14ac:dyDescent="0.2">
      <c r="A100" s="145" t="s">
        <v>1754</v>
      </c>
      <c r="B100" s="146">
        <v>512008335</v>
      </c>
    </row>
    <row r="101" spans="1:2" x14ac:dyDescent="0.2">
      <c r="A101" s="145" t="s">
        <v>1755</v>
      </c>
      <c r="B101" s="146">
        <v>510142789</v>
      </c>
    </row>
    <row r="102" spans="1:2" x14ac:dyDescent="0.2">
      <c r="A102" s="145" t="s">
        <v>1756</v>
      </c>
      <c r="B102" s="146">
        <v>520028556</v>
      </c>
    </row>
    <row r="103" spans="1:2" x14ac:dyDescent="0.2">
      <c r="A103" s="145" t="s">
        <v>1757</v>
      </c>
      <c r="B103" s="146">
        <v>520030693</v>
      </c>
    </row>
    <row r="104" spans="1:2" x14ac:dyDescent="0.2">
      <c r="A104" s="145" t="s">
        <v>1758</v>
      </c>
      <c r="B104" s="146">
        <v>520042573</v>
      </c>
    </row>
    <row r="105" spans="1:2" x14ac:dyDescent="0.2">
      <c r="A105" s="145" t="s">
        <v>1759</v>
      </c>
      <c r="B105" s="146">
        <v>511423048</v>
      </c>
    </row>
    <row r="106" spans="1:2" x14ac:dyDescent="0.2">
      <c r="A106" s="145" t="s">
        <v>1760</v>
      </c>
      <c r="B106" s="146">
        <v>570011767</v>
      </c>
    </row>
    <row r="107" spans="1:2" x14ac:dyDescent="0.2">
      <c r="A107" s="145" t="s">
        <v>1761</v>
      </c>
      <c r="B107" s="146">
        <v>512065202</v>
      </c>
    </row>
    <row r="108" spans="1:2" x14ac:dyDescent="0.2">
      <c r="A108" s="145" t="s">
        <v>1762</v>
      </c>
      <c r="B108" s="146">
        <v>512711409</v>
      </c>
    </row>
    <row r="109" spans="1:2" x14ac:dyDescent="0.2">
      <c r="A109" s="145" t="s">
        <v>1763</v>
      </c>
      <c r="B109" s="146">
        <v>520005497</v>
      </c>
    </row>
    <row r="110" spans="1:2" x14ac:dyDescent="0.2">
      <c r="A110" s="145" t="s">
        <v>1764</v>
      </c>
      <c r="B110" s="146">
        <v>570024109</v>
      </c>
    </row>
    <row r="111" spans="1:2" x14ac:dyDescent="0.2">
      <c r="A111" s="145" t="s">
        <v>1765</v>
      </c>
      <c r="B111" s="146">
        <v>520020447</v>
      </c>
    </row>
    <row r="112" spans="1:2" x14ac:dyDescent="0.2">
      <c r="A112" s="145" t="s">
        <v>1766</v>
      </c>
      <c r="B112" s="146">
        <v>520023094</v>
      </c>
    </row>
    <row r="113" spans="1:2" x14ac:dyDescent="0.2">
      <c r="A113" s="145" t="s">
        <v>1767</v>
      </c>
      <c r="B113" s="146">
        <v>520028812</v>
      </c>
    </row>
    <row r="114" spans="1:2" x14ac:dyDescent="0.2">
      <c r="A114" s="145" t="s">
        <v>1768</v>
      </c>
      <c r="B114" s="146">
        <v>520022963</v>
      </c>
    </row>
    <row r="115" spans="1:2" x14ac:dyDescent="0.2">
      <c r="A115" s="145" t="s">
        <v>1769</v>
      </c>
      <c r="B115" s="146">
        <v>520027251</v>
      </c>
    </row>
    <row r="116" spans="1:2" x14ac:dyDescent="0.2">
      <c r="A116" s="145" t="s">
        <v>1770</v>
      </c>
      <c r="B116" s="146">
        <v>520028390</v>
      </c>
    </row>
    <row r="117" spans="1:2" x14ac:dyDescent="0.2">
      <c r="A117" s="145" t="s">
        <v>1771</v>
      </c>
      <c r="B117" s="146">
        <v>513026484</v>
      </c>
    </row>
    <row r="118" spans="1:2" x14ac:dyDescent="0.2">
      <c r="A118" s="145" t="s">
        <v>1772</v>
      </c>
      <c r="B118" s="146">
        <v>513173393</v>
      </c>
    </row>
    <row r="119" spans="1:2" x14ac:dyDescent="0.2">
      <c r="A119" s="145" t="s">
        <v>1773</v>
      </c>
      <c r="B119" s="146">
        <v>513452003</v>
      </c>
    </row>
    <row r="120" spans="1:2" x14ac:dyDescent="0.2">
      <c r="A120" s="145" t="s">
        <v>1774</v>
      </c>
      <c r="B120" s="146">
        <v>513611509</v>
      </c>
    </row>
    <row r="121" spans="1:2" x14ac:dyDescent="0.2">
      <c r="A121" s="145" t="s">
        <v>1775</v>
      </c>
      <c r="B121" s="146">
        <v>513621110</v>
      </c>
    </row>
    <row r="122" spans="1:2" x14ac:dyDescent="0.2">
      <c r="A122" s="145" t="s">
        <v>1776</v>
      </c>
      <c r="B122" s="145">
        <v>512244146</v>
      </c>
    </row>
    <row r="123" spans="1:2" x14ac:dyDescent="0.2">
      <c r="A123" s="145" t="s">
        <v>1777</v>
      </c>
      <c r="B123" s="146">
        <v>512237744</v>
      </c>
    </row>
    <row r="124" spans="1:2" x14ac:dyDescent="0.2">
      <c r="A124" s="145" t="s">
        <v>1778</v>
      </c>
      <c r="B124" s="146">
        <v>512267592</v>
      </c>
    </row>
    <row r="125" spans="1:2" x14ac:dyDescent="0.2">
      <c r="A125" s="145" t="s">
        <v>1779</v>
      </c>
      <c r="B125" s="146">
        <v>514767490</v>
      </c>
    </row>
    <row r="126" spans="1:2" x14ac:dyDescent="0.2">
      <c r="A126" s="145" t="s">
        <v>1780</v>
      </c>
      <c r="B126" s="146">
        <v>514956465</v>
      </c>
    </row>
    <row r="127" spans="1:2" x14ac:dyDescent="0.2">
      <c r="A127" s="145" t="s">
        <v>1781</v>
      </c>
      <c r="B127" s="146">
        <v>512245812</v>
      </c>
    </row>
    <row r="128" spans="1:2" x14ac:dyDescent="0.2">
      <c r="A128" s="145" t="s">
        <v>1782</v>
      </c>
      <c r="B128" s="146">
        <v>515447035</v>
      </c>
    </row>
    <row r="129" spans="1:2" x14ac:dyDescent="0.2">
      <c r="A129" s="145" t="s">
        <v>1783</v>
      </c>
      <c r="B129" s="146">
        <v>516463635</v>
      </c>
    </row>
    <row r="130" spans="1:2" x14ac:dyDescent="0.2">
      <c r="A130" s="145" t="s">
        <v>1784</v>
      </c>
      <c r="B130" s="146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Tzadok Talya</cp:lastModifiedBy>
  <cp:lastPrinted>2022-08-08T09:16:18Z</cp:lastPrinted>
  <dcterms:created xsi:type="dcterms:W3CDTF">2021-05-03T04:41:48Z</dcterms:created>
  <dcterms:modified xsi:type="dcterms:W3CDTF">2026-08-05T13:49:23Z</dcterms:modified>
</cp:coreProperties>
</file>