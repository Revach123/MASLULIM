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I:\EXCEL\account\Name\ALL\PDF דוחות לאוצר 2025אקסל\‏‏אקסל רשימות ניע 122025\leumikamap\"/>
    </mc:Choice>
  </mc:AlternateContent>
  <xr:revisionPtr revIDLastSave="0" documentId="8_{2C9E1E10-7037-4021-A2AC-719F24174D0A}" xr6:coauthVersionLast="47" xr6:coauthVersionMax="47" xr10:uidLastSave="{00000000-0000-0000-0000-000000000000}"/>
  <bookViews>
    <workbookView xWindow="-120" yWindow="-120" windowWidth="24240" windowHeight="13290" tabRatio="840" xr2:uid="{00000000-000D-0000-FFFF-FFFF00000000}"/>
  </bookViews>
  <sheets>
    <sheet name="עמוד פתיחה" sheetId="38" r:id="rId1"/>
    <sheet name="סכום נכסים" sheetId="2" r:id="rId2"/>
    <sheet name="מזומנים ושווי מזומנים" sheetId="3" r:id="rId3"/>
    <sheet name="איגרות חוב ממשלתיות" sheetId="4" r:id="rId4"/>
    <sheet name="ניירות ערך מסחריים" sheetId="5" r:id="rId5"/>
    <sheet name="איגרות חוב" sheetId="6" r:id="rId6"/>
    <sheet name="מניות מבכ ויהש" sheetId="7" r:id="rId7"/>
    <sheet name="קרנות סל" sheetId="8" r:id="rId8"/>
    <sheet name="קרנות נאמנות" sheetId="9" r:id="rId9"/>
    <sheet name="כתבי אופציה" sheetId="10" r:id="rId10"/>
    <sheet name="אופציות" sheetId="11" r:id="rId11"/>
    <sheet name="חוזים עתידיים" sheetId="12" r:id="rId12"/>
    <sheet name="מוצרים מובנים" sheetId="13" r:id="rId13"/>
    <sheet name="לא סחיר איגרות חוב ממשלתיות" sheetId="14" r:id="rId14"/>
    <sheet name="לא סחיר איגרות חוב מיועדות" sheetId="15" r:id="rId15"/>
    <sheet name="אפיק השקעה מובטח תשואה" sheetId="48" r:id="rId16"/>
    <sheet name="לא סחיר ניירות ערך מסחריים" sheetId="16" r:id="rId17"/>
    <sheet name="לא סחיר איגרות חוב" sheetId="17" r:id="rId18"/>
    <sheet name="לא סחיר מניות מבכ ויהש" sheetId="18" r:id="rId19"/>
    <sheet name="קרנות השקעה" sheetId="19" r:id="rId20"/>
    <sheet name="לא סחיר כתבי אופציה" sheetId="20" r:id="rId21"/>
    <sheet name="לא סחיר אופציות" sheetId="21" r:id="rId22"/>
    <sheet name="לא סחיר נגזרים אחרים" sheetId="40" r:id="rId23"/>
    <sheet name="הלוואות" sheetId="23" r:id="rId24"/>
    <sheet name="לא סחיר מוצרים מובנים" sheetId="24" r:id="rId25"/>
    <sheet name="פיקדונות מעל 3 חודשים" sheetId="25" r:id="rId26"/>
    <sheet name="זכויות מקרקעין" sheetId="26" r:id="rId27"/>
    <sheet name="השקעה בחברות מוחזקות" sheetId="27" r:id="rId28"/>
    <sheet name="נכסים אחרים" sheetId="28" r:id="rId29"/>
    <sheet name="מסגרות אשראי" sheetId="29" r:id="rId30"/>
    <sheet name="יתרות התחייבות להשקעה" sheetId="47" r:id="rId31"/>
    <sheet name="אפשרויות בחירה" sheetId="49" r:id="rId32"/>
    <sheet name="מיפוי סעיפים" sheetId="58" r:id="rId33"/>
    <sheet name="File Name Info" sheetId="41" state="hidden" r:id="rId34"/>
  </sheets>
  <definedNames>
    <definedName name="_xlnm._FilterDatabase" localSheetId="31" hidden="1">'אפשרויות בחירה'!$A$1:$D$1040</definedName>
    <definedName name="_xlnm._FilterDatabase" localSheetId="2" hidden="1">'מזומנים ושווי מזומנים'!$A$1:$N$1</definedName>
    <definedName name="_xlnm._FilterDatabase" localSheetId="32" hidden="1">'מיפוי סעיפים'!$A$1:$D$795</definedName>
    <definedName name="Additional_Factor">'אפשרויות בחירה'!$C$701:$C$850</definedName>
    <definedName name="Amoritization">'אפשרויות בחירה'!$C$546:$C$550</definedName>
    <definedName name="Capsule">'אפשרויות בחירה'!$C$926:$C$928</definedName>
    <definedName name="Company_Name">'File Name Info'!$A$34:$A$130</definedName>
    <definedName name="Company_Name_ID">'File Name Info'!$A$34:$B$130</definedName>
    <definedName name="Consortium">'אפשרויות בחירה'!$C$514:$C$515</definedName>
    <definedName name="Country_list">'אפשרויות בחירה'!$C$4:$C$85</definedName>
    <definedName name="Country_list_funds">'אפשרויות בחירה'!$C$4:$C$103</definedName>
    <definedName name="CSA">'אפשרויות בחירה'!$C$688:$C$689</definedName>
    <definedName name="Delivery">'אפשרויות בחירה'!$C$666:$C$667</definedName>
    <definedName name="Dependence_Independence">'אפשרויות בחירה'!$C$654:$C$655</definedName>
    <definedName name="Duration_Underlying_Interest_Rate">'אפשרויות בחירה'!$C$680:$C$687</definedName>
    <definedName name="File_Type">'File Name Info'!$A$10:$A$12</definedName>
    <definedName name="Full_File_Type">'File Name Info'!$A$11:$B$13</definedName>
    <definedName name="Full_Type">'File Name Info'!$A$2:$B$8</definedName>
    <definedName name="Full_Type_Nostro">'File Name Info'!$A$3:$B$6</definedName>
    <definedName name="Full_Year">'File Name Info'!$A$22:$B$31</definedName>
    <definedName name="Fund_Strategy">'אפשרויות בחירה'!$C$597:$C$621</definedName>
    <definedName name="Fund_type">'אפשרויות בחירה'!$C$328:$C$498</definedName>
    <definedName name="Holding_interest">'אפשרויות בחירה'!$C$146:$C$147</definedName>
    <definedName name="In_the_books">'אפשרויות בחירה'!$C$656:$C$657</definedName>
    <definedName name="Industry_Sector">'אפשרויות בחירה'!$C$1129:$C$1245</definedName>
    <definedName name="Industry_sector_all">'אפשרויות בחירה'!$C$202:$C$327</definedName>
    <definedName name="Industry_sectors">'אפשרויות בחירה'!$C$202:$C$327</definedName>
    <definedName name="israel_abroad">'אפשרויות בחירה'!$C$2:$C$3</definedName>
    <definedName name="Issuer_Number_Banks">'אפשרויות בחירה'!$C$111:$C$113</definedName>
    <definedName name="Issuer_Number_Fund">'אפשרויות בחירה'!$C$114:$C$117</definedName>
    <definedName name="issuer_number_loan">'אפשרויות בחירה'!$C$118:$C$126</definedName>
    <definedName name="Issuer_Number_Type">'אפשרויות בחירה'!$C$104:$C$110</definedName>
    <definedName name="Issuer_Number_Type_2">'אפשרויות בחירה'!$C$1076:$C$1079</definedName>
    <definedName name="Issuer_Number_Type_3">'אפשרויות בחירה'!$C$1081:$C$1085</definedName>
    <definedName name="Issuer_Number_Type_V2" localSheetId="31">'אפשרויות בחירה'!$C$104:$C$110</definedName>
    <definedName name="Issuer_Type_TFunds">'אפשרויות בחירה'!$C$1087:$C$1089</definedName>
    <definedName name="Leading_factor">'אפשרויות בחירה'!$C$692:$C$700</definedName>
    <definedName name="Linked_Type">'אפשרויות בחירה'!$C$516:$C$519</definedName>
    <definedName name="other_investments">'אפשרויות בחירה'!$C$1000:$C$1033</definedName>
    <definedName name="Penalty">'אפשרויות בחירה'!$C$851:$C$852</definedName>
    <definedName name="QTR">'File Name Info'!$A$15:$A$19</definedName>
    <definedName name="Rating_Agency">'אפשרויות בחירה'!$C$188:$C$201</definedName>
    <definedName name="real_estate_lifestage">'אפשרויות בחירה'!$C$634:$C$642</definedName>
    <definedName name="real_estate_loans">'אפשרויות בחירה'!$C$553:$C$591</definedName>
    <definedName name="Real_Estate_Main_Use">'אפשרויות בחירה'!$C$622:$C$633</definedName>
    <definedName name="Recourse_Nonrecourse">'אפשרויות בחירה'!$C$544:$C$545</definedName>
    <definedName name="Repayment_Rights">'אפשרויות בחירה'!$C$551:$C$552</definedName>
    <definedName name="Reset_frequency">'אפשרויות בחירה'!$C$658:$C$665</definedName>
    <definedName name="Security_ID_Number_Type">'אפשרויות בחירה'!$C$1113:$C$1116</definedName>
    <definedName name="Security_Number_Loans" localSheetId="31">'אפשרויות בחירה'!$C$131</definedName>
    <definedName name="Stock_Exchange">'אפשרויות בחירה'!$C$1283:$C$1315</definedName>
    <definedName name="Stock_Exchange_Gov_Bonds">'אפשרויות בחירה'!$C$148:$C$181</definedName>
    <definedName name="Subordination_Risk">'אפשרויות בחירה'!$C$186:$C$187</definedName>
    <definedName name="Tradeable_Status">'אפשרויות בחירה'!$C$1272:$C$1281</definedName>
    <definedName name="Tradeable_Status_All">'אפשרויות בחירה'!$C$135:$C$145</definedName>
    <definedName name="tradeable_status_bonds">'אפשרויות בחירה'!$C$1248:$C$1253</definedName>
    <definedName name="tradeable_status_funds">'אפשרויות בחירה'!$C$1118:$C$1119</definedName>
    <definedName name="tradeable_status_stock">'אפשרויות בחירה'!$C$1255:$C$1259</definedName>
    <definedName name="Tradeable_Status_v2">'אפשרויות בחירה'!$C$1121:$C$1126</definedName>
    <definedName name="tradeable_status_warrants">'אפשרויות בחירה'!$C$1261:$C$1265</definedName>
    <definedName name="tradeable_status_warrants_v2">'אפשרויות בחירה'!$C$1267:$C$1269</definedName>
    <definedName name="Transaction" localSheetId="31">'אפשרויות בחירה'!$C$643:$C$646</definedName>
    <definedName name="Type">'File Name Info'!$A$2:$A$8</definedName>
    <definedName name="Type_of_Interest_Rate">'אפשרויות בחירה'!$C$592:$C$594</definedName>
    <definedName name="Type_of_Security">'אפשרויות בחירה'!$C$520:$C$543</definedName>
    <definedName name="Type_of_Security_ID">'אפשרויות בחירה'!$C$127:$C$131</definedName>
    <definedName name="Type_of_Security_ID_Fund">'אפשרויות בחירה'!$C$132:$C$134</definedName>
    <definedName name="Type_of_Security_ID_V2" localSheetId="31">'אפשרויות בחירה'!$C$127:$C$131</definedName>
    <definedName name="Underlying_Asset">'אפשרויות בחירה'!$C$499:$C$513</definedName>
    <definedName name="Underlying_Asset_Structured">'אפשרויות בחירה'!$C$1094:$C$1105</definedName>
    <definedName name="Underlying_Interest_Rates">'אפשרויות בחירה'!$C$668:$C$679</definedName>
    <definedName name="Underlying_Interest_Rates_Der" localSheetId="31">'אפשרויות בחירה'!$C$670:$C$679</definedName>
    <definedName name="Valuation">'אפשרויות בחירה'!$C$649:$C$653</definedName>
    <definedName name="Valuation_Loans">'אפשרויות בחירה'!$C$1091:$C$1092</definedName>
    <definedName name="Valuation_Method">'אפשרויות בחירה'!$C$643:$C$648</definedName>
    <definedName name="Valuation_Realestate">'אפשרויות בחירה'!$C$1108:$C$1111</definedName>
    <definedName name="What_is_rated">'אפשרויות בחירה'!$C$182:$C$185</definedName>
    <definedName name="what_is_rated_loans">'אפשרויות בחירה'!$C$183:$C$185</definedName>
    <definedName name="YEAR">'File Name Info'!$A$21:$A$31</definedName>
    <definedName name="Yes_No_Bad_Debt">'אפשרויות בחירה'!$C$595:$C$596</definedName>
    <definedName name="Z_AE318230_F718_49FC_82EB_7CAC3DCD05F1_.wvu.FilterData" localSheetId="2" hidden="1">'מזומנים ושווי מזומנים'!$A$1:$N$1</definedName>
    <definedName name="Z_AE318230_F718_49FC_82EB_7CAC3DCD05F1_.wvu.Rows" localSheetId="10" hidden="1">אופציות!#REF!</definedName>
    <definedName name="Z_AE318230_F718_49FC_82EB_7CAC3DCD05F1_.wvu.Rows" localSheetId="5" hidden="1">'איגרות חוב'!#REF!</definedName>
    <definedName name="Z_AE318230_F718_49FC_82EB_7CAC3DCD05F1_.wvu.Rows" localSheetId="3" hidden="1">'איגרות חוב ממשלתיות'!#REF!</definedName>
    <definedName name="Z_AE318230_F718_49FC_82EB_7CAC3DCD05F1_.wvu.Rows" localSheetId="15" hidden="1">'אפיק השקעה מובטח תשואה'!#REF!</definedName>
    <definedName name="Z_AE318230_F718_49FC_82EB_7CAC3DCD05F1_.wvu.Rows" localSheetId="27" hidden="1">'השקעה בחברות מוחזקות'!#REF!</definedName>
    <definedName name="Z_AE318230_F718_49FC_82EB_7CAC3DCD05F1_.wvu.Rows" localSheetId="26" hidden="1">'זכויות מקרקעין'!#REF!</definedName>
    <definedName name="Z_AE318230_F718_49FC_82EB_7CAC3DCD05F1_.wvu.Rows" localSheetId="11" hidden="1">'חוזים עתידיים'!#REF!</definedName>
    <definedName name="Z_AE318230_F718_49FC_82EB_7CAC3DCD05F1_.wvu.Rows" localSheetId="30" hidden="1">'יתרות התחייבות להשקעה'!#REF!</definedName>
    <definedName name="Z_AE318230_F718_49FC_82EB_7CAC3DCD05F1_.wvu.Rows" localSheetId="9" hidden="1">'כתבי אופציה'!#REF!</definedName>
    <definedName name="Z_AE318230_F718_49FC_82EB_7CAC3DCD05F1_.wvu.Rows" localSheetId="21" hidden="1">'לא סחיר אופציות'!#REF!</definedName>
    <definedName name="Z_AE318230_F718_49FC_82EB_7CAC3DCD05F1_.wvu.Rows" localSheetId="17" hidden="1">'לא סחיר איגרות חוב'!#REF!</definedName>
    <definedName name="Z_AE318230_F718_49FC_82EB_7CAC3DCD05F1_.wvu.Rows" localSheetId="14" hidden="1">'לא סחיר איגרות חוב מיועדות'!#REF!</definedName>
    <definedName name="Z_AE318230_F718_49FC_82EB_7CAC3DCD05F1_.wvu.Rows" localSheetId="13" hidden="1">'לא סחיר איגרות חוב ממשלתיות'!#REF!</definedName>
    <definedName name="Z_AE318230_F718_49FC_82EB_7CAC3DCD05F1_.wvu.Rows" localSheetId="20" hidden="1">'לא סחיר כתבי אופציה'!#REF!</definedName>
    <definedName name="Z_AE318230_F718_49FC_82EB_7CAC3DCD05F1_.wvu.Rows" localSheetId="24" hidden="1">'לא סחיר מוצרים מובנים'!#REF!</definedName>
    <definedName name="Z_AE318230_F718_49FC_82EB_7CAC3DCD05F1_.wvu.Rows" localSheetId="18" hidden="1">'לא סחיר מניות מבכ ויהש'!#REF!</definedName>
    <definedName name="Z_AE318230_F718_49FC_82EB_7CAC3DCD05F1_.wvu.Rows" localSheetId="16" hidden="1">'לא סחיר ניירות ערך מסחריים'!#REF!</definedName>
    <definedName name="Z_AE318230_F718_49FC_82EB_7CAC3DCD05F1_.wvu.Rows" localSheetId="12" hidden="1">'מוצרים מובנים'!#REF!</definedName>
    <definedName name="Z_AE318230_F718_49FC_82EB_7CAC3DCD05F1_.wvu.Rows" localSheetId="6" hidden="1">'מניות מבכ ויהש'!#REF!</definedName>
    <definedName name="Z_AE318230_F718_49FC_82EB_7CAC3DCD05F1_.wvu.Rows" localSheetId="29" hidden="1">'מסגרות אשראי'!#REF!</definedName>
    <definedName name="Z_AE318230_F718_49FC_82EB_7CAC3DCD05F1_.wvu.Rows" localSheetId="4" hidden="1">'ניירות ערך מסחריים'!#REF!</definedName>
    <definedName name="Z_AE318230_F718_49FC_82EB_7CAC3DCD05F1_.wvu.Rows" localSheetId="28" hidden="1">'נכסים אחרים'!#REF!</definedName>
    <definedName name="Z_AE318230_F718_49FC_82EB_7CAC3DCD05F1_.wvu.Rows" localSheetId="25" hidden="1">'פיקדונות מעל 3 חודשים'!#REF!</definedName>
    <definedName name="Z_AE318230_F718_49FC_82EB_7CAC3DCD05F1_.wvu.Rows" localSheetId="19" hidden="1">'קרנות השקעה'!#REF!</definedName>
    <definedName name="Z_AE318230_F718_49FC_82EB_7CAC3DCD05F1_.wvu.Rows" localSheetId="8" hidden="1">'קרנות נאמנות'!#REF!</definedName>
    <definedName name="Z_AE318230_F718_49FC_82EB_7CAC3DCD05F1_.wvu.Rows" localSheetId="7" hidden="1">'קרנות סל'!#REF!</definedName>
  </definedNames>
  <calcPr calcId="191029"/>
  <customWorkbookViews>
    <customWorkbookView name="נירית שימרון - Personal View" guid="{AE318230-F718-49FC-82EB-7CAC3DCD05F1}" mergeInterval="0" personalView="1" maximized="1" xWindow="-8" yWindow="-8" windowWidth="1696" windowHeight="1026" tabRatio="894" activeSheetId="3" showComments="commIndAndComment"/>
  </customWorkbookView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32" i="2" l="1"/>
  <c r="B32" i="2"/>
  <c r="D30" i="2"/>
  <c r="C30" i="2"/>
  <c r="B29" i="2"/>
  <c r="B28" i="2"/>
  <c r="B27" i="2"/>
  <c r="B26" i="2"/>
  <c r="B25" i="2"/>
  <c r="B24" i="2"/>
  <c r="B23" i="2"/>
  <c r="B22" i="2"/>
  <c r="B21" i="2"/>
  <c r="B20" i="2"/>
  <c r="B19" i="2"/>
  <c r="B18" i="2"/>
  <c r="B17" i="2"/>
  <c r="B16" i="2"/>
  <c r="B15" i="2"/>
  <c r="B14" i="2"/>
  <c r="B13" i="2"/>
  <c r="B12" i="2"/>
  <c r="B11" i="2"/>
  <c r="B10" i="2"/>
  <c r="B9" i="2"/>
  <c r="B8" i="2"/>
  <c r="B7" i="2"/>
  <c r="B6" i="2"/>
  <c r="B5" i="2"/>
  <c r="B4" i="2"/>
  <c r="B3" i="2"/>
  <c r="D13" i="38"/>
  <c r="D15" i="38" s="1"/>
  <c r="B30" i="2" l="1"/>
  <c r="E28" i="2"/>
  <c r="E26" i="2"/>
  <c r="E24" i="2"/>
  <c r="E22" i="2"/>
  <c r="E20" i="2"/>
  <c r="E18" i="2"/>
  <c r="E16" i="2"/>
  <c r="E14" i="2"/>
  <c r="E12" i="2"/>
  <c r="E10" i="2"/>
  <c r="E8" i="2"/>
  <c r="E6" i="2"/>
  <c r="E4" i="2"/>
  <c r="E29" i="2"/>
  <c r="E27" i="2"/>
  <c r="E25" i="2"/>
  <c r="E23" i="2"/>
  <c r="E21" i="2"/>
  <c r="E19" i="2"/>
  <c r="E17" i="2"/>
  <c r="E15" i="2"/>
  <c r="E13" i="2"/>
  <c r="E11" i="2"/>
  <c r="E9" i="2"/>
  <c r="E7" i="2"/>
  <c r="E5" i="2"/>
  <c r="E3" i="2"/>
  <c r="E30" i="2" l="1"/>
</calcChain>
</file>

<file path=xl/sharedStrings.xml><?xml version="1.0" encoding="utf-8"?>
<sst xmlns="http://schemas.openxmlformats.org/spreadsheetml/2006/main" count="4630" uniqueCount="1323">
  <si>
    <t>מספר קופה/קרן/ח.פ. עבור חברת ביטוח</t>
  </si>
  <si>
    <t>מספר מסלול</t>
  </si>
  <si>
    <t>שם מנפיק</t>
  </si>
  <si>
    <t>שם נייר ערך</t>
  </si>
  <si>
    <t>מספר נייר ערך</t>
  </si>
  <si>
    <t>מאפיין עיקרי</t>
  </si>
  <si>
    <t>ישראל/חו"ל</t>
  </si>
  <si>
    <t>מדינה לפי חשיפה כלכלית</t>
  </si>
  <si>
    <t>זירת מסחר</t>
  </si>
  <si>
    <t>דירוג</t>
  </si>
  <si>
    <t>שם מדרג</t>
  </si>
  <si>
    <t>מטבע פעילות</t>
  </si>
  <si>
    <t>מח"מ</t>
  </si>
  <si>
    <t>מועד פדיון</t>
  </si>
  <si>
    <t>שיעור ריבית</t>
  </si>
  <si>
    <t>תשואה לפדיון</t>
  </si>
  <si>
    <t>סכום לקבל (במטבע הפעילות)</t>
  </si>
  <si>
    <t>ערך נקוב (יחידות)</t>
  </si>
  <si>
    <t>שער חליפין</t>
  </si>
  <si>
    <t>שער נייר הערך</t>
  </si>
  <si>
    <t>שווי הוגן (באלפי ש"ח)</t>
  </si>
  <si>
    <t>עלות מופחתת (באלפי ש"ח)</t>
  </si>
  <si>
    <t>השיטה שיושמה בדוח הכספי</t>
  </si>
  <si>
    <t>שיעור מערך נקוב מונפק</t>
  </si>
  <si>
    <t>שיעור מנכסי אפיק ההשקעה</t>
  </si>
  <si>
    <t>שיעור מסך נכסי ההשקעה</t>
  </si>
  <si>
    <t>מדינת ישראל</t>
  </si>
  <si>
    <t>מלווה קצר מועד 616</t>
  </si>
  <si>
    <t>IL0082606141</t>
  </si>
  <si>
    <t>מק"מ קצר משנים עשר חודשים</t>
  </si>
  <si>
    <t>ישראל</t>
  </si>
  <si>
    <t>TASE</t>
  </si>
  <si>
    <t>RF</t>
  </si>
  <si>
    <t>פנימי</t>
  </si>
  <si>
    <t>ILS</t>
  </si>
  <si>
    <t>03/06/2026</t>
  </si>
  <si>
    <t>שווי הוגן</t>
  </si>
  <si>
    <t>מלווה קצר מועד 916</t>
  </si>
  <si>
    <t>IL0082609111</t>
  </si>
  <si>
    <t>02/09/2026</t>
  </si>
  <si>
    <t>ממשל שקלית  0927</t>
  </si>
  <si>
    <t>IL0012035791</t>
  </si>
  <si>
    <t>לא צמוד למדד המחירים לצרכן ריבית קבועה</t>
  </si>
  <si>
    <t>30/09/2027</t>
  </si>
  <si>
    <t>מקמ       726</t>
  </si>
  <si>
    <t>IL0082607214</t>
  </si>
  <si>
    <t>08/07/2026</t>
  </si>
  <si>
    <t>מספר מנפיק</t>
  </si>
  <si>
    <t>סוג מספר מזהה מנפיק</t>
  </si>
  <si>
    <t>סוג מספר נייר ערך</t>
  </si>
  <si>
    <t>ענף מסחר</t>
  </si>
  <si>
    <t>בעל עניין/צד קשור</t>
  </si>
  <si>
    <t>דירוג נייר הערך/המנפיק</t>
  </si>
  <si>
    <t>ריבית עוגן</t>
  </si>
  <si>
    <t>נחיתות חוזית</t>
  </si>
  <si>
    <t>האם סווג כחוב בעייתי</t>
  </si>
  <si>
    <t>עלות מופחתת (במטבע הפעילות)</t>
  </si>
  <si>
    <t>סטאטוס סחירות</t>
  </si>
  <si>
    <t>סיווג הקרן</t>
  </si>
  <si>
    <t xml:space="preserve">שם נייר ערך </t>
  </si>
  <si>
    <t>נכס בסיס (כתב אופציה)</t>
  </si>
  <si>
    <t>תאריך פקיעה</t>
  </si>
  <si>
    <t>שער מימוש</t>
  </si>
  <si>
    <t>יחס המרה</t>
  </si>
  <si>
    <t>נכס בסיס</t>
  </si>
  <si>
    <t>מסלקת הבורסה</t>
  </si>
  <si>
    <t>520027152</t>
  </si>
  <si>
    <t>ח.פ.</t>
  </si>
  <si>
    <t>P0325.0M601-דולר</t>
  </si>
  <si>
    <t>IL0857841894</t>
  </si>
  <si>
    <t>ISIN</t>
  </si>
  <si>
    <t>מט"ח</t>
  </si>
  <si>
    <t>אחר</t>
  </si>
  <si>
    <t>28/01/2026</t>
  </si>
  <si>
    <t>לא</t>
  </si>
  <si>
    <t>P0330.0M601-דולר</t>
  </si>
  <si>
    <t>IL0857841634</t>
  </si>
  <si>
    <t>דלר-P0330.0M603</t>
  </si>
  <si>
    <t>IL0859743010</t>
  </si>
  <si>
    <t>Other</t>
  </si>
  <si>
    <t>24/03/2026</t>
  </si>
  <si>
    <t>תאריך רכישה</t>
  </si>
  <si>
    <t>סוג הצמדה</t>
  </si>
  <si>
    <t>מספר קרן</t>
  </si>
  <si>
    <t>חודש הנפקת שכבה</t>
  </si>
  <si>
    <t>חודש הבדיקה</t>
  </si>
  <si>
    <t>שווי הנכסים באפיק (באלפי ש"ח)</t>
  </si>
  <si>
    <t>סוג גורם משערך</t>
  </si>
  <si>
    <t>תלות/אי-תלות המשערך</t>
  </si>
  <si>
    <t>שם גורם משערך</t>
  </si>
  <si>
    <t>תאריך שערוך אחרון</t>
  </si>
  <si>
    <t>תאריך אחרון בו נבחנה בפועל ירידת ערך</t>
  </si>
  <si>
    <t>תעשיות אלקטרוכימיות (1952) בע"מ</t>
  </si>
  <si>
    <t>520019423</t>
  </si>
  <si>
    <t>אלקטרוכימ אגח 3</t>
  </si>
  <si>
    <t>IL0075099536</t>
  </si>
  <si>
    <t>צמוד למדד המחירים לצרכן</t>
  </si>
  <si>
    <t>כימיה, גומי ופלסטיק</t>
  </si>
  <si>
    <t>31/01/2007</t>
  </si>
  <si>
    <t>NR</t>
  </si>
  <si>
    <t>31/12/2005</t>
  </si>
  <si>
    <t>החוב לא נחות</t>
  </si>
  <si>
    <t>כן</t>
  </si>
  <si>
    <t>גורם תלוי/פנימי</t>
  </si>
  <si>
    <t>קיימת תלות</t>
  </si>
  <si>
    <t>31/12/2025</t>
  </si>
  <si>
    <t>מפעלי פלדה מאוחדים בע"מ</t>
  </si>
  <si>
    <t>520022492</t>
  </si>
  <si>
    <t>מ.פלדה אג-1 מפ1/00</t>
  </si>
  <si>
    <t>IL0039800425</t>
  </si>
  <si>
    <t>לא צמוד למדד המחירים לצרכן</t>
  </si>
  <si>
    <t>מתכת ומוצרי בניה</t>
  </si>
  <si>
    <t>31/01/2001</t>
  </si>
  <si>
    <t>החוב נחות</t>
  </si>
  <si>
    <t>מפעלי פלדה אג1</t>
  </si>
  <si>
    <t>IL0039800185</t>
  </si>
  <si>
    <t>פלדה</t>
  </si>
  <si>
    <t>IL0003980161</t>
  </si>
  <si>
    <t>מניות לא סחירות</t>
  </si>
  <si>
    <t>תעשיות רוגוזין בע"מ</t>
  </si>
  <si>
    <t>520029406</t>
  </si>
  <si>
    <t>רוגוזין</t>
  </si>
  <si>
    <t>IL0005770156</t>
  </si>
  <si>
    <t>חיפושי נפט וגז</t>
  </si>
  <si>
    <t>שם שותף כללי קרן השקעות</t>
  </si>
  <si>
    <t>מספר מזהה שותף כללי קרן השקעות</t>
  </si>
  <si>
    <t>סוג מספר מזהה שותף כללי קרן השקעות</t>
  </si>
  <si>
    <t>שם קרן השקעה</t>
  </si>
  <si>
    <t>מספר מזהה קרן השקעה</t>
  </si>
  <si>
    <t>סוג מספר מזהה קרן השקעות</t>
  </si>
  <si>
    <t>אסטרטגיית קרן ההשקעה</t>
  </si>
  <si>
    <t>מדינת התאגדות קרן השקעה</t>
  </si>
  <si>
    <t>מיקום משרד השותף הכללי</t>
  </si>
  <si>
    <t>NAV (במטבע הדיווח של קרן ההשקעה)</t>
  </si>
  <si>
    <t>שיעור החזקה בקרן השקעה</t>
  </si>
  <si>
    <t>AMI GP LP Inc</t>
  </si>
  <si>
    <t>2030</t>
  </si>
  <si>
    <t>מספר תאגיד או שותפות בחו"ל</t>
  </si>
  <si>
    <t>AMI Opportunities</t>
  </si>
  <si>
    <t>פרייבט אקוויטי</t>
  </si>
  <si>
    <t>Buyout</t>
  </si>
  <si>
    <t>חו"ל</t>
  </si>
  <si>
    <t>בריטניה</t>
  </si>
  <si>
    <t>09/11/2015</t>
  </si>
  <si>
    <t>USD</t>
  </si>
  <si>
    <t>דיווח מנהל הקרן</t>
  </si>
  <si>
    <t>אי-תלות</t>
  </si>
  <si>
    <t>17/12/2025</t>
  </si>
  <si>
    <t>קרן נוי 2 להשקעה בתשתיות אנרגיה</t>
  </si>
  <si>
    <t>550274542</t>
  </si>
  <si>
    <t>מספר שותפות</t>
  </si>
  <si>
    <t>NOY 2</t>
  </si>
  <si>
    <t>קרן אנרגיה ותשתיות</t>
  </si>
  <si>
    <t>Core</t>
  </si>
  <si>
    <t>02/07/2015</t>
  </si>
  <si>
    <t>גלובלי</t>
  </si>
  <si>
    <t>Viola Growth II LP</t>
  </si>
  <si>
    <t>CO-75434</t>
  </si>
  <si>
    <t>ויולה צמיחה 2</t>
  </si>
  <si>
    <t>איי קיימן</t>
  </si>
  <si>
    <t>29/01/2015</t>
  </si>
  <si>
    <t>11/12/2025</t>
  </si>
  <si>
    <t>טנא הון צמיחה 3 פי.אי.אף שותפות מוגבלת</t>
  </si>
  <si>
    <t>550249320</t>
  </si>
  <si>
    <t>טנא הון צמיחה 3</t>
  </si>
  <si>
    <t>30/12/2013</t>
  </si>
  <si>
    <t>25/09/2025</t>
  </si>
  <si>
    <t>פימי חמש 2020 בע"מ</t>
  </si>
  <si>
    <t>514794924</t>
  </si>
  <si>
    <t>פימי אופורטיוניטי 5</t>
  </si>
  <si>
    <t>27/08/2012</t>
  </si>
  <si>
    <t>12/11/2025</t>
  </si>
  <si>
    <t>פלנוס טכנולוגיות בע"מ</t>
  </si>
  <si>
    <t>512912775</t>
  </si>
  <si>
    <t>קה"ס  .PLENUS 2 L .P</t>
  </si>
  <si>
    <t>קרן חוב</t>
  </si>
  <si>
    <t>Venture Debt</t>
  </si>
  <si>
    <t>26/12/2007</t>
  </si>
  <si>
    <t>13/11/2025</t>
  </si>
  <si>
    <t>ארה"ב</t>
  </si>
  <si>
    <t>א. רוטשילד ת ניהול נכסים בע"מ</t>
  </si>
  <si>
    <t>513872440</t>
  </si>
  <si>
    <t>קרן רוטשילד נדלן</t>
  </si>
  <si>
    <t>קרן נדל"ן</t>
  </si>
  <si>
    <t>Value Added Real Estate</t>
  </si>
  <si>
    <t>לוכסמבורג</t>
  </si>
  <si>
    <t>אירופה</t>
  </si>
  <si>
    <t>20/11/2007</t>
  </si>
  <si>
    <t>EUR</t>
  </si>
  <si>
    <t>18/11/2025</t>
  </si>
  <si>
    <t>תשתיות ישראל ג'י. פי. שותפות מוגבלת</t>
  </si>
  <si>
    <t>550224620</t>
  </si>
  <si>
    <t>תשתיות ישראל 1</t>
  </si>
  <si>
    <t>Opportunistic Infrastructure</t>
  </si>
  <si>
    <t>13/08/2009</t>
  </si>
  <si>
    <t>04/03/2025</t>
  </si>
  <si>
    <t xml:space="preserve">תשתיות ישראל ג'י. פי.  ניהול II , שותפות מוגבלת </t>
  </si>
  <si>
    <t>550243026</t>
  </si>
  <si>
    <t>תשתיות ישראל 2</t>
  </si>
  <si>
    <t>07/03/2013</t>
  </si>
  <si>
    <t>16/11/2025</t>
  </si>
  <si>
    <t>שווי הוגן (בש"ח)</t>
  </si>
  <si>
    <t>מספר עסקה (רגל 1)</t>
  </si>
  <si>
    <t>מטבע פעילות (רגל 1)</t>
  </si>
  <si>
    <t>ערך נקוב (רגל 1)</t>
  </si>
  <si>
    <t>שווי הוגן במטבע הנסחר (רגל 1)</t>
  </si>
  <si>
    <t>שיעור מנכסי אפיק ההשקעה (רגל 1)</t>
  </si>
  <si>
    <t>שיעור מסך נכסי ההשקעה (רגל 1)</t>
  </si>
  <si>
    <t>מספר עסקה (רגל 2)</t>
  </si>
  <si>
    <t>מטבע פעילות (רגל 2)</t>
  </si>
  <si>
    <t>ערך נקוב (רגל 2)</t>
  </si>
  <si>
    <t>שווי הוגן במטבע הנסחר (רגל 2)</t>
  </si>
  <si>
    <t>שיעור מנכסי ההשקעה (רגל 2)</t>
  </si>
  <si>
    <t>שיעור מסך אפיק ההשקעה (רגל 2)</t>
  </si>
  <si>
    <t>שווי הוגן (נטו  באלפי ש"ח)</t>
  </si>
  <si>
    <t>סוג הנכס</t>
  </si>
  <si>
    <t>פקטור מוביל</t>
  </si>
  <si>
    <t>פקטור נוסף</t>
  </si>
  <si>
    <t>טיקר</t>
  </si>
  <si>
    <t>מועד ההתקשרות בעסקה</t>
  </si>
  <si>
    <t>מועד סיום חוזי</t>
  </si>
  <si>
    <t>תדירות Reset</t>
  </si>
  <si>
    <t>סוג הסליקה</t>
  </si>
  <si>
    <t>נספח התחשבנות בטחונות - CSA</t>
  </si>
  <si>
    <t>גורם מצטט</t>
  </si>
  <si>
    <t>תקופת ריבית עוגן</t>
  </si>
  <si>
    <t>שיעור ריבית עוגן</t>
  </si>
  <si>
    <t>שער נכס הבסיס במועד ההתקשרות בעסקה</t>
  </si>
  <si>
    <t>שער הנגזר במועד ההתקשרות בעסקה</t>
  </si>
  <si>
    <t>האם קיים קנס בגין יציאה מוקדמת</t>
  </si>
  <si>
    <t>שיעור הקנס בגין יציאה מוקדמת</t>
  </si>
  <si>
    <t>צד נגדי - Counterparty</t>
  </si>
  <si>
    <t>מספר מזהה לווה</t>
  </si>
  <si>
    <t>סוג מספר מזהה לווה</t>
  </si>
  <si>
    <t>שם הלוואה</t>
  </si>
  <si>
    <t>מספר הלוואה</t>
  </si>
  <si>
    <t>מאפיין הלוואות מתואמות עבור זכויות מקרקעין</t>
  </si>
  <si>
    <t>קונסורציום/ סינדיקציה</t>
  </si>
  <si>
    <t>מספר קונסורציום/ סינדיקציה</t>
  </si>
  <si>
    <t>תאריך העמדת הלוואה</t>
  </si>
  <si>
    <t>דירוג הלוואה/המנפיק</t>
  </si>
  <si>
    <t>סוג הריבית</t>
  </si>
  <si>
    <t>שיעור תוספת/הפחתה לריבית העוגן</t>
  </si>
  <si>
    <t>סוג בטוחה</t>
  </si>
  <si>
    <t>שווי הבטוחות העומדות כנגד ההלוואה</t>
  </si>
  <si>
    <t>שיעור הבטוחות מהחוב</t>
  </si>
  <si>
    <t>מועד עדכון אחרון לשווי הבטוחות</t>
  </si>
  <si>
    <t>זכות חזרה</t>
  </si>
  <si>
    <t>מבנה לוח סילוקין</t>
  </si>
  <si>
    <t>יעוד הלוואה</t>
  </si>
  <si>
    <t>זכות פירעון מוקדם</t>
  </si>
  <si>
    <t>שיעור ריבית בגין אי-ניצול מסגרת האשראי</t>
  </si>
  <si>
    <t>ערך נקוב</t>
  </si>
  <si>
    <t>שער הלוואה</t>
  </si>
  <si>
    <t>שווי הוגן (במטבע הפעילות)</t>
  </si>
  <si>
    <t>שם הבנק</t>
  </si>
  <si>
    <t>מספר מזהה בנק</t>
  </si>
  <si>
    <t>סוג מספר מזהה בנק</t>
  </si>
  <si>
    <t>תאריך פקיעת פיקדון</t>
  </si>
  <si>
    <t>דירוג הבנק</t>
  </si>
  <si>
    <t>שווי מטבעי</t>
  </si>
  <si>
    <t>שער פיקדון</t>
  </si>
  <si>
    <t>שם הנכס</t>
  </si>
  <si>
    <t>מדינת מיקום נדל"ן</t>
  </si>
  <si>
    <t>שימוש עיקרי בנכס</t>
  </si>
  <si>
    <t>מחזור חיי הנכס</t>
  </si>
  <si>
    <t>כתובת הנכס</t>
  </si>
  <si>
    <t>שיעור תשואה בפועל במהלך הרבעון</t>
  </si>
  <si>
    <t>השיטה שבאמצעותה נקבע שווי הנכס</t>
  </si>
  <si>
    <t>שיעור אחזקה באמצעי שליטה</t>
  </si>
  <si>
    <t>שווי מאזני (באלפי ש"ח)</t>
  </si>
  <si>
    <t>שם הנכס האחר</t>
  </si>
  <si>
    <t>מספר הנכס האחר</t>
  </si>
  <si>
    <t>תאריך עסקה</t>
  </si>
  <si>
    <t>חייבים</t>
  </si>
  <si>
    <t>27960000</t>
  </si>
  <si>
    <t>חייבים וזכאים</t>
  </si>
  <si>
    <t>תאריך העמדת מסגרת אשראי</t>
  </si>
  <si>
    <t>סכום מסגרת האשראי הראשוני (במטבע הפעילות)</t>
  </si>
  <si>
    <t>סכום מסגרת האשראי הראשוני (באלפי ש"ח)</t>
  </si>
  <si>
    <t>שיעור יתרת מסגרת אשראי</t>
  </si>
  <si>
    <t>תאריך העמדת התחייבות לקרן השקעה</t>
  </si>
  <si>
    <t>סכום המחויבות הראשוני (במטבע הדיווח של קרן ההשקעה)</t>
  </si>
  <si>
    <t>סכום המחויבות הראשוני (באלפי ש"ח)</t>
  </si>
  <si>
    <t>יתרת המחויבות לתקופת הדיווח (במטבע הדיווח של קרן ההשקעה)</t>
  </si>
  <si>
    <t>יתרת המחויבות לתקופת הדיווח (באלפי ש"ח)</t>
  </si>
  <si>
    <t>שיעור יתרת המחויבות</t>
  </si>
  <si>
    <t>תאריך פקיעת מחויבות להשקעה</t>
  </si>
  <si>
    <t>התחייבות להשקעה</t>
  </si>
  <si>
    <t>אייפקס AMI</t>
  </si>
  <si>
    <t>29993119</t>
  </si>
  <si>
    <t>ג'נריישן ניהול בע"מ</t>
  </si>
  <si>
    <t>515785012</t>
  </si>
  <si>
    <t>ח.פ</t>
  </si>
  <si>
    <t>ויולה פרייבט אקוויטי 2</t>
  </si>
  <si>
    <t>29993122</t>
  </si>
  <si>
    <t>ION Asset Management Ltd. (מנהל כי אין שותף כללי)</t>
  </si>
  <si>
    <t>550225288</t>
  </si>
  <si>
    <t>29993030</t>
  </si>
  <si>
    <t>נוי 2</t>
  </si>
  <si>
    <t>29993120</t>
  </si>
  <si>
    <t>NIS</t>
  </si>
  <si>
    <t>שם גיליון
(רלוונטי לגיליונות עם עמודה "מאפיין עיקרי")</t>
  </si>
  <si>
    <t>שם עמודה</t>
  </si>
  <si>
    <t>אפשרות בחירה</t>
  </si>
  <si>
    <t>הערות והסברים</t>
  </si>
  <si>
    <t xml:space="preserve">ישראל/חו"ל </t>
  </si>
  <si>
    <t>מדינה לפי חשיפה כלכלית; מדינת התאגדות קרן השקעה, מיקום משרד השותף הכללי, מדינת מיקום נדל"ן</t>
  </si>
  <si>
    <t>אוסטריה</t>
  </si>
  <si>
    <t>אוסטרליה</t>
  </si>
  <si>
    <t>אזור תעלת פנמה</t>
  </si>
  <si>
    <t>אזרביג'אן</t>
  </si>
  <si>
    <t>איחוד האמירויות הערביות</t>
  </si>
  <si>
    <t>איטליה</t>
  </si>
  <si>
    <t>איי הבתולה הבריטיים</t>
  </si>
  <si>
    <t>נוסף במסגרת עדכון הרשימה</t>
  </si>
  <si>
    <t>איי הבתולה של ארצות הברית</t>
  </si>
  <si>
    <t>איי סיישל</t>
  </si>
  <si>
    <t>איי שלמה הבריטיים</t>
  </si>
  <si>
    <t>איסלנד</t>
  </si>
  <si>
    <t>אירלנד</t>
  </si>
  <si>
    <t>אנדורה</t>
  </si>
  <si>
    <t>אסטוניה</t>
  </si>
  <si>
    <t>ארגנטינה</t>
  </si>
  <si>
    <t>אתיופיה</t>
  </si>
  <si>
    <t>בהמס</t>
  </si>
  <si>
    <t>בולגריה</t>
  </si>
  <si>
    <t>בוליביה</t>
  </si>
  <si>
    <t>בחריין</t>
  </si>
  <si>
    <t>בלגיה</t>
  </si>
  <si>
    <t>בליז</t>
  </si>
  <si>
    <t>ברזיל</t>
  </si>
  <si>
    <t>ברמודה</t>
  </si>
  <si>
    <t>גאורגיה</t>
  </si>
  <si>
    <t>גיברלטר</t>
  </si>
  <si>
    <t>גמייקה</t>
  </si>
  <si>
    <t>גרמניה</t>
  </si>
  <si>
    <t>ג'רזי (Jersey)</t>
  </si>
  <si>
    <t>גרנזי (Guernsey)</t>
  </si>
  <si>
    <t>דנמרק</t>
  </si>
  <si>
    <t>דרום אפריקה</t>
  </si>
  <si>
    <t>דרום קוריאה</t>
  </si>
  <si>
    <t>הודו</t>
  </si>
  <si>
    <t>הולנד</t>
  </si>
  <si>
    <t>הונג קונג</t>
  </si>
  <si>
    <t>הונגריה</t>
  </si>
  <si>
    <t>הונדורס</t>
  </si>
  <si>
    <t>טייוואן</t>
  </si>
  <si>
    <t>יוון</t>
  </si>
  <si>
    <t>יפן</t>
  </si>
  <si>
    <t>ירדן</t>
  </si>
  <si>
    <t>לטביה</t>
  </si>
  <si>
    <t>ליטא</t>
  </si>
  <si>
    <t>ליכטנשטיין</t>
  </si>
  <si>
    <t>מאוריציוס</t>
  </si>
  <si>
    <t>מולדובה</t>
  </si>
  <si>
    <t>מונקו</t>
  </si>
  <si>
    <t>מלדיבים</t>
  </si>
  <si>
    <t>מלטה</t>
  </si>
  <si>
    <t>מלזיה</t>
  </si>
  <si>
    <t>מצרים</t>
  </si>
  <si>
    <t>מקסיקו</t>
  </si>
  <si>
    <t>מרוקו</t>
  </si>
  <si>
    <t>נורבגיה</t>
  </si>
  <si>
    <t>ניו זילנד</t>
  </si>
  <si>
    <t>סין</t>
  </si>
  <si>
    <t>סינגפור</t>
  </si>
  <si>
    <t>סלובניה</t>
  </si>
  <si>
    <t>סלובקיה</t>
  </si>
  <si>
    <t>ספרד</t>
  </si>
  <si>
    <t>סרביה</t>
  </si>
  <si>
    <t>ערב הסעודית</t>
  </si>
  <si>
    <t>פולין</t>
  </si>
  <si>
    <t>פורטוגל</t>
  </si>
  <si>
    <t>פינלנד</t>
  </si>
  <si>
    <t>פנמה</t>
  </si>
  <si>
    <t>צילה</t>
  </si>
  <si>
    <t>צכיה</t>
  </si>
  <si>
    <t>צרפת</t>
  </si>
  <si>
    <t>קנדה</t>
  </si>
  <si>
    <t>קפריסין</t>
  </si>
  <si>
    <t>רומניה</t>
  </si>
  <si>
    <t>רוסיה</t>
  </si>
  <si>
    <t>שוודיה</t>
  </si>
  <si>
    <t>שוויץ</t>
  </si>
  <si>
    <t>תורכיה</t>
  </si>
  <si>
    <t>אסיה</t>
  </si>
  <si>
    <t>אפריקה</t>
  </si>
  <si>
    <t>אמריקה הצפונית</t>
  </si>
  <si>
    <t>אמריקה הדרומית</t>
  </si>
  <si>
    <t>אוקיאניה</t>
  </si>
  <si>
    <t>גלובלי ללא ארה"ב</t>
  </si>
  <si>
    <t>Emerging Markets - Americas</t>
  </si>
  <si>
    <r>
      <rPr>
        <strike/>
        <sz val="11"/>
        <color theme="1"/>
        <rFont val="Arial"/>
        <family val="2"/>
      </rPr>
      <t>שווקים מתעוררים</t>
    </r>
    <r>
      <rPr>
        <sz val="11"/>
        <color theme="1"/>
        <rFont val="Arial"/>
        <family val="2"/>
      </rPr>
      <t xml:space="preserve"> לפי הגדרת MSCI</t>
    </r>
  </si>
  <si>
    <t>Emerging Markets - Euope, Middle East &amp; Africa</t>
  </si>
  <si>
    <t>לפי הגדרת MSCI</t>
  </si>
  <si>
    <t>Emerging Markets - Asia</t>
  </si>
  <si>
    <t>Developed Markets - Americas</t>
  </si>
  <si>
    <t>Developed Markets - Europe</t>
  </si>
  <si>
    <t>Developed Markets - Pacific</t>
  </si>
  <si>
    <t>Frontier Markets - Euope</t>
  </si>
  <si>
    <t>Frontier Markets - Africa</t>
  </si>
  <si>
    <t>Frontier Markets - Middle East</t>
  </si>
  <si>
    <t>Frontier Markets - Asia</t>
  </si>
  <si>
    <t>LEI</t>
  </si>
  <si>
    <t>סימול בנק</t>
  </si>
  <si>
    <t>SWIFT</t>
  </si>
  <si>
    <t>סוג מספר מזהה מנהל קרן השקעות</t>
  </si>
  <si>
    <t>מרשם</t>
  </si>
  <si>
    <t>ת"ז</t>
  </si>
  <si>
    <t>דרכון</t>
  </si>
  <si>
    <t>OCC</t>
  </si>
  <si>
    <t>FIGI</t>
  </si>
  <si>
    <t>סוג מספר קרן השקעה</t>
  </si>
  <si>
    <t>סחיר</t>
  </si>
  <si>
    <t>לא סחיר</t>
  </si>
  <si>
    <t>חסום</t>
  </si>
  <si>
    <t>ני"ע אשר מכירתו מוגבלת לפי הוראות דין או חוזה לתקופה שנקבעה.</t>
  </si>
  <si>
    <t>השעיה</t>
  </si>
  <si>
    <t xml:space="preserve">ני"ע שהמסחר בו בזירת המסחר בה הור נסחר הופסק לפרק זמן </t>
  </si>
  <si>
    <t>בהשאלה</t>
  </si>
  <si>
    <t>לא חסום בהשעיה</t>
  </si>
  <si>
    <t>לא חסום בהשאלה</t>
  </si>
  <si>
    <t>חסום בהשעיה</t>
  </si>
  <si>
    <t>חסום בהשאלה</t>
  </si>
  <si>
    <t>בשלבי רישום למסחר</t>
  </si>
  <si>
    <t>בעל  עניין/צד קשור</t>
  </si>
  <si>
    <t>TASE - Tel Aviv Stock Exchange</t>
  </si>
  <si>
    <t>TASE-UP</t>
  </si>
  <si>
    <t>פלטפורמת TASE-UP</t>
  </si>
  <si>
    <t>NYSE</t>
  </si>
  <si>
    <t>NYSE - New York Stock Exchange</t>
  </si>
  <si>
    <t>NASDAQ</t>
  </si>
  <si>
    <t>NASDAQ - National Association of Securities Dealers Automated Quotations</t>
  </si>
  <si>
    <t>JPX</t>
  </si>
  <si>
    <t>JPX - Japan Exchange Group</t>
  </si>
  <si>
    <t>AMEX</t>
  </si>
  <si>
    <t>AMEX - American Stock Exchange</t>
  </si>
  <si>
    <t>ADX</t>
  </si>
  <si>
    <t>ADX - Abu Dhabi Securities Exchange</t>
  </si>
  <si>
    <t>ASX</t>
  </si>
  <si>
    <t>ASX -  Australian Securities Exchange</t>
  </si>
  <si>
    <t>BOVESPA</t>
  </si>
  <si>
    <t>BOVESPA -  Brazilian Stock Exchange</t>
  </si>
  <si>
    <t>BSE</t>
  </si>
  <si>
    <t>BSE - Bombay Stock Exchange</t>
  </si>
  <si>
    <t>CBOE</t>
  </si>
  <si>
    <t>CBOE - Chicago Board Options Exchange</t>
  </si>
  <si>
    <t>CME</t>
  </si>
  <si>
    <t>CME - Chicago Mercantile Exchange</t>
  </si>
  <si>
    <t>EURONEXT</t>
  </si>
  <si>
    <t>EURONEXT - Euronext Group Stock Exchange</t>
  </si>
  <si>
    <t>EUREX</t>
  </si>
  <si>
    <t>EUREX - Eurex Exchange</t>
  </si>
  <si>
    <t>FWB</t>
  </si>
  <si>
    <t>FWB - Frankfurt Stock Exchange</t>
  </si>
  <si>
    <t>HKSE</t>
  </si>
  <si>
    <t>HKSE - Hong Kong Stock Exchange</t>
  </si>
  <si>
    <t>ICE</t>
  </si>
  <si>
    <t>ICE - Intercontinental Exchange</t>
  </si>
  <si>
    <t>ISE</t>
  </si>
  <si>
    <t>ISE - Irish Stock Exchange</t>
  </si>
  <si>
    <t>JSE</t>
  </si>
  <si>
    <t>JSE - Johannesburg Stock Exchange</t>
  </si>
  <si>
    <t>KRX</t>
  </si>
  <si>
    <t>KRX - Korea Exchange</t>
  </si>
  <si>
    <t>LSE</t>
  </si>
  <si>
    <t>LSE - London Stock Exchange</t>
  </si>
  <si>
    <t>MICEX - RTS</t>
  </si>
  <si>
    <t>MICEX- RTS - Moscow Exchange</t>
  </si>
  <si>
    <t>NASDAQD</t>
  </si>
  <si>
    <t>NASDAQD - NASDAQ Dubai</t>
  </si>
  <si>
    <t>NSE</t>
  </si>
  <si>
    <t>NSE - National Stock Exchange of India</t>
  </si>
  <si>
    <t>SSE</t>
  </si>
  <si>
    <t>SSE - Shanghai Stock Exchange</t>
  </si>
  <si>
    <t>SZSE</t>
  </si>
  <si>
    <t>SZSE - Shenzen Stock Market</t>
  </si>
  <si>
    <t>SGX</t>
  </si>
  <si>
    <t>SGX - Singapore Exchange</t>
  </si>
  <si>
    <t>BME</t>
  </si>
  <si>
    <t>BME - Spanish Exchanges</t>
  </si>
  <si>
    <t>SIX</t>
  </si>
  <si>
    <t>SIX - Swiss Exchange</t>
  </si>
  <si>
    <t>TSEC</t>
  </si>
  <si>
    <t>TSEC - Taiwan Stock Exchange Corporation</t>
  </si>
  <si>
    <t>TSE</t>
  </si>
  <si>
    <t>TSE - Tokyo Stock Exchange</t>
  </si>
  <si>
    <t>TSX</t>
  </si>
  <si>
    <t>TSX - Toronto Stock Exchange</t>
  </si>
  <si>
    <t>FOREIGN_GOV_SEC</t>
  </si>
  <si>
    <t>זירת מסחר פיקטבית עבור הדיווח של אג"ח שהנפיקה ממשלה זרה</t>
  </si>
  <si>
    <t xml:space="preserve">דירוג נייר הערך/הלוואה/המנפיק </t>
  </si>
  <si>
    <t>נייר ערך</t>
  </si>
  <si>
    <t>הלוואה</t>
  </si>
  <si>
    <t>מנפיק</t>
  </si>
  <si>
    <t>S&amp;P מעלות</t>
  </si>
  <si>
    <t>סטנדרד &amp; פורסס מעלות בע"מ (S&amp;P)</t>
  </si>
  <si>
    <t>מידרוג Moodys</t>
  </si>
  <si>
    <t>מידרוג בע"מ (Moody's)</t>
  </si>
  <si>
    <t>AM Best</t>
  </si>
  <si>
    <t>A.M Best Company, Inc</t>
  </si>
  <si>
    <t>DBRS</t>
  </si>
  <si>
    <t>DBRS Ratings Limited.</t>
  </si>
  <si>
    <t>Egan-Jones</t>
  </si>
  <si>
    <t>Egan-Jones Ratings Co.</t>
  </si>
  <si>
    <t>Fitch</t>
  </si>
  <si>
    <t>Fitch Investors Service, L.P.</t>
  </si>
  <si>
    <t>HR Ratings</t>
  </si>
  <si>
    <t>HR Ratings de México, S.A. de C.V.</t>
  </si>
  <si>
    <t>Japan Credit</t>
  </si>
  <si>
    <t>Japan Credit Rating Agency Ltd.</t>
  </si>
  <si>
    <t>Kroll</t>
  </si>
  <si>
    <t>Kroll Bond Rating Agency, Inc</t>
  </si>
  <si>
    <t>Moodys</t>
  </si>
  <si>
    <t>Moody's Investor Service</t>
  </si>
  <si>
    <t>S&amp;P</t>
  </si>
  <si>
    <t>Standard &amp; Poor's Corporation</t>
  </si>
  <si>
    <t>Not rated</t>
  </si>
  <si>
    <t>אג"ח מובנות</t>
  </si>
  <si>
    <t>אופנה והלבשה</t>
  </si>
  <si>
    <t>אחסנה</t>
  </si>
  <si>
    <t>אלקטרוניקה ואופטיקה</t>
  </si>
  <si>
    <t>אנרגיה</t>
  </si>
  <si>
    <t>אנרגיה מתחדשת</t>
  </si>
  <si>
    <t>אנשים פרטיים</t>
  </si>
  <si>
    <t>אשראי חוץ בנקאי</t>
  </si>
  <si>
    <t>ביוטכנולוגיה</t>
  </si>
  <si>
    <t>ביטוח</t>
  </si>
  <si>
    <t>ביטחוניות</t>
  </si>
  <si>
    <t>בנייה</t>
  </si>
  <si>
    <t>בנקים</t>
  </si>
  <si>
    <t>השקעות בהיי-טק</t>
  </si>
  <si>
    <t>השקעות במדעי החיים</t>
  </si>
  <si>
    <t>השקעה ואחזקות</t>
  </si>
  <si>
    <t>חברות ללא פעילות ומעטפת</t>
  </si>
  <si>
    <t>חברות מעטפת</t>
  </si>
  <si>
    <t>חשמל</t>
  </si>
  <si>
    <t>ליסינג</t>
  </si>
  <si>
    <t>מוליכים למחצה</t>
  </si>
  <si>
    <t>מזון</t>
  </si>
  <si>
    <t>מכשור רפואי</t>
  </si>
  <si>
    <t>מלונאות ותיירות</t>
  </si>
  <si>
    <t>מסחר</t>
  </si>
  <si>
    <t>נדל"ן מניב בישראל</t>
  </si>
  <si>
    <t>נדל"ן מניב בחו"ל</t>
  </si>
  <si>
    <t>עץ, נייר ודפוס</t>
  </si>
  <si>
    <t>פארמה</t>
  </si>
  <si>
    <t>פודטק</t>
  </si>
  <si>
    <t>ציוד תקשורת</t>
  </si>
  <si>
    <t>קנאביס</t>
  </si>
  <si>
    <t>קלינטק</t>
  </si>
  <si>
    <t>קרנות היי טק</t>
  </si>
  <si>
    <t>קרנות סל</t>
  </si>
  <si>
    <t>רובוטיקה ותלת מימד</t>
  </si>
  <si>
    <t>רשויות מקומיות</t>
  </si>
  <si>
    <t>רשתות שיווק</t>
  </si>
  <si>
    <t>שירותי מידע</t>
  </si>
  <si>
    <t>שירותים</t>
  </si>
  <si>
    <t>שירותים פיננסיים</t>
  </si>
  <si>
    <t>שירותים ציבוריים</t>
  </si>
  <si>
    <t>תוכנה ואינטרנט</t>
  </si>
  <si>
    <t>תחבורה</t>
  </si>
  <si>
    <t>תעופה</t>
  </si>
  <si>
    <t>תעשיה</t>
  </si>
  <si>
    <t>תקשורת ומדיה</t>
  </si>
  <si>
    <t>תשתיות</t>
  </si>
  <si>
    <t>Energy Equipment &amp; Services</t>
  </si>
  <si>
    <t>Oil, Gas &amp; Consumable Fuels</t>
  </si>
  <si>
    <t>Chemicals</t>
  </si>
  <si>
    <t>Construction Materials</t>
  </si>
  <si>
    <t>Containers &amp; Packaging</t>
  </si>
  <si>
    <t>Metals &amp; Mining</t>
  </si>
  <si>
    <t>Paper &amp; Forest Products</t>
  </si>
  <si>
    <t>Aerospace &amp; Defense</t>
  </si>
  <si>
    <t>Building Products</t>
  </si>
  <si>
    <t>Construction &amp; Engineering</t>
  </si>
  <si>
    <t>Electrical Equipment</t>
  </si>
  <si>
    <t>Industrial Conglomerates</t>
  </si>
  <si>
    <t>Machinery</t>
  </si>
  <si>
    <t>Trading Companies &amp; Distributors</t>
  </si>
  <si>
    <t>Commercial Services &amp; Supplies</t>
  </si>
  <si>
    <t>Professional Services</t>
  </si>
  <si>
    <t>Air Freight &amp; Logistics</t>
  </si>
  <si>
    <t>Passenger Airlines</t>
  </si>
  <si>
    <r>
      <rPr>
        <strike/>
        <sz val="11"/>
        <color theme="1"/>
        <rFont val="Arial"/>
        <family val="2"/>
      </rPr>
      <t>Airlines</t>
    </r>
    <r>
      <rPr>
        <sz val="11"/>
        <color theme="1"/>
        <rFont val="Arial"/>
        <family val="2"/>
      </rPr>
      <t xml:space="preserve"> Passenger Airlines</t>
    </r>
  </si>
  <si>
    <t>Marine Transportation</t>
  </si>
  <si>
    <r>
      <rPr>
        <strike/>
        <sz val="11"/>
        <color theme="1"/>
        <rFont val="Arial"/>
        <family val="2"/>
      </rPr>
      <t>Marine</t>
    </r>
    <r>
      <rPr>
        <sz val="11"/>
        <color theme="1"/>
        <rFont val="Arial"/>
        <family val="2"/>
      </rPr>
      <t xml:space="preserve"> Marine Transportation</t>
    </r>
  </si>
  <si>
    <t>Ground Transportation</t>
  </si>
  <si>
    <r>
      <rPr>
        <strike/>
        <sz val="11"/>
        <color theme="1"/>
        <rFont val="Arial"/>
        <family val="2"/>
      </rPr>
      <t>Road &amp; Rail</t>
    </r>
    <r>
      <rPr>
        <sz val="11"/>
        <color theme="1"/>
        <rFont val="Arial"/>
        <family val="2"/>
      </rPr>
      <t xml:space="preserve"> Ground Transportation</t>
    </r>
  </si>
  <si>
    <t>Transportation Infrastructure</t>
  </si>
  <si>
    <t>Automobile Components</t>
  </si>
  <si>
    <r>
      <rPr>
        <strike/>
        <sz val="11"/>
        <color theme="1"/>
        <rFont val="Arial"/>
        <family val="2"/>
      </rPr>
      <t>Auto Components</t>
    </r>
    <r>
      <rPr>
        <sz val="11"/>
        <color theme="1"/>
        <rFont val="Arial"/>
        <family val="2"/>
      </rPr>
      <t xml:space="preserve"> Automobile Components</t>
    </r>
  </si>
  <si>
    <t>Automobiles</t>
  </si>
  <si>
    <t>Household Durables</t>
  </si>
  <si>
    <t>Leisure Products</t>
  </si>
  <si>
    <t>Textiles, Apparel &amp; Luxury Goods</t>
  </si>
  <si>
    <t>Hotels, Restaurants &amp; Leisure</t>
  </si>
  <si>
    <t>Diversified Consumer Services</t>
  </si>
  <si>
    <t>Distributors</t>
  </si>
  <si>
    <t>Broadline Retail</t>
  </si>
  <si>
    <r>
      <rPr>
        <strike/>
        <sz val="11"/>
        <color theme="1"/>
        <rFont val="Arial"/>
        <family val="2"/>
      </rPr>
      <t>Multiline Retail</t>
    </r>
    <r>
      <rPr>
        <sz val="11"/>
        <color theme="1"/>
        <rFont val="Arial"/>
        <family val="2"/>
      </rPr>
      <t xml:space="preserve"> Broadline Retail</t>
    </r>
  </si>
  <si>
    <t>Specialty Retail</t>
  </si>
  <si>
    <t>Consumer Staples Distribution &amp; Retail</t>
  </si>
  <si>
    <r>
      <rPr>
        <strike/>
        <sz val="11"/>
        <color theme="1"/>
        <rFont val="Arial"/>
        <family val="2"/>
      </rPr>
      <t>Food &amp; Staples Retailing</t>
    </r>
    <r>
      <rPr>
        <sz val="11"/>
        <color theme="1"/>
        <rFont val="Arial"/>
        <family val="2"/>
      </rPr>
      <t xml:space="preserve"> Consumer Staples Distribution &amp; Retail</t>
    </r>
  </si>
  <si>
    <t>Beverages</t>
  </si>
  <si>
    <t>Food Products</t>
  </si>
  <si>
    <t>Tobacco</t>
  </si>
  <si>
    <t>Household Products</t>
  </si>
  <si>
    <t>Personal Care Products</t>
  </si>
  <si>
    <r>
      <rPr>
        <strike/>
        <sz val="11"/>
        <color theme="1"/>
        <rFont val="Arial"/>
        <family val="2"/>
      </rPr>
      <t>Personal Products</t>
    </r>
    <r>
      <rPr>
        <sz val="11"/>
        <color theme="1"/>
        <rFont val="Arial"/>
        <family val="2"/>
      </rPr>
      <t xml:space="preserve"> Personal Care Products</t>
    </r>
  </si>
  <si>
    <t>Health Care Equipment &amp; Supplies</t>
  </si>
  <si>
    <t>Health Care Providers &amp; Services</t>
  </si>
  <si>
    <t>Health Care Technology</t>
  </si>
  <si>
    <t>Biotechnology</t>
  </si>
  <si>
    <t>Pharmaceuticals</t>
  </si>
  <si>
    <t>Life Sciences Tools &amp; Services</t>
  </si>
  <si>
    <t>Banks</t>
  </si>
  <si>
    <t>Financial Services</t>
  </si>
  <si>
    <r>
      <rPr>
        <strike/>
        <sz val="11"/>
        <color theme="1"/>
        <rFont val="Arial"/>
        <family val="2"/>
      </rPr>
      <t>Diversified Financial Services</t>
    </r>
    <r>
      <rPr>
        <sz val="11"/>
        <color theme="1"/>
        <rFont val="Arial"/>
        <family val="2"/>
      </rPr>
      <t xml:space="preserve"> Financial Services</t>
    </r>
  </si>
  <si>
    <t>Consumer Finance</t>
  </si>
  <si>
    <t>Capital Markets</t>
  </si>
  <si>
    <t>Mortgage Real Estate Investment Trusts (REITs)</t>
  </si>
  <si>
    <t>Insurance</t>
  </si>
  <si>
    <t>IT Services</t>
  </si>
  <si>
    <t>Software</t>
  </si>
  <si>
    <t>Communications Equipment</t>
  </si>
  <si>
    <t>Technology Hardware, Storage &amp; Peripherals</t>
  </si>
  <si>
    <t>Electronic Equipment, Instruments &amp; Components</t>
  </si>
  <si>
    <t>Semiconductors &amp; Semiconductor Equipment</t>
  </si>
  <si>
    <t>Diversified Telecommunication Services</t>
  </si>
  <si>
    <t>Wireless Telecommunication Services</t>
  </si>
  <si>
    <t>Media</t>
  </si>
  <si>
    <t>Entertainment</t>
  </si>
  <si>
    <t>Interactive Media &amp; Services</t>
  </si>
  <si>
    <t>Electric Utilities</t>
  </si>
  <si>
    <t>Gas Utilities</t>
  </si>
  <si>
    <t>Multi-Utilities</t>
  </si>
  <si>
    <t>Water Utilities</t>
  </si>
  <si>
    <t>Independent Power and Renewable Electricity Producers</t>
  </si>
  <si>
    <t>Diversified REITs</t>
  </si>
  <si>
    <t>Equity Real Estate Investment Trusts</t>
  </si>
  <si>
    <t>Industrial REITs</t>
  </si>
  <si>
    <t>Hotel &amp; Resort REITs</t>
  </si>
  <si>
    <t>Office REITs</t>
  </si>
  <si>
    <t>Health Care REITs</t>
  </si>
  <si>
    <t>Residential REITs</t>
  </si>
  <si>
    <t>Retail REITs</t>
  </si>
  <si>
    <t>Specialized REITs</t>
  </si>
  <si>
    <t>Real Estate Management &amp; Development</t>
  </si>
  <si>
    <t>(ומעלה ו/ או מדינה AA) אג"ח בארץ - כללי-אג"ח כללי בארץ - ללא מניות-אג"ח כללי בארץ בדירוג גבוה בלבד</t>
  </si>
  <si>
    <t>(ממונפות ואסטרטגיות - אסטרטגיות (לא ממונפות</t>
  </si>
  <si>
    <t>125 מניות בארץ - מניות כללי-ת"א</t>
  </si>
  <si>
    <t>20 אג"ח בארץ - חברות והמרה-תל בונד צמוד מדד-תל בונד</t>
  </si>
  <si>
    <t>35 מניות בארץ - מניות כללי-ת"א</t>
  </si>
  <si>
    <t>40 אג"ח בארץ - חברות והמרה-תל בונד צמוד מדד-תל בונד</t>
  </si>
  <si>
    <t>60 אג"ח בארץ - חברות והמרה-תל בונד צמוד מדד-תל בונד</t>
  </si>
  <si>
    <t>90 מניות בארץ - מניות כללי-ת"א</t>
  </si>
  <si>
    <t>All Cap מניות בארץ - מניות לפי שווי שוק-מניות</t>
  </si>
  <si>
    <t>Banks מניות בחו"ל - מניות לפי ענפים בחו"ל - מנוטרלת מט"ח-אירופה- מניות</t>
  </si>
  <si>
    <t>CNX NIFTY - מניות בחו"ל - מניות גיאוגרפי - חשופת מט"ח-אסיה הודו</t>
  </si>
  <si>
    <t>DAX 30 - מניות בחו"ל - מניות גיאוגרפי - חשופת מט"ח-אירופה גרמניה</t>
  </si>
  <si>
    <t>DAX 30 - מניות בחו"ל - מניות גיאוגרפי - מנוטרלת מט"ח-אירופה גרמניה</t>
  </si>
  <si>
    <t>DJ INDUSTRIAL AVERAGE - מניות בחו"ל - מניות גיאוגרפי - חשופת מט"ח-ארה"ב</t>
  </si>
  <si>
    <t>EURO STOXX 50 - מניות בחו"ל - מניות גיאוגרפי - חשופת מט"ח-אירופה כללי</t>
  </si>
  <si>
    <t>EURO STOXX 50 - מניות בחו"ל - מניות גיאוגרפי - מנוטרלת מט"ח-אירופה כללי</t>
  </si>
  <si>
    <t>Financial מניות בחו"ל - מניות לפי ענפים בחו"ל - חשופת מט"ח-ארה"ב- מניות</t>
  </si>
  <si>
    <t>FTSE 250 INDEX - מניות בחו"ל - מניות גיאוגרפי - מנוטרלת מט"ח-אירופה אנגליה</t>
  </si>
  <si>
    <t>FTSE China 50 - מניות בחו"ל - מניות גיאוגרפי - חשופת מט"ח-אסיה סין</t>
  </si>
  <si>
    <t>Health Care מניות בחו"ל - מניות לפי ענפים בחו"ל - חשופת מט"ח-ארה"ב- מניות</t>
  </si>
  <si>
    <t>Health Care מניות בחו"ל - מניות לפי ענפים בחו"ל - מנוטרלת מט"ח-ארה"ב- מניות</t>
  </si>
  <si>
    <t>IBOVESPA - מניות בחו"ל - מניות גיאוגרפי - חשופת מט"ח-שווקים מתעוררים ברזיל</t>
  </si>
  <si>
    <t>IBOXX USD LIQUID INVESTMENT GRADE TOP 30 INDEX - אג"ח בחו"ל - אג"ח חשופת דולר</t>
  </si>
  <si>
    <t>Large &amp; Mid Cap מניות בארץ - מניות לפי שווי שוק-מניות</t>
  </si>
  <si>
    <t>MDAX - מניות בחו"ל - מניות גיאוגרפי - מנוטרלת מט"ח-אירופה גרמניה</t>
  </si>
  <si>
    <t>MSCI AC WORLD INDEX - מניות בחו"ל - מניות כללי בחו"ל - חשופת מט"ח-מניות כללי בחו"ל</t>
  </si>
  <si>
    <t>MSCI EMERGING MARKETS - מניות בחו"ל - מניות גיאוגרפי - חשופת מט"ח-שווקים מתעוררים כללי</t>
  </si>
  <si>
    <t>NASDAQ 100 - מניות בחו"ל - מניות גיאוגרפי - חשופת מט"ח-ארה"ב</t>
  </si>
  <si>
    <t>NASDAQ 100 - מניות בחו"ל - מניות גיאוגרפי - מנוטרלת מט"ח-ארה"ב</t>
  </si>
  <si>
    <t>NIKKEI 225 - מניות בחו"ל - מניות גיאוגרפי - חשופת מט"ח-אסיה יפן</t>
  </si>
  <si>
    <t>NIKKEI 225 - מניות בחו"ל - מניות גיאוגרפי - מנוטרלת מט"ח-אסיה יפן</t>
  </si>
  <si>
    <t>Regional Banks מניות בחו"ל - מניות לפי ענפים בחו"ל - חשופת מט"ח-ארה"ב- מניות</t>
  </si>
  <si>
    <t>RUSSELL 2000 - מניות בחו"ל - מניות גיאוגרפי - חשופת מט"ח-ארה"ב</t>
  </si>
  <si>
    <t>RUSSELL 2000 - מניות בחו"ל - מניות גיאוגרפי - מנוטרלת מט"ח-ארה"ב</t>
  </si>
  <si>
    <t>S&amp;P 500 - מניות בחו"ל - מניות גיאוגרפי - חשופת מט"ח-ארה"ב</t>
  </si>
  <si>
    <t>S&amp;P 500 - מניות בחו"ל - מניות גיאוגרפי - מנוטרלת מט"ח-ארה"ב</t>
  </si>
  <si>
    <t>S&amp;P/ASX 200 - מניות בחו"ל - מניות גיאוגרפי - חשופת מט"ח-חו"ל גיאוגרפי אחר - אוסטרליה</t>
  </si>
  <si>
    <t>Small Cap מניות בארץ - מניות לפי שווי שוק-מניות</t>
  </si>
  <si>
    <t>SME60 מניות בארץ - מניות כללי-ת"א</t>
  </si>
  <si>
    <t>STOXX EUROPE 600 - מניות בחו"ל - מניות גיאוגרפי - מנוטרלת מט"ח-אירופה כללי</t>
  </si>
  <si>
    <t>STOXX EUROPE 600 -מניות בחו"ל - מניות גיאוגרפי - חשופת מט"ח-אירופה כללי</t>
  </si>
  <si>
    <t>Technology מניות בחו"ל - מניות לפי ענפים בחו"ל - חשופת מט"ח-ארה"ב- מניות</t>
  </si>
  <si>
    <t>Technology מניות בחו"ל - מניות לפי ענפים בחו"ל - מנוטרלת מט"ח-ארה"ב- מניות</t>
  </si>
  <si>
    <t>אג"ח בארץ - חברות והמרה-חברות והמרה אחר</t>
  </si>
  <si>
    <t>אג"ח בארץ - חברות והמרה-חברות והמרה בסיכון גבוה</t>
  </si>
  <si>
    <t>אג"ח בארץ - חברות והמרה-חברות והמרה ללא מניות-חברות והמרה ללא מניות וללא סימן קריאה</t>
  </si>
  <si>
    <t>אג"ח בארץ - חברות והמרה-חברות והמרה ללא מניות-חברות והמרה ללא מניות וללא סימן קריאה, עם מגבלת מח"מ עד 5 שנים</t>
  </si>
  <si>
    <t>אג"ח בארץ - חברות והמרה-חברות והמרה ללא מניות-חברות והמרה ללא מניות עם סימן קריאה</t>
  </si>
  <si>
    <t>אג"ח בארץ - חברות והמרה-חברות והמרה עם מניות-חברות והמרה עם מניות ועם סימן קריאה</t>
  </si>
  <si>
    <t>אג"ח בארץ - חברות והמרה-חברות והמרה עם מניות-חברות והמרה עם מניות ללא סימן קריאה</t>
  </si>
  <si>
    <t>אג"ח בארץ - חברות והמרה-חברות והמרה שקלי ללא מניות</t>
  </si>
  <si>
    <t>אג"ח בארץ - חברות והמרה-חברות והמרה שקלי עם מניות</t>
  </si>
  <si>
    <t>אג"ח בארץ - חברות והמרה-תל בונד אחר-אג"ח תל בונד משולבת</t>
  </si>
  <si>
    <t>אג"ח בארץ - חברות והמרה-תל בונד אחר-מדד תל בונד אחר</t>
  </si>
  <si>
    <t>אג"ח בארץ - חברות והמרה-תל בונד אחר-תל בונד מאגר</t>
  </si>
  <si>
    <t>אג"ח בארץ - חברות והמרה-תל בונד צמוד מדד-תל בונד- תשואות</t>
  </si>
  <si>
    <t>אג"ח בארץ - חברות והמרה-תל בונד צמוד מדד-תל בונד צמוד מדד- אחר</t>
  </si>
  <si>
    <t>אג"ח בארץ - חברות והמרה-תל בונד צמוד מדד-תל בונד צמודות</t>
  </si>
  <si>
    <t>אג"ח בארץ - חברות והמרה-תל בונד צמוד מדד-תל בונד צמודות- בנקים</t>
  </si>
  <si>
    <t>אג"ח בארץ - חברות והמרה-תל בונד צמוד מדד-תל בונד צמודות- יתר</t>
  </si>
  <si>
    <t>אג"ח בארץ - חברות והמרה-תל בונד שקלי-תל בונד- לא צמודות</t>
  </si>
  <si>
    <t>אג"ח בארץ - חברות והמרה-תל בונד שקלי-תל בונד- ריבית משתנה</t>
  </si>
  <si>
    <t>אג"ח בארץ - חברות והמרה-תל בונד שקלי-תל בונד- שקלי</t>
  </si>
  <si>
    <t>אג"ח בארץ - חברות והמרה-תל בונד שקלי-תל בונד- תשואות שקל</t>
  </si>
  <si>
    <t>אג"ח בארץ - חברות והמרה-תל בונד שקלי-תל בונד שקלי- אחר</t>
  </si>
  <si>
    <t>אג"ח בארץ - כללי-אג"ח כללי בארץ- עד 15% מניות</t>
  </si>
  <si>
    <t>אג"ח בארץ - כללי-אג"ח כללי בארץ- עד 25% מניות</t>
  </si>
  <si>
    <t>אג"ח בארץ - כללי-אג"ח כללי בארץ- עד 5% מניות</t>
  </si>
  <si>
    <t>אג"ח בארץ - כללי-אג"ח כללי בארץ - חשיפה מרבית מעל 30% מניות</t>
  </si>
  <si>
    <t>אג"ח בארץ - כללי-אג"ח כללי בארץ - ללא מניות-אג"ח כללי בארץ ללא מניות וללא סימן קריאה</t>
  </si>
  <si>
    <t>אג"ח בארץ - כללי-אג"ח כללי בארץ - ללא מניות-אג"ח כללי בארץ ללא מניות וללא סימן קריאה, עם מגבלת מח"מ עד 5 שנים</t>
  </si>
  <si>
    <t>אג"ח בארץ - כללי-אג"ח כללי בארץ - ללא מניות-אג"ח כללי בארץ ללא מניות עם סימן קריאה</t>
  </si>
  <si>
    <t>אג"ח בארץ - כללי-אג"ח כללי בארץ - עד 10% מניות-אג"ח כללי בארץ- עד 10% מניות ועם סימן קריאה</t>
  </si>
  <si>
    <t>אג"ח בארץ - כללי-אג"ח כללי בארץ - עד 10% מניות-אג"ח כללי בארץ- עד 10% מניות ללא סימן קריאה</t>
  </si>
  <si>
    <t>אג"ח בארץ - כללי-אג"ח כללי בארץ - עד 20% מניות</t>
  </si>
  <si>
    <t>אג"ח בארץ - כללי-אג"ח כללי בארץ - עד 30% מניות</t>
  </si>
  <si>
    <t>אג"ח בארץ - מדינה-אג"ח מדינה כללי- עד 20% מניות</t>
  </si>
  <si>
    <t>אג"ח בארץ - מדינה-אג"ח מדינה כללי - ללא מניות</t>
  </si>
  <si>
    <t>אג"ח בארץ - מדינה-אג"ח מדינה כללי - עד 10% מניות</t>
  </si>
  <si>
    <t>אג"ח בארץ - מדינה-אג"ח מדינה משולבת - חשיפה מרבית מעל 10% מניות</t>
  </si>
  <si>
    <t>אג"ח בארץ - מדינה-אג"ח מדינה משולבת - ללא מניות</t>
  </si>
  <si>
    <t>אג"ח בארץ - מדינה-אג"ח מדינה משולבת - עד 10% מניות</t>
  </si>
  <si>
    <t>אג"ח בארץ - מדינה-אג"ח מדינה צמוד מדד- ללא מניות</t>
  </si>
  <si>
    <t>אג"ח בארץ - מדינה-אג"ח מדינה צמוד מדד- עד 10% מניות</t>
  </si>
  <si>
    <t>אג"ח בארץ - מדינה-אג"ח מדינה צמוד מדד-צמודות מדד- מדד אחר</t>
  </si>
  <si>
    <t>אג"ח בארץ - מדינה-אג"ח מדינה צמוד מדד-צמודות מדד - ממשלתיות</t>
  </si>
  <si>
    <t>אג"ח בארץ - מדינה-אג"ח מדינה צמוד מדד-צמודות מדד - ממשלתיות 0-2 שנים</t>
  </si>
  <si>
    <t>אג"ח בארץ - מדינה-אג"ח מדינה צמוד מדד-צמודות מדד - ממשלתיות 2-5 שנים</t>
  </si>
  <si>
    <t>אג"ח בארץ - מדינה-אג"ח מדינה צמוד מדד-צמודות מדד - ממשלתיות 5-10 שנים</t>
  </si>
  <si>
    <t>אג"ח בארץ - מדינה-אג"ח מדינה שקליות- ללא מניות</t>
  </si>
  <si>
    <t>אג"ח בארץ - מדינה-אג"ח מדינה שקליות- עד 10% מניות</t>
  </si>
  <si>
    <t>אג"ח בארץ - מדינה-אג"ח מדינה שקליות -מק"מ</t>
  </si>
  <si>
    <t>אג"ח בארץ - מדינה-אג"ח מדינה שקליות -שקליות- מדד אחר</t>
  </si>
  <si>
    <t>אג"ח בארץ - מדינה-אג"ח מדינה שקליות -שקליות ממשלתיות</t>
  </si>
  <si>
    <t>אג"ח בארץ - מדינה-אג"ח מדינה שקליות -שקליות ריבית משתנה ממשלתיות</t>
  </si>
  <si>
    <t>אג"ח בארץ - מדינה-אג"ח מדינה שקליות -שקליות ריבית קבועה ממשלתיות</t>
  </si>
  <si>
    <t>אג"ח בארץ - מדינה-אג"ח מדינה שקליות -שקליות ריבית קבועה ממשלתיות 0-2 שנים</t>
  </si>
  <si>
    <t>אג"ח בארץ - מדינה-אג"ח מדינה שקליות -שקליות ריבית קבועה ממשלתיות 2-5 שנים</t>
  </si>
  <si>
    <t>אג"ח בארץ - מדינה-אג"ח מדינה שקליות -שקליות ריבית קבועה ממשלתיות 5+ שנים</t>
  </si>
  <si>
    <t>אג"ח בארץ - מדינה-אג"ח ממשלתיות</t>
  </si>
  <si>
    <t>אג"ח בארץ משולבת - כללי-אג"ח כללי בארץ משולבת - חשיפה מרבית מעל 30% מניות</t>
  </si>
  <si>
    <t>אג"ח בארץ משולבת - כללי-אג"ח כללי בארץ משולבת - ללא מניות</t>
  </si>
  <si>
    <t>אג"ח בארץ משולבת - כללי-אג"ח כללי בארץ משולבת - עד 10% מניות</t>
  </si>
  <si>
    <t>אג"ח בארץ משולבת - כללי-אג"ח כללי בארץ משולבת - עד 20% מניות</t>
  </si>
  <si>
    <t>אג"ח בארץ משולבת - כללי-אג"ח כללי בארץ משולבת - עד 30% מניות</t>
  </si>
  <si>
    <t>אג"ח בחו"ל - אג"ח חשופת דולר - מדד אחר</t>
  </si>
  <si>
    <t>אג"ח בחו"ל - אג"ח מנוטרלת מט"ח</t>
  </si>
  <si>
    <t>אג"ח בחו"ל - אג"ח חשופת דולר</t>
  </si>
  <si>
    <t>אג"ח בחו"ל - אג"ח חשופת מט"ח</t>
  </si>
  <si>
    <t>אג"ח בחו"ל - אג"ח מוגנת מט"ח</t>
  </si>
  <si>
    <t>אג"ח בחו"ל - אג"ח נקובת מט"ח</t>
  </si>
  <si>
    <t>אגד קרנות - אגד חוץ</t>
  </si>
  <si>
    <t>אגד קרנות - אגד ישראלי</t>
  </si>
  <si>
    <t>גמישות</t>
  </si>
  <si>
    <t>ממונפות-ממונפות בחסר בסיכון גבוה-אג"ח בארץ</t>
  </si>
  <si>
    <t>ממונפות-ממונפות בחסר בסיכון גבוה-מניות בארץ</t>
  </si>
  <si>
    <t>ממונפות-ממונפות בחסר בסיכון גבוה-מניות בחו"ל</t>
  </si>
  <si>
    <t>ממונפות-ממונפות בסיכון גבוה-מניות בארץ</t>
  </si>
  <si>
    <t>ממונפות-ממונפות בסיכון גבוה-מניות בחו"ל</t>
  </si>
  <si>
    <t>ממונפות ואסטרטגיות-ממונפות אחר</t>
  </si>
  <si>
    <t>ממונפות ואסטרטגיות-ממונפות בסיכון גבוה</t>
  </si>
  <si>
    <t>מניות בארץ - מניות בארץ משולבת</t>
  </si>
  <si>
    <t>מניות בארץ - מניות כללי-מדד אחר</t>
  </si>
  <si>
    <t>מניות בארץ - מניות כללי-ת"א צמיחה</t>
  </si>
  <si>
    <t>מניות בארץ - מניות כללי-תל- דיב</t>
  </si>
  <si>
    <t>מניות בארץ - מניות לפי ענפים</t>
  </si>
  <si>
    <t>מניות בארץ - מניות לפי ענפים-מדד אחר</t>
  </si>
  <si>
    <t>מניות בארץ - מניות לפי ענפים-ת"א בנקים</t>
  </si>
  <si>
    <t>מניות בארץ - מניות לפי ענפים-ת"א גלובל- בלוטק</t>
  </si>
  <si>
    <t>מניות בארץ - מניות לפי ענפים-ת"א נדל"ן</t>
  </si>
  <si>
    <t>מניות בארץ - מניות לפי ענפים-ת"א נפט וגז</t>
  </si>
  <si>
    <t>מניות בארץ - מניות לפי ענפים-ת"א פיננסים</t>
  </si>
  <si>
    <t>מניות בחו"ל - מניות בחו"ל משולבת</t>
  </si>
  <si>
    <t>מניות בחו"ל - מניות גיאוגרפי-ארה"ב חשופת מט"ח</t>
  </si>
  <si>
    <t>מניות בחו"ל - מניות גיאוגרפי-מניות גיאוגרפי אחר חשופת מט"ח</t>
  </si>
  <si>
    <t>מניות בחו"ל - מניות גיאוגרפי-מניות גיאוגרפי מוגנת מט"ח</t>
  </si>
  <si>
    <t>מניות בחו"ל - מניות גיאוגרפי - חשופת מט"ח-אירופה - מדד אחר</t>
  </si>
  <si>
    <t>מניות בחו"ל - מניות גיאוגרפי - חשופת מט"ח-אסיה - מדד אחר</t>
  </si>
  <si>
    <t>מניות בחו"ל - מניות גיאוגרפי - חשופת מט"ח-ארה"ב - מדד אחר</t>
  </si>
  <si>
    <t>מניות בחו"ל - מניות גיאוגרפי - חשופת מט"ח-חו"ל גיאוגרפי אחר - מדד אחר</t>
  </si>
  <si>
    <t>מניות בחו"ל - מניות גיאוגרפי - מנוטרלת מט"ח-אירופה - מדד אחר</t>
  </si>
  <si>
    <t>מניות בחו"ל - מניות גיאוגרפי - מנוטרלת מט"ח-אסיה - מדד אחר</t>
  </si>
  <si>
    <t>מניות בחו"ל - מניות גיאוגרפי - מנוטרלת מט"ח-ארה"ב - מדד אחר</t>
  </si>
  <si>
    <t>מניות בחו"ל - מניות גיאוגרפי - מנוטרלת מט"ח-חו"ל גיאוגרפי אחר</t>
  </si>
  <si>
    <t>מניות בחו"ל - מניות גיאוגרפי - מנוטרלת מט"ח-שווקים מתעוררים</t>
  </si>
  <si>
    <t>מניות בחו"ל - מניות כללי בחו"ל - מניות חו"ל נקובת מט"ח</t>
  </si>
  <si>
    <t>מניות בחו"ל - מניות כללי בחו"ל - מניות כללי בחו"ל חשופת מט"ח</t>
  </si>
  <si>
    <t>מניות בחו"ל - מניות כללי בחו"ל - מניות כללי בחו"ל מוגנת מט"ח</t>
  </si>
  <si>
    <t>מניות בחו"ל - מניות כללי בחו"ל - חשופת מט"ח-מניות כללי בחו"ל - מדד אחר</t>
  </si>
  <si>
    <t>מניות בחו"ל - מניות כללי בחו"ל - מנוטרלת מט"ח-מניות כללי בחו"ל</t>
  </si>
  <si>
    <t>מניות בחו"ל - מניות לפי ענפים בחו"ל</t>
  </si>
  <si>
    <t>מניות בחו"ל - מניות לפי ענפים בחו"ל - חשופת מט"ח-ענפים אחרים</t>
  </si>
  <si>
    <t>מניות בחו"ל - מניות לפי ענפים בחו"ל - מנוטרלת מט"ח-ענפים אחרים</t>
  </si>
  <si>
    <t>סחורות-מדד סחורות</t>
  </si>
  <si>
    <t>סחורות-סחורה</t>
  </si>
  <si>
    <t>קרן גידור בנאמנות</t>
  </si>
  <si>
    <t>קרן כספית-כספית מט"חית עם קונצרני-חשופת דולר</t>
  </si>
  <si>
    <t>קרן כספית-כספית מט"חית עם קונצרני-נקובת מט"ח</t>
  </si>
  <si>
    <t>קרן כספית-כספית שקלית-כספית שקלית ללא קונצרני</t>
  </si>
  <si>
    <t>קרן כספית-כספית שקלית-כספית שקלית עם קונצרני</t>
  </si>
  <si>
    <t>קרן סגורה-קרן טכנולוגיה עילית</t>
  </si>
  <si>
    <t>Asset Allocation Funds</t>
  </si>
  <si>
    <t>Bond/Fixed Income Funds</t>
  </si>
  <si>
    <t>Commodity Funds</t>
  </si>
  <si>
    <t>Currency Funds</t>
  </si>
  <si>
    <t>Equity Funds</t>
  </si>
  <si>
    <t>Index Funds</t>
  </si>
  <si>
    <t>Real Estate Funds</t>
  </si>
  <si>
    <t>Sustainable Funds</t>
  </si>
  <si>
    <t>נכס בסיס/סוג הנכס</t>
  </si>
  <si>
    <t>אשראי בגין נדל"ן יזמי</t>
  </si>
  <si>
    <t>אשראי קמעונאי</t>
  </si>
  <si>
    <t>בעלי חיים</t>
  </si>
  <si>
    <t>גרעינים וחיטה</t>
  </si>
  <si>
    <t>מדד המחירים לצרכן</t>
  </si>
  <si>
    <t>מדדי סחורות</t>
  </si>
  <si>
    <t>מניות לרבות מדדי מניות</t>
  </si>
  <si>
    <t>משכנתאות או תיקי משכנתאות</t>
  </si>
  <si>
    <t>מתכות</t>
  </si>
  <si>
    <t>סחורות חקלאיות רכות</t>
  </si>
  <si>
    <t>ריבית ואג"ח</t>
  </si>
  <si>
    <t>קונסורציום/סינדיקציה</t>
  </si>
  <si>
    <t>לא צמוד</t>
  </si>
  <si>
    <t>צמוד למט"ח</t>
  </si>
  <si>
    <t>צמוד למדד אחר</t>
  </si>
  <si>
    <t>אג"ח סחיר</t>
  </si>
  <si>
    <t>אג"ח לא סחיר</t>
  </si>
  <si>
    <t>בטוחה פיזית אחרת</t>
  </si>
  <si>
    <t>בטוחה פיננסית אחרת</t>
  </si>
  <si>
    <t>חסכון עמיתים/מבוטחים</t>
  </si>
  <si>
    <t>כלי רכב</t>
  </si>
  <si>
    <t>ללא בטחונות</t>
  </si>
  <si>
    <t>מניות סחירות</t>
  </si>
  <si>
    <t>נגזרי אשראי</t>
  </si>
  <si>
    <t>נדל"ן אחר - נדל"ן מניב</t>
  </si>
  <si>
    <r>
      <t xml:space="preserve">נדל"ן </t>
    </r>
    <r>
      <rPr>
        <b/>
        <sz val="11"/>
        <color theme="1"/>
        <rFont val="Arial"/>
        <family val="2"/>
        <scheme val="minor"/>
      </rPr>
      <t>שלא</t>
    </r>
    <r>
      <rPr>
        <sz val="11"/>
        <color theme="1"/>
        <rFont val="Arial"/>
        <family val="2"/>
        <charset val="177"/>
        <scheme val="minor"/>
      </rPr>
      <t xml:space="preserve"> בגינו ניתנה ההלוואה</t>
    </r>
  </si>
  <si>
    <t>נדל"ן אחר - נדל"ן לא מניב</t>
  </si>
  <si>
    <t>נדל"ן אחר - קרקע</t>
  </si>
  <si>
    <t>נדל"ן עבורו התקבלה ההלוואה</t>
  </si>
  <si>
    <t>ערבות בנקאית</t>
  </si>
  <si>
    <t>קרנות השקעה</t>
  </si>
  <si>
    <t>שעבוד שוטף</t>
  </si>
  <si>
    <t>שעבוד שלילי</t>
  </si>
  <si>
    <t>תזרים עמלות</t>
  </si>
  <si>
    <t>תזרים מזומנים</t>
  </si>
  <si>
    <t>תזרים מפרויקטים</t>
  </si>
  <si>
    <t>בולט (Bullet)</t>
  </si>
  <si>
    <t>בלון</t>
  </si>
  <si>
    <t>קרן שווה</t>
  </si>
  <si>
    <t>שפיצר</t>
  </si>
  <si>
    <t xml:space="preserve">אחר </t>
  </si>
  <si>
    <t>מאפיין הלווואת מתואמות זכויות מקרקעין</t>
  </si>
  <si>
    <t>נדל"ן מניב - משרדים</t>
  </si>
  <si>
    <t>נדל"ן מניב
 - מסחר</t>
  </si>
  <si>
    <t>נדל"ן מניב
 - מגורים (כולל דיור מוגן)</t>
  </si>
  <si>
    <t>נדל"ן מניב
 - מלונאות</t>
  </si>
  <si>
    <t>נדל"ן מניב
 - לוגיסטיקה</t>
  </si>
  <si>
    <t>נדל"ן מניב
 - תעשייה</t>
  </si>
  <si>
    <t>נדל"ן מניב
 - אחר/לא מסווג</t>
  </si>
  <si>
    <t>ייזום נדל"ן לבניה של נכס ספציפי - משרדים</t>
  </si>
  <si>
    <t>ייזום נדל"ן לבניה של נכס ספציפי - מסחר</t>
  </si>
  <si>
    <t>ייזום נדל"ן לבניה של נכס ספציפי - מגורים (כולל דיור מוגן)</t>
  </si>
  <si>
    <t>ייזום נדל"ן לבניה של נכס ספציפי -   מזה: בליווי פיננסי סגור</t>
  </si>
  <si>
    <t>ייזום נדל"ן לבניה של נכס ספציפי - מלונאות</t>
  </si>
  <si>
    <t>ייזום נדל"ן לבניה של נכס ספציפי - לוגיסטיקה</t>
  </si>
  <si>
    <t>ייזום נדל"ן לבניה של נכס ספציפי - תעשייה</t>
  </si>
  <si>
    <t>ייזום נדל"ן לבניה של נכס ספציפי - אחר/לא מסווג</t>
  </si>
  <si>
    <t>קבוצות רכישה - משרדים</t>
  </si>
  <si>
    <t>קבוצות רכישה - מסחר</t>
  </si>
  <si>
    <t>קבוצות רכישה - מגורים (כולל דיור מוגן)</t>
  </si>
  <si>
    <t>קבוצות רכישה - אחר/לא מסווג</t>
  </si>
  <si>
    <t>קרקעות - משרדים</t>
  </si>
  <si>
    <t>קרקעות - מסחר</t>
  </si>
  <si>
    <t>קרקעות - מגורים (כולל דיור מוגן)</t>
  </si>
  <si>
    <t>קרקעות - מלונאות</t>
  </si>
  <si>
    <t>קרקעות - לוגיסטיקה</t>
  </si>
  <si>
    <t>קרקעות - תעשייה</t>
  </si>
  <si>
    <t>קרקעות - אחר/לא מסווג</t>
  </si>
  <si>
    <t>קרקעות - שאינן זמינות לבניה</t>
  </si>
  <si>
    <t>תשתיות - שלב הקמה</t>
  </si>
  <si>
    <t>תשתיות - שלב תפעול</t>
  </si>
  <si>
    <t>פעילות שוטפת של התאגיד - משרדים</t>
  </si>
  <si>
    <t>פעילות שוטפת של התאגיד - מסחר</t>
  </si>
  <si>
    <t>פעילות שוטפת של התאגיד - מגורים (כולל דיור מוגן)</t>
  </si>
  <si>
    <t>פעילות שוטפת של התאגיד - מלונאות</t>
  </si>
  <si>
    <t>פעילות שוטפת של התאגיד - אחר/לא מסווג</t>
  </si>
  <si>
    <t>אשראי לקבלנים - הון חוזר</t>
  </si>
  <si>
    <t>אשראי לקבלנים - ערבויות מכרז, ביצוע וכד'</t>
  </si>
  <si>
    <t>אשראי לקבלנים - למטרות ארוכות טווח</t>
  </si>
  <si>
    <t xml:space="preserve">אשראי אחר בענף הנדל"ן
 (לרבות אשראי לכל מטרה) - אשראי לפעילות הונית </t>
  </si>
  <si>
    <t>אשראי אחר בענף הנדל"ן
 (לרבות אשראי לכל מטרה) - אחר/לא מסווג</t>
  </si>
  <si>
    <t>משתנה</t>
  </si>
  <si>
    <t xml:space="preserve">קבועה </t>
  </si>
  <si>
    <t>FOF/Managed Account</t>
  </si>
  <si>
    <t>Co-Investment/Direct</t>
  </si>
  <si>
    <t>Core-Plus</t>
  </si>
  <si>
    <t>Debt Infrastructure</t>
  </si>
  <si>
    <t>Value Added Infrastructure</t>
  </si>
  <si>
    <t>Direct Real Estate</t>
  </si>
  <si>
    <t>Opportunistic Real Estate</t>
  </si>
  <si>
    <t>Distressed Real Estate</t>
  </si>
  <si>
    <t>Direct Lending Debt</t>
  </si>
  <si>
    <t>Mezzanine Debt</t>
  </si>
  <si>
    <t>Special Situations Debt</t>
  </si>
  <si>
    <t>Distressed Debt</t>
  </si>
  <si>
    <t>Balanced</t>
  </si>
  <si>
    <t>Leveraged Buyout</t>
  </si>
  <si>
    <t>Growth Venture Capital</t>
  </si>
  <si>
    <t>Seed/Early Stage Venture Capital</t>
  </si>
  <si>
    <t>Secondaries</t>
  </si>
  <si>
    <t>Turnaround</t>
  </si>
  <si>
    <t>סעיף מאזני</t>
  </si>
  <si>
    <t>זכויות אוויר (Air Rights)</t>
  </si>
  <si>
    <t>חממת שרתים</t>
  </si>
  <si>
    <t>חניון</t>
  </si>
  <si>
    <t>לוגיסטיקה ותעשייה</t>
  </si>
  <si>
    <t>מגדלי תקשורת</t>
  </si>
  <si>
    <t>מגורים (כולל דיור מוגן)</t>
  </si>
  <si>
    <t>מלונאות</t>
  </si>
  <si>
    <t>משרדים</t>
  </si>
  <si>
    <t>קניון</t>
  </si>
  <si>
    <t>קרקע/זכויות מקרקעין</t>
  </si>
  <si>
    <t>בתכנון/בהיתרים</t>
  </si>
  <si>
    <t>בתכנון / בהיתרים</t>
  </si>
  <si>
    <t>שלבים התחלתיים</t>
  </si>
  <si>
    <t>בבנייה שלבים התחלתיים (עד 30% ביצוע) – לפי אומדן עלות השקעה כוללת צפויה</t>
  </si>
  <si>
    <t>שלבים מתקדמים</t>
  </si>
  <si>
    <t>בבנייה שלבים מתקדמים (עד 70% ביצוע) - לפי אומדן עלות השקעה כוללת צפויה</t>
  </si>
  <si>
    <t>בשלבי גמר</t>
  </si>
  <si>
    <t>בבנייה בשלבי גמר (מעל 70% ביצוע) - לפי אומדן עלות השקעה כוללת צפויה</t>
  </si>
  <si>
    <t>בשימוש</t>
  </si>
  <si>
    <t xml:space="preserve">בשימוש </t>
  </si>
  <si>
    <t>בשיפוץ</t>
  </si>
  <si>
    <t>בשיפוץ – שיפוץ מהותי שאומדן עלותו מהווה מעל ל-50% משווי הנכס.</t>
  </si>
  <si>
    <t>בהסבה/שינויי ייעוד</t>
  </si>
  <si>
    <t>בהסבה/שינוי ייעוד – אם מעל ל-50% משווי הנכס מוסב לשימוש אחר.</t>
  </si>
  <si>
    <t>בהרחבה</t>
  </si>
  <si>
    <t xml:space="preserve">השיטה שבאמצעותה נקבע שווי הנכס </t>
  </si>
  <si>
    <t>שיטת החילוץ</t>
  </si>
  <si>
    <t>Residual</t>
  </si>
  <si>
    <t xml:space="preserve">שיטה השוואתית </t>
  </si>
  <si>
    <t>Comparison</t>
  </si>
  <si>
    <t xml:space="preserve">היוון תזרים </t>
  </si>
  <si>
    <t>Discounted Cash Flows</t>
  </si>
  <si>
    <t>שיטת ההכנסה</t>
  </si>
  <si>
    <t>Direct Capitalization</t>
  </si>
  <si>
    <t>משולב</t>
  </si>
  <si>
    <t>חברת ציטוט</t>
  </si>
  <si>
    <t>מומחה בלתי תלוי</t>
  </si>
  <si>
    <t>עלות מופחתת</t>
  </si>
  <si>
    <t>יומי</t>
  </si>
  <si>
    <t>שבועי</t>
  </si>
  <si>
    <t>חודשי</t>
  </si>
  <si>
    <t>רבעוני</t>
  </si>
  <si>
    <t>חצי-שנתי</t>
  </si>
  <si>
    <t>שנתי</t>
  </si>
  <si>
    <t>ללא</t>
  </si>
  <si>
    <t>Delivery</t>
  </si>
  <si>
    <t>No-delivery</t>
  </si>
  <si>
    <t>ריבית בנק ישראל</t>
  </si>
  <si>
    <t>ריבית פריים</t>
  </si>
  <si>
    <t>Libor</t>
  </si>
  <si>
    <t>€STR</t>
  </si>
  <si>
    <t>Eonia</t>
  </si>
  <si>
    <t>Euribor</t>
  </si>
  <si>
    <t>SOFR</t>
  </si>
  <si>
    <t>Sonia</t>
  </si>
  <si>
    <t>Telbor</t>
  </si>
  <si>
    <t>Tona</t>
  </si>
  <si>
    <t>נספח התחשבנות בטחונות (CSA)</t>
  </si>
  <si>
    <t>קיים חוזה</t>
  </si>
  <si>
    <t>לא קיים חוזה</t>
  </si>
  <si>
    <t>הצד הנגדי</t>
  </si>
  <si>
    <t>גורם אחר</t>
  </si>
  <si>
    <t>מדדי מניות</t>
  </si>
  <si>
    <t>מדינה/איזור גאוגרפי</t>
  </si>
  <si>
    <t>ממונף</t>
  </si>
  <si>
    <t>מניות</t>
  </si>
  <si>
    <t>שווי שוק</t>
  </si>
  <si>
    <t>תנודתיות</t>
  </si>
  <si>
    <t>כווית</t>
  </si>
  <si>
    <t>Emerging Markets</t>
  </si>
  <si>
    <r>
      <rPr>
        <strike/>
        <sz val="11"/>
        <color theme="1"/>
        <rFont val="Arial"/>
        <family val="2"/>
        <scheme val="minor"/>
      </rPr>
      <t>שווקים מתעוררים</t>
    </r>
    <r>
      <rPr>
        <sz val="11"/>
        <color theme="1"/>
        <rFont val="Arial"/>
        <family val="2"/>
        <scheme val="minor"/>
      </rPr>
      <t xml:space="preserve"> לפי הגדרת MSCI</t>
    </r>
  </si>
  <si>
    <t>Developed Markets</t>
  </si>
  <si>
    <t>Frontier Markets</t>
  </si>
  <si>
    <t>גלובלי בלי ארה"ב</t>
  </si>
  <si>
    <t>מדדים</t>
  </si>
  <si>
    <t>ריביות</t>
  </si>
  <si>
    <t>מט"ח/₪</t>
  </si>
  <si>
    <t>מט"ח/מט"ח</t>
  </si>
  <si>
    <t>Mega cap</t>
  </si>
  <si>
    <t>Large cap</t>
  </si>
  <si>
    <t>Mid cap</t>
  </si>
  <si>
    <t>Small cap</t>
  </si>
  <si>
    <t>מזומנים ושווי מזומנים</t>
  </si>
  <si>
    <t>מזומן ועו"ש בש"ח</t>
  </si>
  <si>
    <t>בטחונות שוטפים</t>
  </si>
  <si>
    <t>מזומן ועו"ש נקוב במט"ח</t>
  </si>
  <si>
    <t>פח"ק/פר"י</t>
  </si>
  <si>
    <t>פק"מ לתקופה של עד שלושה חודשים</t>
  </si>
  <si>
    <t>פקדון במט"ח עד שלושה חודשים</t>
  </si>
  <si>
    <t>פקדון צמוד למדד המחירים לצרכן עד שלושה חודשים</t>
  </si>
  <si>
    <t>פקדון צמוד מט"ח עד שלושה חודשים (פצ"מ)</t>
  </si>
  <si>
    <t>קופה קטנה</t>
  </si>
  <si>
    <t>איגרות חוב ממשלתיות</t>
  </si>
  <si>
    <t>צמוד למדד המחירים לצרכן בריבית קבועה</t>
  </si>
  <si>
    <t>צמוד למדד המחירים לצרכן בריבית משתנה</t>
  </si>
  <si>
    <t>לא צמוד למדד המחירים לצרכן ריבית משתנה</t>
  </si>
  <si>
    <t>צמוד מט"ח בריבית קבועה</t>
  </si>
  <si>
    <t>צמוד מט"ח בריבית משתנה</t>
  </si>
  <si>
    <t>נקוב במט"ח</t>
  </si>
  <si>
    <t>ניירות ערך מסחריים</t>
  </si>
  <si>
    <t>איגרות חוב</t>
  </si>
  <si>
    <t>אג"ח להמרה לא צמוד למדד המחירים לצרכן</t>
  </si>
  <si>
    <t>אג"ח להמרה צמוד למדד המחירים לצרכן</t>
  </si>
  <si>
    <t>אג"ח להמרה צמוד למט"ח</t>
  </si>
  <si>
    <t>אג"ח להמרה צמוד למדד אחר</t>
  </si>
  <si>
    <t>אג"ח שנרכש ביון 04/11/2008 ועד 31/03/2015 ונמדד בעלות מופחתת</t>
  </si>
  <si>
    <t>מניות, מניות בכורה ויחידות השתתפות</t>
  </si>
  <si>
    <t>מניות בכורה</t>
  </si>
  <si>
    <t>יחידות השתתפות</t>
  </si>
  <si>
    <t>חברה בפירוק</t>
  </si>
  <si>
    <t xml:space="preserve"> In liquidation/administration</t>
  </si>
  <si>
    <t>SPAC</t>
  </si>
  <si>
    <t>Special Puropse Acquistion Company/Blank Check Company</t>
  </si>
  <si>
    <t>TASE UP</t>
  </si>
  <si>
    <t>עוקב אחר מדדי מניות בישראל</t>
  </si>
  <si>
    <t>עוקב אחר מדדי מניות בחו"ל</t>
  </si>
  <si>
    <t>עוקב אחר מדדים אחרים בישראל</t>
  </si>
  <si>
    <t>עוקב אחר מדדים אחרים בחו"ל</t>
  </si>
  <si>
    <t>מכירה בחסר (שורט)</t>
  </si>
  <si>
    <t>קרנות נאמנות</t>
  </si>
  <si>
    <t>אג"ח קונצרני</t>
  </si>
  <si>
    <t>אג"ח ממשלתי</t>
  </si>
  <si>
    <t>אופציות</t>
  </si>
  <si>
    <t>מניה</t>
  </si>
  <si>
    <t>מדד</t>
  </si>
  <si>
    <t>קרן סל</t>
  </si>
  <si>
    <t>סחורה</t>
  </si>
  <si>
    <t>מוצרים מובנים</t>
  </si>
  <si>
    <t>קרן מובטחת</t>
  </si>
  <si>
    <t>קרן לא מובטחת</t>
  </si>
  <si>
    <t>מוצר מאוגח - שכבת חוב (Tranche) בדרוג AA- ומעלה</t>
  </si>
  <si>
    <t>מוצר מאוגח - שכבת חוב (Tranche) בדרוג BBB- ומעלה</t>
  </si>
  <si>
    <t>מוצר מאוגח - שכבת חוב (Tranche) בדרוג BB+ ומטה</t>
  </si>
  <si>
    <t>מוצר מאוגח - שכבת הון (Equity Tranche)</t>
  </si>
  <si>
    <t>לא סחיר איגרות חוב ממשלתיות</t>
  </si>
  <si>
    <t>לא סחיר איגרות חוב מיועדות</t>
  </si>
  <si>
    <t>חץ</t>
  </si>
  <si>
    <t>מירון בקרן פנסיה ותיקה</t>
  </si>
  <si>
    <t>ערד בקרן פנסיה ותיקה</t>
  </si>
  <si>
    <t>ערד בקרן פנסיה מקיפה חדשה</t>
  </si>
  <si>
    <t>פיקדון חשכ"ל</t>
  </si>
  <si>
    <t>אפיק השקעה מובטח תשואה</t>
  </si>
  <si>
    <t>החזקה באפיק השקעה מובטח תשואה</t>
  </si>
  <si>
    <t>התאמה לשווי ההוגן</t>
  </si>
  <si>
    <t xml:space="preserve">נכס או התחייבות בגין השלמת המדינה לתשואת היעד </t>
  </si>
  <si>
    <t>לא סחיר ניירות ערך מסחריים</t>
  </si>
  <si>
    <t>נש"ר</t>
  </si>
  <si>
    <t>לא סחיר איגרות חוב</t>
  </si>
  <si>
    <t>אג"ח להמרה לא צמוד למדד</t>
  </si>
  <si>
    <t>אג"ח לא סחיר שנרכש בין 04/11/2008 ועד 31/03/2015 ונמדד לפי עלות מופחתת</t>
  </si>
  <si>
    <t>לא סחיר מניות, מניות בכורה ויחידות השתתפות</t>
  </si>
  <si>
    <t>יחידות השתתפות אינשורטק</t>
  </si>
  <si>
    <t>יחידות השתתפות פינטק</t>
  </si>
  <si>
    <t>יחידות השתתפות תשתיות</t>
  </si>
  <si>
    <t>יחידות השתתפות אחרות</t>
  </si>
  <si>
    <t>מניות בכורה לא סחירות</t>
  </si>
  <si>
    <t>PIPE</t>
  </si>
  <si>
    <t>Private Equity in Public Equity</t>
  </si>
  <si>
    <t>משאבים טבעיים</t>
  </si>
  <si>
    <t>קרן גידור (Hedge Fund)</t>
  </si>
  <si>
    <t>קרן השקעה אחרת</t>
  </si>
  <si>
    <t>לא סחיר אופציות</t>
  </si>
  <si>
    <t>ריבית</t>
  </si>
  <si>
    <t>הלוואות</t>
  </si>
  <si>
    <t>חברה מוחזקת</t>
  </si>
  <si>
    <t>יחיד שאינו עמית/מבוטח</t>
  </si>
  <si>
    <t>נושא משרה/עובד</t>
  </si>
  <si>
    <t>סוכן</t>
  </si>
  <si>
    <t>עמית/מבוטח</t>
  </si>
  <si>
    <t>תאגיד</t>
  </si>
  <si>
    <t>לא סחיר נגזרים אחרים</t>
  </si>
  <si>
    <t>Unfunded Swap</t>
  </si>
  <si>
    <t>נוסף במסגרת עדכון הרשימה - שם גיליון</t>
  </si>
  <si>
    <t>Funded Swap</t>
  </si>
  <si>
    <t>Unfunded Forward</t>
  </si>
  <si>
    <t>Funded Forward</t>
  </si>
  <si>
    <t>Unfunded Interest Rate Swap</t>
  </si>
  <si>
    <t>Funded Interest Rate Swap</t>
  </si>
  <si>
    <t>Unfunded Total Return/Equity Swap</t>
  </si>
  <si>
    <t>Funded Total Return/Equity Swap</t>
  </si>
  <si>
    <t>Repo</t>
  </si>
  <si>
    <t>עסקאות REPO</t>
  </si>
  <si>
    <t>לא סחיר מוצרים מובנים</t>
  </si>
  <si>
    <t>שכבת חוב (Tranche) בדרוג AA- ומעלה</t>
  </si>
  <si>
    <t>שכבת חוב (Tranche) בדרוג BBB- ומעלה</t>
  </si>
  <si>
    <t>שכבת חוב (Tranche) בדרוג BB+ ומטה</t>
  </si>
  <si>
    <t>שכבת הון (Equity Tranch)</t>
  </si>
  <si>
    <t>פיקדונות מעל 3 חודשים</t>
  </si>
  <si>
    <t>בטחונות לא שוטפים</t>
  </si>
  <si>
    <t>בטחונות לתקופה של מעל 3 חודשים</t>
  </si>
  <si>
    <t>זכויות מקרקעין</t>
  </si>
  <si>
    <t>נדל"ן מניב</t>
  </si>
  <si>
    <t>נדל"ן לא מניב</t>
  </si>
  <si>
    <t>נכסים אחרים</t>
  </si>
  <si>
    <t>התחייבות הממשלה בגין אי העלאת גיל הפרישה לנשים</t>
  </si>
  <si>
    <t>סיוע ממשלתי</t>
  </si>
  <si>
    <t>דיבידנד לקבל</t>
  </si>
  <si>
    <t>הכנסות עו"ש לקבל</t>
  </si>
  <si>
    <t>הפרשה למס</t>
  </si>
  <si>
    <t>התחייבות Forward</t>
  </si>
  <si>
    <t>זכאים בגין נדל"ן</t>
  </si>
  <si>
    <t>חוב בפיגור</t>
  </si>
  <si>
    <t>חייבים בגין מקדמות</t>
  </si>
  <si>
    <t xml:space="preserve">חייבים בגין עסקה עתידית </t>
  </si>
  <si>
    <t xml:space="preserve">חייבים בגין תקבולים </t>
  </si>
  <si>
    <t xml:space="preserve">חייבים בנאמנות </t>
  </si>
  <si>
    <t>חייבים והכנסות שכר דירה לקבל</t>
  </si>
  <si>
    <t>חייבים הלוואות</t>
  </si>
  <si>
    <t>חייבים העברות</t>
  </si>
  <si>
    <t>חייבים וזכאים בגין שיקוף</t>
  </si>
  <si>
    <t>חייבים וזכאים מס</t>
  </si>
  <si>
    <t>חייבים וזכאים עמיתים</t>
  </si>
  <si>
    <t>חייבים זכאים במט"ח</t>
  </si>
  <si>
    <t>חייבים זכאים בש"ח</t>
  </si>
  <si>
    <t>חייבים/זכאים עמלת up front</t>
  </si>
  <si>
    <t>חלוקה בפועל מקרן השקעה</t>
  </si>
  <si>
    <t>יצירות אומנות</t>
  </si>
  <si>
    <t>מס במקור</t>
  </si>
  <si>
    <t>מעבר הפרשים</t>
  </si>
  <si>
    <t>מעבר מיזוגים</t>
  </si>
  <si>
    <t>מעבר נכסים</t>
  </si>
  <si>
    <t>מעבר פקדונות</t>
  </si>
  <si>
    <t>מקדמות מס</t>
  </si>
  <si>
    <t>עודפים</t>
  </si>
  <si>
    <t>פיגורים</t>
  </si>
  <si>
    <t>קיקר</t>
  </si>
  <si>
    <t>השקעה בחברות מוחזקות</t>
  </si>
  <si>
    <t>חברת בת</t>
  </si>
  <si>
    <t>חברה כלולה</t>
  </si>
  <si>
    <t>יתרות התחייבות להשקעה</t>
  </si>
  <si>
    <t>התחייבות להשקעה - צמיתה</t>
  </si>
  <si>
    <t>כאשר מועד המחויבות להשקעה הוא ללא תאריך ספציפי.</t>
  </si>
  <si>
    <t>התחייבות להשקעה - קרן בפירוק</t>
  </si>
  <si>
    <t>כאשר המחויבות להשקעה מסתיימת במועד פירוק הקרן.</t>
  </si>
  <si>
    <t>התחייבות להשקעה - קרן בהנזלה</t>
  </si>
  <si>
    <t>כאשר הקרן נמצאת בשלבי הנזלה (liquidation).</t>
  </si>
  <si>
    <t>מושעה</t>
  </si>
  <si>
    <t>שם גיליון</t>
  </si>
  <si>
    <t>שם סעיף</t>
  </si>
  <si>
    <t>מספר סעיף</t>
  </si>
  <si>
    <t>מידע שניתן לדווח רק לרשות</t>
  </si>
  <si>
    <t>ü</t>
  </si>
  <si>
    <t xml:space="preserve">סוג מספר מזהה מנפיק </t>
  </si>
  <si>
    <t xml:space="preserve">דירוג נייר הערך/המנפיק </t>
  </si>
  <si>
    <t>מניות, מב"כ ויה"ש</t>
  </si>
  <si>
    <t>כתבי אופציה</t>
  </si>
  <si>
    <t>חוזים עתידיים</t>
  </si>
  <si>
    <t xml:space="preserve">תאריך אחרון בו נבחנה בפועל ירידת ערך </t>
  </si>
  <si>
    <t>לא סחיר מניות, מב"כ ויה"ש</t>
  </si>
  <si>
    <t>לא סחיר כתבי אופציה</t>
  </si>
  <si>
    <t>שיעור מנכסי אפיק ההשקעה (רגל 2)</t>
  </si>
  <si>
    <t>שיעור מסך נכסי אפיק ההשקעה (רגל 2)</t>
  </si>
  <si>
    <t>שווי הוגן (נטו באלפי ש"ח)</t>
  </si>
  <si>
    <t xml:space="preserve">דירוג הלוואה/המנפיק </t>
  </si>
  <si>
    <t>השקעה בחברה מוחזקת</t>
  </si>
  <si>
    <t>השקעה בחברות מוחזקת</t>
  </si>
  <si>
    <t>מסגרות אשראי</t>
  </si>
  <si>
    <t>סוג קובץ</t>
  </si>
  <si>
    <t>נכסי מבוטחים - חברת ביטוח</t>
  </si>
  <si>
    <t>in</t>
  </si>
  <si>
    <t>נכסי עמיתים - קופות גמל</t>
  </si>
  <si>
    <t>gm</t>
  </si>
  <si>
    <t>נכסי עמיתים - קרנות פנסיה</t>
  </si>
  <si>
    <t>pn</t>
  </si>
  <si>
    <t>נכסי אפיק השקעה מובטח תשואה</t>
  </si>
  <si>
    <t>ca</t>
  </si>
  <si>
    <t>נכסי נוסטרו - חברת ביטוח</t>
  </si>
  <si>
    <t>ni</t>
  </si>
  <si>
    <t>נכסי נוסטרו - חברה מנהלת</t>
  </si>
  <si>
    <t>nf</t>
  </si>
  <si>
    <t>יעוד הקובץ</t>
  </si>
  <si>
    <t>לממונה</t>
  </si>
  <si>
    <t>לציבור</t>
  </si>
  <si>
    <t>p</t>
  </si>
  <si>
    <t>רבעון</t>
  </si>
  <si>
    <t>01</t>
  </si>
  <si>
    <t>02</t>
  </si>
  <si>
    <t>03</t>
  </si>
  <si>
    <t>04</t>
  </si>
  <si>
    <t>שנה</t>
  </si>
  <si>
    <t>שם גוף מוסדי</t>
  </si>
  <si>
    <t>הפניקס חברה לביטוח בע"מ</t>
  </si>
  <si>
    <t>כלל חברה לביטוח בע"מ</t>
  </si>
  <si>
    <t>מגדל חברה לביטוח בע"מ</t>
  </si>
  <si>
    <t>מנורה מבטחים ביטוח בע"מ</t>
  </si>
  <si>
    <t>אשרא החברה הישראלית לביטוח סיכוני סחר חוץ בע"מ</t>
  </si>
  <si>
    <t>שומרה חברה לביטוח בע"מ</t>
  </si>
  <si>
    <t>כלל ביטוח אשראי בע"מ</t>
  </si>
  <si>
    <t>הכשרה חברה לביטוח בע"מ</t>
  </si>
  <si>
    <t>ענבל חברה לביטוח בע"מ</t>
  </si>
  <si>
    <t>איילון חברה לביטוח בע"מ</t>
  </si>
  <si>
    <t>ש. שלמה חברה לביטוח בע"מ</t>
  </si>
  <si>
    <t>קנט - קרן לביטוח נזקי טבע בחקלאות</t>
  </si>
  <si>
    <t>ביטוח חקלאי - אגודה שיתופית מרכזית בע"מ</t>
  </si>
  <si>
    <t>איי. די. איי. חברה לביטוח בע"מ</t>
  </si>
  <si>
    <t>איי אי ג'י ישראל חברה לביטוח בע"מ</t>
  </si>
  <si>
    <t>אי. אם. איי-עזר חברה לביטוח משכנתאות בע"מ</t>
  </si>
  <si>
    <t>שירביט חברה לביטוח בע"מ</t>
  </si>
  <si>
    <t>קרנית-קרן לפיצוי נפגעי  תאונות דרכים</t>
  </si>
  <si>
    <t>ב.ס.ס.ח. - החברה הישראלית לביטוח אשראי בע"מ</t>
  </si>
  <si>
    <t>התאגיד המנהל של המאגר לביטוח רכב חובה ("הפול") בע"מ</t>
  </si>
  <si>
    <t>הראל חברה לביטוח בע"מ</t>
  </si>
  <si>
    <t>ליברה חברה לביטוח בע"מ</t>
  </si>
  <si>
    <t>ווישור חברה לביטוח בע"מ</t>
  </si>
  <si>
    <t>דיויד שילד חברה לביטוח בע"מ</t>
  </si>
  <si>
    <t>אנקור חברה לביטוח בע"מ</t>
  </si>
  <si>
    <t>סקוריטס חברה לביטוח בע"מ</t>
  </si>
  <si>
    <t>עוצ"מ - אגודה שיתופית לניהול קופות גמל בע"מ</t>
  </si>
  <si>
    <t>החברה לניהול קרן השתלמות לאקדמאים במדעי החברה והרוח בע"מ</t>
  </si>
  <si>
    <t>מחוג - מינהל גמל לעובדי חברת חשמל לישראל בע"מ</t>
  </si>
  <si>
    <t>אנליסט קופות גמל בע"מ</t>
  </si>
  <si>
    <t>קרן החסכון לצבא הקבע - חברה לניהול קופות גמל בע"מ</t>
  </si>
  <si>
    <t>קרן הביטוח והפנסיה של פועלי בנין ועבודות ציבוריות אגודה שיתופית בע"מ</t>
  </si>
  <si>
    <t>לאומי קמ"פ בע"מ</t>
  </si>
  <si>
    <t>הגומל חברה לניהול קופות גמל  בע"מ</t>
  </si>
  <si>
    <t>מנורה מבטחים והסתדרות המהנדסים ניהול קופות גמל בע"מ</t>
  </si>
  <si>
    <t>החברה לניהול קרן השתלמות למשפטנים בע"מ</t>
  </si>
  <si>
    <t>החברה לניהול קרן השתלמות לביוכימאים  ומקרוביולוגים בע"מ</t>
  </si>
  <si>
    <t>החברה לניהול קרן השתלמות לשופטים בע"מ</t>
  </si>
  <si>
    <t>ק.ה.ר - קרן השתלמות לרוקחים בע"מ</t>
  </si>
  <si>
    <t>שובל - חברה לניהול קופת גמל מפעלית בע"מ</t>
  </si>
  <si>
    <t>ק.ל.ע. - חברה לניהול קרן השתלמות לעובדים סוציאליים בע"מ</t>
  </si>
  <si>
    <t>החברה לניהול קרן ההשתלמות לעובדי המדינה בע"מ</t>
  </si>
  <si>
    <t>רעות חברה לניהול קופות גמל בע"מ</t>
  </si>
  <si>
    <t>החברה המנהלת של רום קרן ההשתלמות לעובדי הרשויות המקומיות בע"מ</t>
  </si>
  <si>
    <t>יהב אחים ואחיות - חברה לניהול קופות גמל בע"מ</t>
  </si>
  <si>
    <t>יחד רופאים - חברה לניהול קופות גמל בע"מ</t>
  </si>
  <si>
    <t>יהב - פ.ר.ח. - חברה לניהול קופות גמל בע"מ</t>
  </si>
  <si>
    <t>החברה המנהלת של קרן השתלמות של עובדי חברת החשמל לישראל בע"מ</t>
  </si>
  <si>
    <t>עגור חברה לניהול קופות גמל וקרנות השתלמות בע"מ</t>
  </si>
  <si>
    <t>החברה המנהלת של מינהל קרן ההשתלמות לפקידים עובדי המנהל והשירותים בע"מ</t>
  </si>
  <si>
    <t>מחר - חברה לניהול קופות גמל בע"מ</t>
  </si>
  <si>
    <t>הנדסאים וטכנאים - חברה לניהול קופות גמל בע"מ</t>
  </si>
  <si>
    <t>מבטחים מוסד לביטוח סוציאלי של העובדים בע"מ</t>
  </si>
  <si>
    <t>קופת תגמולים של עובדי התעשיה האוירית לישראל בע"מ</t>
  </si>
  <si>
    <t>חברת הגמל לעובדי האוניברסיטה העברית בע"מ</t>
  </si>
  <si>
    <t>עמ"י - חברה לניהול קופות גמל ענפיות בע"מ</t>
  </si>
  <si>
    <t>קופת"ג של עובדי עירית חיפה</t>
  </si>
  <si>
    <t>תגמולים של עובדים בעירית ת"א-יפו א.ש. בע"מ</t>
  </si>
  <si>
    <t>עתודות - קרן פנסיה לשכירים ועצמאיים בע"מ</t>
  </si>
  <si>
    <t>החברה לניהול קופת התגמולים והפנסיה של עובדי הסוכנות היהודית לארץ ישראל בע"מ</t>
  </si>
  <si>
    <t>עוצ"מ חברה לניהול קופות גמל והשתלמות בע"מ</t>
  </si>
  <si>
    <t>קרן ביטוח ופנסיה לפועלים חקלאים ובלתי מקצועיים בישראל אגודה שיתופית בע"מ</t>
  </si>
  <si>
    <t>קרן מקפת מרכז לפנסיה ותגמולים אגודה שיתופית בע"מ</t>
  </si>
  <si>
    <t>קרן ביטוח הדדי לחברי הסתדרות עובדי המדינה בישראל בע"מ</t>
  </si>
  <si>
    <t>ארם גמולים - חברה לניהול קופות גמל בע''מ</t>
  </si>
  <si>
    <t>קו הבריאות חברה לניהול קופות גמל בע"מ</t>
  </si>
  <si>
    <t>חברת ב'ת למ'ד דל'ת בע"מ</t>
  </si>
  <si>
    <t>החברה לניהול קרן ההשתלמות להנדסאים וטכנאים בע"מ</t>
  </si>
  <si>
    <t>שיבולת - חברה לניהול קופות גמל בע"מ</t>
  </si>
  <si>
    <t>עו"ס - חברה לניהול קופות גמל בע"מ</t>
  </si>
  <si>
    <t>לעתיד חברה לניהול קרנות פנסיה בע"מ</t>
  </si>
  <si>
    <t>קופת תגמולים של עובדי אל על נתיבי אוויר לישראל בע"מ אגודה שיתופית</t>
  </si>
  <si>
    <t>מיטב גמל ופנסיה בע"מ</t>
  </si>
  <si>
    <t>גל -ניהול קופות גמל לעובדי הוראה בע"מ</t>
  </si>
  <si>
    <t xml:space="preserve">החברה לניהול קופות התגמולים והפיצויים של עובדי בנק לאומי בע"מ </t>
  </si>
  <si>
    <t>היהלום - א.ש. לבטוח הדדי של חברי בורסת היהלומים</t>
  </si>
  <si>
    <t>קרן הגמלאות של חברי אגד בע"מ</t>
  </si>
  <si>
    <t>גילעד גימלאות לעובדים דתיים בע"מ</t>
  </si>
  <si>
    <t>החברה המנהלת של קרן הגמלאות של חברי "דן" בע"מ</t>
  </si>
  <si>
    <t>קופת הפנסיה לעובדי הדסה בע"מ</t>
  </si>
  <si>
    <t>קרנות השתלמות למורים ולגננות - חברה מנהלת בע"מ</t>
  </si>
  <si>
    <t>קרנות השתלמות למורים תיכוניים, מורי סמינרים ומפקחים - חברה מנהלת בע"מ</t>
  </si>
  <si>
    <t xml:space="preserve">הפניקס פנסיה וגמל בע"מ </t>
  </si>
  <si>
    <t>אלטשולר שחם גמל ופנסיה בע"מ</t>
  </si>
  <si>
    <t>חברה לניהול קופות גמל של העובדים בעיריית תל - אביב יפו בע"מ</t>
  </si>
  <si>
    <t>ילין לפידות ניהול קופות גמל בע"מ</t>
  </si>
  <si>
    <t>אינפיניטי השתלמות, גמל ופנסיה בע"מ</t>
  </si>
  <si>
    <t>כלל פנסיה וגמל בע"מ</t>
  </si>
  <si>
    <t>מגדל מקפת קרנות פנסיה וקופות גמל בע"מ</t>
  </si>
  <si>
    <t>הראל פנסיה וגמל בע"מ</t>
  </si>
  <si>
    <t xml:space="preserve">סלייס גמל בע"מ </t>
  </si>
  <si>
    <t>מור גמל ופנסיה בע"מ</t>
  </si>
  <si>
    <t>מנורה מבטחים פנסיה וגמל בע"מ</t>
  </si>
  <si>
    <t>הפניקס חח"י קופה מרכזית לקצבה בע"מ</t>
  </si>
  <si>
    <t>גלובלנט ניהול קופות גמל בע"מ</t>
  </si>
  <si>
    <t>אקטיון בע"מ</t>
  </si>
  <si>
    <t>קובץ דיווח עבור רשימת נכסים ברמת הנכס הבודד (חוזר גופים מוסדיים 2015-9-14)</t>
  </si>
  <si>
    <t>יש לבחור תחום:</t>
  </si>
  <si>
    <t>האם מדובר בקובץ לממומנה או לציבור:</t>
  </si>
  <si>
    <t>יש לבחור את רבעון הדיווח:</t>
  </si>
  <si>
    <t>יש לבחור את שנת הדיווח:</t>
  </si>
  <si>
    <t>יש לבחור את הגוף המוסדי:</t>
  </si>
  <si>
    <t>ח.פ. הגוף המוסדי:</t>
  </si>
  <si>
    <t>שם קובץ לשמירה</t>
  </si>
  <si>
    <r>
      <t xml:space="preserve">פרטי האחראי על הדיווח </t>
    </r>
    <r>
      <rPr>
        <b/>
        <u/>
        <sz val="11"/>
        <color theme="1"/>
        <rFont val="Arial"/>
        <family val="2"/>
      </rPr>
      <t>בגוף המוסדי</t>
    </r>
  </si>
  <si>
    <t>שם:</t>
  </si>
  <si>
    <t>מספר טלפון:</t>
  </si>
  <si>
    <t>כתובת מייל:</t>
  </si>
  <si>
    <t>הוראות למילוי הדיווח:</t>
  </si>
  <si>
    <t>יש לדווח לפי ההנחיות בחלק ג' לנספח 5.4.3.2 שבפרק 3 שבחלק 4 לשער 5 בחוזר המאוחד - "רשימת נכסים ברמת הנכס הבודד".</t>
  </si>
  <si>
    <t>ידווח בקבצי נכסי הנוסטרו בלבד</t>
  </si>
  <si>
    <t>שיעור מסך נכסי השקעה</t>
  </si>
  <si>
    <t>סך הכל נכסים</t>
  </si>
  <si>
    <t>יתרות התחייבויות להשקעה</t>
  </si>
  <si>
    <t>בנק לאומי לישראל בע"מ</t>
  </si>
  <si>
    <t>10-800</t>
  </si>
  <si>
    <t>AAA</t>
  </si>
  <si>
    <t>שי אלקובי</t>
  </si>
  <si>
    <t>054-6499232</t>
  </si>
  <si>
    <t xml:space="preserve"> Shay.Alkobi@BankLeumi.co.il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</si>
</sst>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.00%"/>
    <numFmt numFmtId="165" formatCode="0.000"/>
    <numFmt numFmtId="166" formatCode="0.000000"/>
    <numFmt numFmtId="167" formatCode="0.000%"/>
    <numFmt numFmtId="168" formatCode="dd/mm/yyyy"/>
  </numFmts>
  <fonts count="27">
    <font>
      <sz val="11"/>
      <color theme="1"/>
      <name val="Arial"/>
      <family val="2"/>
      <scheme val="minor"/>
    </font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</font>
    <font>
      <sz val="11"/>
      <color theme="1"/>
      <name val="Arial"/>
      <family val="2"/>
      <scheme val="minor"/>
    </font>
    <font>
      <b/>
      <sz val="11"/>
      <color theme="1"/>
      <name val="Arial"/>
      <family val="2"/>
    </font>
    <font>
      <sz val="10"/>
      <color theme="0"/>
      <name val="Arial"/>
      <family val="2"/>
    </font>
    <font>
      <b/>
      <sz val="10"/>
      <color theme="0"/>
      <name val="Arial"/>
      <family val="2"/>
    </font>
    <font>
      <sz val="10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b/>
      <sz val="10"/>
      <color theme="1"/>
      <name val="Arial"/>
      <family val="2"/>
    </font>
    <font>
      <sz val="10"/>
      <color theme="3"/>
      <name val="Arial"/>
      <family val="2"/>
    </font>
    <font>
      <sz val="10"/>
      <color theme="2" tint="-0.749992370372631"/>
      <name val="Open Sans"/>
      <family val="2"/>
    </font>
    <font>
      <b/>
      <sz val="11"/>
      <color theme="1"/>
      <name val="Arial"/>
      <family val="2"/>
      <scheme val="minor"/>
    </font>
    <font>
      <b/>
      <sz val="14"/>
      <color theme="0"/>
      <name val="Arial"/>
      <family val="2"/>
    </font>
    <font>
      <i/>
      <sz val="11"/>
      <color theme="1"/>
      <name val="Arial"/>
      <family val="2"/>
      <scheme val="minor"/>
    </font>
    <font>
      <sz val="12"/>
      <color theme="1"/>
      <name val="David"/>
      <family val="2"/>
    </font>
    <font>
      <b/>
      <sz val="12"/>
      <color theme="1"/>
      <name val="David"/>
      <family val="2"/>
    </font>
    <font>
      <b/>
      <sz val="11"/>
      <color theme="0"/>
      <name val="Arial"/>
      <family val="2"/>
    </font>
    <font>
      <sz val="11"/>
      <color theme="1"/>
      <name val="David"/>
      <family val="2"/>
    </font>
    <font>
      <b/>
      <sz val="12"/>
      <color theme="9" tint="-0.499984740745262"/>
      <name val="Wingdings"/>
    </font>
    <font>
      <b/>
      <sz val="12"/>
      <color theme="9" tint="-0.499984740745262"/>
      <name val="David"/>
      <family val="2"/>
    </font>
    <font>
      <strike/>
      <sz val="11"/>
      <color theme="1"/>
      <name val="Arial"/>
      <family val="2"/>
    </font>
    <font>
      <strike/>
      <sz val="11"/>
      <color theme="1"/>
      <name val="Arial"/>
      <family val="2"/>
      <scheme val="minor"/>
    </font>
    <font>
      <b/>
      <sz val="11"/>
      <color theme="1"/>
      <name val="Arial"/>
      <family val="2"/>
      <scheme val="minor"/>
    </font>
    <font>
      <sz val="11"/>
      <name val="Arial"/>
      <family val="2"/>
      <scheme val="minor"/>
    </font>
    <font>
      <b/>
      <u/>
      <sz val="11"/>
      <color theme="1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</patternFill>
    </fill>
  </fills>
  <borders count="22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4506668294322"/>
      </top>
      <bottom style="thin">
        <color theme="4" tint="0.39994506668294322"/>
      </bottom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4506668294322"/>
      </top>
      <bottom/>
      <diagonal/>
    </border>
    <border>
      <left style="thin">
        <color theme="4" tint="0.39994506668294322"/>
      </left>
      <right style="thin">
        <color theme="4" tint="0.39994506668294322"/>
      </right>
      <top/>
      <bottom/>
      <diagonal/>
    </border>
    <border>
      <left style="thin">
        <color theme="4" tint="0.39994506668294322"/>
      </left>
      <right style="thin">
        <color theme="4" tint="0.39994506668294322"/>
      </right>
      <top/>
      <bottom style="thin">
        <color theme="4" tint="0.39994506668294322"/>
      </bottom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1454817346722"/>
      </top>
      <bottom/>
      <diagonal/>
    </border>
    <border>
      <left style="hair">
        <color theme="1"/>
      </left>
      <right style="hair">
        <color theme="1"/>
      </right>
      <top style="hair">
        <color theme="1"/>
      </top>
      <bottom style="hair">
        <color theme="1"/>
      </bottom>
      <diagonal/>
    </border>
    <border>
      <left style="thin">
        <color theme="2" tint="-0.24994659260841701"/>
      </left>
      <right style="thin">
        <color theme="2" tint="-0.24994659260841701"/>
      </right>
      <top style="thin">
        <color theme="2" tint="-0.24994659260841701"/>
      </top>
      <bottom style="thin">
        <color theme="2" tint="-0.24994659260841701"/>
      </bottom>
      <diagonal/>
    </border>
    <border>
      <left style="hair">
        <color theme="1"/>
      </left>
      <right/>
      <top style="hair">
        <color theme="1"/>
      </top>
      <bottom style="hair">
        <color theme="1"/>
      </bottom>
      <diagonal/>
    </border>
    <border>
      <left/>
      <right style="hair">
        <color theme="1"/>
      </right>
      <top style="hair">
        <color theme="1"/>
      </top>
      <bottom style="hair">
        <color theme="1"/>
      </bottom>
      <diagonal/>
    </border>
    <border>
      <left style="dashed">
        <color auto="1"/>
      </left>
      <right/>
      <top style="dashed">
        <color auto="1"/>
      </top>
      <bottom/>
      <diagonal/>
    </border>
    <border>
      <left/>
      <right/>
      <top style="dashed">
        <color auto="1"/>
      </top>
      <bottom/>
      <diagonal/>
    </border>
    <border>
      <left/>
      <right style="dashed">
        <color auto="1"/>
      </right>
      <top style="dashed">
        <color auto="1"/>
      </top>
      <bottom/>
      <diagonal/>
    </border>
    <border>
      <left/>
      <right style="thin">
        <color theme="4" tint="0.39994506668294322"/>
      </right>
      <top/>
      <bottom/>
      <diagonal/>
    </border>
    <border>
      <left style="thin">
        <color theme="4" tint="0.39994506668294322"/>
      </left>
      <right/>
      <top/>
      <bottom/>
      <diagonal/>
    </border>
    <border>
      <left/>
      <right style="thin">
        <color theme="4" tint="0.39994506668294322"/>
      </right>
      <top style="thin">
        <color theme="4" tint="0.39994506668294322"/>
      </top>
      <bottom style="thin">
        <color theme="4" tint="0.3999450666829432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hair">
        <color theme="1"/>
      </left>
      <right style="hair">
        <color theme="1"/>
      </right>
      <top style="hair">
        <color theme="1"/>
      </top>
      <bottom/>
      <diagonal/>
    </border>
  </borders>
  <cellStyleXfs count="5">
    <xf numFmtId="0" fontId="0" fillId="0" borderId="0"/>
    <xf numFmtId="0" fontId="9" fillId="0" borderId="0"/>
    <xf numFmtId="0" fontId="9" fillId="0" borderId="0"/>
    <xf numFmtId="9" fontId="9" fillId="0" borderId="0"/>
    <xf numFmtId="0" fontId="24" fillId="0" borderId="20"/>
  </cellStyleXfs>
  <cellXfs count="192">
    <xf numFmtId="0" fontId="0" fillId="0" borderId="0" xfId="0" applyNumberFormat="1" applyFont="1" applyFill="1" applyBorder="1"/>
    <xf numFmtId="0" fontId="0" fillId="0" borderId="0" xfId="0" applyNumberFormat="1" applyFont="1" applyFill="1" applyBorder="1" applyAlignment="1">
      <alignment horizontal="center"/>
    </xf>
    <xf numFmtId="0" fontId="0" fillId="0" borderId="0" xfId="0" applyNumberFormat="1" applyFont="1" applyFill="1" applyBorder="1" applyAlignment="1">
      <alignment horizontal="center"/>
    </xf>
    <xf numFmtId="0" fontId="4" fillId="0" borderId="0" xfId="0" applyNumberFormat="1" applyFont="1" applyFill="1" applyBorder="1"/>
    <xf numFmtId="0" fontId="4" fillId="0" borderId="0" xfId="0" applyNumberFormat="1" applyFont="1" applyFill="1" applyBorder="1" applyAlignment="1">
      <alignment vertical="center" wrapText="1"/>
    </xf>
    <xf numFmtId="0" fontId="3" fillId="0" borderId="0" xfId="0" applyNumberFormat="1" applyFont="1" applyFill="1" applyBorder="1"/>
    <xf numFmtId="0" fontId="4" fillId="0" borderId="0" xfId="0" applyNumberFormat="1" applyFont="1" applyFill="1" applyBorder="1"/>
    <xf numFmtId="0" fontId="8" fillId="0" borderId="0" xfId="0" applyNumberFormat="1" applyFont="1" applyFill="1" applyBorder="1"/>
    <xf numFmtId="0" fontId="8" fillId="0" borderId="0" xfId="0" applyNumberFormat="1" applyFont="1" applyFill="1" applyBorder="1" applyAlignment="1">
      <alignment horizontal="center" vertical="center" wrapText="1"/>
    </xf>
    <xf numFmtId="0" fontId="2" fillId="0" borderId="0" xfId="0" applyNumberFormat="1" applyFont="1" applyFill="1" applyBorder="1"/>
    <xf numFmtId="0" fontId="2" fillId="0" borderId="0" xfId="0" applyNumberFormat="1" applyFont="1" applyFill="1" applyBorder="1" applyAlignment="1">
      <alignment horizontal="center"/>
    </xf>
    <xf numFmtId="0" fontId="2" fillId="0" borderId="0" xfId="0" applyNumberFormat="1" applyFont="1" applyFill="1" applyBorder="1" applyAlignment="1">
      <alignment horizontal="center"/>
    </xf>
    <xf numFmtId="164" fontId="0" fillId="0" borderId="0" xfId="0" applyNumberFormat="1" applyFont="1" applyFill="1" applyBorder="1" applyAlignment="1">
      <alignment horizontal="center"/>
    </xf>
    <xf numFmtId="4" fontId="2" fillId="0" borderId="0" xfId="0" applyNumberFormat="1" applyFont="1" applyFill="1" applyBorder="1" applyAlignment="1">
      <alignment horizontal="center"/>
    </xf>
    <xf numFmtId="4" fontId="0" fillId="0" borderId="0" xfId="0" applyNumberFormat="1" applyFont="1" applyFill="1" applyBorder="1" applyAlignment="1">
      <alignment horizontal="center"/>
    </xf>
    <xf numFmtId="0" fontId="10" fillId="4" borderId="0" xfId="0" applyNumberFormat="1" applyFont="1" applyFill="1" applyBorder="1"/>
    <xf numFmtId="0" fontId="11" fillId="0" borderId="0" xfId="0" applyNumberFormat="1" applyFont="1" applyFill="1" applyBorder="1"/>
    <xf numFmtId="0" fontId="0" fillId="0" borderId="0" xfId="0" applyNumberFormat="1" applyFont="1" applyFill="1" applyBorder="1" applyAlignment="1">
      <alignment horizontal="right"/>
    </xf>
    <xf numFmtId="0" fontId="0" fillId="0" borderId="0" xfId="0" applyNumberFormat="1" applyFont="1" applyFill="1" applyBorder="1"/>
    <xf numFmtId="0" fontId="0" fillId="0" borderId="0" xfId="0" applyNumberFormat="1" applyFont="1" applyFill="1" applyBorder="1" applyProtection="1">
      <protection locked="0"/>
    </xf>
    <xf numFmtId="0" fontId="5" fillId="4" borderId="0" xfId="0" applyNumberFormat="1" applyFont="1" applyFill="1" applyBorder="1"/>
    <xf numFmtId="0" fontId="3" fillId="0" borderId="0" xfId="0" applyNumberFormat="1" applyFont="1" applyFill="1" applyBorder="1" applyProtection="1">
      <protection locked="0"/>
    </xf>
    <xf numFmtId="0" fontId="7" fillId="3" borderId="2" xfId="0" applyNumberFormat="1" applyFont="1" applyFill="1" applyBorder="1" applyAlignment="1">
      <alignment horizontal="center" vertical="center" wrapText="1"/>
    </xf>
    <xf numFmtId="0" fontId="4" fillId="0" borderId="0" xfId="0" applyNumberFormat="1" applyFont="1" applyFill="1" applyBorder="1" applyProtection="1">
      <protection locked="0"/>
    </xf>
    <xf numFmtId="0" fontId="4" fillId="0" borderId="0" xfId="0" applyNumberFormat="1" applyFont="1" applyFill="1" applyBorder="1" applyProtection="1">
      <protection locked="0"/>
    </xf>
    <xf numFmtId="0" fontId="3" fillId="2" borderId="3" xfId="0" applyNumberFormat="1" applyFont="1" applyFill="1" applyBorder="1" applyAlignment="1">
      <alignment horizontal="right"/>
    </xf>
    <xf numFmtId="0" fontId="3" fillId="0" borderId="3" xfId="0" applyNumberFormat="1" applyFont="1" applyFill="1" applyBorder="1" applyAlignment="1">
      <alignment horizontal="right"/>
    </xf>
    <xf numFmtId="0" fontId="13" fillId="0" borderId="0" xfId="0" applyNumberFormat="1" applyFont="1" applyFill="1" applyBorder="1"/>
    <xf numFmtId="14" fontId="2" fillId="0" borderId="0" xfId="0" applyNumberFormat="1" applyFont="1" applyFill="1" applyBorder="1" applyAlignment="1">
      <alignment horizontal="center"/>
    </xf>
    <xf numFmtId="0" fontId="2" fillId="0" borderId="0" xfId="0" applyNumberFormat="1" applyFont="1" applyFill="1" applyBorder="1" applyAlignment="1">
      <alignment horizontal="center"/>
    </xf>
    <xf numFmtId="0" fontId="2" fillId="0" borderId="0" xfId="0" applyNumberFormat="1" applyFont="1" applyFill="1" applyBorder="1" applyProtection="1">
      <protection locked="0"/>
    </xf>
    <xf numFmtId="0" fontId="3" fillId="0" borderId="0" xfId="0" applyNumberFormat="1" applyFont="1" applyFill="1" applyBorder="1" applyProtection="1">
      <protection locked="0"/>
    </xf>
    <xf numFmtId="0" fontId="13" fillId="0" borderId="0" xfId="0" applyNumberFormat="1" applyFont="1" applyFill="1" applyBorder="1" applyProtection="1">
      <protection locked="0"/>
    </xf>
    <xf numFmtId="0" fontId="12" fillId="5" borderId="0" xfId="1" applyNumberFormat="1" applyFont="1" applyFill="1" applyBorder="1" applyAlignment="1" applyProtection="1">
      <alignment horizontal="left" vertical="center" wrapText="1" indent="1"/>
      <protection locked="0"/>
    </xf>
    <xf numFmtId="0" fontId="14" fillId="3" borderId="7" xfId="0" applyNumberFormat="1" applyFont="1" applyFill="1" applyBorder="1" applyAlignment="1">
      <alignment vertical="center"/>
    </xf>
    <xf numFmtId="0" fontId="14" fillId="3" borderId="0" xfId="0" applyNumberFormat="1" applyFont="1" applyFill="1" applyBorder="1" applyAlignment="1">
      <alignment vertical="center"/>
    </xf>
    <xf numFmtId="49" fontId="0" fillId="0" borderId="0" xfId="0" applyNumberFormat="1" applyFont="1" applyFill="1" applyBorder="1" applyAlignment="1">
      <alignment horizontal="right"/>
    </xf>
    <xf numFmtId="49" fontId="13" fillId="0" borderId="0" xfId="0" applyNumberFormat="1" applyFont="1" applyFill="1" applyBorder="1" applyAlignment="1">
      <alignment horizontal="right"/>
    </xf>
    <xf numFmtId="0" fontId="15" fillId="0" borderId="0" xfId="0" applyNumberFormat="1" applyFont="1" applyFill="1" applyBorder="1"/>
    <xf numFmtId="0" fontId="2" fillId="0" borderId="0" xfId="0" applyNumberFormat="1" applyFont="1" applyFill="1" applyBorder="1"/>
    <xf numFmtId="0" fontId="2" fillId="0" borderId="0" xfId="0" applyNumberFormat="1" applyFont="1" applyFill="1" applyBorder="1" applyProtection="1">
      <protection locked="0"/>
    </xf>
    <xf numFmtId="0" fontId="0" fillId="0" borderId="0" xfId="0" applyNumberFormat="1" applyFont="1" applyFill="1" applyBorder="1"/>
    <xf numFmtId="0" fontId="4" fillId="0" borderId="0" xfId="0" applyNumberFormat="1" applyFont="1" applyFill="1" applyBorder="1"/>
    <xf numFmtId="0" fontId="2" fillId="0" borderId="0" xfId="0" applyNumberFormat="1" applyFont="1" applyFill="1" applyBorder="1"/>
    <xf numFmtId="0" fontId="4" fillId="0" borderId="0" xfId="0" applyNumberFormat="1" applyFont="1" applyFill="1" applyBorder="1"/>
    <xf numFmtId="0" fontId="3" fillId="0" borderId="0" xfId="0" applyNumberFormat="1" applyFont="1" applyFill="1" applyBorder="1"/>
    <xf numFmtId="0" fontId="16" fillId="0" borderId="1" xfId="0" applyNumberFormat="1" applyFont="1" applyFill="1" applyBorder="1" applyAlignment="1">
      <alignment vertical="center" wrapText="1" readingOrder="2"/>
    </xf>
    <xf numFmtId="0" fontId="16" fillId="0" borderId="1" xfId="0" applyNumberFormat="1" applyFont="1" applyFill="1" applyBorder="1" applyAlignment="1">
      <alignment horizontal="right" vertical="center" wrapText="1" readingOrder="2"/>
    </xf>
    <xf numFmtId="2" fontId="16" fillId="0" borderId="1" xfId="0" applyNumberFormat="1" applyFont="1" applyFill="1" applyBorder="1" applyAlignment="1">
      <alignment vertical="center" wrapText="1" readingOrder="2"/>
    </xf>
    <xf numFmtId="165" fontId="16" fillId="0" borderId="1" xfId="0" applyNumberFormat="1" applyFont="1" applyFill="1" applyBorder="1" applyAlignment="1">
      <alignment vertical="center" wrapText="1" readingOrder="2"/>
    </xf>
    <xf numFmtId="0" fontId="16" fillId="0" borderId="1" xfId="0" applyNumberFormat="1" applyFont="1" applyFill="1" applyBorder="1" applyAlignment="1">
      <alignment horizontal="right" vertical="center" wrapText="1" readingOrder="2"/>
    </xf>
    <xf numFmtId="0" fontId="2" fillId="6" borderId="0" xfId="0" applyNumberFormat="1" applyFont="1" applyFill="1" applyBorder="1"/>
    <xf numFmtId="0" fontId="17" fillId="0" borderId="1" xfId="0" applyNumberFormat="1" applyFont="1" applyFill="1" applyBorder="1" applyAlignment="1">
      <alignment vertical="center" wrapText="1" readingOrder="2"/>
    </xf>
    <xf numFmtId="0" fontId="6" fillId="3" borderId="10" xfId="0" applyNumberFormat="1" applyFont="1" applyFill="1" applyBorder="1" applyAlignment="1">
      <alignment horizontal="center" vertical="center" wrapText="1"/>
    </xf>
    <xf numFmtId="0" fontId="7" fillId="3" borderId="10" xfId="0" applyNumberFormat="1" applyFont="1" applyFill="1" applyBorder="1" applyAlignment="1">
      <alignment horizontal="center" vertical="center" wrapText="1"/>
    </xf>
    <xf numFmtId="0" fontId="7" fillId="3" borderId="10" xfId="0" applyNumberFormat="1" applyFont="1" applyFill="1" applyBorder="1" applyAlignment="1">
      <alignment horizontal="right" vertical="center" wrapText="1"/>
    </xf>
    <xf numFmtId="0" fontId="8" fillId="0" borderId="10" xfId="0" applyNumberFormat="1" applyFont="1" applyFill="1" applyBorder="1"/>
    <xf numFmtId="0" fontId="8" fillId="0" borderId="10" xfId="0" applyNumberFormat="1" applyFont="1" applyFill="1" applyBorder="1" applyAlignment="1">
      <alignment horizontal="center" vertical="center" wrapText="1"/>
    </xf>
    <xf numFmtId="0" fontId="8" fillId="0" borderId="10" xfId="0" applyNumberFormat="1" applyFont="1" applyFill="1" applyBorder="1"/>
    <xf numFmtId="0" fontId="8" fillId="0" borderId="10" xfId="0" applyNumberFormat="1" applyFont="1" applyFill="1" applyBorder="1" applyAlignment="1">
      <alignment horizontal="center" vertical="center" wrapText="1"/>
    </xf>
    <xf numFmtId="0" fontId="18" fillId="3" borderId="3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 applyAlignment="1">
      <alignment horizontal="center" vertical="center"/>
    </xf>
    <xf numFmtId="0" fontId="0" fillId="2" borderId="3" xfId="0" applyNumberFormat="1" applyFont="1" applyFill="1" applyBorder="1" applyAlignment="1">
      <alignment horizontal="right"/>
    </xf>
    <xf numFmtId="0" fontId="0" fillId="0" borderId="3" xfId="0" applyNumberFormat="1" applyFont="1" applyFill="1" applyBorder="1"/>
    <xf numFmtId="0" fontId="0" fillId="0" borderId="0" xfId="0" applyNumberFormat="1" applyFont="1" applyFill="1" applyBorder="1" applyAlignment="1">
      <alignment horizontal="right"/>
    </xf>
    <xf numFmtId="0" fontId="0" fillId="0" borderId="3" xfId="0" applyNumberFormat="1" applyFont="1" applyFill="1" applyBorder="1" applyAlignment="1">
      <alignment horizontal="right"/>
    </xf>
    <xf numFmtId="0" fontId="0" fillId="0" borderId="4" xfId="0" applyNumberFormat="1" applyFont="1" applyFill="1" applyBorder="1" applyAlignment="1">
      <alignment horizontal="right"/>
    </xf>
    <xf numFmtId="0" fontId="0" fillId="2" borderId="4" xfId="0" applyNumberFormat="1" applyFont="1" applyFill="1" applyBorder="1" applyAlignment="1">
      <alignment horizontal="right"/>
    </xf>
    <xf numFmtId="0" fontId="0" fillId="2" borderId="6" xfId="0" applyNumberFormat="1" applyFont="1" applyFill="1" applyBorder="1" applyAlignment="1">
      <alignment horizontal="right"/>
    </xf>
    <xf numFmtId="0" fontId="19" fillId="0" borderId="0" xfId="0" applyNumberFormat="1" applyFont="1" applyFill="1" applyBorder="1"/>
    <xf numFmtId="0" fontId="0" fillId="0" borderId="6" xfId="0" applyNumberFormat="1" applyFont="1" applyFill="1" applyBorder="1" applyAlignment="1">
      <alignment horizontal="right"/>
    </xf>
    <xf numFmtId="0" fontId="2" fillId="2" borderId="4" xfId="0" applyNumberFormat="1" applyFont="1" applyFill="1" applyBorder="1" applyAlignment="1">
      <alignment horizontal="center"/>
    </xf>
    <xf numFmtId="0" fontId="2" fillId="2" borderId="5" xfId="0" applyNumberFormat="1" applyFont="1" applyFill="1" applyBorder="1" applyAlignment="1">
      <alignment horizontal="center"/>
    </xf>
    <xf numFmtId="0" fontId="0" fillId="0" borderId="4" xfId="0" applyNumberFormat="1" applyFont="1" applyFill="1" applyBorder="1" applyAlignment="1">
      <alignment horizontal="center" vertical="top"/>
    </xf>
    <xf numFmtId="0" fontId="0" fillId="0" borderId="5" xfId="0" applyNumberFormat="1" applyFont="1" applyFill="1" applyBorder="1" applyAlignment="1">
      <alignment horizontal="center" vertical="top"/>
    </xf>
    <xf numFmtId="0" fontId="0" fillId="0" borderId="6" xfId="0" applyNumberFormat="1" applyFont="1" applyFill="1" applyBorder="1" applyAlignment="1">
      <alignment horizontal="center" vertical="top"/>
    </xf>
    <xf numFmtId="0" fontId="0" fillId="0" borderId="4" xfId="0" applyNumberFormat="1" applyFont="1" applyFill="1" applyBorder="1" applyAlignment="1">
      <alignment horizontal="right" vertical="top"/>
    </xf>
    <xf numFmtId="0" fontId="0" fillId="0" borderId="5" xfId="0" applyNumberFormat="1" applyFont="1" applyFill="1" applyBorder="1" applyAlignment="1">
      <alignment horizontal="right" vertical="top"/>
    </xf>
    <xf numFmtId="0" fontId="0" fillId="0" borderId="6" xfId="0" applyNumberFormat="1" applyFont="1" applyFill="1" applyBorder="1" applyAlignment="1">
      <alignment horizontal="right" vertical="top"/>
    </xf>
    <xf numFmtId="0" fontId="2" fillId="0" borderId="4" xfId="0" applyNumberFormat="1" applyFont="1" applyFill="1" applyBorder="1" applyAlignment="1">
      <alignment horizontal="right" vertical="top"/>
    </xf>
    <xf numFmtId="0" fontId="2" fillId="0" borderId="5" xfId="0" applyNumberFormat="1" applyFont="1" applyFill="1" applyBorder="1" applyAlignment="1">
      <alignment horizontal="right" vertical="top"/>
    </xf>
    <xf numFmtId="0" fontId="2" fillId="0" borderId="6" xfId="0" applyNumberFormat="1" applyFont="1" applyFill="1" applyBorder="1" applyAlignment="1">
      <alignment horizontal="right" vertical="top"/>
    </xf>
    <xf numFmtId="0" fontId="0" fillId="0" borderId="4" xfId="0" applyNumberFormat="1" applyFont="1" applyFill="1" applyBorder="1" applyAlignment="1">
      <alignment vertical="top"/>
    </xf>
    <xf numFmtId="0" fontId="0" fillId="0" borderId="5" xfId="0" applyNumberFormat="1" applyFont="1" applyFill="1" applyBorder="1" applyAlignment="1">
      <alignment vertical="top"/>
    </xf>
    <xf numFmtId="0" fontId="0" fillId="0" borderId="6" xfId="0" applyNumberFormat="1" applyFont="1" applyFill="1" applyBorder="1" applyAlignment="1">
      <alignment vertical="top"/>
    </xf>
    <xf numFmtId="0" fontId="0" fillId="2" borderId="4" xfId="0" applyNumberFormat="1" applyFont="1" applyFill="1" applyBorder="1" applyAlignment="1">
      <alignment vertical="top"/>
    </xf>
    <xf numFmtId="0" fontId="0" fillId="2" borderId="5" xfId="0" applyNumberFormat="1" applyFont="1" applyFill="1" applyBorder="1" applyAlignment="1">
      <alignment vertical="top"/>
    </xf>
    <xf numFmtId="0" fontId="0" fillId="2" borderId="6" xfId="0" applyNumberFormat="1" applyFont="1" applyFill="1" applyBorder="1" applyAlignment="1">
      <alignment vertical="top"/>
    </xf>
    <xf numFmtId="0" fontId="0" fillId="0" borderId="5" xfId="0" applyNumberFormat="1" applyFont="1" applyFill="1" applyBorder="1" applyAlignment="1">
      <alignment horizontal="center"/>
    </xf>
    <xf numFmtId="0" fontId="2" fillId="0" borderId="4" xfId="0" applyNumberFormat="1" applyFont="1" applyFill="1" applyBorder="1" applyAlignment="1">
      <alignment horizontal="center"/>
    </xf>
    <xf numFmtId="0" fontId="2" fillId="0" borderId="5" xfId="0" applyNumberFormat="1" applyFont="1" applyFill="1" applyBorder="1" applyAlignment="1">
      <alignment horizontal="center"/>
    </xf>
    <xf numFmtId="0" fontId="2" fillId="0" borderId="6" xfId="0" applyNumberFormat="1" applyFont="1" applyFill="1" applyBorder="1" applyAlignment="1">
      <alignment horizontal="center"/>
    </xf>
    <xf numFmtId="0" fontId="0" fillId="2" borderId="4" xfId="0" applyNumberFormat="1" applyFont="1" applyFill="1" applyBorder="1" applyAlignment="1">
      <alignment horizontal="right" vertical="top"/>
    </xf>
    <xf numFmtId="0" fontId="0" fillId="2" borderId="5" xfId="0" applyNumberFormat="1" applyFont="1" applyFill="1" applyBorder="1" applyAlignment="1">
      <alignment horizontal="right" vertical="top"/>
    </xf>
    <xf numFmtId="0" fontId="0" fillId="2" borderId="4" xfId="0" applyNumberFormat="1" applyFont="1" applyFill="1" applyBorder="1" applyAlignment="1">
      <alignment horizontal="center"/>
    </xf>
    <xf numFmtId="0" fontId="0" fillId="2" borderId="5" xfId="0" applyNumberFormat="1" applyFont="1" applyFill="1" applyBorder="1" applyAlignment="1">
      <alignment horizontal="center"/>
    </xf>
    <xf numFmtId="0" fontId="0" fillId="2" borderId="4" xfId="0" applyNumberFormat="1" applyFont="1" applyFill="1" applyBorder="1" applyAlignment="1">
      <alignment vertical="center" wrapText="1"/>
    </xf>
    <xf numFmtId="0" fontId="0" fillId="2" borderId="6" xfId="0" applyNumberFormat="1" applyFont="1" applyFill="1" applyBorder="1" applyAlignment="1">
      <alignment vertical="center" wrapText="1"/>
    </xf>
    <xf numFmtId="0" fontId="2" fillId="0" borderId="9" xfId="0" applyNumberFormat="1" applyFont="1" applyFill="1" applyBorder="1" applyAlignment="1">
      <alignment horizontal="right" vertical="top"/>
    </xf>
    <xf numFmtId="0" fontId="0" fillId="2" borderId="4" xfId="0" applyNumberFormat="1" applyFont="1" applyFill="1" applyBorder="1" applyAlignment="1">
      <alignment horizontal="right" vertical="top" wrapText="1"/>
    </xf>
    <xf numFmtId="0" fontId="0" fillId="2" borderId="5" xfId="0" applyNumberFormat="1" applyFont="1" applyFill="1" applyBorder="1" applyAlignment="1">
      <alignment horizontal="right" vertical="top" wrapText="1"/>
    </xf>
    <xf numFmtId="0" fontId="2" fillId="2" borderId="4" xfId="0" applyNumberFormat="1" applyFont="1" applyFill="1" applyBorder="1" applyAlignment="1">
      <alignment horizontal="right" vertical="top"/>
    </xf>
    <xf numFmtId="0" fontId="2" fillId="2" borderId="9" xfId="0" applyNumberFormat="1" applyFont="1" applyFill="1" applyBorder="1" applyAlignment="1">
      <alignment horizontal="right" vertical="top"/>
    </xf>
    <xf numFmtId="0" fontId="2" fillId="2" borderId="5" xfId="0" applyNumberFormat="1" applyFont="1" applyFill="1" applyBorder="1" applyAlignment="1">
      <alignment horizontal="right" vertical="top"/>
    </xf>
    <xf numFmtId="0" fontId="3" fillId="0" borderId="4" xfId="0" applyNumberFormat="1" applyFont="1" applyFill="1" applyBorder="1" applyAlignment="1">
      <alignment horizontal="right" vertical="top"/>
    </xf>
    <xf numFmtId="0" fontId="3" fillId="0" borderId="6" xfId="0" applyNumberFormat="1" applyFont="1" applyFill="1" applyBorder="1" applyAlignment="1">
      <alignment horizontal="right" vertical="top"/>
    </xf>
    <xf numFmtId="0" fontId="0" fillId="0" borderId="4" xfId="0" applyNumberFormat="1" applyFont="1" applyFill="1" applyBorder="1" applyAlignment="1">
      <alignment horizontal="right" vertical="top" wrapText="1"/>
    </xf>
    <xf numFmtId="0" fontId="0" fillId="0" borderId="5" xfId="0" applyNumberFormat="1" applyFont="1" applyFill="1" applyBorder="1" applyAlignment="1">
      <alignment horizontal="right" vertical="top" wrapText="1"/>
    </xf>
    <xf numFmtId="0" fontId="0" fillId="2" borderId="4" xfId="0" applyNumberFormat="1" applyFont="1" applyFill="1" applyBorder="1" applyAlignment="1">
      <alignment vertical="top" wrapText="1"/>
    </xf>
    <xf numFmtId="0" fontId="0" fillId="2" borderId="5" xfId="0" applyNumberFormat="1" applyFont="1" applyFill="1" applyBorder="1" applyAlignment="1">
      <alignment vertical="top" wrapText="1"/>
    </xf>
    <xf numFmtId="0" fontId="0" fillId="0" borderId="4" xfId="0" applyNumberFormat="1" applyFont="1" applyFill="1" applyBorder="1" applyAlignment="1">
      <alignment vertical="top" wrapText="1"/>
    </xf>
    <xf numFmtId="0" fontId="0" fillId="0" borderId="5" xfId="0" applyNumberFormat="1" applyFont="1" applyFill="1" applyBorder="1" applyAlignment="1">
      <alignment vertical="top" wrapText="1"/>
    </xf>
    <xf numFmtId="0" fontId="12" fillId="5" borderId="11" xfId="1" applyNumberFormat="1" applyFont="1" applyFill="1" applyBorder="1" applyAlignment="1" applyProtection="1">
      <alignment horizontal="right" vertical="center" wrapText="1"/>
      <protection locked="0"/>
    </xf>
    <xf numFmtId="0" fontId="12" fillId="5" borderId="11" xfId="1" applyNumberFormat="1" applyFont="1" applyFill="1" applyBorder="1" applyAlignment="1">
      <alignment horizontal="right" vertical="center" wrapText="1"/>
    </xf>
    <xf numFmtId="0" fontId="12" fillId="5" borderId="11" xfId="1" applyNumberFormat="1" applyFont="1" applyFill="1" applyBorder="1" applyAlignment="1" applyProtection="1">
      <alignment horizontal="left" vertical="center" wrapText="1" indent="1"/>
      <protection locked="0"/>
    </xf>
    <xf numFmtId="0" fontId="12" fillId="5" borderId="11" xfId="1" applyNumberFormat="1" applyFont="1" applyFill="1" applyBorder="1" applyAlignment="1" applyProtection="1">
      <alignment vertical="center" wrapText="1"/>
      <protection locked="0"/>
    </xf>
    <xf numFmtId="0" fontId="7" fillId="3" borderId="13" xfId="0" applyNumberFormat="1" applyFont="1" applyFill="1" applyBorder="1" applyAlignment="1">
      <alignment horizontal="center" vertical="center"/>
    </xf>
    <xf numFmtId="0" fontId="7" fillId="3" borderId="12" xfId="0" applyNumberFormat="1" applyFont="1" applyFill="1" applyBorder="1" applyAlignment="1">
      <alignment horizontal="right" vertical="center"/>
    </xf>
    <xf numFmtId="0" fontId="0" fillId="0" borderId="4" xfId="0" applyNumberFormat="1" applyFont="1" applyFill="1" applyBorder="1" applyAlignment="1">
      <alignment vertical="top" wrapText="1"/>
    </xf>
    <xf numFmtId="0" fontId="0" fillId="0" borderId="5" xfId="0" applyNumberFormat="1" applyFont="1" applyFill="1" applyBorder="1" applyAlignment="1">
      <alignment vertical="top" wrapText="1"/>
    </xf>
    <xf numFmtId="0" fontId="8" fillId="0" borderId="0" xfId="0" applyNumberFormat="1" applyFont="1" applyFill="1" applyBorder="1"/>
    <xf numFmtId="0" fontId="7" fillId="3" borderId="2" xfId="0" applyNumberFormat="1" applyFont="1" applyFill="1" applyBorder="1" applyAlignment="1">
      <alignment horizontal="center" vertical="center" wrapText="1" readingOrder="2"/>
    </xf>
    <xf numFmtId="0" fontId="17" fillId="0" borderId="14" xfId="0" applyNumberFormat="1" applyFont="1" applyFill="1" applyBorder="1"/>
    <xf numFmtId="0" fontId="17" fillId="0" borderId="15" xfId="0" applyNumberFormat="1" applyFont="1" applyFill="1" applyBorder="1"/>
    <xf numFmtId="0" fontId="17" fillId="0" borderId="16" xfId="0" applyNumberFormat="1" applyFont="1" applyFill="1" applyBorder="1" applyAlignment="1">
      <alignment horizontal="right"/>
    </xf>
    <xf numFmtId="0" fontId="20" fillId="0" borderId="1" xfId="0" applyNumberFormat="1" applyFont="1" applyFill="1" applyBorder="1" applyAlignment="1">
      <alignment horizontal="center" vertical="center" wrapText="1" readingOrder="2"/>
    </xf>
    <xf numFmtId="0" fontId="21" fillId="0" borderId="1" xfId="0" applyNumberFormat="1" applyFont="1" applyFill="1" applyBorder="1" applyAlignment="1">
      <alignment vertical="center" wrapText="1" readingOrder="2"/>
    </xf>
    <xf numFmtId="0" fontId="2" fillId="2" borderId="4" xfId="0" applyNumberFormat="1" applyFont="1" applyFill="1" applyBorder="1" applyAlignment="1">
      <alignment horizontal="right"/>
    </xf>
    <xf numFmtId="0" fontId="3" fillId="0" borderId="17" xfId="0" applyNumberFormat="1" applyFont="1" applyFill="1" applyBorder="1" applyAlignment="1">
      <alignment horizontal="right" vertical="top"/>
    </xf>
    <xf numFmtId="0" fontId="2" fillId="0" borderId="0" xfId="0" applyNumberFormat="1" applyFont="1" applyFill="1" applyBorder="1" applyAlignment="1">
      <alignment horizontal="center"/>
    </xf>
    <xf numFmtId="0" fontId="0" fillId="0" borderId="4" xfId="0" applyNumberFormat="1" applyFont="1" applyFill="1" applyBorder="1" applyAlignment="1">
      <alignment horizontal="center"/>
    </xf>
    <xf numFmtId="0" fontId="0" fillId="2" borderId="5" xfId="0" applyNumberFormat="1" applyFont="1" applyFill="1" applyBorder="1" applyAlignment="1">
      <alignment horizontal="right"/>
    </xf>
    <xf numFmtId="0" fontId="2" fillId="2" borderId="5" xfId="0" applyNumberFormat="1" applyFont="1" applyFill="1" applyBorder="1" applyAlignment="1">
      <alignment horizontal="right"/>
    </xf>
    <xf numFmtId="0" fontId="0" fillId="0" borderId="18" xfId="0" applyNumberFormat="1" applyFont="1" applyFill="1" applyBorder="1" applyAlignment="1">
      <alignment horizontal="right" vertical="top"/>
    </xf>
    <xf numFmtId="0" fontId="0" fillId="0" borderId="19" xfId="0" applyNumberFormat="1" applyFont="1" applyFill="1" applyBorder="1" applyAlignment="1">
      <alignment horizontal="right"/>
    </xf>
    <xf numFmtId="0" fontId="0" fillId="0" borderId="0" xfId="0" applyNumberFormat="1" applyFont="1" applyFill="1" applyBorder="1" applyAlignment="1">
      <alignment vertical="top"/>
    </xf>
    <xf numFmtId="0" fontId="0" fillId="0" borderId="6" xfId="0" applyNumberFormat="1" applyFont="1" applyFill="1" applyBorder="1" applyAlignment="1">
      <alignment horizontal="right" vertical="top" wrapText="1"/>
    </xf>
    <xf numFmtId="0" fontId="0" fillId="0" borderId="6" xfId="0" applyNumberFormat="1" applyFont="1" applyFill="1" applyBorder="1" applyAlignment="1">
      <alignment vertical="top" wrapText="1"/>
    </xf>
    <xf numFmtId="0" fontId="13" fillId="2" borderId="3" xfId="0" applyNumberFormat="1" applyFont="1" applyFill="1" applyBorder="1" applyAlignment="1">
      <alignment horizontal="right"/>
    </xf>
    <xf numFmtId="0" fontId="0" fillId="0" borderId="0" xfId="0" applyNumberFormat="1" applyFont="1" applyFill="1" applyBorder="1"/>
    <xf numFmtId="4" fontId="0" fillId="0" borderId="0" xfId="0" applyNumberFormat="1" applyFont="1" applyFill="1" applyBorder="1" applyAlignment="1">
      <alignment horizontal="center"/>
    </xf>
    <xf numFmtId="0" fontId="2" fillId="2" borderId="3" xfId="0" applyNumberFormat="1" applyFont="1" applyFill="1" applyBorder="1" applyAlignment="1">
      <alignment horizontal="right"/>
    </xf>
    <xf numFmtId="17" fontId="0" fillId="0" borderId="0" xfId="0" applyNumberFormat="1" applyFont="1" applyFill="1" applyBorder="1"/>
    <xf numFmtId="0" fontId="22" fillId="2" borderId="3" xfId="0" applyNumberFormat="1" applyFont="1" applyFill="1" applyBorder="1" applyAlignment="1">
      <alignment horizontal="right"/>
    </xf>
    <xf numFmtId="0" fontId="0" fillId="0" borderId="3" xfId="0" applyNumberFormat="1" applyFont="1" applyFill="1" applyBorder="1" applyAlignment="1">
      <alignment horizontal="right" readingOrder="1"/>
    </xf>
    <xf numFmtId="0" fontId="0" fillId="0" borderId="3" xfId="0" applyNumberFormat="1" applyFont="1" applyFill="1" applyBorder="1" applyAlignment="1">
      <alignment readingOrder="1"/>
    </xf>
    <xf numFmtId="0" fontId="2" fillId="0" borderId="0" xfId="0" applyNumberFormat="1" applyFont="1" applyFill="1" applyBorder="1" applyAlignment="1">
      <alignment horizontal="right"/>
    </xf>
    <xf numFmtId="0" fontId="23" fillId="2" borderId="3" xfId="0" applyNumberFormat="1" applyFont="1" applyFill="1" applyBorder="1" applyAlignment="1">
      <alignment horizontal="right"/>
    </xf>
    <xf numFmtId="0" fontId="0" fillId="0" borderId="0" xfId="0" applyNumberFormat="1" applyFont="1" applyFill="1" applyBorder="1" applyAlignment="1">
      <alignment horizontal="right"/>
    </xf>
    <xf numFmtId="1" fontId="0" fillId="0" borderId="0" xfId="0" applyNumberFormat="1" applyFont="1" applyFill="1" applyBorder="1" applyAlignment="1">
      <alignment horizontal="right"/>
    </xf>
    <xf numFmtId="0" fontId="0" fillId="0" borderId="0" xfId="0" applyNumberFormat="1" applyFont="1" applyFill="1" applyBorder="1"/>
    <xf numFmtId="0" fontId="0" fillId="0" borderId="0" xfId="0" applyNumberFormat="1" applyFont="1" applyFill="1" applyBorder="1" applyAlignment="1">
      <alignment horizontal="right"/>
    </xf>
    <xf numFmtId="0" fontId="0" fillId="0" borderId="0" xfId="0" applyNumberFormat="1" applyFont="1" applyFill="1" applyBorder="1"/>
    <xf numFmtId="0" fontId="8" fillId="0" borderId="21" xfId="0" applyNumberFormat="1" applyFont="1" applyFill="1" applyBorder="1" applyAlignment="1">
      <alignment horizontal="center" vertical="center" wrapText="1"/>
    </xf>
    <xf numFmtId="0" fontId="24" fillId="0" borderId="20" xfId="4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 applyAlignment="1">
      <alignment horizontal="right" vertical="center" wrapText="1"/>
    </xf>
    <xf numFmtId="0" fontId="5" fillId="4" borderId="0" xfId="0" applyNumberFormat="1" applyFont="1" applyFill="1" applyBorder="1" applyAlignment="1">
      <alignment horizontal="right" vertical="top"/>
    </xf>
    <xf numFmtId="10" fontId="7" fillId="3" borderId="10" xfId="3" applyNumberFormat="1" applyFont="1" applyFill="1" applyBorder="1" applyAlignment="1">
      <alignment horizontal="center" vertical="center" wrapText="1"/>
    </xf>
    <xf numFmtId="10" fontId="8" fillId="0" borderId="10" xfId="3" applyNumberFormat="1" applyFont="1" applyFill="1" applyBorder="1" applyAlignment="1">
      <alignment horizontal="center" vertical="center" wrapText="1"/>
    </xf>
    <xf numFmtId="10" fontId="8" fillId="0" borderId="10" xfId="3" applyNumberFormat="1" applyFont="1" applyFill="1" applyBorder="1" applyAlignment="1">
      <alignment horizontal="center" vertical="center" wrapText="1"/>
    </xf>
    <xf numFmtId="10" fontId="8" fillId="0" borderId="21" xfId="3" applyNumberFormat="1" applyFont="1" applyFill="1" applyBorder="1" applyAlignment="1">
      <alignment horizontal="center" vertical="center" wrapText="1"/>
    </xf>
    <xf numFmtId="10" fontId="8" fillId="0" borderId="0" xfId="3" applyNumberFormat="1" applyFont="1" applyFill="1" applyBorder="1" applyAlignment="1">
      <alignment horizontal="center" vertical="center" wrapText="1"/>
    </xf>
    <xf numFmtId="4" fontId="4" fillId="0" borderId="0" xfId="0" applyNumberFormat="1" applyFont="1" applyFill="1" applyBorder="1"/>
    <xf numFmtId="4" fontId="0" fillId="0" borderId="0" xfId="0" applyNumberFormat="1" applyFont="1" applyFill="1" applyBorder="1" applyAlignment="1">
      <alignment horizontal="center"/>
    </xf>
    <xf numFmtId="4" fontId="3" fillId="0" borderId="0" xfId="0" applyNumberFormat="1" applyFont="1" applyFill="1" applyBorder="1"/>
    <xf numFmtId="4" fontId="4" fillId="0" borderId="0" xfId="0" applyNumberFormat="1" applyFont="1" applyFill="1" applyBorder="1" applyProtection="1">
      <protection locked="0"/>
    </xf>
    <xf numFmtId="0" fontId="4" fillId="7" borderId="0" xfId="0" applyNumberFormat="1" applyFont="1" applyFill="1" applyBorder="1" applyProtection="1">
      <protection locked="0"/>
    </xf>
    <xf numFmtId="166" fontId="7" fillId="3" borderId="2" xfId="0" applyNumberFormat="1" applyFont="1" applyFill="1" applyBorder="1" applyAlignment="1">
      <alignment horizontal="center" vertical="center" wrapText="1"/>
    </xf>
    <xf numFmtId="166" fontId="4" fillId="0" borderId="0" xfId="0" applyNumberFormat="1" applyFont="1" applyFill="1" applyBorder="1"/>
    <xf numFmtId="167" fontId="7" fillId="3" borderId="2" xfId="0" applyNumberFormat="1" applyFont="1" applyFill="1" applyBorder="1" applyAlignment="1">
      <alignment horizontal="center" vertical="center" wrapText="1"/>
    </xf>
    <xf numFmtId="167" fontId="25" fillId="0" borderId="0" xfId="0" applyNumberFormat="1" applyFont="1" applyFill="1" applyBorder="1" applyAlignment="1">
      <alignment horizontal="center"/>
    </xf>
    <xf numFmtId="167" fontId="4" fillId="0" borderId="0" xfId="0" applyNumberFormat="1" applyFont="1" applyFill="1" applyBorder="1"/>
    <xf numFmtId="166" fontId="3" fillId="0" borderId="0" xfId="0" applyNumberFormat="1" applyFont="1" applyFill="1" applyBorder="1"/>
    <xf numFmtId="167" fontId="3" fillId="0" borderId="0" xfId="0" applyNumberFormat="1" applyFont="1" applyFill="1" applyBorder="1"/>
    <xf numFmtId="165" fontId="7" fillId="3" borderId="2" xfId="0" applyNumberFormat="1" applyFont="1" applyFill="1" applyBorder="1" applyAlignment="1">
      <alignment horizontal="center" vertical="center" wrapText="1"/>
    </xf>
    <xf numFmtId="165" fontId="3" fillId="0" borderId="0" xfId="0" applyNumberFormat="1" applyFont="1" applyFill="1" applyBorder="1"/>
    <xf numFmtId="168" fontId="7" fillId="3" borderId="2" xfId="0" applyNumberFormat="1" applyFont="1" applyFill="1" applyBorder="1" applyAlignment="1">
      <alignment horizontal="center" vertical="center" wrapText="1"/>
    </xf>
    <xf numFmtId="168" fontId="4" fillId="0" borderId="0" xfId="0" applyNumberFormat="1" applyFont="1" applyFill="1" applyBorder="1" applyProtection="1">
      <protection locked="0"/>
    </xf>
    <xf numFmtId="166" fontId="4" fillId="0" borderId="0" xfId="0" applyNumberFormat="1" applyFont="1" applyFill="1" applyBorder="1" applyProtection="1">
      <protection locked="0"/>
    </xf>
    <xf numFmtId="167" fontId="4" fillId="0" borderId="0" xfId="0" applyNumberFormat="1" applyFont="1" applyFill="1" applyBorder="1" applyProtection="1">
      <protection locked="0"/>
    </xf>
    <xf numFmtId="165" fontId="4" fillId="0" borderId="0" xfId="0" applyNumberFormat="1" applyFont="1" applyFill="1" applyBorder="1" applyProtection="1">
      <protection locked="0"/>
    </xf>
    <xf numFmtId="165" fontId="3" fillId="0" borderId="0" xfId="0" applyNumberFormat="1" applyFont="1" applyFill="1" applyBorder="1" applyProtection="1">
      <protection locked="0"/>
    </xf>
    <xf numFmtId="168" fontId="4" fillId="0" borderId="0" xfId="0" applyNumberFormat="1" applyFont="1" applyFill="1" applyBorder="1"/>
    <xf numFmtId="168" fontId="7" fillId="3" borderId="8" xfId="0" applyNumberFormat="1" applyFont="1" applyFill="1" applyBorder="1" applyAlignment="1">
      <alignment horizontal="center" vertical="center" wrapText="1"/>
    </xf>
    <xf numFmtId="168" fontId="0" fillId="0" borderId="0" xfId="0" applyNumberFormat="1" applyFont="1" applyFill="1" applyBorder="1"/>
    <xf numFmtId="168" fontId="2" fillId="0" borderId="0" xfId="0" applyNumberFormat="1" applyFont="1" applyFill="1" applyBorder="1" applyProtection="1">
      <protection locked="0"/>
    </xf>
    <xf numFmtId="167" fontId="2" fillId="0" borderId="0" xfId="0" applyNumberFormat="1" applyFont="1" applyFill="1" applyBorder="1" applyProtection="1">
      <protection locked="0"/>
    </xf>
    <xf numFmtId="4" fontId="8" fillId="0" borderId="10" xfId="0" applyNumberFormat="1" applyFont="1" applyFill="1" applyBorder="1" applyAlignment="1">
      <alignment horizontal="center" vertical="center" wrapText="1"/>
    </xf>
    <xf numFmtId="4" fontId="8" fillId="0" borderId="21" xfId="0" applyNumberFormat="1" applyFont="1" applyFill="1" applyBorder="1" applyAlignment="1">
      <alignment horizontal="center" vertical="center" wrapText="1"/>
    </xf>
    <xf numFmtId="9" fontId="24" fillId="0" borderId="20" xfId="3" applyNumberFormat="1" applyFont="1" applyFill="1" applyBorder="1" applyAlignment="1">
      <alignment horizontal="center" vertical="center" wrapText="1"/>
    </xf>
    <xf numFmtId="4" fontId="24" fillId="0" borderId="20" xfId="4" applyNumberFormat="1" applyFont="1" applyFill="1" applyBorder="1" applyAlignment="1">
      <alignment horizontal="center" vertical="center" wrapText="1"/>
    </xf>
    <xf numFmtId="0" fontId="12" fillId="5" borderId="11" xfId="1" applyFont="1" applyFill="1" applyBorder="1" applyAlignment="1" applyProtection="1">
      <alignment horizontal="left" vertical="center" wrapText="1" indent="1"/>
      <protection locked="0"/>
    </xf>
  </cellXfs>
  <cellStyles count="5">
    <cellStyle name="Normal" xfId="0" builtinId="0"/>
    <cellStyle name="Normal 3" xfId="1" xr:uid="{00000000-0005-0000-0000-000001000000}"/>
    <cellStyle name="Normal 9" xfId="2" xr:uid="{00000000-0005-0000-0000-000002000000}"/>
    <cellStyle name="Percent" xfId="3" builtinId="5"/>
    <cellStyle name="סה&quot;כ" xfId="4" builtinId="25"/>
  </cellStyles>
  <dxfs count="12"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</dxfs>
  <tableStyles count="0" defaultTableStyle="TableStyleMedium2" defaultPivotStyle="PivotStyleLight16"/>
  <colors>
    <mruColors>
      <color rgb="FFB2B2B2"/>
      <color rgb="FF7F93AD"/>
      <color rgb="FF7A8FAA"/>
      <color rgb="FF60779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&#65279;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 /><Relationship Id="rId18" Type="http://schemas.openxmlformats.org/officeDocument/2006/relationships/worksheet" Target="worksheets/sheet18.xml" /><Relationship Id="rId26" Type="http://schemas.openxmlformats.org/officeDocument/2006/relationships/worksheet" Target="worksheets/sheet26.xml" /><Relationship Id="rId21" Type="http://schemas.openxmlformats.org/officeDocument/2006/relationships/worksheet" Target="worksheets/sheet21.xml" /><Relationship Id="rId34" Type="http://schemas.openxmlformats.org/officeDocument/2006/relationships/worksheet" Target="worksheets/sheet34.xml" /><Relationship Id="rId7" Type="http://schemas.openxmlformats.org/officeDocument/2006/relationships/worksheet" Target="worksheets/sheet7.xml" /><Relationship Id="rId12" Type="http://schemas.openxmlformats.org/officeDocument/2006/relationships/worksheet" Target="worksheets/sheet12.xml" /><Relationship Id="rId17" Type="http://schemas.openxmlformats.org/officeDocument/2006/relationships/worksheet" Target="worksheets/sheet17.xml" /><Relationship Id="rId25" Type="http://schemas.openxmlformats.org/officeDocument/2006/relationships/worksheet" Target="worksheets/sheet25.xml" /><Relationship Id="rId33" Type="http://schemas.openxmlformats.org/officeDocument/2006/relationships/worksheet" Target="worksheets/sheet33.xml" /><Relationship Id="rId38" Type="http://schemas.openxmlformats.org/officeDocument/2006/relationships/calcChain" Target="calcChain.xml" /><Relationship Id="rId2" Type="http://schemas.openxmlformats.org/officeDocument/2006/relationships/worksheet" Target="worksheets/sheet2.xml" /><Relationship Id="rId16" Type="http://schemas.openxmlformats.org/officeDocument/2006/relationships/worksheet" Target="worksheets/sheet16.xml" /><Relationship Id="rId20" Type="http://schemas.openxmlformats.org/officeDocument/2006/relationships/worksheet" Target="worksheets/sheet20.xml" /><Relationship Id="rId29" Type="http://schemas.openxmlformats.org/officeDocument/2006/relationships/worksheet" Target="worksheets/sheet29.xml" /><Relationship Id="rId1" Type="http://schemas.openxmlformats.org/officeDocument/2006/relationships/worksheet" Target="worksheets/sheet1.xml" /><Relationship Id="rId6" Type="http://schemas.openxmlformats.org/officeDocument/2006/relationships/worksheet" Target="worksheets/sheet6.xml" /><Relationship Id="rId11" Type="http://schemas.openxmlformats.org/officeDocument/2006/relationships/worksheet" Target="worksheets/sheet11.xml" /><Relationship Id="rId24" Type="http://schemas.openxmlformats.org/officeDocument/2006/relationships/worksheet" Target="worksheets/sheet24.xml" /><Relationship Id="rId32" Type="http://schemas.openxmlformats.org/officeDocument/2006/relationships/worksheet" Target="worksheets/sheet32.xml" /><Relationship Id="rId37" Type="http://schemas.openxmlformats.org/officeDocument/2006/relationships/sharedStrings" Target="sharedStrings.xml" /><Relationship Id="rId5" Type="http://schemas.openxmlformats.org/officeDocument/2006/relationships/worksheet" Target="worksheets/sheet5.xml" /><Relationship Id="rId15" Type="http://schemas.openxmlformats.org/officeDocument/2006/relationships/worksheet" Target="worksheets/sheet15.xml" /><Relationship Id="rId23" Type="http://schemas.openxmlformats.org/officeDocument/2006/relationships/worksheet" Target="worksheets/sheet23.xml" /><Relationship Id="rId28" Type="http://schemas.openxmlformats.org/officeDocument/2006/relationships/worksheet" Target="worksheets/sheet28.xml" /><Relationship Id="rId36" Type="http://schemas.openxmlformats.org/officeDocument/2006/relationships/styles" Target="styles.xml" /><Relationship Id="rId10" Type="http://schemas.openxmlformats.org/officeDocument/2006/relationships/worksheet" Target="worksheets/sheet10.xml" /><Relationship Id="rId19" Type="http://schemas.openxmlformats.org/officeDocument/2006/relationships/worksheet" Target="worksheets/sheet19.xml" /><Relationship Id="rId31" Type="http://schemas.openxmlformats.org/officeDocument/2006/relationships/worksheet" Target="worksheets/sheet31.xml" /><Relationship Id="rId4" Type="http://schemas.openxmlformats.org/officeDocument/2006/relationships/worksheet" Target="worksheets/sheet4.xml" /><Relationship Id="rId9" Type="http://schemas.openxmlformats.org/officeDocument/2006/relationships/worksheet" Target="worksheets/sheet9.xml" /><Relationship Id="rId14" Type="http://schemas.openxmlformats.org/officeDocument/2006/relationships/worksheet" Target="worksheets/sheet14.xml" /><Relationship Id="rId22" Type="http://schemas.openxmlformats.org/officeDocument/2006/relationships/worksheet" Target="worksheets/sheet22.xml" /><Relationship Id="rId27" Type="http://schemas.openxmlformats.org/officeDocument/2006/relationships/worksheet" Target="worksheets/sheet27.xml" /><Relationship Id="rId30" Type="http://schemas.openxmlformats.org/officeDocument/2006/relationships/worksheet" Target="worksheets/sheet30.xml" /><Relationship Id="rId35" Type="http://schemas.openxmlformats.org/officeDocument/2006/relationships/theme" Target="theme/theme1.xml" /><Relationship Id="rId8" Type="http://schemas.openxmlformats.org/officeDocument/2006/relationships/worksheet" Target="worksheets/sheet8.xml" /><Relationship Id="rId3" Type="http://schemas.openxmlformats.org/officeDocument/2006/relationships/worksheet" Target="worksheets/sheet3.xml" /></Relationships>
</file>

<file path=xl/theme/theme1.xml><?xml version="1.0" encoding="utf-8"?>
<a:theme xmlns:a="http://schemas.openxmlformats.org/drawingml/2006/main" name="ערכת נושא Office">
  <a:themeElements>
    <a:clrScheme name="RashutShukHon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033E76"/>
      </a:accent1>
      <a:accent2>
        <a:srgbClr val="0C6FBB"/>
      </a:accent2>
      <a:accent3>
        <a:srgbClr val="84A2F7"/>
      </a:accent3>
      <a:accent4>
        <a:srgbClr val="AC0019"/>
      </a:accent4>
      <a:accent5>
        <a:srgbClr val="FFC000"/>
      </a:accent5>
      <a:accent6>
        <a:srgbClr val="5FA62E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theme="4" tint="-0.249977111117893"/>
  </sheetPr>
  <dimension ref="A1:D23"/>
  <sheetViews>
    <sheetView showGridLines="0" rightToLeft="1" tabSelected="1" workbookViewId="0">
      <pane xSplit="4" ySplit="23" topLeftCell="XFD1048576" activePane="bottomRight" state="frozen"/>
      <selection pane="topRight" activeCell="E1" sqref="E1"/>
      <selection pane="bottomLeft" activeCell="A24" sqref="A24"/>
      <selection pane="bottomRight" activeCell="D5" sqref="D5"/>
    </sheetView>
  </sheetViews>
  <sheetFormatPr defaultColWidth="0" defaultRowHeight="14.25" zeroHeight="1"/>
  <cols>
    <col min="1" max="1" width="29.5" bestFit="1" customWidth="1"/>
    <col min="2" max="2" width="11" customWidth="1"/>
    <col min="3" max="3" width="4.625" customWidth="1"/>
    <col min="4" max="4" width="67.5" customWidth="1"/>
    <col min="5" max="5" width="9" hidden="1" customWidth="1"/>
    <col min="6" max="16384" width="9" hidden="1"/>
  </cols>
  <sheetData>
    <row r="1" spans="1:4" ht="18">
      <c r="A1" s="34" t="s">
        <v>1299</v>
      </c>
      <c r="B1" s="35"/>
      <c r="C1" s="35"/>
      <c r="D1" s="35"/>
    </row>
    <row r="3" spans="1:4">
      <c r="A3" t="s">
        <v>1300</v>
      </c>
      <c r="D3" s="112" t="s">
        <v>1182</v>
      </c>
    </row>
    <row r="5" spans="1:4">
      <c r="A5" t="s">
        <v>1301</v>
      </c>
      <c r="D5" s="112" t="s">
        <v>1194</v>
      </c>
    </row>
    <row r="7" spans="1:4">
      <c r="A7" t="s">
        <v>1302</v>
      </c>
      <c r="D7" s="112" t="s">
        <v>1200</v>
      </c>
    </row>
    <row r="8" spans="1:4">
      <c r="D8" s="33"/>
    </row>
    <row r="9" spans="1:4">
      <c r="A9" t="s">
        <v>1303</v>
      </c>
      <c r="D9" s="112">
        <v>2025</v>
      </c>
    </row>
    <row r="11" spans="1:4">
      <c r="A11" t="s">
        <v>1304</v>
      </c>
      <c r="D11" s="112" t="s">
        <v>1235</v>
      </c>
    </row>
    <row r="13" spans="1:4">
      <c r="A13" t="s">
        <v>1305</v>
      </c>
      <c r="D13" s="113">
        <f>IFERROR(VLOOKUP(D11,'File Name Info'!A35:B130,2,0),"תא מחושב")</f>
        <v>510694821</v>
      </c>
    </row>
    <row r="15" spans="1:4" ht="15">
      <c r="A15" s="20" t="s">
        <v>1306</v>
      </c>
      <c r="D15" s="113" t="str">
        <f>IF(D5="לממונה",CONCATENATE(D13, "_",VLOOKUP(D3,Full_Type,2,0),"_",D7,VLOOKUP(D9,Full_Year,2,0),".xlxs"),IF(D5="לציבור",CONCATENATE(D13,"_",VLOOKUP(D3,Full_Type_Nostro,2,0),"_",VLOOKUP(D5,Full_File_Type,2,0),"_",D7,VLOOKUP(D9,Full_Year,2,0),".xlsx"),"שם קובץ לשמירה"))</f>
        <v>510694821_gm_p_0425.xlsx</v>
      </c>
    </row>
    <row r="16" spans="1:4" ht="15">
      <c r="A16" s="20"/>
      <c r="D16" s="33"/>
    </row>
    <row r="17" spans="1:4" ht="15">
      <c r="A17" s="20" t="s">
        <v>1307</v>
      </c>
      <c r="B17" s="17" t="s">
        <v>1308</v>
      </c>
      <c r="C17" s="17"/>
      <c r="D17" s="191" t="s">
        <v>1320</v>
      </c>
    </row>
    <row r="18" spans="1:4">
      <c r="A18" s="15"/>
      <c r="B18" s="18"/>
      <c r="C18" s="18"/>
      <c r="D18" s="19"/>
    </row>
    <row r="19" spans="1:4">
      <c r="A19" s="15"/>
      <c r="B19" s="17" t="s">
        <v>1309</v>
      </c>
      <c r="C19" s="17"/>
      <c r="D19" s="114" t="s">
        <v>1321</v>
      </c>
    </row>
    <row r="20" spans="1:4">
      <c r="A20" s="15"/>
      <c r="B20" s="18"/>
      <c r="C20" s="18"/>
      <c r="D20" s="19"/>
    </row>
    <row r="21" spans="1:4">
      <c r="A21" s="15"/>
      <c r="B21" s="17" t="s">
        <v>1310</v>
      </c>
      <c r="C21" s="17"/>
      <c r="D21" s="115" t="s">
        <v>1322</v>
      </c>
    </row>
    <row r="22" spans="1:4">
      <c r="A22" s="15"/>
      <c r="B22" s="16"/>
      <c r="C22" s="16"/>
    </row>
    <row r="23" spans="1:4" ht="28.5">
      <c r="A23" s="156" t="s">
        <v>1311</v>
      </c>
      <c r="D23" s="155" t="s">
        <v>1312</v>
      </c>
    </row>
  </sheetData>
  <conditionalFormatting sqref="D21">
    <cfRule type="containsText" dxfId="11" priority="20" operator="containsText" text="Please fill in data">
      <formula>NOT(ISERROR(SEARCH("Please fill in data",D21)))</formula>
    </cfRule>
  </conditionalFormatting>
  <conditionalFormatting sqref="D19">
    <cfRule type="containsText" dxfId="10" priority="21" operator="containsText" text="Please fill in data">
      <formula>NOT(ISERROR(SEARCH("Please fill in data",D19)))</formula>
    </cfRule>
  </conditionalFormatting>
  <conditionalFormatting sqref="D16">
    <cfRule type="containsText" dxfId="9" priority="19" operator="containsText" text="Please fill in data">
      <formula>NOT(ISERROR(SEARCH("Please fill in data",D16)))</formula>
    </cfRule>
  </conditionalFormatting>
  <conditionalFormatting sqref="D3">
    <cfRule type="containsText" dxfId="8" priority="14" operator="containsText" text="Please fill in data">
      <formula>NOT(ISERROR(SEARCH("Please fill in data",D3)))</formula>
    </cfRule>
  </conditionalFormatting>
  <conditionalFormatting sqref="D7">
    <cfRule type="containsText" dxfId="7" priority="7" operator="containsText" text="Please fill in data">
      <formula>NOT(ISERROR(SEARCH("Please fill in data",D7)))</formula>
    </cfRule>
  </conditionalFormatting>
  <conditionalFormatting sqref="D8">
    <cfRule type="containsText" dxfId="6" priority="12" operator="containsText" text="Please fill in data">
      <formula>NOT(ISERROR(SEARCH("Please fill in data",D8)))</formula>
    </cfRule>
  </conditionalFormatting>
  <conditionalFormatting sqref="D5">
    <cfRule type="containsText" dxfId="5" priority="8" operator="containsText" text="Please fill in data">
      <formula>NOT(ISERROR(SEARCH("Please fill in data",D5)))</formula>
    </cfRule>
  </conditionalFormatting>
  <conditionalFormatting sqref="D9">
    <cfRule type="containsText" dxfId="4" priority="6" operator="containsText" text="Please fill in data">
      <formula>NOT(ISERROR(SEARCH("Please fill in data",D9)))</formula>
    </cfRule>
  </conditionalFormatting>
  <conditionalFormatting sqref="D11">
    <cfRule type="containsText" dxfId="3" priority="5" operator="containsText" text="Please fill in data">
      <formula>NOT(ISERROR(SEARCH("Please fill in data",D11)))</formula>
    </cfRule>
  </conditionalFormatting>
  <conditionalFormatting sqref="D13">
    <cfRule type="containsText" dxfId="2" priority="4" operator="containsText" text="Please fill in data">
      <formula>NOT(ISERROR(SEARCH("Please fill in data",D13)))</formula>
    </cfRule>
  </conditionalFormatting>
  <conditionalFormatting sqref="D15">
    <cfRule type="containsText" dxfId="1" priority="2" operator="containsText" text="Please fill in data">
      <formula>NOT(ISERROR(SEARCH("Please fill in data",D15)))</formula>
    </cfRule>
  </conditionalFormatting>
  <conditionalFormatting sqref="D17">
    <cfRule type="containsText" dxfId="0" priority="1" operator="containsText" text="Please fill in data">
      <formula>NOT(ISERROR(SEARCH("Please fill in data",D17)))</formula>
    </cfRule>
  </conditionalFormatting>
  <dataValidations count="5">
    <dataValidation type="list" allowBlank="1" showInputMessage="1" showErrorMessage="1" sqref="D3" xr:uid="{00000000-0002-0000-0000-000000000000}">
      <formula1>Type</formula1>
    </dataValidation>
    <dataValidation type="list" allowBlank="1" showInputMessage="1" showErrorMessage="1" sqref="D5" xr:uid="{00000000-0002-0000-0000-000001000000}">
      <formula1>File_Type</formula1>
    </dataValidation>
    <dataValidation type="list" allowBlank="1" showInputMessage="1" showErrorMessage="1" sqref="D7" xr:uid="{00000000-0002-0000-0000-000002000000}">
      <formula1>QTR</formula1>
    </dataValidation>
    <dataValidation type="list" allowBlank="1" showInputMessage="1" showErrorMessage="1" sqref="D9" xr:uid="{00000000-0002-0000-0000-000003000000}">
      <formula1>YEAR</formula1>
    </dataValidation>
    <dataValidation type="list" allowBlank="1" showInputMessage="1" showErrorMessage="1" sqref="D11" xr:uid="{00000000-0002-0000-0000-000004000000}">
      <formula1>Company_Name</formula1>
    </dataValidation>
  </dataValidations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3">
    <tabColor theme="5" tint="-0.499984740745262"/>
  </sheetPr>
  <dimension ref="A1:E32"/>
  <sheetViews>
    <sheetView showGridLines="0" rightToLeft="1" zoomScale="90" zoomScaleNormal="90" workbookViewId="0">
      <pane xSplit="5" ySplit="32" topLeftCell="F33" activePane="bottomRight" state="frozen"/>
      <selection pane="topRight" activeCell="F1" sqref="F1"/>
      <selection pane="bottomLeft" activeCell="A33" sqref="A33"/>
      <selection pane="bottomRight" activeCell="B30" sqref="B30"/>
    </sheetView>
  </sheetViews>
  <sheetFormatPr defaultColWidth="0" defaultRowHeight="12.75" zeroHeight="1"/>
  <cols>
    <col min="1" max="1" width="42.75" style="7" customWidth="1"/>
    <col min="2" max="4" width="13" style="8" customWidth="1"/>
    <col min="5" max="5" width="14" style="161" customWidth="1"/>
    <col min="6" max="6" width="2.375" style="7" hidden="1" customWidth="1"/>
    <col min="7" max="16384" width="2.375" style="7" hidden="1"/>
  </cols>
  <sheetData>
    <row r="1" spans="1:5" ht="18.75" customHeight="1">
      <c r="A1" s="53"/>
      <c r="B1" s="54"/>
      <c r="C1" s="117" t="s">
        <v>1313</v>
      </c>
      <c r="D1" s="116"/>
      <c r="E1" s="157"/>
    </row>
    <row r="2" spans="1:5" ht="25.5">
      <c r="A2" s="53"/>
      <c r="B2" s="54" t="s">
        <v>36</v>
      </c>
      <c r="C2" s="54" t="s">
        <v>959</v>
      </c>
      <c r="D2" s="54" t="s">
        <v>22</v>
      </c>
      <c r="E2" s="157" t="s">
        <v>1314</v>
      </c>
    </row>
    <row r="3" spans="1:5">
      <c r="A3" s="56" t="s">
        <v>1004</v>
      </c>
      <c r="B3" s="187">
        <f>SUM('מזומנים ושווי מזומנים'!O:O)</f>
        <v>7153.1490000000003</v>
      </c>
      <c r="C3" s="57"/>
      <c r="D3" s="57"/>
      <c r="E3" s="158">
        <f>SUM('מזומנים ושווי מזומנים'!O:O)/B30</f>
        <v>9.7679595995883661E-2</v>
      </c>
    </row>
    <row r="4" spans="1:5">
      <c r="A4" s="56" t="s">
        <v>1014</v>
      </c>
      <c r="B4" s="187">
        <f>SUM('איגרות חוב ממשלתיות'!U:U)</f>
        <v>7180.3369999999995</v>
      </c>
      <c r="C4" s="57"/>
      <c r="D4" s="57"/>
      <c r="E4" s="158">
        <f>SUM('איגרות חוב ממשלתיות'!U:U)/B30</f>
        <v>9.8050860855029759E-2</v>
      </c>
    </row>
    <row r="5" spans="1:5">
      <c r="A5" s="56" t="s">
        <v>1021</v>
      </c>
      <c r="B5" s="187">
        <f>SUM('ניירות ערך מסחריים'!AD:AD)</f>
        <v>0</v>
      </c>
      <c r="C5" s="57"/>
      <c r="D5" s="57"/>
      <c r="E5" s="158">
        <f>SUM('ניירות ערך מסחריים'!AD:AD)/B30</f>
        <v>0</v>
      </c>
    </row>
    <row r="6" spans="1:5">
      <c r="A6" s="56" t="s">
        <v>1022</v>
      </c>
      <c r="B6" s="187">
        <f>SUM('איגרות חוב'!AD:AD)</f>
        <v>0</v>
      </c>
      <c r="C6" s="57"/>
      <c r="D6" s="57"/>
      <c r="E6" s="158">
        <f>SUM('איגרות חוב'!AD:AD)/B30</f>
        <v>0</v>
      </c>
    </row>
    <row r="7" spans="1:5">
      <c r="A7" s="56" t="s">
        <v>1028</v>
      </c>
      <c r="B7" s="187">
        <f>SUM('מניות מבכ ויהש'!U:U)</f>
        <v>0</v>
      </c>
      <c r="C7" s="57"/>
      <c r="D7" s="57"/>
      <c r="E7" s="158">
        <f>SUM('מניות מבכ ויהש'!U:U)/B30</f>
        <v>0</v>
      </c>
    </row>
    <row r="8" spans="1:5">
      <c r="A8" s="56" t="s">
        <v>553</v>
      </c>
      <c r="B8" s="187">
        <f>SUM('קרנות סל'!T:T)</f>
        <v>0</v>
      </c>
      <c r="C8" s="57"/>
      <c r="D8" s="57"/>
      <c r="E8" s="158">
        <f>SUM('קרנות סל'!T:T)/B30</f>
        <v>0</v>
      </c>
    </row>
    <row r="9" spans="1:5">
      <c r="A9" s="56" t="s">
        <v>1041</v>
      </c>
      <c r="B9" s="187">
        <f>SUM('קרנות נאמנות'!T:T)</f>
        <v>0</v>
      </c>
      <c r="C9" s="57"/>
      <c r="D9" s="57"/>
      <c r="E9" s="158">
        <f>SUM('קרנות נאמנות'!T:T)/B30</f>
        <v>0</v>
      </c>
    </row>
    <row r="10" spans="1:5">
      <c r="A10" s="56" t="s">
        <v>1167</v>
      </c>
      <c r="B10" s="187">
        <f>SUM('כתבי אופציה'!W:W)</f>
        <v>0</v>
      </c>
      <c r="C10" s="57"/>
      <c r="D10" s="57"/>
      <c r="E10" s="158">
        <f>SUM('כתבי אופציה'!W:W)/B30</f>
        <v>0</v>
      </c>
    </row>
    <row r="11" spans="1:5">
      <c r="A11" s="56" t="s">
        <v>1044</v>
      </c>
      <c r="B11" s="187">
        <f>SUM(אופציות!V:V)</f>
        <v>2226.5550000000003</v>
      </c>
      <c r="C11" s="57"/>
      <c r="D11" s="57"/>
      <c r="E11" s="158">
        <f>SUM(אופציות!V:V)/B30</f>
        <v>3.0404650156541514E-2</v>
      </c>
    </row>
    <row r="12" spans="1:5">
      <c r="A12" s="56" t="s">
        <v>1168</v>
      </c>
      <c r="B12" s="187">
        <f>SUM('חוזים עתידיים'!R:R)</f>
        <v>0</v>
      </c>
      <c r="C12" s="57"/>
      <c r="D12" s="57"/>
      <c r="E12" s="158">
        <f>SUM('חוזים עתידיים'!R:R)/B30</f>
        <v>0</v>
      </c>
    </row>
    <row r="13" spans="1:5">
      <c r="A13" s="56" t="s">
        <v>1049</v>
      </c>
      <c r="B13" s="187">
        <f>SUM('מוצרים מובנים'!Z:Z)</f>
        <v>0</v>
      </c>
      <c r="C13" s="57"/>
      <c r="D13" s="57"/>
      <c r="E13" s="158">
        <f>SUM('מוצרים מובנים'!Z:Z)/B30</f>
        <v>0</v>
      </c>
    </row>
    <row r="14" spans="1:5">
      <c r="A14" s="56" t="s">
        <v>1056</v>
      </c>
      <c r="B14" s="187">
        <f>SUM('לא סחיר איגרות חוב ממשלתיות'!U:U)</f>
        <v>0</v>
      </c>
      <c r="C14" s="57"/>
      <c r="D14" s="57"/>
      <c r="E14" s="158">
        <f>SUM('לא סחיר איגרות חוב ממשלתיות'!U:U)/B30</f>
        <v>0</v>
      </c>
    </row>
    <row r="15" spans="1:5">
      <c r="A15" s="56" t="s">
        <v>1057</v>
      </c>
      <c r="B15" s="187">
        <f>SUM('לא סחיר איגרות חוב מיועדות'!N:N)</f>
        <v>0</v>
      </c>
      <c r="C15" s="57"/>
      <c r="D15" s="57"/>
      <c r="E15" s="158">
        <f>SUM('לא סחיר איגרות חוב מיועדות'!N:N)/B30</f>
        <v>0</v>
      </c>
    </row>
    <row r="16" spans="1:5" s="120" customFormat="1">
      <c r="A16" s="58" t="s">
        <v>1063</v>
      </c>
      <c r="B16" s="187">
        <f>SUM('אפיק השקעה מובטח תשואה'!F:F)</f>
        <v>0</v>
      </c>
      <c r="C16" s="59"/>
      <c r="D16" s="59"/>
      <c r="E16" s="158">
        <f>SUM('אפיק השקעה מובטח תשואה'!F:F)/B30</f>
        <v>0</v>
      </c>
    </row>
    <row r="17" spans="1:5">
      <c r="A17" s="58" t="s">
        <v>1067</v>
      </c>
      <c r="B17" s="187">
        <f>SUM('לא סחיר ניירות ערך מסחריים'!AI:AI)</f>
        <v>0</v>
      </c>
      <c r="C17" s="59"/>
      <c r="D17" s="59"/>
      <c r="E17" s="158">
        <f>SUM('לא סחיר ניירות ערך מסחריים'!AI:AI)/B30</f>
        <v>0</v>
      </c>
    </row>
    <row r="18" spans="1:5">
      <c r="A18" s="56" t="s">
        <v>1069</v>
      </c>
      <c r="B18" s="187">
        <f>SUM('לא סחיר איגרות חוב'!AG:AG)</f>
        <v>0</v>
      </c>
      <c r="C18" s="57"/>
      <c r="D18" s="57"/>
      <c r="E18" s="158">
        <f>SUM('לא סחיר איגרות חוב'!AG:AG)/B30</f>
        <v>0</v>
      </c>
    </row>
    <row r="19" spans="1:5">
      <c r="A19" s="56" t="s">
        <v>1072</v>
      </c>
      <c r="B19" s="187">
        <f>SUM('לא סחיר מניות מבכ ויהש'!X:X)</f>
        <v>0</v>
      </c>
      <c r="C19" s="57"/>
      <c r="D19" s="57"/>
      <c r="E19" s="158">
        <f>SUM('לא סחיר מניות מבכ ויהש'!X:X)/B30</f>
        <v>0</v>
      </c>
    </row>
    <row r="20" spans="1:5">
      <c r="A20" s="56" t="s">
        <v>850</v>
      </c>
      <c r="B20" s="187">
        <f>SUM('קרנות השקעה'!W:W)</f>
        <v>56661.618999999992</v>
      </c>
      <c r="C20" s="57"/>
      <c r="D20" s="57"/>
      <c r="E20" s="158">
        <f>SUM('קרנות השקעה'!W:W)/B30</f>
        <v>0.77374091500018871</v>
      </c>
    </row>
    <row r="21" spans="1:5">
      <c r="A21" s="56" t="s">
        <v>1171</v>
      </c>
      <c r="B21" s="187">
        <f>SUM('לא סחיר כתבי אופציה'!Z:Z)</f>
        <v>0</v>
      </c>
      <c r="C21" s="57"/>
      <c r="D21" s="57"/>
      <c r="E21" s="158">
        <f>SUM('לא סחיר כתבי אופציה'!Z:Z)/B30</f>
        <v>0</v>
      </c>
    </row>
    <row r="22" spans="1:5">
      <c r="A22" s="56" t="s">
        <v>1083</v>
      </c>
      <c r="B22" s="187">
        <f>SUM('לא סחיר אופציות'!Z:Z)</f>
        <v>0</v>
      </c>
      <c r="C22" s="57"/>
      <c r="D22" s="57"/>
      <c r="E22" s="158">
        <f>SUM('לא סחיר אופציות'!Z:Z)/B30</f>
        <v>0</v>
      </c>
    </row>
    <row r="23" spans="1:5">
      <c r="A23" s="56" t="s">
        <v>1092</v>
      </c>
      <c r="B23" s="187">
        <f>SUM('לא סחיר נגזרים אחרים'!R:R)</f>
        <v>0</v>
      </c>
      <c r="C23" s="57"/>
      <c r="D23" s="57"/>
      <c r="E23" s="158">
        <f>SUM('לא סחיר נגזרים אחרים'!R:R)/B30</f>
        <v>0</v>
      </c>
    </row>
    <row r="24" spans="1:5">
      <c r="A24" s="56" t="s">
        <v>1085</v>
      </c>
      <c r="B24" s="187">
        <f>SUM(הלוואות!AT:AT)</f>
        <v>0</v>
      </c>
      <c r="C24" s="57"/>
      <c r="D24" s="57"/>
      <c r="E24" s="158">
        <f>SUM(הלוואות!AT:AT)/B30</f>
        <v>0</v>
      </c>
    </row>
    <row r="25" spans="1:5">
      <c r="A25" s="56" t="s">
        <v>1104</v>
      </c>
      <c r="B25" s="187">
        <f>SUM('לא סחיר מוצרים מובנים'!AB:AB)</f>
        <v>0</v>
      </c>
      <c r="C25" s="57"/>
      <c r="D25" s="57"/>
      <c r="E25" s="158">
        <f>SUM('לא סחיר מוצרים מובנים'!AE:AE)/B30</f>
        <v>0</v>
      </c>
    </row>
    <row r="26" spans="1:5">
      <c r="A26" s="56" t="s">
        <v>1109</v>
      </c>
      <c r="B26" s="187">
        <f>SUM('פיקדונות מעל 3 חודשים'!T:T)</f>
        <v>0</v>
      </c>
      <c r="C26" s="57"/>
      <c r="D26" s="57"/>
      <c r="E26" s="158">
        <f>SUM('פיקדונות מעל 3 חודשים'!T:T)/B30</f>
        <v>0</v>
      </c>
    </row>
    <row r="27" spans="1:5">
      <c r="A27" s="56" t="s">
        <v>1112</v>
      </c>
      <c r="B27" s="187">
        <f>SUM('זכויות מקרקעין'!S:S)</f>
        <v>0</v>
      </c>
      <c r="C27" s="57"/>
      <c r="D27" s="57"/>
      <c r="E27" s="158">
        <f>SUM('זכויות מקרקעין'!S:S)/B30</f>
        <v>0</v>
      </c>
    </row>
    <row r="28" spans="1:5">
      <c r="A28" s="56" t="s">
        <v>1148</v>
      </c>
      <c r="B28" s="187">
        <f>SUM('השקעה בחברות מוחזקות'!U:U)</f>
        <v>0</v>
      </c>
      <c r="C28" s="57"/>
      <c r="D28" s="57"/>
      <c r="E28" s="158">
        <f>SUM('השקעה בחברות מוחזקות'!U:U)/B30</f>
        <v>0</v>
      </c>
    </row>
    <row r="29" spans="1:5">
      <c r="A29" s="56" t="s">
        <v>1115</v>
      </c>
      <c r="B29" s="188">
        <f>SUM('נכסים אחרים'!N:N)</f>
        <v>9.0790000000000006</v>
      </c>
      <c r="C29" s="153"/>
      <c r="D29" s="153"/>
      <c r="E29" s="160">
        <f>SUM('נכסים אחרים'!N:N)/B30</f>
        <v>1.2397799235646116E-4</v>
      </c>
    </row>
    <row r="30" spans="1:5" ht="15">
      <c r="A30" s="55" t="s">
        <v>1315</v>
      </c>
      <c r="B30" s="190">
        <f>IF(SUM(B3:B29)=0,0.0001,SUM(B3:B29))</f>
        <v>73230.738999999987</v>
      </c>
      <c r="C30" s="154">
        <f>SUM(C3:C29)</f>
        <v>0</v>
      </c>
      <c r="D30" s="154">
        <f>SUM(D3:D29)</f>
        <v>0</v>
      </c>
      <c r="E30" s="189">
        <f>SUM(E3:E29)</f>
        <v>1.0000000000000002</v>
      </c>
    </row>
    <row r="31" spans="1:5" s="120" customFormat="1">
      <c r="A31" s="58" t="s">
        <v>1178</v>
      </c>
      <c r="B31" s="59"/>
      <c r="C31" s="59"/>
      <c r="D31" s="59"/>
      <c r="E31" s="159"/>
    </row>
    <row r="32" spans="1:5">
      <c r="A32" s="58" t="s">
        <v>1316</v>
      </c>
      <c r="B32" s="187">
        <f>SUM('יתרות התחייבות להשקעה'!O:O)</f>
        <v>8987.8700000000008</v>
      </c>
      <c r="C32" s="59"/>
      <c r="D32" s="59"/>
      <c r="E32" s="158">
        <f>SUM('יתרות התחייבות להשקעה'!O:O)</f>
        <v>8987.8700000000008</v>
      </c>
    </row>
  </sheetData>
  <customSheetViews>
    <customSheetView guid="{AE318230-F718-49FC-82EB-7CAC3DCD05F1}" showGridLines="0">
      <pageMargins left="0.7" right="0.7" top="0.75" bottom="0.75" header="0.3" footer="0.3"/>
      <pageSetup orientation="portrait"/>
    </customSheetView>
  </customSheetViews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"/>
  <dimension ref="A1:R21"/>
  <sheetViews>
    <sheetView rightToLeft="1" workbookViewId="0"/>
  </sheetViews>
  <sheetFormatPr defaultColWidth="0" defaultRowHeight="14.25"/>
  <cols>
    <col min="1" max="4" width="11.625" style="3" customWidth="1"/>
    <col min="5" max="5" width="11.625" style="5" customWidth="1"/>
    <col min="6" max="17" width="11.625" style="3" customWidth="1"/>
    <col min="18" max="18" width="11.625" style="3" hidden="1" customWidth="1"/>
    <col min="19" max="19" width="9" style="3" hidden="1" customWidth="1"/>
    <col min="20" max="16384" width="9" style="3" hidden="1"/>
  </cols>
  <sheetData>
    <row r="1" spans="1:17" s="4" customFormat="1" ht="51">
      <c r="A1" s="22" t="s">
        <v>0</v>
      </c>
      <c r="B1" s="22" t="s">
        <v>1</v>
      </c>
      <c r="C1" s="22" t="s">
        <v>255</v>
      </c>
      <c r="D1" s="22" t="s">
        <v>256</v>
      </c>
      <c r="E1" s="22" t="s">
        <v>257</v>
      </c>
      <c r="F1" s="22" t="s">
        <v>5</v>
      </c>
      <c r="G1" s="22" t="s">
        <v>6</v>
      </c>
      <c r="H1" s="22" t="s">
        <v>51</v>
      </c>
      <c r="I1" s="22" t="s">
        <v>259</v>
      </c>
      <c r="J1" s="22" t="s">
        <v>10</v>
      </c>
      <c r="K1" s="22" t="s">
        <v>11</v>
      </c>
      <c r="L1" s="22" t="s">
        <v>260</v>
      </c>
      <c r="M1" s="167" t="s">
        <v>18</v>
      </c>
      <c r="N1" s="169" t="s">
        <v>14</v>
      </c>
      <c r="O1" s="22" t="s">
        <v>20</v>
      </c>
      <c r="P1" s="169" t="s">
        <v>24</v>
      </c>
      <c r="Q1" s="169" t="s">
        <v>25</v>
      </c>
    </row>
    <row r="2" spans="1:17">
      <c r="A2" s="3">
        <v>1192</v>
      </c>
      <c r="B2" s="3">
        <v>1192</v>
      </c>
      <c r="C2" s="3" t="s">
        <v>1317</v>
      </c>
      <c r="D2" s="3" t="s">
        <v>1318</v>
      </c>
      <c r="E2" s="5" t="s">
        <v>405</v>
      </c>
      <c r="F2" s="3" t="s">
        <v>1007</v>
      </c>
      <c r="G2" s="3" t="s">
        <v>30</v>
      </c>
      <c r="H2" s="3" t="s">
        <v>102</v>
      </c>
      <c r="I2" s="3" t="s">
        <v>1319</v>
      </c>
      <c r="J2" s="3" t="s">
        <v>496</v>
      </c>
      <c r="K2" s="3" t="s">
        <v>144</v>
      </c>
      <c r="L2" s="163">
        <v>893.78099999999995</v>
      </c>
      <c r="M2" s="168">
        <v>3.19</v>
      </c>
      <c r="N2" s="170">
        <v>4.3299999999999998E-2</v>
      </c>
      <c r="O2" s="162">
        <v>2851.1610000000001</v>
      </c>
      <c r="P2" s="171">
        <v>0.39858820576026499</v>
      </c>
      <c r="Q2" s="171">
        <v>3.8933929176948198E-2</v>
      </c>
    </row>
    <row r="3" spans="1:17">
      <c r="A3" s="3">
        <v>1192</v>
      </c>
      <c r="B3" s="3">
        <v>1192</v>
      </c>
      <c r="C3" s="3" t="s">
        <v>1317</v>
      </c>
      <c r="D3" s="3" t="s">
        <v>1318</v>
      </c>
      <c r="E3" s="31" t="s">
        <v>405</v>
      </c>
      <c r="F3" s="3" t="s">
        <v>1005</v>
      </c>
      <c r="G3" s="3" t="s">
        <v>30</v>
      </c>
      <c r="H3" s="3" t="s">
        <v>74</v>
      </c>
      <c r="I3" s="3" t="s">
        <v>1319</v>
      </c>
      <c r="J3" s="3" t="s">
        <v>496</v>
      </c>
      <c r="K3" s="3" t="s">
        <v>34</v>
      </c>
      <c r="L3" s="162">
        <v>4301.9880000000003</v>
      </c>
      <c r="M3" s="168">
        <v>1</v>
      </c>
      <c r="N3" s="171">
        <v>3.7999999999999999E-2</v>
      </c>
      <c r="O3" s="162">
        <v>4301.9880000000003</v>
      </c>
      <c r="P3" s="171">
        <v>0.60141179423973501</v>
      </c>
      <c r="Q3" s="171">
        <v>5.8745652442096001E-2</v>
      </c>
    </row>
    <row r="4" spans="1:17">
      <c r="E4" s="31"/>
    </row>
    <row r="5" spans="1:17">
      <c r="E5" s="31"/>
    </row>
    <row r="6" spans="1:17">
      <c r="E6" s="31"/>
    </row>
    <row r="7" spans="1:17">
      <c r="E7" s="31"/>
    </row>
    <row r="8" spans="1:17">
      <c r="E8" s="31"/>
    </row>
    <row r="9" spans="1:17">
      <c r="E9" s="31"/>
    </row>
    <row r="10" spans="1:17">
      <c r="E10" s="31"/>
    </row>
    <row r="11" spans="1:17">
      <c r="E11" s="31"/>
    </row>
    <row r="12" spans="1:17">
      <c r="E12" s="31"/>
    </row>
    <row r="13" spans="1:17">
      <c r="E13" s="31"/>
    </row>
    <row r="14" spans="1:17">
      <c r="E14" s="31"/>
    </row>
    <row r="15" spans="1:17">
      <c r="E15" s="31"/>
    </row>
    <row r="16" spans="1:17">
      <c r="E16" s="31"/>
    </row>
    <row r="17" spans="4:5">
      <c r="E17" s="31"/>
    </row>
    <row r="18" spans="4:5">
      <c r="E18" s="31"/>
    </row>
    <row r="19" spans="4:5">
      <c r="E19" s="31"/>
    </row>
    <row r="20" spans="4:5">
      <c r="E20" s="31"/>
    </row>
    <row r="21" spans="4:5" s="42" customFormat="1">
      <c r="D21" s="41"/>
      <c r="E21" s="45"/>
    </row>
  </sheetData>
  <sheetProtection formatColumns="0"/>
  <customSheetViews>
    <customSheetView guid="{AE318230-F718-49FC-82EB-7CAC3DCD05F1}" showGridLines="0">
      <selection activeCell="K3" sqref="K3"/>
      <pageMargins left="0.7" right="0.7" top="0.75" bottom="0.75" header="0.3" footer="0.3"/>
      <pageSetup paperSize="9" orientation="portrait" verticalDpi="0"/>
    </customSheetView>
  </customSheetViews>
  <dataValidations count="4">
    <dataValidation type="list" allowBlank="1" showInputMessage="1" showErrorMessage="1" sqref="G2:G20" xr:uid="{00000000-0002-0000-0200-000000000000}">
      <formula1>israel_abroad</formula1>
    </dataValidation>
    <dataValidation type="list" allowBlank="1" showInputMessage="1" showErrorMessage="1" sqref="H2:H20" xr:uid="{00000000-0002-0000-0200-000001000000}">
      <formula1>Holding_interest</formula1>
    </dataValidation>
    <dataValidation type="list" allowBlank="1" showInputMessage="1" showErrorMessage="1" sqref="J2:J21" xr:uid="{00000000-0002-0000-0200-000002000000}">
      <formula1>Rating_Agency</formula1>
    </dataValidation>
    <dataValidation type="list" allowBlank="1" showInputMessage="1" showErrorMessage="1" sqref="E2:E20" xr:uid="{00000000-0002-0000-0200-000003000000}">
      <formula1>Issuer_Number_Banks</formula1>
    </dataValidation>
  </dataValidations>
  <pageMargins left="0.7" right="0.7" top="0.75" bottom="0.75" header="0.3" footer="0.3"/>
  <pageSetup paperSize="9"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200-000004000000}">
          <x14:formula1>
            <xm:f>'אפשרויות בחירה'!$C$853:$C$861</xm:f>
          </x14:formula1>
          <xm:sqref>F2:F20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5"/>
  <dimension ref="A1:AD26"/>
  <sheetViews>
    <sheetView rightToLeft="1" workbookViewId="0">
      <selection activeCell="A2" sqref="A2"/>
    </sheetView>
  </sheetViews>
  <sheetFormatPr defaultColWidth="0" defaultRowHeight="14.25"/>
  <cols>
    <col min="1" max="26" width="11.625" style="5" customWidth="1"/>
    <col min="27" max="30" width="11.625" style="5" hidden="1" customWidth="1"/>
    <col min="31" max="31" width="9" style="5" hidden="1" customWidth="1"/>
    <col min="32" max="16384" width="9" style="5" hidden="1"/>
  </cols>
  <sheetData>
    <row r="1" spans="1:26" ht="51">
      <c r="A1" s="22" t="s">
        <v>0</v>
      </c>
      <c r="B1" s="22" t="s">
        <v>1</v>
      </c>
      <c r="C1" s="22" t="s">
        <v>2</v>
      </c>
      <c r="D1" s="22" t="s">
        <v>3</v>
      </c>
      <c r="E1" s="22" t="s">
        <v>4</v>
      </c>
      <c r="F1" s="22" t="s">
        <v>5</v>
      </c>
      <c r="G1" s="22" t="s">
        <v>6</v>
      </c>
      <c r="H1" s="22" t="s">
        <v>7</v>
      </c>
      <c r="I1" s="22" t="s">
        <v>8</v>
      </c>
      <c r="J1" s="22" t="s">
        <v>9</v>
      </c>
      <c r="K1" s="22" t="s">
        <v>10</v>
      </c>
      <c r="L1" s="22" t="s">
        <v>11</v>
      </c>
      <c r="M1" s="22" t="s">
        <v>12</v>
      </c>
      <c r="N1" s="22" t="s">
        <v>13</v>
      </c>
      <c r="O1" s="169" t="s">
        <v>14</v>
      </c>
      <c r="P1" s="169" t="s">
        <v>15</v>
      </c>
      <c r="Q1" s="22" t="s">
        <v>16</v>
      </c>
      <c r="R1" s="22" t="s">
        <v>17</v>
      </c>
      <c r="S1" s="167" t="s">
        <v>18</v>
      </c>
      <c r="T1" s="174" t="s">
        <v>19</v>
      </c>
      <c r="U1" s="22" t="s">
        <v>20</v>
      </c>
      <c r="V1" s="22" t="s">
        <v>21</v>
      </c>
      <c r="W1" s="22" t="s">
        <v>22</v>
      </c>
      <c r="X1" s="169" t="s">
        <v>23</v>
      </c>
      <c r="Y1" s="169" t="s">
        <v>24</v>
      </c>
      <c r="Z1" s="169" t="s">
        <v>25</v>
      </c>
    </row>
    <row r="2" spans="1:26">
      <c r="A2" s="21">
        <v>1192</v>
      </c>
      <c r="B2" s="21">
        <v>1192</v>
      </c>
      <c r="C2" s="21" t="s">
        <v>26</v>
      </c>
      <c r="D2" s="21" t="s">
        <v>27</v>
      </c>
      <c r="E2" s="21" t="s">
        <v>28</v>
      </c>
      <c r="F2" s="21" t="s">
        <v>29</v>
      </c>
      <c r="G2" s="21" t="s">
        <v>30</v>
      </c>
      <c r="H2" s="21" t="s">
        <v>30</v>
      </c>
      <c r="I2" s="21" t="s">
        <v>31</v>
      </c>
      <c r="J2" s="21" t="s">
        <v>32</v>
      </c>
      <c r="K2" s="21" t="s">
        <v>33</v>
      </c>
      <c r="L2" s="5" t="s">
        <v>34</v>
      </c>
      <c r="M2" s="164">
        <v>0.41899999999999998</v>
      </c>
      <c r="N2" s="5" t="s">
        <v>35</v>
      </c>
      <c r="O2" s="173">
        <v>0</v>
      </c>
      <c r="P2" s="173">
        <v>4.0239999999999998E-2</v>
      </c>
      <c r="R2" s="164">
        <v>3021024</v>
      </c>
      <c r="S2" s="172">
        <v>1</v>
      </c>
      <c r="T2" s="175">
        <v>98.36</v>
      </c>
      <c r="U2" s="164">
        <v>2971.4789999999998</v>
      </c>
      <c r="W2" s="21" t="s">
        <v>36</v>
      </c>
      <c r="X2" s="173">
        <v>1.6799999999999999E-4</v>
      </c>
      <c r="Y2" s="173">
        <v>0.41383560701737698</v>
      </c>
      <c r="Z2" s="173">
        <v>4.0576932851923403E-2</v>
      </c>
    </row>
    <row r="3" spans="1:26">
      <c r="A3" s="21">
        <v>1192</v>
      </c>
      <c r="B3" s="21">
        <v>1192</v>
      </c>
      <c r="C3" s="21" t="s">
        <v>26</v>
      </c>
      <c r="D3" s="21" t="s">
        <v>37</v>
      </c>
      <c r="E3" s="21" t="s">
        <v>38</v>
      </c>
      <c r="F3" s="21" t="s">
        <v>29</v>
      </c>
      <c r="G3" s="21" t="s">
        <v>30</v>
      </c>
      <c r="H3" s="21" t="s">
        <v>30</v>
      </c>
      <c r="I3" s="21" t="s">
        <v>31</v>
      </c>
      <c r="J3" s="21" t="s">
        <v>32</v>
      </c>
      <c r="K3" s="21" t="s">
        <v>33</v>
      </c>
      <c r="L3" s="5" t="s">
        <v>34</v>
      </c>
      <c r="M3" s="164">
        <v>0.66800000000000004</v>
      </c>
      <c r="N3" s="5" t="s">
        <v>39</v>
      </c>
      <c r="O3" s="173">
        <v>0</v>
      </c>
      <c r="P3" s="173">
        <v>3.8760000000000003E-2</v>
      </c>
      <c r="R3" s="164">
        <v>2000000</v>
      </c>
      <c r="S3" s="172">
        <v>1</v>
      </c>
      <c r="T3" s="175">
        <v>97.49</v>
      </c>
      <c r="U3" s="164">
        <v>1949.8</v>
      </c>
      <c r="W3" s="21" t="s">
        <v>36</v>
      </c>
      <c r="X3" s="173">
        <v>1.11E-4</v>
      </c>
      <c r="Y3" s="173">
        <v>0.27154713545515602</v>
      </c>
      <c r="Z3" s="173">
        <v>2.6625427330697001E-2</v>
      </c>
    </row>
    <row r="4" spans="1:26">
      <c r="A4" s="21">
        <v>1192</v>
      </c>
      <c r="B4" s="21">
        <v>1192</v>
      </c>
      <c r="C4" s="21" t="s">
        <v>26</v>
      </c>
      <c r="D4" s="21" t="s">
        <v>40</v>
      </c>
      <c r="E4" s="21" t="s">
        <v>41</v>
      </c>
      <c r="F4" s="21" t="s">
        <v>42</v>
      </c>
      <c r="G4" s="21" t="s">
        <v>30</v>
      </c>
      <c r="H4" s="21" t="s">
        <v>30</v>
      </c>
      <c r="I4" s="21" t="s">
        <v>31</v>
      </c>
      <c r="J4" s="21" t="s">
        <v>32</v>
      </c>
      <c r="K4" s="21" t="s">
        <v>33</v>
      </c>
      <c r="L4" s="5" t="s">
        <v>34</v>
      </c>
      <c r="M4" s="164">
        <v>1.7090000000000001</v>
      </c>
      <c r="N4" s="5" t="s">
        <v>43</v>
      </c>
      <c r="O4" s="173">
        <v>3.7499999999999999E-2</v>
      </c>
      <c r="P4" s="173">
        <v>3.739E-2</v>
      </c>
      <c r="R4" s="164">
        <v>300000</v>
      </c>
      <c r="S4" s="172">
        <v>1</v>
      </c>
      <c r="T4" s="175">
        <v>100.96</v>
      </c>
      <c r="U4" s="164">
        <v>302.88</v>
      </c>
      <c r="W4" s="21" t="s">
        <v>36</v>
      </c>
      <c r="X4" s="173">
        <v>7.9999999999999996E-6</v>
      </c>
      <c r="Y4" s="173">
        <v>4.2181862953460797E-2</v>
      </c>
      <c r="Z4" s="173">
        <v>4.1359674991904303E-3</v>
      </c>
    </row>
    <row r="5" spans="1:26">
      <c r="A5" s="21">
        <v>1192</v>
      </c>
      <c r="B5" s="21">
        <v>1192</v>
      </c>
      <c r="C5" s="21" t="s">
        <v>26</v>
      </c>
      <c r="D5" s="21" t="s">
        <v>44</v>
      </c>
      <c r="E5" s="21" t="s">
        <v>45</v>
      </c>
      <c r="F5" s="21" t="s">
        <v>29</v>
      </c>
      <c r="G5" s="21" t="s">
        <v>30</v>
      </c>
      <c r="H5" s="21" t="s">
        <v>30</v>
      </c>
      <c r="I5" s="21" t="s">
        <v>31</v>
      </c>
      <c r="J5" s="21" t="s">
        <v>32</v>
      </c>
      <c r="K5" s="21" t="s">
        <v>33</v>
      </c>
      <c r="L5" s="5" t="s">
        <v>34</v>
      </c>
      <c r="M5" s="164">
        <v>0.51500000000000001</v>
      </c>
      <c r="N5" s="5" t="s">
        <v>46</v>
      </c>
      <c r="O5" s="173">
        <v>0</v>
      </c>
      <c r="P5" s="173">
        <v>0.04</v>
      </c>
      <c r="R5" s="164">
        <v>1996100</v>
      </c>
      <c r="S5" s="172">
        <v>1</v>
      </c>
      <c r="T5" s="175">
        <v>98</v>
      </c>
      <c r="U5" s="164">
        <v>1956.1780000000001</v>
      </c>
      <c r="W5" s="21" t="s">
        <v>36</v>
      </c>
      <c r="X5" s="173">
        <v>1.11E-4</v>
      </c>
      <c r="Y5" s="173">
        <v>0.27243539457400601</v>
      </c>
      <c r="Z5" s="173">
        <v>2.6712521891941801E-2</v>
      </c>
    </row>
    <row r="6" spans="1:26">
      <c r="A6" s="21"/>
      <c r="B6" s="21"/>
      <c r="C6" s="21"/>
      <c r="D6" s="21"/>
      <c r="E6" s="21"/>
      <c r="F6" s="21"/>
      <c r="G6" s="21"/>
      <c r="H6" s="21"/>
      <c r="I6" s="21"/>
      <c r="J6" s="21"/>
      <c r="K6" s="21"/>
      <c r="W6" s="21"/>
    </row>
    <row r="7" spans="1:26">
      <c r="A7" s="21"/>
      <c r="B7" s="21"/>
      <c r="C7" s="21"/>
      <c r="D7" s="21"/>
      <c r="E7" s="21"/>
      <c r="F7" s="21"/>
      <c r="G7" s="21"/>
      <c r="H7" s="21"/>
      <c r="I7" s="21"/>
      <c r="J7" s="21"/>
      <c r="K7" s="21"/>
      <c r="W7" s="21"/>
    </row>
    <row r="8" spans="1:26">
      <c r="A8" s="21"/>
      <c r="B8" s="21"/>
      <c r="C8" s="21"/>
      <c r="D8" s="21"/>
      <c r="E8" s="21"/>
      <c r="F8" s="21"/>
      <c r="G8" s="21"/>
      <c r="H8" s="21"/>
      <c r="I8" s="21"/>
      <c r="J8" s="21"/>
      <c r="K8" s="21"/>
      <c r="W8" s="21"/>
    </row>
    <row r="9" spans="1:26">
      <c r="A9" s="21"/>
      <c r="B9" s="21"/>
      <c r="C9" s="21"/>
      <c r="D9" s="21"/>
      <c r="E9" s="21"/>
      <c r="F9" s="21"/>
      <c r="G9" s="21"/>
      <c r="H9" s="21"/>
      <c r="I9" s="21"/>
      <c r="J9" s="21"/>
      <c r="K9" s="21"/>
      <c r="W9" s="21"/>
    </row>
    <row r="10" spans="1:26">
      <c r="A10" s="21"/>
      <c r="B10" s="21"/>
      <c r="C10" s="21"/>
      <c r="D10" s="21"/>
      <c r="E10" s="21"/>
      <c r="F10" s="21"/>
      <c r="G10" s="21"/>
      <c r="H10" s="21"/>
      <c r="I10" s="21"/>
      <c r="J10" s="21"/>
      <c r="K10" s="21"/>
      <c r="W10" s="21"/>
    </row>
    <row r="11" spans="1:26">
      <c r="A11" s="21"/>
      <c r="B11" s="21"/>
      <c r="C11" s="21"/>
      <c r="D11" s="21"/>
      <c r="E11" s="21"/>
      <c r="F11" s="21"/>
      <c r="G11" s="21"/>
      <c r="H11" s="21"/>
      <c r="I11" s="21"/>
      <c r="J11" s="21"/>
      <c r="K11" s="21"/>
      <c r="W11" s="21"/>
    </row>
    <row r="12" spans="1:26">
      <c r="A12" s="21"/>
      <c r="B12" s="21"/>
      <c r="C12" s="21"/>
      <c r="D12" s="21"/>
      <c r="E12" s="21"/>
      <c r="F12" s="21"/>
      <c r="G12" s="21"/>
      <c r="H12" s="21"/>
      <c r="I12" s="21"/>
      <c r="J12" s="21"/>
      <c r="K12" s="21"/>
      <c r="W12" s="21"/>
    </row>
    <row r="13" spans="1:26">
      <c r="A13" s="21"/>
      <c r="B13" s="21"/>
      <c r="C13" s="21"/>
      <c r="D13" s="21"/>
      <c r="E13" s="21"/>
      <c r="F13" s="21"/>
      <c r="G13" s="21"/>
      <c r="H13" s="21"/>
      <c r="I13" s="21"/>
      <c r="J13" s="21"/>
      <c r="K13" s="21"/>
      <c r="W13" s="21"/>
    </row>
    <row r="14" spans="1:26">
      <c r="A14" s="21"/>
      <c r="B14" s="21"/>
      <c r="C14" s="21"/>
      <c r="D14" s="21"/>
      <c r="E14" s="21"/>
      <c r="F14" s="21"/>
      <c r="G14" s="21"/>
      <c r="H14" s="21"/>
      <c r="I14" s="21"/>
      <c r="J14" s="21"/>
      <c r="K14" s="21"/>
      <c r="W14" s="21"/>
    </row>
    <row r="15" spans="1:26">
      <c r="A15" s="21"/>
      <c r="B15" s="21"/>
      <c r="C15" s="21"/>
      <c r="D15" s="21"/>
      <c r="E15" s="21"/>
      <c r="F15" s="21"/>
      <c r="G15" s="21"/>
      <c r="H15" s="21"/>
      <c r="I15" s="21"/>
      <c r="J15" s="21"/>
      <c r="K15" s="21"/>
      <c r="W15" s="21"/>
    </row>
    <row r="16" spans="1:26">
      <c r="A16" s="21"/>
      <c r="B16" s="21"/>
      <c r="C16" s="21"/>
      <c r="D16" s="21"/>
      <c r="E16" s="21"/>
      <c r="F16" s="21"/>
      <c r="G16" s="21"/>
      <c r="H16" s="21"/>
      <c r="I16" s="21"/>
      <c r="J16" s="21"/>
      <c r="K16" s="21"/>
      <c r="W16" s="21"/>
    </row>
    <row r="17" spans="1:23">
      <c r="A17" s="21"/>
      <c r="B17" s="21"/>
      <c r="C17" s="21"/>
      <c r="D17" s="21"/>
      <c r="E17" s="21"/>
      <c r="F17" s="21"/>
      <c r="G17" s="21"/>
      <c r="H17" s="21"/>
      <c r="I17" s="21"/>
      <c r="J17" s="21"/>
      <c r="K17" s="21"/>
      <c r="W17" s="21"/>
    </row>
    <row r="18" spans="1:23">
      <c r="A18" s="21"/>
      <c r="B18" s="21"/>
      <c r="C18" s="21"/>
      <c r="D18" s="21"/>
      <c r="E18" s="21"/>
      <c r="F18" s="21"/>
      <c r="G18" s="21"/>
      <c r="H18" s="21"/>
      <c r="I18" s="21"/>
      <c r="J18" s="21"/>
      <c r="K18" s="21"/>
      <c r="W18" s="21"/>
    </row>
    <row r="19" spans="1:23">
      <c r="A19" s="21"/>
      <c r="B19" s="21"/>
      <c r="C19" s="21"/>
      <c r="D19" s="21"/>
      <c r="E19" s="21"/>
      <c r="F19" s="21"/>
      <c r="G19" s="21"/>
      <c r="H19" s="21"/>
      <c r="I19" s="21"/>
      <c r="J19" s="21"/>
      <c r="K19" s="21"/>
      <c r="W19" s="21"/>
    </row>
    <row r="20" spans="1:23">
      <c r="F20" s="21"/>
      <c r="G20" s="21"/>
      <c r="H20" s="21"/>
      <c r="I20" s="21"/>
      <c r="K20" s="21"/>
      <c r="W20" s="21"/>
    </row>
    <row r="21" spans="1:23" s="45" customFormat="1">
      <c r="L21" s="31"/>
    </row>
    <row r="22" spans="1:23">
      <c r="L22" s="21"/>
    </row>
    <row r="23" spans="1:23">
      <c r="L23" s="21"/>
    </row>
    <row r="24" spans="1:23">
      <c r="L24" s="21"/>
    </row>
    <row r="25" spans="1:23">
      <c r="L25" s="21"/>
    </row>
    <row r="26" spans="1:23">
      <c r="L26" s="21"/>
    </row>
  </sheetData>
  <sheetProtection formatColumns="0"/>
  <customSheetViews>
    <customSheetView guid="{AE318230-F718-49FC-82EB-7CAC3DCD05F1}" showGridLines="0" hiddenRows="1">
      <selection activeCell="E26" sqref="E26"/>
      <pageMargins left="0.7" right="0.7" top="0.75" bottom="0.75" header="0.3" footer="0.3"/>
    </customSheetView>
  </customSheetViews>
  <dataValidations count="5">
    <dataValidation type="list" allowBlank="1" showInputMessage="1" showErrorMessage="1" sqref="G2:G20" xr:uid="{00000000-0002-0000-0300-000000000000}">
      <formula1>israel_abroad</formula1>
    </dataValidation>
    <dataValidation type="list" allowBlank="1" showInputMessage="1" showErrorMessage="1" sqref="I2:I20" xr:uid="{00000000-0002-0000-0300-000001000000}">
      <formula1>Stock_Exchange_Gov_Bonds</formula1>
    </dataValidation>
    <dataValidation type="list" allowBlank="1" showInputMessage="1" showErrorMessage="1" sqref="K2:K20" xr:uid="{00000000-0002-0000-0300-000002000000}">
      <formula1>Rating_Agency</formula1>
    </dataValidation>
    <dataValidation type="list" allowBlank="1" showInputMessage="1" showErrorMessage="1" sqref="W2:W20" xr:uid="{00000000-0002-0000-0300-000003000000}">
      <formula1>In_the_books</formula1>
    </dataValidation>
    <dataValidation type="list" allowBlank="1" showInputMessage="1" showErrorMessage="1" sqref="H2:H20" xr:uid="{00000000-0002-0000-0300-000004000000}">
      <formula1>Country_list</formula1>
    </dataValidation>
  </dataValidations>
  <pageMargins left="0.7" right="0.7" top="0.75" bottom="0.75" header="0.3" footer="0.3"/>
  <pageSetup paperSize="9" orientation="portrait" verticalDpi="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300-000005000000}">
          <x14:formula1>
            <xm:f>'אפשרויות בחירה'!$C$862:$C$869</xm:f>
          </x14:formula1>
          <xm:sqref>F2:F20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6"/>
  <dimension ref="A1:AJ20"/>
  <sheetViews>
    <sheetView rightToLeft="1" workbookViewId="0">
      <selection activeCell="A2" sqref="A2"/>
    </sheetView>
  </sheetViews>
  <sheetFormatPr defaultColWidth="0" defaultRowHeight="14.25"/>
  <cols>
    <col min="1" max="36" width="11.625" style="5" customWidth="1"/>
    <col min="37" max="37" width="11.625" style="5" hidden="1" customWidth="1"/>
    <col min="38" max="16384" width="11.625" style="5" hidden="1"/>
  </cols>
  <sheetData>
    <row r="1" spans="1:36" ht="51">
      <c r="A1" s="22" t="s">
        <v>0</v>
      </c>
      <c r="B1" s="22" t="s">
        <v>1</v>
      </c>
      <c r="C1" s="22" t="s">
        <v>2</v>
      </c>
      <c r="D1" s="22" t="s">
        <v>47</v>
      </c>
      <c r="E1" s="22" t="s">
        <v>48</v>
      </c>
      <c r="F1" s="22" t="s">
        <v>3</v>
      </c>
      <c r="G1" s="22" t="s">
        <v>4</v>
      </c>
      <c r="H1" s="22" t="s">
        <v>49</v>
      </c>
      <c r="I1" s="22" t="s">
        <v>5</v>
      </c>
      <c r="J1" s="22" t="s">
        <v>6</v>
      </c>
      <c r="K1" s="22" t="s">
        <v>7</v>
      </c>
      <c r="L1" s="22" t="s">
        <v>8</v>
      </c>
      <c r="M1" s="22" t="s">
        <v>50</v>
      </c>
      <c r="N1" s="22" t="s">
        <v>51</v>
      </c>
      <c r="O1" s="22" t="s">
        <v>9</v>
      </c>
      <c r="P1" s="22" t="s">
        <v>10</v>
      </c>
      <c r="Q1" s="22" t="s">
        <v>52</v>
      </c>
      <c r="R1" s="22" t="s">
        <v>11</v>
      </c>
      <c r="S1" s="22" t="s">
        <v>12</v>
      </c>
      <c r="T1" s="22" t="s">
        <v>53</v>
      </c>
      <c r="U1" s="22" t="s">
        <v>13</v>
      </c>
      <c r="V1" s="22" t="s">
        <v>14</v>
      </c>
      <c r="W1" s="22" t="s">
        <v>15</v>
      </c>
      <c r="X1" s="22" t="s">
        <v>54</v>
      </c>
      <c r="Y1" s="22" t="s">
        <v>55</v>
      </c>
      <c r="Z1" s="22" t="s">
        <v>17</v>
      </c>
      <c r="AA1" s="22" t="s">
        <v>18</v>
      </c>
      <c r="AB1" s="22" t="s">
        <v>19</v>
      </c>
      <c r="AC1" s="22" t="s">
        <v>16</v>
      </c>
      <c r="AD1" s="22" t="s">
        <v>20</v>
      </c>
      <c r="AE1" s="22" t="s">
        <v>21</v>
      </c>
      <c r="AF1" s="22" t="s">
        <v>56</v>
      </c>
      <c r="AG1" s="22" t="s">
        <v>22</v>
      </c>
      <c r="AH1" s="22" t="s">
        <v>23</v>
      </c>
      <c r="AI1" s="22" t="s">
        <v>24</v>
      </c>
      <c r="AJ1" s="22" t="s">
        <v>25</v>
      </c>
    </row>
    <row r="2" spans="1:36">
      <c r="A2" s="21"/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P2" s="21"/>
      <c r="Q2" s="21"/>
      <c r="R2" s="21"/>
      <c r="S2" s="21"/>
      <c r="T2" s="23"/>
      <c r="U2" s="21"/>
      <c r="V2" s="21"/>
      <c r="X2" s="21"/>
      <c r="Y2" s="31"/>
      <c r="Z2" s="21"/>
      <c r="AA2" s="21"/>
      <c r="AB2" s="21"/>
      <c r="AC2" s="21"/>
      <c r="AD2" s="21"/>
      <c r="AE2" s="21"/>
      <c r="AG2" s="21"/>
    </row>
    <row r="3" spans="1:36">
      <c r="A3" s="21"/>
      <c r="B3" s="21"/>
      <c r="C3" s="21"/>
      <c r="D3" s="21"/>
      <c r="E3" s="21"/>
      <c r="F3" s="21"/>
      <c r="G3" s="21"/>
      <c r="H3" s="21"/>
      <c r="I3" s="21"/>
      <c r="J3" s="21"/>
      <c r="K3" s="21"/>
      <c r="L3" s="21"/>
      <c r="M3" s="21"/>
      <c r="N3" s="21"/>
      <c r="P3" s="21"/>
      <c r="Q3" s="21"/>
      <c r="R3" s="21"/>
      <c r="S3" s="21"/>
      <c r="T3" s="23"/>
      <c r="U3" s="21"/>
      <c r="V3" s="21"/>
      <c r="W3" s="21"/>
      <c r="X3" s="21"/>
      <c r="Y3" s="21"/>
      <c r="Z3" s="21"/>
      <c r="AA3" s="21"/>
      <c r="AB3" s="21"/>
      <c r="AC3" s="21"/>
      <c r="AD3" s="21"/>
      <c r="AE3" s="21"/>
      <c r="AG3" s="21"/>
    </row>
    <row r="4" spans="1:36">
      <c r="A4" s="21"/>
      <c r="B4" s="21"/>
      <c r="C4" s="21"/>
      <c r="D4" s="21"/>
      <c r="E4" s="21"/>
      <c r="F4" s="21"/>
      <c r="G4" s="21"/>
      <c r="H4" s="21"/>
      <c r="I4" s="21"/>
      <c r="J4" s="21"/>
      <c r="K4" s="21"/>
      <c r="L4" s="21"/>
      <c r="M4" s="21"/>
      <c r="N4" s="21"/>
      <c r="P4" s="21"/>
      <c r="Q4" s="21"/>
      <c r="R4" s="21"/>
      <c r="S4" s="21"/>
      <c r="T4" s="23"/>
      <c r="U4" s="21"/>
      <c r="V4" s="21"/>
      <c r="W4" s="21"/>
      <c r="X4" s="21"/>
      <c r="Y4" s="21"/>
      <c r="Z4" s="21"/>
      <c r="AA4" s="21"/>
      <c r="AB4" s="21"/>
      <c r="AC4" s="21"/>
      <c r="AD4" s="21"/>
      <c r="AE4" s="21"/>
      <c r="AG4" s="21"/>
    </row>
    <row r="5" spans="1:36">
      <c r="A5" s="21"/>
      <c r="B5" s="21"/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P5" s="21"/>
      <c r="Q5" s="21"/>
      <c r="R5" s="21"/>
      <c r="S5" s="21"/>
      <c r="T5" s="23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  <c r="AG5" s="21"/>
    </row>
    <row r="6" spans="1:36">
      <c r="A6" s="21"/>
      <c r="B6" s="21"/>
      <c r="C6" s="21"/>
      <c r="D6" s="21"/>
      <c r="E6" s="21"/>
      <c r="F6" s="21"/>
      <c r="G6" s="21"/>
      <c r="H6" s="21"/>
      <c r="I6" s="21"/>
      <c r="J6" s="21"/>
      <c r="K6" s="21"/>
      <c r="L6" s="21"/>
      <c r="M6" s="21"/>
      <c r="N6" s="21"/>
      <c r="P6" s="21"/>
      <c r="Q6" s="21"/>
      <c r="R6" s="21"/>
      <c r="S6" s="21"/>
      <c r="T6" s="23"/>
      <c r="U6" s="21"/>
      <c r="V6" s="21"/>
      <c r="W6" s="21"/>
      <c r="X6" s="21"/>
      <c r="Y6" s="21"/>
      <c r="Z6" s="21"/>
      <c r="AA6" s="21"/>
      <c r="AB6" s="21"/>
      <c r="AC6" s="21"/>
      <c r="AD6" s="21"/>
      <c r="AE6" s="21"/>
      <c r="AG6" s="21"/>
    </row>
    <row r="7" spans="1:36">
      <c r="A7" s="21"/>
      <c r="B7" s="21"/>
      <c r="C7" s="21"/>
      <c r="D7" s="21"/>
      <c r="E7" s="21"/>
      <c r="F7" s="21"/>
      <c r="G7" s="21"/>
      <c r="H7" s="21"/>
      <c r="I7" s="21"/>
      <c r="J7" s="21"/>
      <c r="K7" s="21"/>
      <c r="L7" s="21"/>
      <c r="M7" s="21"/>
      <c r="N7" s="21"/>
      <c r="P7" s="21"/>
      <c r="Q7" s="21"/>
      <c r="R7" s="21"/>
      <c r="S7" s="21"/>
      <c r="T7" s="23"/>
      <c r="U7" s="21"/>
      <c r="V7" s="21"/>
      <c r="W7" s="21"/>
      <c r="X7" s="21"/>
      <c r="Y7" s="21"/>
      <c r="Z7" s="21"/>
      <c r="AA7" s="21"/>
      <c r="AB7" s="21"/>
      <c r="AC7" s="21"/>
      <c r="AD7" s="21"/>
      <c r="AE7" s="21"/>
    </row>
    <row r="8" spans="1:36">
      <c r="A8" s="21"/>
      <c r="B8" s="21"/>
      <c r="C8" s="21"/>
      <c r="D8" s="21"/>
      <c r="E8" s="21"/>
      <c r="F8" s="21"/>
      <c r="G8" s="21"/>
      <c r="H8" s="21"/>
      <c r="I8" s="21"/>
      <c r="J8" s="21"/>
      <c r="K8" s="21"/>
      <c r="L8" s="21"/>
      <c r="M8" s="21"/>
      <c r="N8" s="21"/>
      <c r="P8" s="21"/>
      <c r="Q8" s="21"/>
      <c r="R8" s="21"/>
      <c r="S8" s="21"/>
      <c r="T8" s="23"/>
      <c r="U8" s="21"/>
      <c r="V8" s="21"/>
      <c r="W8" s="21"/>
      <c r="X8" s="21"/>
      <c r="Y8" s="21"/>
      <c r="Z8" s="21"/>
    </row>
    <row r="9" spans="1:36">
      <c r="A9" s="21"/>
      <c r="B9" s="21"/>
      <c r="C9" s="21"/>
      <c r="D9" s="21"/>
      <c r="E9" s="21"/>
      <c r="F9" s="21"/>
      <c r="G9" s="21"/>
      <c r="H9" s="21"/>
      <c r="I9" s="21"/>
      <c r="J9" s="21"/>
      <c r="K9" s="21"/>
      <c r="L9" s="21"/>
      <c r="M9" s="21"/>
      <c r="N9" s="21"/>
      <c r="P9" s="21"/>
      <c r="Q9" s="21"/>
      <c r="R9" s="21"/>
      <c r="S9" s="21"/>
      <c r="T9" s="23"/>
      <c r="U9" s="21"/>
      <c r="V9" s="21"/>
      <c r="W9" s="21"/>
      <c r="X9" s="21"/>
      <c r="Y9" s="21"/>
      <c r="Z9" s="21"/>
      <c r="AB9" s="23"/>
      <c r="AC9" s="23"/>
      <c r="AD9" s="30"/>
      <c r="AG9" s="21"/>
    </row>
    <row r="10" spans="1:36">
      <c r="A10" s="21"/>
      <c r="B10" s="21"/>
      <c r="C10" s="21"/>
      <c r="D10" s="21"/>
      <c r="E10" s="21"/>
      <c r="F10" s="21"/>
      <c r="G10" s="21"/>
      <c r="H10" s="21"/>
      <c r="I10" s="21"/>
      <c r="J10" s="21"/>
      <c r="K10" s="21"/>
      <c r="L10" s="21"/>
      <c r="M10" s="21"/>
      <c r="N10" s="21"/>
      <c r="P10" s="21"/>
      <c r="Q10" s="21"/>
      <c r="R10" s="21"/>
      <c r="S10" s="21"/>
      <c r="T10" s="23"/>
      <c r="U10" s="21"/>
      <c r="V10" s="21"/>
      <c r="W10" s="21"/>
      <c r="X10" s="21"/>
      <c r="Y10" s="21"/>
      <c r="Z10" s="21"/>
      <c r="AA10" s="21"/>
      <c r="AB10" s="21"/>
      <c r="AC10" s="21"/>
      <c r="AD10" s="21"/>
      <c r="AE10" s="21"/>
      <c r="AG10" s="21"/>
    </row>
    <row r="11" spans="1:36">
      <c r="A11" s="21"/>
      <c r="B11" s="21"/>
      <c r="C11" s="21"/>
      <c r="D11" s="21"/>
      <c r="E11" s="21"/>
      <c r="F11" s="21"/>
      <c r="G11" s="21"/>
      <c r="H11" s="21"/>
      <c r="I11" s="21"/>
      <c r="J11" s="21"/>
      <c r="K11" s="21"/>
      <c r="L11" s="21"/>
      <c r="M11" s="21"/>
      <c r="N11" s="21"/>
      <c r="P11" s="21"/>
      <c r="Q11" s="21"/>
      <c r="R11" s="21"/>
      <c r="S11" s="21"/>
      <c r="T11" s="23"/>
      <c r="U11" s="21"/>
      <c r="V11" s="21"/>
      <c r="W11" s="21"/>
      <c r="X11" s="21"/>
      <c r="Y11" s="21"/>
      <c r="Z11" s="21"/>
      <c r="AA11" s="21"/>
      <c r="AB11" s="21"/>
      <c r="AC11" s="21"/>
      <c r="AD11" s="21"/>
      <c r="AE11" s="21"/>
      <c r="AG11" s="21"/>
    </row>
    <row r="12" spans="1:36">
      <c r="A12" s="21"/>
      <c r="B12" s="21"/>
      <c r="C12" s="21"/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21"/>
      <c r="P12" s="21"/>
      <c r="Q12" s="21"/>
      <c r="R12" s="21"/>
      <c r="S12" s="21"/>
      <c r="T12" s="23"/>
      <c r="U12" s="21"/>
      <c r="V12" s="21"/>
      <c r="W12" s="21"/>
      <c r="X12" s="21"/>
      <c r="Y12" s="21"/>
      <c r="Z12" s="21"/>
      <c r="AA12" s="21"/>
      <c r="AB12" s="21"/>
      <c r="AC12" s="21"/>
      <c r="AD12" s="21"/>
      <c r="AE12" s="21"/>
      <c r="AG12" s="21"/>
    </row>
    <row r="13" spans="1:36">
      <c r="A13" s="21"/>
      <c r="B13" s="21"/>
      <c r="C13" s="21"/>
      <c r="D13" s="21"/>
      <c r="E13" s="21"/>
      <c r="F13" s="21"/>
      <c r="G13" s="21"/>
      <c r="H13" s="21"/>
      <c r="I13" s="21"/>
      <c r="J13" s="21"/>
      <c r="K13" s="21"/>
      <c r="L13" s="21"/>
      <c r="M13" s="21"/>
      <c r="N13" s="21"/>
      <c r="P13" s="21"/>
      <c r="Q13" s="21"/>
      <c r="R13" s="21"/>
      <c r="S13" s="21"/>
      <c r="T13" s="23"/>
      <c r="U13" s="21"/>
      <c r="V13" s="21"/>
      <c r="W13" s="21"/>
      <c r="X13" s="21"/>
      <c r="Y13" s="21"/>
      <c r="Z13" s="21"/>
      <c r="AA13" s="21"/>
      <c r="AB13" s="21"/>
      <c r="AC13" s="21"/>
      <c r="AD13" s="21"/>
      <c r="AE13" s="21"/>
      <c r="AG13" s="21"/>
    </row>
    <row r="14" spans="1:36">
      <c r="A14" s="21"/>
      <c r="B14" s="21"/>
      <c r="C14" s="21"/>
      <c r="D14" s="21"/>
      <c r="E14" s="21"/>
      <c r="F14" s="21"/>
      <c r="G14" s="21"/>
      <c r="H14" s="21"/>
      <c r="I14" s="21"/>
      <c r="J14" s="21"/>
      <c r="K14" s="21"/>
      <c r="L14" s="21"/>
      <c r="M14" s="21"/>
      <c r="N14" s="21"/>
      <c r="P14" s="21"/>
      <c r="Q14" s="21"/>
      <c r="R14" s="21"/>
      <c r="S14" s="21"/>
      <c r="T14" s="23"/>
      <c r="U14" s="21"/>
      <c r="V14" s="21"/>
      <c r="W14" s="21"/>
      <c r="X14" s="21"/>
      <c r="Y14" s="21"/>
      <c r="Z14" s="21"/>
      <c r="AA14" s="21"/>
      <c r="AB14" s="21"/>
      <c r="AC14" s="21"/>
      <c r="AD14" s="21"/>
      <c r="AE14" s="21"/>
      <c r="AG14" s="21"/>
    </row>
    <row r="15" spans="1:36">
      <c r="A15" s="21"/>
      <c r="B15" s="21"/>
      <c r="C15" s="21"/>
      <c r="D15" s="21"/>
      <c r="E15" s="21"/>
      <c r="F15" s="21"/>
      <c r="G15" s="21"/>
      <c r="H15" s="21"/>
      <c r="I15" s="21"/>
      <c r="J15" s="21"/>
      <c r="K15" s="21"/>
      <c r="L15" s="21"/>
      <c r="M15" s="21"/>
      <c r="N15" s="21"/>
      <c r="P15" s="21"/>
      <c r="Q15" s="21"/>
      <c r="R15" s="21"/>
      <c r="S15" s="21"/>
      <c r="T15" s="23"/>
      <c r="U15" s="21"/>
      <c r="V15" s="21"/>
      <c r="W15" s="21"/>
      <c r="X15" s="21"/>
      <c r="Y15" s="21"/>
      <c r="Z15" s="21"/>
      <c r="AA15" s="21"/>
      <c r="AB15" s="21"/>
      <c r="AC15" s="21"/>
      <c r="AD15" s="21"/>
      <c r="AE15" s="21"/>
      <c r="AG15" s="21"/>
    </row>
    <row r="16" spans="1:36">
      <c r="A16" s="21"/>
      <c r="B16" s="21"/>
      <c r="C16" s="21"/>
      <c r="D16" s="21"/>
      <c r="E16" s="21"/>
      <c r="F16" s="21"/>
      <c r="G16" s="21"/>
      <c r="H16" s="21"/>
      <c r="I16" s="21"/>
      <c r="J16" s="21"/>
      <c r="K16" s="21"/>
      <c r="L16" s="21"/>
      <c r="M16" s="21"/>
      <c r="N16" s="21"/>
      <c r="P16" s="21"/>
      <c r="Q16" s="21"/>
      <c r="R16" s="21"/>
      <c r="S16" s="21"/>
      <c r="T16" s="23"/>
      <c r="U16" s="21"/>
      <c r="V16" s="21"/>
      <c r="W16" s="21"/>
      <c r="X16" s="21"/>
      <c r="Y16" s="21"/>
      <c r="Z16" s="21"/>
      <c r="AA16" s="21"/>
      <c r="AB16" s="21"/>
      <c r="AC16" s="21"/>
      <c r="AD16" s="21"/>
      <c r="AE16" s="21"/>
      <c r="AG16" s="21"/>
    </row>
    <row r="17" spans="1:33">
      <c r="A17" s="21"/>
      <c r="B17" s="21"/>
      <c r="C17" s="21"/>
      <c r="D17" s="21"/>
      <c r="E17" s="21"/>
      <c r="F17" s="21"/>
      <c r="G17" s="21"/>
      <c r="H17" s="21"/>
      <c r="I17" s="21"/>
      <c r="J17" s="21"/>
      <c r="K17" s="21"/>
      <c r="L17" s="21"/>
      <c r="M17" s="21"/>
      <c r="N17" s="21"/>
      <c r="P17" s="21"/>
      <c r="Q17" s="21"/>
      <c r="R17" s="21"/>
      <c r="S17" s="21"/>
      <c r="T17" s="23"/>
      <c r="U17" s="21"/>
      <c r="V17" s="21"/>
      <c r="W17" s="21"/>
      <c r="X17" s="21"/>
      <c r="Y17" s="21"/>
      <c r="Z17" s="21"/>
      <c r="AA17" s="21"/>
      <c r="AB17" s="21"/>
      <c r="AC17" s="21"/>
      <c r="AD17" s="21"/>
      <c r="AE17" s="21"/>
      <c r="AG17" s="21"/>
    </row>
    <row r="18" spans="1:33">
      <c r="A18" s="21"/>
      <c r="B18" s="21"/>
      <c r="C18" s="21"/>
      <c r="D18" s="21"/>
      <c r="E18" s="21"/>
      <c r="F18" s="21"/>
      <c r="G18" s="21"/>
      <c r="H18" s="21"/>
      <c r="I18" s="21"/>
      <c r="J18" s="21"/>
      <c r="K18" s="21"/>
      <c r="L18" s="21"/>
      <c r="M18" s="21"/>
      <c r="N18" s="21"/>
      <c r="P18" s="21"/>
      <c r="Q18" s="21"/>
      <c r="R18" s="21"/>
      <c r="S18" s="21"/>
      <c r="T18" s="23"/>
      <c r="U18" s="21"/>
      <c r="V18" s="21"/>
      <c r="W18" s="21"/>
      <c r="X18" s="21"/>
      <c r="Y18" s="21"/>
      <c r="Z18" s="21"/>
      <c r="AA18" s="21"/>
      <c r="AB18" s="21"/>
      <c r="AC18" s="21"/>
      <c r="AD18" s="21"/>
      <c r="AE18" s="21"/>
      <c r="AG18" s="21"/>
    </row>
    <row r="19" spans="1:33">
      <c r="A19" s="21"/>
      <c r="B19" s="21"/>
      <c r="C19" s="21"/>
      <c r="D19" s="21"/>
      <c r="E19" s="21"/>
      <c r="F19" s="21"/>
      <c r="G19" s="21"/>
      <c r="H19" s="21"/>
      <c r="I19" s="21"/>
      <c r="J19" s="21"/>
      <c r="K19" s="21"/>
      <c r="L19" s="21"/>
      <c r="M19" s="21"/>
      <c r="N19" s="21"/>
      <c r="P19" s="21"/>
      <c r="Q19" s="21"/>
      <c r="R19" s="21"/>
      <c r="S19" s="21"/>
      <c r="T19" s="23"/>
      <c r="U19" s="21"/>
      <c r="V19" s="21"/>
      <c r="W19" s="21"/>
      <c r="X19" s="21"/>
      <c r="Y19" s="21"/>
      <c r="Z19" s="21"/>
      <c r="AA19" s="21"/>
      <c r="AB19" s="21"/>
      <c r="AC19" s="21"/>
      <c r="AD19" s="21"/>
      <c r="AE19" s="21"/>
      <c r="AG19" s="21"/>
    </row>
    <row r="20" spans="1:33">
      <c r="E20" s="21"/>
      <c r="H20" s="21"/>
      <c r="I20" s="21"/>
      <c r="J20" s="21"/>
      <c r="K20" s="21"/>
      <c r="L20" s="21"/>
      <c r="M20" s="21"/>
      <c r="N20" s="21"/>
      <c r="P20" s="21"/>
      <c r="Q20" s="21"/>
      <c r="T20" s="23"/>
      <c r="X20" s="21"/>
      <c r="Y20" s="21"/>
      <c r="AG20" s="21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  <pageSetup paperSize="9" orientation="portrait" verticalDpi="0"/>
    </customSheetView>
  </customSheetViews>
  <dataValidations count="15">
    <dataValidation type="list" allowBlank="1" showInputMessage="1" showErrorMessage="1" sqref="J2:J20" xr:uid="{00000000-0002-0000-0400-000000000000}">
      <formula1>israel_abroad</formula1>
    </dataValidation>
    <dataValidation type="list" allowBlank="1" showInputMessage="1" showErrorMessage="1" sqref="N2:N1048576" xr:uid="{00000000-0002-0000-0400-000001000000}">
      <formula1>Holding_interest</formula1>
    </dataValidation>
    <dataValidation type="list" allowBlank="1" showInputMessage="1" showErrorMessage="1" sqref="P2:P20" xr:uid="{00000000-0002-0000-0400-000002000000}">
      <formula1>Rating_Agency</formula1>
    </dataValidation>
    <dataValidation type="list" allowBlank="1" showInputMessage="1" showErrorMessage="1" sqref="Q2:Q20" xr:uid="{00000000-0002-0000-0400-000003000000}">
      <formula1>What_is_rated</formula1>
    </dataValidation>
    <dataValidation type="list" allowBlank="1" showInputMessage="1" showErrorMessage="1" sqref="AG9:AG20 AG2:AG6" xr:uid="{00000000-0002-0000-0400-000004000000}">
      <formula1>In_the_books</formula1>
    </dataValidation>
    <dataValidation type="list" allowBlank="1" showInputMessage="1" showErrorMessage="1" sqref="K2:K20" xr:uid="{00000000-0002-0000-0400-000005000000}">
      <formula1>Country_list</formula1>
    </dataValidation>
    <dataValidation type="list" allowBlank="1" showInputMessage="1" showErrorMessage="1" sqref="T2:T20" xr:uid="{00000000-0002-0000-0400-000006000000}">
      <formula1>Underlying_Interest_Rates</formula1>
    </dataValidation>
    <dataValidation type="list" allowBlank="1" showInputMessage="1" showErrorMessage="1" sqref="Y2:Y20" xr:uid="{00000000-0002-0000-0400-000007000000}">
      <formula1>Yes_No_Bad_Debt</formula1>
    </dataValidation>
    <dataValidation type="list" allowBlank="1" showInputMessage="1" showErrorMessage="1" sqref="X2:X20" xr:uid="{00000000-0002-0000-0400-000008000000}">
      <formula1>Subordination_Risk</formula1>
    </dataValidation>
    <dataValidation type="list" allowBlank="1" showInputMessage="1" showErrorMessage="1" sqref="E2:E20" xr:uid="{00000000-0002-0000-0400-000009000000}">
      <formula1>Issuer_Number_Type_2</formula1>
    </dataValidation>
    <dataValidation type="list" allowBlank="1" showInputMessage="1" showErrorMessage="1" sqref="H3:H20" xr:uid="{00000000-0002-0000-0400-00000A000000}">
      <formula1>Type_of_Security_ID_Fund</formula1>
    </dataValidation>
    <dataValidation type="list" allowBlank="1" showInputMessage="1" showErrorMessage="1" sqref="H2" xr:uid="{00000000-0002-0000-0400-00000B000000}">
      <formula1>Security_ID_Number_Type</formula1>
    </dataValidation>
    <dataValidation type="list" allowBlank="1" showInputMessage="1" showErrorMessage="1" sqref="M2:M20" xr:uid="{00000000-0002-0000-0400-00000C000000}">
      <formula1>Industry_Sector</formula1>
    </dataValidation>
    <dataValidation type="list" allowBlank="1" showInputMessage="1" showErrorMessage="1" sqref="L2:L20" xr:uid="{00000000-0002-0000-0400-00000D000000}">
      <formula1>Stock_Exchange</formula1>
    </dataValidation>
    <dataValidation type="list" allowBlank="1" showInputMessage="1" showErrorMessage="1" sqref="L21:L1048576" xr:uid="{00000000-0002-0000-0400-00000E000000}">
      <formula1>Stock_Exchange_Gov_Bonds</formula1>
    </dataValidation>
  </dataValidations>
  <pageMargins left="0.7" right="0.7" top="0.75" bottom="0.75" header="0.3" footer="0.3"/>
  <pageSetup paperSize="9"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400-00000F000000}">
          <x14:formula1>
            <xm:f>'אפשרויות בחירה'!$C$870:$C$873</xm:f>
          </x14:formula1>
          <xm:sqref>I2:I20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7"/>
  <dimension ref="A1:AJ23"/>
  <sheetViews>
    <sheetView rightToLeft="1" workbookViewId="0">
      <selection activeCell="A2" sqref="A2"/>
    </sheetView>
  </sheetViews>
  <sheetFormatPr defaultColWidth="0" defaultRowHeight="14.25"/>
  <cols>
    <col min="1" max="4" width="11.625" style="3" customWidth="1"/>
    <col min="5" max="5" width="11.625" style="5" customWidth="1"/>
    <col min="6" max="23" width="11.625" style="3" customWidth="1"/>
    <col min="24" max="25" width="11.625" style="5" customWidth="1"/>
    <col min="26" max="36" width="11.625" style="3" customWidth="1"/>
    <col min="37" max="37" width="11.625" style="3" hidden="1" customWidth="1"/>
    <col min="38" max="16384" width="11.625" style="3" hidden="1"/>
  </cols>
  <sheetData>
    <row r="1" spans="1:36" ht="51">
      <c r="A1" s="22" t="s">
        <v>0</v>
      </c>
      <c r="B1" s="22" t="s">
        <v>1</v>
      </c>
      <c r="C1" s="22" t="s">
        <v>2</v>
      </c>
      <c r="D1" s="22" t="s">
        <v>47</v>
      </c>
      <c r="E1" s="22" t="s">
        <v>48</v>
      </c>
      <c r="F1" s="22" t="s">
        <v>3</v>
      </c>
      <c r="G1" s="22" t="s">
        <v>4</v>
      </c>
      <c r="H1" s="22" t="s">
        <v>49</v>
      </c>
      <c r="I1" s="22" t="s">
        <v>5</v>
      </c>
      <c r="J1" s="22" t="s">
        <v>6</v>
      </c>
      <c r="K1" s="22" t="s">
        <v>7</v>
      </c>
      <c r="L1" s="22" t="s">
        <v>57</v>
      </c>
      <c r="M1" s="22" t="s">
        <v>8</v>
      </c>
      <c r="N1" s="22" t="s">
        <v>50</v>
      </c>
      <c r="O1" s="22" t="s">
        <v>51</v>
      </c>
      <c r="P1" s="22" t="s">
        <v>9</v>
      </c>
      <c r="Q1" s="22" t="s">
        <v>10</v>
      </c>
      <c r="R1" s="22" t="s">
        <v>52</v>
      </c>
      <c r="S1" s="22" t="s">
        <v>11</v>
      </c>
      <c r="T1" s="22" t="s">
        <v>12</v>
      </c>
      <c r="U1" s="22" t="s">
        <v>13</v>
      </c>
      <c r="V1" s="22" t="s">
        <v>14</v>
      </c>
      <c r="W1" s="22" t="s">
        <v>15</v>
      </c>
      <c r="X1" s="22" t="s">
        <v>54</v>
      </c>
      <c r="Y1" s="22" t="s">
        <v>55</v>
      </c>
      <c r="Z1" s="22" t="s">
        <v>17</v>
      </c>
      <c r="AA1" s="22" t="s">
        <v>18</v>
      </c>
      <c r="AB1" s="22" t="s">
        <v>19</v>
      </c>
      <c r="AC1" s="22" t="s">
        <v>16</v>
      </c>
      <c r="AD1" s="22" t="s">
        <v>20</v>
      </c>
      <c r="AE1" s="22" t="s">
        <v>21</v>
      </c>
      <c r="AF1" s="22" t="s">
        <v>56</v>
      </c>
      <c r="AG1" s="22" t="s">
        <v>22</v>
      </c>
      <c r="AH1" s="22" t="s">
        <v>23</v>
      </c>
      <c r="AI1" s="22" t="s">
        <v>24</v>
      </c>
      <c r="AJ1" s="22" t="s">
        <v>25</v>
      </c>
    </row>
    <row r="2" spans="1:36">
      <c r="B2" s="23"/>
      <c r="C2" s="23"/>
      <c r="D2" s="23"/>
      <c r="E2" s="21"/>
      <c r="F2" s="23"/>
      <c r="G2" s="23"/>
      <c r="H2" s="21"/>
      <c r="I2" s="40"/>
      <c r="J2" s="21"/>
      <c r="K2" s="21"/>
      <c r="L2" s="23"/>
      <c r="M2" s="21"/>
      <c r="N2" s="23"/>
      <c r="O2" s="23"/>
      <c r="P2" s="23"/>
      <c r="Q2" s="23"/>
      <c r="R2" s="23"/>
      <c r="S2" s="21"/>
      <c r="T2" s="23"/>
      <c r="U2" s="23"/>
      <c r="V2" s="23"/>
      <c r="W2" s="23"/>
      <c r="X2" s="21"/>
      <c r="Y2" s="31"/>
      <c r="Z2" s="23"/>
      <c r="AA2" s="23"/>
      <c r="AB2" s="23"/>
      <c r="AC2" s="23"/>
      <c r="AD2" s="23"/>
      <c r="AE2" s="23"/>
      <c r="AF2" s="40"/>
      <c r="AG2" s="21"/>
    </row>
    <row r="3" spans="1:36">
      <c r="A3" s="23"/>
      <c r="B3" s="23"/>
      <c r="C3" s="23"/>
      <c r="D3" s="23"/>
      <c r="E3" s="21"/>
      <c r="F3" s="23"/>
      <c r="G3" s="23"/>
      <c r="H3" s="21"/>
      <c r="I3" s="24"/>
      <c r="J3" s="21"/>
      <c r="K3" s="21"/>
      <c r="L3" s="23"/>
      <c r="M3" s="21"/>
      <c r="N3" s="23"/>
      <c r="O3" s="23"/>
      <c r="P3" s="23"/>
      <c r="Q3" s="23"/>
      <c r="R3" s="23"/>
      <c r="S3" s="21"/>
      <c r="T3" s="23"/>
      <c r="U3" s="23"/>
      <c r="V3" s="23"/>
      <c r="W3" s="23"/>
      <c r="X3" s="21"/>
      <c r="Y3" s="21"/>
      <c r="Z3" s="23"/>
      <c r="AA3" s="23"/>
      <c r="AB3" s="23"/>
      <c r="AC3" s="23"/>
      <c r="AD3" s="23"/>
      <c r="AE3" s="23"/>
      <c r="AG3" s="21"/>
    </row>
    <row r="4" spans="1:36">
      <c r="A4" s="23"/>
      <c r="B4" s="23"/>
      <c r="C4" s="23"/>
      <c r="D4" s="23"/>
      <c r="E4" s="21"/>
      <c r="F4" s="23"/>
      <c r="G4" s="23"/>
      <c r="H4" s="21"/>
      <c r="I4" s="24"/>
      <c r="J4" s="21"/>
      <c r="K4" s="21"/>
      <c r="L4" s="23"/>
      <c r="M4" s="21"/>
      <c r="N4" s="23"/>
      <c r="O4" s="23"/>
      <c r="P4" s="23"/>
      <c r="Q4" s="23"/>
      <c r="R4" s="23"/>
      <c r="S4" s="21"/>
      <c r="T4" s="23"/>
      <c r="U4" s="23"/>
      <c r="V4" s="23"/>
      <c r="W4" s="23"/>
      <c r="X4" s="21"/>
      <c r="Y4" s="21"/>
      <c r="Z4" s="23"/>
      <c r="AA4" s="23"/>
      <c r="AB4" s="23"/>
      <c r="AC4" s="23"/>
      <c r="AD4" s="23"/>
      <c r="AE4" s="23"/>
      <c r="AG4" s="21"/>
    </row>
    <row r="5" spans="1:36">
      <c r="A5" s="23"/>
      <c r="B5" s="23"/>
      <c r="C5" s="23"/>
      <c r="D5" s="23"/>
      <c r="E5" s="21"/>
      <c r="F5" s="23"/>
      <c r="G5" s="23"/>
      <c r="H5" s="21"/>
      <c r="I5" s="24"/>
      <c r="J5" s="21"/>
      <c r="K5" s="21"/>
      <c r="L5" s="23"/>
      <c r="M5" s="21"/>
      <c r="N5" s="23"/>
      <c r="O5" s="23"/>
      <c r="P5" s="23"/>
      <c r="Q5" s="23"/>
      <c r="R5" s="23"/>
      <c r="S5" s="21"/>
      <c r="T5" s="23"/>
      <c r="U5" s="23"/>
      <c r="V5" s="23"/>
      <c r="W5" s="23"/>
      <c r="X5" s="21"/>
      <c r="Y5" s="21"/>
      <c r="Z5" s="23"/>
      <c r="AA5" s="23"/>
      <c r="AB5" s="23"/>
      <c r="AC5" s="23"/>
      <c r="AD5" s="23"/>
      <c r="AE5" s="23"/>
      <c r="AG5" s="21"/>
    </row>
    <row r="6" spans="1:36">
      <c r="A6" s="23"/>
      <c r="B6" s="23"/>
      <c r="C6" s="23"/>
      <c r="D6" s="23"/>
      <c r="E6" s="21"/>
      <c r="F6" s="23"/>
      <c r="G6" s="23"/>
      <c r="H6" s="21"/>
      <c r="I6" s="24"/>
      <c r="J6" s="21"/>
      <c r="K6" s="21"/>
      <c r="L6" s="23"/>
      <c r="M6" s="21"/>
      <c r="N6" s="23"/>
      <c r="O6" s="23"/>
      <c r="P6" s="23"/>
      <c r="Q6" s="23"/>
      <c r="R6" s="23"/>
      <c r="S6" s="21"/>
      <c r="T6" s="23"/>
      <c r="U6" s="23"/>
      <c r="V6" s="23"/>
      <c r="W6" s="23"/>
      <c r="X6" s="21"/>
      <c r="Y6" s="21"/>
      <c r="AC6" s="23"/>
    </row>
    <row r="7" spans="1:36">
      <c r="A7" s="23"/>
      <c r="B7" s="23"/>
      <c r="C7" s="23"/>
      <c r="D7" s="23"/>
      <c r="E7" s="21"/>
      <c r="F7" s="23"/>
      <c r="G7" s="23"/>
      <c r="H7" s="21"/>
      <c r="I7" s="24"/>
      <c r="J7" s="21"/>
      <c r="K7" s="21"/>
      <c r="L7" s="23"/>
      <c r="M7" s="21"/>
      <c r="N7" s="23"/>
      <c r="O7" s="23"/>
      <c r="P7" s="23"/>
      <c r="Q7" s="23"/>
      <c r="R7" s="23"/>
      <c r="S7" s="21"/>
      <c r="T7" s="23"/>
      <c r="U7" s="23"/>
      <c r="V7" s="23"/>
      <c r="W7" s="23"/>
      <c r="X7" s="21"/>
      <c r="Y7" s="21"/>
      <c r="AC7" s="23"/>
    </row>
    <row r="8" spans="1:36">
      <c r="A8" s="23"/>
      <c r="B8" s="23"/>
      <c r="C8" s="23"/>
      <c r="D8" s="23"/>
      <c r="E8" s="21"/>
      <c r="F8" s="23"/>
      <c r="G8" s="23"/>
      <c r="H8" s="21"/>
      <c r="I8" s="24"/>
      <c r="J8" s="21"/>
      <c r="K8" s="21"/>
      <c r="L8" s="23"/>
      <c r="M8" s="21"/>
      <c r="N8" s="23"/>
      <c r="O8" s="23"/>
      <c r="P8" s="23"/>
      <c r="Q8" s="23"/>
      <c r="R8" s="23"/>
      <c r="S8" s="21"/>
      <c r="T8" s="23"/>
      <c r="U8" s="23"/>
      <c r="V8" s="23"/>
      <c r="W8" s="23"/>
      <c r="X8" s="21"/>
      <c r="Y8" s="21"/>
      <c r="Z8" s="23"/>
      <c r="AA8" s="23"/>
      <c r="AB8" s="23"/>
      <c r="AC8" s="23"/>
      <c r="AD8" s="23"/>
      <c r="AE8" s="23"/>
      <c r="AG8" s="21"/>
    </row>
    <row r="9" spans="1:36">
      <c r="A9" s="23"/>
      <c r="B9" s="23"/>
      <c r="C9" s="23"/>
      <c r="D9" s="23"/>
      <c r="E9" s="21"/>
      <c r="F9" s="23"/>
      <c r="G9" s="23"/>
      <c r="H9" s="21"/>
      <c r="I9" s="24"/>
      <c r="J9" s="21"/>
      <c r="K9" s="21"/>
      <c r="L9" s="23"/>
      <c r="M9" s="21"/>
      <c r="N9" s="23"/>
      <c r="O9" s="23"/>
      <c r="P9" s="23"/>
      <c r="Q9" s="23"/>
      <c r="R9" s="23"/>
      <c r="S9" s="21"/>
      <c r="T9" s="23"/>
      <c r="U9" s="23"/>
      <c r="V9" s="23"/>
      <c r="W9" s="23"/>
      <c r="X9" s="21"/>
      <c r="Y9" s="21"/>
      <c r="Z9" s="23"/>
      <c r="AA9" s="23"/>
      <c r="AB9" s="23"/>
      <c r="AC9" s="23"/>
      <c r="AD9" s="23"/>
      <c r="AE9" s="23"/>
      <c r="AG9" s="21"/>
    </row>
    <row r="10" spans="1:36">
      <c r="A10" s="23"/>
      <c r="B10" s="23"/>
      <c r="C10" s="23"/>
      <c r="D10" s="23"/>
      <c r="E10" s="21"/>
      <c r="F10" s="23"/>
      <c r="G10" s="23"/>
      <c r="H10" s="21"/>
      <c r="I10" s="24"/>
      <c r="J10" s="21"/>
      <c r="K10" s="21"/>
      <c r="L10" s="23"/>
      <c r="M10" s="21"/>
      <c r="N10" s="23"/>
      <c r="O10" s="23"/>
      <c r="P10" s="23"/>
      <c r="Q10" s="23"/>
      <c r="R10" s="23"/>
      <c r="S10" s="21"/>
      <c r="T10" s="23"/>
      <c r="U10" s="23"/>
      <c r="V10" s="23"/>
      <c r="W10" s="23"/>
      <c r="X10" s="21"/>
      <c r="Y10" s="21"/>
      <c r="Z10" s="23"/>
      <c r="AA10" s="23"/>
      <c r="AB10" s="23"/>
      <c r="AC10" s="23"/>
      <c r="AD10" s="23"/>
      <c r="AE10" s="23"/>
      <c r="AG10" s="21"/>
    </row>
    <row r="11" spans="1:36">
      <c r="A11" s="23"/>
      <c r="B11" s="23"/>
      <c r="C11" s="23"/>
      <c r="D11" s="23"/>
      <c r="E11" s="21"/>
      <c r="F11" s="23"/>
      <c r="G11" s="23"/>
      <c r="H11" s="21"/>
      <c r="I11" s="24"/>
      <c r="J11" s="21"/>
      <c r="K11" s="21"/>
      <c r="L11" s="23"/>
      <c r="M11" s="21"/>
      <c r="N11" s="23"/>
      <c r="O11" s="23"/>
      <c r="P11" s="23"/>
      <c r="Q11" s="23"/>
      <c r="R11" s="23"/>
      <c r="S11" s="21"/>
      <c r="T11" s="23"/>
      <c r="U11" s="23"/>
      <c r="V11" s="23"/>
      <c r="W11" s="23"/>
      <c r="X11" s="21"/>
      <c r="Y11" s="21"/>
      <c r="Z11" s="23"/>
      <c r="AA11" s="23"/>
      <c r="AB11" s="23"/>
      <c r="AC11" s="23"/>
      <c r="AD11" s="23"/>
      <c r="AE11" s="23"/>
      <c r="AG11" s="21"/>
    </row>
    <row r="12" spans="1:36">
      <c r="A12" s="23"/>
      <c r="B12" s="23"/>
      <c r="C12" s="23"/>
      <c r="D12" s="23"/>
      <c r="E12" s="21"/>
      <c r="F12" s="23"/>
      <c r="G12" s="23"/>
      <c r="H12" s="21"/>
      <c r="I12" s="24"/>
      <c r="J12" s="21"/>
      <c r="K12" s="21"/>
      <c r="L12" s="23"/>
      <c r="M12" s="21"/>
      <c r="N12" s="23"/>
      <c r="O12" s="23"/>
      <c r="P12" s="23"/>
      <c r="Q12" s="23"/>
      <c r="R12" s="23"/>
      <c r="S12" s="21"/>
      <c r="T12" s="23"/>
      <c r="U12" s="23"/>
      <c r="V12" s="23"/>
      <c r="W12" s="23"/>
      <c r="X12" s="21"/>
      <c r="Y12" s="21"/>
      <c r="Z12" s="23"/>
      <c r="AA12" s="23"/>
      <c r="AB12" s="23"/>
      <c r="AC12" s="23"/>
      <c r="AD12" s="23"/>
      <c r="AE12" s="23"/>
      <c r="AG12" s="21"/>
    </row>
    <row r="13" spans="1:36">
      <c r="A13" s="23"/>
      <c r="B13" s="23"/>
      <c r="C13" s="23"/>
      <c r="D13" s="23"/>
      <c r="E13" s="21"/>
      <c r="F13" s="23"/>
      <c r="G13" s="23"/>
      <c r="H13" s="21"/>
      <c r="I13" s="24"/>
      <c r="J13" s="21"/>
      <c r="K13" s="21"/>
      <c r="L13" s="23"/>
      <c r="M13" s="21"/>
      <c r="N13" s="23"/>
      <c r="O13" s="23"/>
      <c r="P13" s="23"/>
      <c r="Q13" s="23"/>
      <c r="R13" s="23"/>
      <c r="S13" s="21"/>
      <c r="T13" s="23"/>
      <c r="U13" s="23"/>
      <c r="V13" s="23"/>
      <c r="W13" s="23"/>
      <c r="X13" s="21"/>
      <c r="Y13" s="21"/>
      <c r="Z13" s="23"/>
      <c r="AA13" s="23"/>
      <c r="AB13" s="23"/>
      <c r="AC13" s="23"/>
      <c r="AD13" s="23"/>
      <c r="AE13" s="23"/>
      <c r="AG13" s="21"/>
    </row>
    <row r="14" spans="1:36">
      <c r="A14" s="23"/>
      <c r="B14" s="23"/>
      <c r="C14" s="23"/>
      <c r="D14" s="23"/>
      <c r="E14" s="21"/>
      <c r="F14" s="23"/>
      <c r="G14" s="23"/>
      <c r="H14" s="21"/>
      <c r="I14" s="24"/>
      <c r="J14" s="21"/>
      <c r="K14" s="21"/>
      <c r="L14" s="23"/>
      <c r="M14" s="21"/>
      <c r="N14" s="23"/>
      <c r="O14" s="23"/>
      <c r="P14" s="23"/>
      <c r="Q14" s="23"/>
      <c r="R14" s="23"/>
      <c r="S14" s="21"/>
      <c r="T14" s="23"/>
      <c r="U14" s="23"/>
      <c r="V14" s="23"/>
      <c r="W14" s="23"/>
      <c r="X14" s="21"/>
      <c r="Y14" s="21"/>
      <c r="Z14" s="23"/>
      <c r="AA14" s="23"/>
      <c r="AB14" s="23"/>
      <c r="AC14" s="23"/>
      <c r="AD14" s="23"/>
      <c r="AE14" s="23"/>
      <c r="AG14" s="21"/>
    </row>
    <row r="15" spans="1:36">
      <c r="A15" s="23"/>
      <c r="B15" s="23"/>
      <c r="C15" s="23"/>
      <c r="D15" s="23"/>
      <c r="E15" s="21"/>
      <c r="F15" s="23"/>
      <c r="G15" s="23"/>
      <c r="H15" s="21"/>
      <c r="I15" s="24"/>
      <c r="J15" s="21"/>
      <c r="K15" s="21"/>
      <c r="L15" s="23"/>
      <c r="M15" s="21"/>
      <c r="N15" s="23"/>
      <c r="O15" s="23"/>
      <c r="P15" s="23"/>
      <c r="Q15" s="23"/>
      <c r="R15" s="23"/>
      <c r="S15" s="21"/>
      <c r="T15" s="23"/>
      <c r="U15" s="23"/>
      <c r="V15" s="23"/>
      <c r="W15" s="23"/>
      <c r="X15" s="21"/>
      <c r="Y15" s="21"/>
      <c r="Z15" s="23"/>
      <c r="AA15" s="23"/>
      <c r="AB15" s="23"/>
      <c r="AC15" s="23"/>
      <c r="AD15" s="23"/>
      <c r="AE15" s="23"/>
      <c r="AG15" s="21"/>
    </row>
    <row r="16" spans="1:36">
      <c r="A16" s="23"/>
      <c r="B16" s="23"/>
      <c r="C16" s="23"/>
      <c r="D16" s="23"/>
      <c r="E16" s="21"/>
      <c r="F16" s="23"/>
      <c r="G16" s="23"/>
      <c r="H16" s="21"/>
      <c r="I16" s="24"/>
      <c r="J16" s="21"/>
      <c r="K16" s="21"/>
      <c r="L16" s="23"/>
      <c r="M16" s="21"/>
      <c r="N16" s="23"/>
      <c r="O16" s="23"/>
      <c r="P16" s="23"/>
      <c r="Q16" s="23"/>
      <c r="R16" s="23"/>
      <c r="S16" s="21"/>
      <c r="T16" s="23"/>
      <c r="U16" s="23"/>
      <c r="V16" s="23"/>
      <c r="W16" s="23"/>
      <c r="X16" s="21"/>
      <c r="Y16" s="21"/>
      <c r="Z16" s="23"/>
      <c r="AA16" s="23"/>
      <c r="AB16" s="23"/>
      <c r="AC16" s="23"/>
      <c r="AD16" s="23"/>
      <c r="AE16" s="23"/>
      <c r="AG16" s="21"/>
    </row>
    <row r="17" spans="1:33">
      <c r="A17" s="23"/>
      <c r="B17" s="23"/>
      <c r="C17" s="23"/>
      <c r="D17" s="23"/>
      <c r="E17" s="21"/>
      <c r="F17" s="23"/>
      <c r="G17" s="23"/>
      <c r="H17" s="21"/>
      <c r="I17" s="24"/>
      <c r="J17" s="21"/>
      <c r="K17" s="21"/>
      <c r="L17" s="23"/>
      <c r="M17" s="21"/>
      <c r="N17" s="23"/>
      <c r="O17" s="23"/>
      <c r="P17" s="23"/>
      <c r="Q17" s="23"/>
      <c r="R17" s="23"/>
      <c r="S17" s="21"/>
      <c r="T17" s="23"/>
      <c r="U17" s="23"/>
      <c r="V17" s="23"/>
      <c r="W17" s="23"/>
      <c r="X17" s="21"/>
      <c r="Y17" s="21"/>
      <c r="Z17" s="23"/>
      <c r="AA17" s="23"/>
      <c r="AB17" s="23"/>
      <c r="AC17" s="23"/>
      <c r="AD17" s="23"/>
      <c r="AE17" s="23"/>
      <c r="AG17" s="21"/>
    </row>
    <row r="18" spans="1:33">
      <c r="A18" s="23"/>
      <c r="B18" s="23"/>
      <c r="C18" s="23"/>
      <c r="D18" s="23"/>
      <c r="E18" s="21"/>
      <c r="F18" s="23"/>
      <c r="G18" s="23"/>
      <c r="H18" s="21"/>
      <c r="I18" s="24"/>
      <c r="J18" s="21"/>
      <c r="K18" s="21"/>
      <c r="L18" s="23"/>
      <c r="M18" s="21"/>
      <c r="N18" s="23"/>
      <c r="O18" s="23"/>
      <c r="P18" s="23"/>
      <c r="Q18" s="23"/>
      <c r="R18" s="23"/>
      <c r="S18" s="21"/>
      <c r="T18" s="23"/>
      <c r="U18" s="23"/>
      <c r="V18" s="23"/>
      <c r="W18" s="23"/>
      <c r="X18" s="21"/>
      <c r="Y18" s="21"/>
      <c r="Z18" s="23"/>
      <c r="AA18" s="23"/>
      <c r="AB18" s="23"/>
      <c r="AC18" s="23"/>
      <c r="AD18" s="23"/>
      <c r="AE18" s="23"/>
      <c r="AG18" s="21"/>
    </row>
    <row r="19" spans="1:33">
      <c r="A19" s="23"/>
      <c r="B19" s="23"/>
      <c r="C19" s="23"/>
      <c r="D19" s="23"/>
      <c r="E19" s="21"/>
      <c r="F19" s="23"/>
      <c r="G19" s="23"/>
      <c r="H19" s="21"/>
      <c r="I19" s="24"/>
      <c r="J19" s="21"/>
      <c r="K19" s="21"/>
      <c r="L19" s="23"/>
      <c r="M19" s="21"/>
      <c r="N19" s="23"/>
      <c r="O19" s="23"/>
      <c r="P19" s="23"/>
      <c r="Q19" s="23"/>
      <c r="R19" s="23"/>
      <c r="S19" s="21"/>
      <c r="T19" s="23"/>
      <c r="U19" s="23"/>
      <c r="V19" s="23"/>
      <c r="W19" s="23"/>
      <c r="X19" s="21"/>
      <c r="Y19" s="21"/>
      <c r="Z19" s="23"/>
      <c r="AA19" s="23"/>
      <c r="AB19" s="23"/>
      <c r="AC19" s="23"/>
      <c r="AD19" s="23"/>
      <c r="AE19" s="23"/>
      <c r="AG19" s="21"/>
    </row>
    <row r="20" spans="1:33">
      <c r="E20" s="21"/>
      <c r="H20" s="21"/>
      <c r="I20" s="24"/>
      <c r="J20" s="21"/>
      <c r="K20" s="21"/>
      <c r="L20" s="23"/>
      <c r="M20" s="21"/>
      <c r="N20" s="23"/>
      <c r="O20" s="23"/>
      <c r="Q20" s="23"/>
      <c r="R20" s="23"/>
      <c r="X20" s="21"/>
      <c r="Y20" s="21"/>
    </row>
    <row r="21" spans="1:33" s="42" customFormat="1">
      <c r="E21" s="45"/>
      <c r="H21" s="45"/>
      <c r="M21" s="45"/>
      <c r="X21" s="45"/>
      <c r="Y21" s="45"/>
    </row>
    <row r="22" spans="1:33">
      <c r="H22" s="5"/>
      <c r="M22" s="5"/>
    </row>
    <row r="23" spans="1:33">
      <c r="H23" s="5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4">
    <dataValidation type="list" allowBlank="1" showInputMessage="1" showErrorMessage="1" sqref="J2:J20" xr:uid="{00000000-0002-0000-0500-000000000000}">
      <formula1>israel_abroad</formula1>
    </dataValidation>
    <dataValidation type="list" allowBlank="1" showInputMessage="1" showErrorMessage="1" sqref="O2:O20" xr:uid="{00000000-0002-0000-0500-000001000000}">
      <formula1>Holding_interest</formula1>
    </dataValidation>
    <dataValidation type="list" allowBlank="1" showInputMessage="1" showErrorMessage="1" sqref="Q2:Q20" xr:uid="{00000000-0002-0000-0500-000002000000}">
      <formula1>Rating_Agency</formula1>
    </dataValidation>
    <dataValidation type="list" allowBlank="1" showInputMessage="1" showErrorMessage="1" sqref="R2:R20" xr:uid="{00000000-0002-0000-0500-000003000000}">
      <formula1>What_is_rated</formula1>
    </dataValidation>
    <dataValidation type="list" allowBlank="1" showInputMessage="1" showErrorMessage="1" sqref="X2:X20" xr:uid="{00000000-0002-0000-0500-000004000000}">
      <formula1>Subordination_Risk</formula1>
    </dataValidation>
    <dataValidation type="list" allowBlank="1" showInputMessage="1" showErrorMessage="1" sqref="AG2:AG5 AG8:AG19" xr:uid="{00000000-0002-0000-0500-000005000000}">
      <formula1>In_the_books</formula1>
    </dataValidation>
    <dataValidation type="list" allowBlank="1" showInputMessage="1" showErrorMessage="1" sqref="K2:K20" xr:uid="{00000000-0002-0000-0500-000006000000}">
      <formula1>Country_list</formula1>
    </dataValidation>
    <dataValidation type="list" allowBlank="1" showInputMessage="1" showErrorMessage="1" sqref="Y2:Y20" xr:uid="{00000000-0002-0000-0500-000007000000}">
      <formula1>Yes_No_Bad_Debt</formula1>
    </dataValidation>
    <dataValidation type="list" allowBlank="1" showInputMessage="1" showErrorMessage="1" sqref="H3:H20" xr:uid="{00000000-0002-0000-0500-000008000000}">
      <formula1>Type_of_Security_ID_Fund</formula1>
    </dataValidation>
    <dataValidation type="list" allowBlank="1" showInputMessage="1" showErrorMessage="1" sqref="E2:E20" xr:uid="{00000000-0002-0000-0500-000009000000}">
      <formula1>Issuer_Number_Type_2</formula1>
    </dataValidation>
    <dataValidation type="list" allowBlank="1" showInputMessage="1" showErrorMessage="1" sqref="H2" xr:uid="{00000000-0002-0000-0500-00000A000000}">
      <formula1>Security_ID_Number_Type</formula1>
    </dataValidation>
    <dataValidation type="list" allowBlank="1" showInputMessage="1" showErrorMessage="1" sqref="N2:N20" xr:uid="{00000000-0002-0000-0500-00000B000000}">
      <formula1>Industry_Sector</formula1>
    </dataValidation>
    <dataValidation type="list" allowBlank="1" showInputMessage="1" showErrorMessage="1" sqref="L2:L20" xr:uid="{00000000-0002-0000-0500-00000C000000}">
      <formula1>Tradeable_Status</formula1>
    </dataValidation>
    <dataValidation type="list" allowBlank="1" showInputMessage="1" showErrorMessage="1" sqref="M2:M20" xr:uid="{00000000-0002-0000-0500-00000D000000}">
      <formula1>Stock_Exchange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E000000}">
          <x14:formula1>
            <xm:f>'אפשרויות בחירה'!$C$874:$C$883</xm:f>
          </x14:formula1>
          <xm:sqref>I2:I20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8"/>
  <dimension ref="A1:Z22"/>
  <sheetViews>
    <sheetView rightToLeft="1" workbookViewId="0">
      <selection activeCell="A2" sqref="A2"/>
    </sheetView>
  </sheetViews>
  <sheetFormatPr defaultColWidth="0" defaultRowHeight="14.25"/>
  <cols>
    <col min="1" max="11" width="11.625" style="5" customWidth="1"/>
    <col min="12" max="13" width="11.625" style="3" customWidth="1"/>
    <col min="14" max="19" width="11.625" style="5" customWidth="1"/>
    <col min="20" max="20" width="11.625" style="3" customWidth="1"/>
    <col min="21" max="24" width="11.625" style="5" customWidth="1"/>
    <col min="25" max="26" width="11.625" style="5" hidden="1" customWidth="1"/>
    <col min="27" max="27" width="9" style="5" hidden="1" customWidth="1"/>
    <col min="28" max="16384" width="9" style="5" hidden="1"/>
  </cols>
  <sheetData>
    <row r="1" spans="1:24" ht="51">
      <c r="A1" s="22" t="s">
        <v>0</v>
      </c>
      <c r="B1" s="22" t="s">
        <v>1</v>
      </c>
      <c r="C1" s="22" t="s">
        <v>2</v>
      </c>
      <c r="D1" s="22" t="s">
        <v>47</v>
      </c>
      <c r="E1" s="22" t="s">
        <v>48</v>
      </c>
      <c r="F1" s="22" t="s">
        <v>3</v>
      </c>
      <c r="G1" s="22" t="s">
        <v>4</v>
      </c>
      <c r="H1" s="22" t="s">
        <v>49</v>
      </c>
      <c r="I1" s="22" t="s">
        <v>5</v>
      </c>
      <c r="J1" s="22" t="s">
        <v>6</v>
      </c>
      <c r="K1" s="22" t="s">
        <v>7</v>
      </c>
      <c r="L1" s="22" t="s">
        <v>57</v>
      </c>
      <c r="M1" s="22" t="s">
        <v>8</v>
      </c>
      <c r="N1" s="22" t="s">
        <v>50</v>
      </c>
      <c r="O1" s="22" t="s">
        <v>51</v>
      </c>
      <c r="P1" s="22" t="s">
        <v>11</v>
      </c>
      <c r="Q1" s="22" t="s">
        <v>17</v>
      </c>
      <c r="R1" s="22" t="s">
        <v>18</v>
      </c>
      <c r="S1" s="22" t="s">
        <v>19</v>
      </c>
      <c r="T1" s="22" t="s">
        <v>16</v>
      </c>
      <c r="U1" s="22" t="s">
        <v>20</v>
      </c>
      <c r="V1" s="22" t="s">
        <v>23</v>
      </c>
      <c r="W1" s="22" t="s">
        <v>24</v>
      </c>
      <c r="X1" s="22" t="s">
        <v>25</v>
      </c>
    </row>
    <row r="2" spans="1:24">
      <c r="A2" s="21"/>
      <c r="B2" s="21"/>
      <c r="C2" s="21"/>
      <c r="D2" s="21"/>
      <c r="E2" s="21"/>
      <c r="F2" s="21"/>
      <c r="G2" s="21"/>
      <c r="H2" s="21"/>
      <c r="I2" s="21"/>
      <c r="J2" s="21"/>
      <c r="K2" s="21"/>
      <c r="L2" s="23"/>
      <c r="M2" s="21"/>
      <c r="N2" s="23"/>
      <c r="O2" s="23"/>
      <c r="P2" s="21"/>
      <c r="Q2" s="21"/>
      <c r="R2" s="21"/>
      <c r="S2" s="21"/>
      <c r="T2" s="23"/>
      <c r="U2" s="21"/>
      <c r="V2" s="21"/>
      <c r="W2" s="21"/>
      <c r="X2" s="21"/>
    </row>
    <row r="3" spans="1:24">
      <c r="A3" s="21"/>
      <c r="B3" s="21"/>
      <c r="C3" s="21"/>
      <c r="D3" s="21"/>
      <c r="E3" s="21"/>
      <c r="F3" s="21"/>
      <c r="G3" s="21"/>
      <c r="H3" s="21"/>
      <c r="I3" s="21"/>
      <c r="J3" s="21"/>
      <c r="K3" s="21"/>
      <c r="L3" s="23"/>
      <c r="M3" s="21"/>
      <c r="N3" s="23"/>
      <c r="O3" s="23"/>
      <c r="P3" s="21"/>
      <c r="Q3" s="21"/>
      <c r="R3" s="21"/>
      <c r="S3" s="21"/>
      <c r="T3" s="23"/>
      <c r="U3" s="21"/>
      <c r="V3" s="21"/>
      <c r="W3" s="21"/>
      <c r="X3" s="21"/>
    </row>
    <row r="4" spans="1:24">
      <c r="A4" s="21"/>
      <c r="B4" s="21"/>
      <c r="C4" s="21"/>
      <c r="D4" s="21"/>
      <c r="E4" s="21"/>
      <c r="F4" s="21"/>
      <c r="G4" s="21"/>
      <c r="H4" s="21"/>
      <c r="I4" s="21"/>
      <c r="J4" s="21"/>
      <c r="K4" s="21"/>
      <c r="L4" s="23"/>
      <c r="M4" s="21"/>
      <c r="N4" s="23"/>
      <c r="O4" s="23"/>
      <c r="P4" s="21"/>
      <c r="Q4" s="21"/>
      <c r="R4" s="21"/>
      <c r="S4" s="21"/>
      <c r="T4" s="23"/>
      <c r="U4" s="21"/>
      <c r="V4" s="21"/>
      <c r="W4" s="21"/>
      <c r="X4" s="21"/>
    </row>
    <row r="5" spans="1:24">
      <c r="A5" s="21"/>
      <c r="B5" s="21"/>
      <c r="C5" s="21"/>
      <c r="D5" s="21"/>
      <c r="E5" s="21"/>
      <c r="F5" s="21"/>
      <c r="G5" s="21"/>
      <c r="H5" s="21"/>
      <c r="I5" s="21"/>
      <c r="J5" s="21"/>
      <c r="K5" s="21"/>
      <c r="L5" s="23"/>
      <c r="M5" s="21"/>
      <c r="N5" s="23"/>
      <c r="O5" s="23"/>
      <c r="P5" s="21"/>
      <c r="Q5" s="21"/>
      <c r="R5" s="21"/>
      <c r="S5" s="21"/>
      <c r="T5" s="23"/>
      <c r="U5" s="21"/>
      <c r="V5" s="21"/>
      <c r="W5" s="21"/>
      <c r="X5" s="21"/>
    </row>
    <row r="6" spans="1:24">
      <c r="A6" s="21"/>
      <c r="B6" s="21"/>
      <c r="C6" s="21"/>
      <c r="D6" s="21"/>
      <c r="E6" s="21"/>
      <c r="F6" s="21"/>
      <c r="G6" s="21"/>
      <c r="H6" s="21"/>
      <c r="I6" s="21"/>
      <c r="J6" s="21"/>
      <c r="K6" s="21"/>
      <c r="L6" s="23"/>
      <c r="M6" s="21"/>
      <c r="N6" s="23"/>
      <c r="O6" s="23"/>
      <c r="P6" s="21"/>
      <c r="Q6" s="21"/>
      <c r="R6" s="21"/>
      <c r="S6" s="21"/>
      <c r="T6" s="23"/>
      <c r="U6" s="21"/>
      <c r="V6" s="21"/>
      <c r="W6" s="21"/>
      <c r="X6" s="21"/>
    </row>
    <row r="7" spans="1:24">
      <c r="A7" s="21"/>
      <c r="B7" s="21"/>
      <c r="C7" s="21"/>
      <c r="D7" s="21"/>
      <c r="E7" s="21"/>
      <c r="F7" s="21"/>
      <c r="G7" s="21"/>
      <c r="H7" s="21"/>
      <c r="I7" s="21"/>
      <c r="J7" s="21"/>
      <c r="K7" s="21"/>
      <c r="L7" s="23"/>
      <c r="M7" s="21"/>
      <c r="N7" s="23"/>
      <c r="O7" s="23"/>
      <c r="P7" s="21"/>
      <c r="Q7" s="21"/>
      <c r="R7" s="21"/>
      <c r="S7" s="21"/>
      <c r="T7" s="23"/>
      <c r="U7" s="21"/>
      <c r="V7" s="21"/>
      <c r="W7" s="21"/>
      <c r="X7" s="21"/>
    </row>
    <row r="8" spans="1:24">
      <c r="A8" s="21"/>
      <c r="B8" s="21"/>
      <c r="C8" s="21"/>
      <c r="D8" s="21"/>
      <c r="E8" s="21"/>
      <c r="F8" s="21"/>
      <c r="G8" s="21"/>
      <c r="H8" s="21"/>
      <c r="I8" s="21"/>
      <c r="J8" s="21"/>
      <c r="K8" s="21"/>
      <c r="L8" s="23"/>
      <c r="M8" s="21"/>
      <c r="N8" s="23"/>
      <c r="O8" s="23"/>
      <c r="P8" s="21"/>
      <c r="Q8" s="21"/>
      <c r="R8" s="21"/>
      <c r="S8" s="21"/>
      <c r="T8" s="23"/>
      <c r="U8" s="21"/>
      <c r="V8" s="21"/>
      <c r="W8" s="21"/>
      <c r="X8" s="21"/>
    </row>
    <row r="9" spans="1:24">
      <c r="A9" s="21"/>
      <c r="B9" s="21"/>
      <c r="C9" s="21"/>
      <c r="D9" s="21"/>
      <c r="E9" s="21"/>
      <c r="F9" s="21"/>
      <c r="G9" s="21"/>
      <c r="H9" s="21"/>
      <c r="I9" s="21"/>
      <c r="J9" s="21"/>
      <c r="K9" s="21"/>
      <c r="L9" s="23"/>
      <c r="M9" s="21"/>
      <c r="N9" s="23"/>
      <c r="O9" s="23"/>
      <c r="P9" s="21"/>
      <c r="Q9" s="21"/>
      <c r="R9" s="21"/>
      <c r="S9" s="21"/>
      <c r="T9" s="23"/>
      <c r="U9" s="21"/>
      <c r="V9" s="21"/>
      <c r="W9" s="21"/>
      <c r="X9" s="21"/>
    </row>
    <row r="10" spans="1:24">
      <c r="A10" s="21"/>
      <c r="B10" s="21"/>
      <c r="C10" s="21"/>
      <c r="D10" s="21"/>
      <c r="E10" s="21"/>
      <c r="F10" s="21"/>
      <c r="G10" s="21"/>
      <c r="H10" s="21"/>
      <c r="I10" s="21"/>
      <c r="J10" s="21"/>
      <c r="K10" s="21"/>
      <c r="L10" s="23"/>
      <c r="M10" s="21"/>
      <c r="N10" s="23"/>
      <c r="O10" s="23"/>
      <c r="P10" s="21"/>
      <c r="Q10" s="21"/>
      <c r="R10" s="21"/>
      <c r="S10" s="21"/>
      <c r="T10" s="23"/>
      <c r="U10" s="21"/>
      <c r="V10" s="21"/>
      <c r="W10" s="21"/>
      <c r="X10" s="21"/>
    </row>
    <row r="11" spans="1:24">
      <c r="A11" s="21"/>
      <c r="B11" s="21"/>
      <c r="C11" s="21"/>
      <c r="D11" s="21"/>
      <c r="E11" s="21"/>
      <c r="F11" s="21"/>
      <c r="G11" s="21"/>
      <c r="H11" s="21"/>
      <c r="I11" s="21"/>
      <c r="J11" s="21"/>
      <c r="K11" s="21"/>
      <c r="L11" s="23"/>
      <c r="M11" s="21"/>
      <c r="N11" s="23"/>
      <c r="O11" s="23"/>
      <c r="P11" s="21"/>
      <c r="Q11" s="21"/>
      <c r="R11" s="21"/>
      <c r="S11" s="21"/>
      <c r="T11" s="23"/>
      <c r="U11" s="21"/>
      <c r="V11" s="21"/>
      <c r="W11" s="21"/>
      <c r="X11" s="21"/>
    </row>
    <row r="12" spans="1:24">
      <c r="A12" s="21"/>
      <c r="B12" s="21"/>
      <c r="C12" s="21"/>
      <c r="D12" s="21"/>
      <c r="E12" s="21"/>
      <c r="F12" s="21"/>
      <c r="G12" s="21"/>
      <c r="H12" s="21"/>
      <c r="I12" s="21"/>
      <c r="J12" s="21"/>
      <c r="K12" s="21"/>
      <c r="L12" s="23"/>
      <c r="M12" s="21"/>
      <c r="N12" s="23"/>
      <c r="O12" s="23"/>
      <c r="P12" s="21"/>
      <c r="Q12" s="21"/>
      <c r="R12" s="21"/>
      <c r="S12" s="21"/>
      <c r="T12" s="23"/>
      <c r="U12" s="21"/>
      <c r="V12" s="21"/>
      <c r="W12" s="21"/>
      <c r="X12" s="21"/>
    </row>
    <row r="13" spans="1:24">
      <c r="A13" s="21"/>
      <c r="B13" s="21"/>
      <c r="C13" s="21"/>
      <c r="D13" s="21"/>
      <c r="E13" s="21"/>
      <c r="F13" s="21"/>
      <c r="G13" s="21"/>
      <c r="H13" s="21"/>
      <c r="I13" s="21"/>
      <c r="J13" s="21"/>
      <c r="K13" s="21"/>
      <c r="L13" s="23"/>
      <c r="M13" s="21"/>
      <c r="N13" s="23"/>
      <c r="O13" s="23"/>
      <c r="P13" s="21"/>
      <c r="Q13" s="21"/>
      <c r="R13" s="21"/>
      <c r="S13" s="21"/>
      <c r="T13" s="23"/>
      <c r="U13" s="21"/>
      <c r="V13" s="21"/>
      <c r="W13" s="21"/>
      <c r="X13" s="21"/>
    </row>
    <row r="14" spans="1:24">
      <c r="A14" s="21"/>
      <c r="B14" s="21"/>
      <c r="C14" s="21"/>
      <c r="D14" s="21"/>
      <c r="E14" s="21"/>
      <c r="F14" s="21"/>
      <c r="G14" s="21"/>
      <c r="H14" s="21"/>
      <c r="I14" s="21"/>
      <c r="J14" s="21"/>
      <c r="K14" s="21"/>
      <c r="L14" s="23"/>
      <c r="M14" s="21"/>
      <c r="N14" s="23"/>
      <c r="O14" s="23"/>
      <c r="P14" s="21"/>
      <c r="Q14" s="21"/>
      <c r="R14" s="21"/>
      <c r="S14" s="21"/>
      <c r="T14" s="23"/>
      <c r="U14" s="21"/>
      <c r="V14" s="21"/>
      <c r="W14" s="21"/>
      <c r="X14" s="21"/>
    </row>
    <row r="15" spans="1:24">
      <c r="A15" s="21"/>
      <c r="B15" s="21"/>
      <c r="C15" s="21"/>
      <c r="D15" s="21"/>
      <c r="E15" s="21"/>
      <c r="F15" s="21"/>
      <c r="G15" s="21"/>
      <c r="H15" s="21"/>
      <c r="I15" s="21"/>
      <c r="J15" s="21"/>
      <c r="K15" s="21"/>
      <c r="L15" s="23"/>
      <c r="M15" s="21"/>
      <c r="N15" s="23"/>
      <c r="O15" s="23"/>
      <c r="P15" s="21"/>
      <c r="Q15" s="21"/>
      <c r="R15" s="21"/>
      <c r="S15" s="21"/>
      <c r="T15" s="23"/>
      <c r="U15" s="21"/>
      <c r="V15" s="21"/>
      <c r="W15" s="21"/>
      <c r="X15" s="21"/>
    </row>
    <row r="16" spans="1:24">
      <c r="A16" s="21"/>
      <c r="B16" s="21"/>
      <c r="C16" s="21"/>
      <c r="D16" s="21"/>
      <c r="E16" s="21"/>
      <c r="F16" s="21"/>
      <c r="G16" s="21"/>
      <c r="H16" s="21"/>
      <c r="I16" s="21"/>
      <c r="J16" s="21"/>
      <c r="K16" s="21"/>
      <c r="L16" s="23"/>
      <c r="M16" s="21"/>
      <c r="N16" s="23"/>
      <c r="O16" s="23"/>
      <c r="P16" s="21"/>
      <c r="Q16" s="21"/>
      <c r="R16" s="21"/>
      <c r="S16" s="21"/>
      <c r="T16" s="23"/>
      <c r="U16" s="21"/>
      <c r="V16" s="21"/>
      <c r="W16" s="21"/>
      <c r="X16" s="21"/>
    </row>
    <row r="17" spans="1:24">
      <c r="A17" s="21"/>
      <c r="B17" s="21"/>
      <c r="C17" s="21"/>
      <c r="D17" s="21"/>
      <c r="E17" s="21"/>
      <c r="F17" s="21"/>
      <c r="G17" s="21"/>
      <c r="H17" s="21"/>
      <c r="I17" s="21"/>
      <c r="J17" s="21"/>
      <c r="K17" s="21"/>
      <c r="L17" s="23"/>
      <c r="M17" s="21"/>
      <c r="N17" s="23"/>
      <c r="O17" s="23"/>
      <c r="P17" s="21"/>
      <c r="Q17" s="21"/>
      <c r="R17" s="21"/>
      <c r="S17" s="21"/>
      <c r="T17" s="23"/>
      <c r="U17" s="21"/>
      <c r="V17" s="21"/>
      <c r="W17" s="21"/>
      <c r="X17" s="21"/>
    </row>
    <row r="18" spans="1:24">
      <c r="A18" s="21"/>
      <c r="B18" s="21"/>
      <c r="C18" s="21"/>
      <c r="D18" s="21"/>
      <c r="E18" s="21"/>
      <c r="F18" s="21"/>
      <c r="G18" s="21"/>
      <c r="H18" s="21"/>
      <c r="I18" s="21"/>
      <c r="J18" s="21"/>
      <c r="K18" s="21"/>
      <c r="L18" s="23"/>
      <c r="M18" s="21"/>
      <c r="N18" s="23"/>
      <c r="O18" s="23"/>
      <c r="P18" s="21"/>
      <c r="Q18" s="21"/>
      <c r="R18" s="21"/>
      <c r="S18" s="21"/>
      <c r="T18" s="23"/>
      <c r="U18" s="21"/>
      <c r="V18" s="21"/>
      <c r="W18" s="21"/>
      <c r="X18" s="21"/>
    </row>
    <row r="19" spans="1:24">
      <c r="A19" s="21"/>
      <c r="B19" s="21"/>
      <c r="C19" s="21"/>
      <c r="D19" s="21"/>
      <c r="E19" s="21"/>
      <c r="F19" s="21"/>
      <c r="G19" s="21"/>
      <c r="H19" s="21"/>
      <c r="I19" s="21"/>
      <c r="J19" s="21"/>
      <c r="K19" s="21"/>
      <c r="L19" s="23"/>
      <c r="M19" s="21"/>
      <c r="N19" s="23"/>
      <c r="O19" s="23"/>
      <c r="P19" s="21"/>
      <c r="Q19" s="21"/>
      <c r="R19" s="21"/>
      <c r="S19" s="21"/>
      <c r="T19" s="23"/>
      <c r="U19" s="21"/>
      <c r="V19" s="21"/>
      <c r="W19" s="21"/>
      <c r="X19" s="21"/>
    </row>
    <row r="20" spans="1:24">
      <c r="E20" s="21"/>
      <c r="H20" s="21"/>
      <c r="K20" s="21"/>
      <c r="L20" s="23"/>
      <c r="M20" s="21"/>
      <c r="N20" s="23"/>
    </row>
    <row r="21" spans="1:24" s="45" customFormat="1">
      <c r="N21" s="23"/>
      <c r="T21" s="42"/>
    </row>
    <row r="22" spans="1:24">
      <c r="M22" s="5"/>
    </row>
  </sheetData>
  <sheetProtection formatColumns="0"/>
  <customSheetViews>
    <customSheetView guid="{AE318230-F718-49FC-82EB-7CAC3DCD05F1}" showGridLines="0" hiddenRows="1" topLeftCell="O1">
      <selection activeCell="X26" sqref="X26"/>
      <pageMargins left="0.7" right="0.7" top="0.75" bottom="0.75" header="0.3" footer="0.3"/>
    </customSheetView>
  </customSheetViews>
  <dataValidations count="8">
    <dataValidation type="list" allowBlank="1" showInputMessage="1" showErrorMessage="1" sqref="J2:J19" xr:uid="{00000000-0002-0000-0600-000000000000}">
      <formula1>israel_abroad</formula1>
    </dataValidation>
    <dataValidation type="list" allowBlank="1" showInputMessage="1" showErrorMessage="1" sqref="O2:O19" xr:uid="{00000000-0002-0000-0600-000001000000}">
      <formula1>Holding_interest</formula1>
    </dataValidation>
    <dataValidation type="list" allowBlank="1" showInputMessage="1" showErrorMessage="1" sqref="K2:K20" xr:uid="{00000000-0002-0000-0600-000002000000}">
      <formula1>Country_list</formula1>
    </dataValidation>
    <dataValidation type="list" allowBlank="1" showInputMessage="1" showErrorMessage="1" sqref="E2:E20" xr:uid="{00000000-0002-0000-0600-000003000000}">
      <formula1>Issuer_Number_Type_2</formula1>
    </dataValidation>
    <dataValidation type="list" allowBlank="1" showInputMessage="1" showErrorMessage="1" sqref="H2:H20" xr:uid="{00000000-0002-0000-0600-000004000000}">
      <formula1>Security_ID_Number_Type</formula1>
    </dataValidation>
    <dataValidation type="list" allowBlank="1" showInputMessage="1" showErrorMessage="1" sqref="N2:N21" xr:uid="{00000000-0002-0000-0600-000005000000}">
      <formula1>Industry_Sector</formula1>
    </dataValidation>
    <dataValidation type="list" allowBlank="1" showInputMessage="1" showErrorMessage="1" sqref="L2:L20" xr:uid="{00000000-0002-0000-0600-000006000000}">
      <formula1>Tradeable_Status</formula1>
    </dataValidation>
    <dataValidation type="list" allowBlank="1" showInputMessage="1" showErrorMessage="1" sqref="M2:M20" xr:uid="{00000000-0002-0000-0600-000007000000}">
      <formula1>Stock_Exchange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8000000}">
          <x14:formula1>
            <xm:f>'אפשרויות בחירה'!$C$884:$C$889</xm:f>
          </x14:formula1>
          <xm:sqref>I2:I19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9"/>
  <dimension ref="A1:X26"/>
  <sheetViews>
    <sheetView rightToLeft="1" workbookViewId="0">
      <selection activeCell="A2" sqref="A2"/>
    </sheetView>
  </sheetViews>
  <sheetFormatPr defaultColWidth="0" defaultRowHeight="14.25"/>
  <cols>
    <col min="1" max="4" width="11.625" style="3" customWidth="1"/>
    <col min="5" max="5" width="11.625" style="5" customWidth="1"/>
    <col min="6" max="15" width="11.625" style="3" customWidth="1"/>
    <col min="16" max="16" width="11.625" style="5" customWidth="1"/>
    <col min="17" max="23" width="11.625" style="3" customWidth="1"/>
    <col min="24" max="24" width="11.625" style="3" hidden="1" customWidth="1"/>
    <col min="25" max="25" width="9" style="3" hidden="1" customWidth="1"/>
    <col min="26" max="16384" width="9" style="3" hidden="1"/>
  </cols>
  <sheetData>
    <row r="1" spans="1:23" ht="51">
      <c r="A1" s="22" t="s">
        <v>0</v>
      </c>
      <c r="B1" s="22" t="s">
        <v>1</v>
      </c>
      <c r="C1" s="22" t="s">
        <v>2</v>
      </c>
      <c r="D1" s="22" t="s">
        <v>47</v>
      </c>
      <c r="E1" s="22" t="s">
        <v>48</v>
      </c>
      <c r="F1" s="22" t="s">
        <v>3</v>
      </c>
      <c r="G1" s="22" t="s">
        <v>4</v>
      </c>
      <c r="H1" s="22" t="s">
        <v>49</v>
      </c>
      <c r="I1" s="22" t="s">
        <v>5</v>
      </c>
      <c r="J1" s="22" t="s">
        <v>6</v>
      </c>
      <c r="K1" s="22" t="s">
        <v>7</v>
      </c>
      <c r="L1" s="22" t="s">
        <v>8</v>
      </c>
      <c r="M1" s="22" t="s">
        <v>58</v>
      </c>
      <c r="N1" s="22" t="s">
        <v>51</v>
      </c>
      <c r="O1" s="22" t="s">
        <v>11</v>
      </c>
      <c r="P1" s="22" t="s">
        <v>17</v>
      </c>
      <c r="Q1" s="22" t="s">
        <v>18</v>
      </c>
      <c r="R1" s="22" t="s">
        <v>19</v>
      </c>
      <c r="S1" s="22" t="s">
        <v>16</v>
      </c>
      <c r="T1" s="22" t="s">
        <v>20</v>
      </c>
      <c r="U1" s="22" t="s">
        <v>23</v>
      </c>
      <c r="V1" s="22" t="s">
        <v>24</v>
      </c>
      <c r="W1" s="22" t="s">
        <v>25</v>
      </c>
    </row>
    <row r="2" spans="1:23">
      <c r="A2" s="23"/>
      <c r="B2" s="23"/>
      <c r="C2" s="23"/>
      <c r="D2" s="23"/>
      <c r="E2" s="21"/>
      <c r="F2" s="23"/>
      <c r="G2" s="23"/>
      <c r="H2" s="21"/>
      <c r="I2" s="23"/>
      <c r="J2" s="21"/>
      <c r="K2" s="21"/>
      <c r="L2" s="21"/>
      <c r="M2" s="23"/>
      <c r="N2" s="23"/>
      <c r="O2" s="21"/>
      <c r="P2" s="31"/>
      <c r="Q2" s="23"/>
      <c r="R2" s="23"/>
      <c r="S2" s="23"/>
      <c r="T2" s="23"/>
      <c r="U2" s="23"/>
      <c r="V2" s="23"/>
      <c r="W2" s="23"/>
    </row>
    <row r="3" spans="1:23">
      <c r="A3" s="23"/>
      <c r="B3" s="23"/>
      <c r="C3" s="23"/>
      <c r="D3" s="23"/>
      <c r="E3" s="21"/>
      <c r="F3" s="23"/>
      <c r="G3" s="23"/>
      <c r="H3" s="21"/>
      <c r="I3" s="23"/>
      <c r="J3" s="21"/>
      <c r="K3" s="21"/>
      <c r="L3" s="21"/>
      <c r="M3" s="23"/>
      <c r="N3" s="23"/>
      <c r="O3" s="21"/>
      <c r="P3" s="21"/>
      <c r="Q3" s="23"/>
      <c r="R3" s="23"/>
      <c r="S3" s="23"/>
      <c r="T3" s="23"/>
      <c r="U3" s="23"/>
      <c r="V3" s="23"/>
      <c r="W3" s="23"/>
    </row>
    <row r="4" spans="1:23">
      <c r="A4" s="23"/>
      <c r="B4" s="23"/>
      <c r="C4" s="23"/>
      <c r="D4" s="23"/>
      <c r="E4" s="21"/>
      <c r="F4" s="23"/>
      <c r="G4" s="23"/>
      <c r="H4" s="21"/>
      <c r="I4" s="23"/>
      <c r="J4" s="21"/>
      <c r="K4" s="21"/>
      <c r="L4" s="21"/>
      <c r="M4" s="23"/>
      <c r="N4" s="23"/>
      <c r="O4" s="21"/>
      <c r="P4" s="21"/>
      <c r="Q4" s="23"/>
      <c r="R4" s="23"/>
      <c r="S4" s="23"/>
      <c r="T4" s="23"/>
      <c r="U4" s="23"/>
      <c r="V4" s="23"/>
      <c r="W4" s="23"/>
    </row>
    <row r="5" spans="1:23">
      <c r="A5" s="23"/>
      <c r="B5" s="23"/>
      <c r="C5" s="23"/>
      <c r="D5" s="23"/>
      <c r="E5" s="21"/>
      <c r="F5" s="23"/>
      <c r="G5" s="23"/>
      <c r="H5" s="21"/>
      <c r="I5" s="23"/>
      <c r="J5" s="21"/>
      <c r="K5" s="21"/>
      <c r="L5" s="21"/>
      <c r="M5" s="23"/>
      <c r="N5" s="23"/>
      <c r="O5" s="21"/>
      <c r="P5" s="21"/>
      <c r="Q5" s="23"/>
      <c r="R5" s="23"/>
      <c r="S5" s="23"/>
      <c r="T5" s="23"/>
      <c r="U5" s="23"/>
      <c r="V5" s="23"/>
      <c r="W5" s="23"/>
    </row>
    <row r="6" spans="1:23">
      <c r="A6" s="23"/>
      <c r="B6" s="23"/>
      <c r="C6" s="23"/>
      <c r="D6" s="23"/>
      <c r="E6" s="21"/>
      <c r="F6" s="23"/>
      <c r="G6" s="23"/>
      <c r="H6" s="21"/>
      <c r="I6" s="23"/>
      <c r="J6" s="21"/>
      <c r="K6" s="21"/>
      <c r="L6" s="21"/>
      <c r="M6" s="23"/>
      <c r="N6" s="23"/>
      <c r="O6" s="21"/>
      <c r="P6" s="21"/>
      <c r="Q6" s="23"/>
      <c r="R6" s="23"/>
      <c r="S6" s="23"/>
      <c r="T6" s="23"/>
      <c r="U6" s="23"/>
      <c r="V6" s="23"/>
      <c r="W6" s="23"/>
    </row>
    <row r="7" spans="1:23">
      <c r="A7" s="23"/>
      <c r="B7" s="23"/>
      <c r="C7" s="23"/>
      <c r="D7" s="23"/>
      <c r="E7" s="21"/>
      <c r="F7" s="23"/>
      <c r="G7" s="23"/>
      <c r="H7" s="21"/>
      <c r="I7" s="23"/>
      <c r="J7" s="21"/>
      <c r="K7" s="21"/>
      <c r="L7" s="21"/>
      <c r="M7" s="23"/>
      <c r="N7" s="23"/>
      <c r="O7" s="21"/>
      <c r="P7" s="21"/>
      <c r="Q7" s="23"/>
      <c r="R7" s="23"/>
      <c r="S7" s="23"/>
      <c r="T7" s="23"/>
      <c r="U7" s="23"/>
      <c r="V7" s="23"/>
      <c r="W7" s="23"/>
    </row>
    <row r="8" spans="1:23">
      <c r="A8" s="23"/>
      <c r="B8" s="23"/>
      <c r="C8" s="23"/>
      <c r="D8" s="23"/>
      <c r="E8" s="21"/>
      <c r="F8" s="23"/>
      <c r="G8" s="23"/>
      <c r="H8" s="21"/>
      <c r="I8" s="23"/>
      <c r="J8" s="21"/>
      <c r="K8" s="21"/>
      <c r="L8" s="21"/>
      <c r="M8" s="23"/>
      <c r="N8" s="23"/>
      <c r="O8" s="21"/>
      <c r="P8" s="21"/>
      <c r="Q8" s="23"/>
      <c r="R8" s="23"/>
      <c r="S8" s="23"/>
      <c r="T8" s="23"/>
      <c r="U8" s="23"/>
      <c r="V8" s="23"/>
      <c r="W8" s="23"/>
    </row>
    <row r="9" spans="1:23">
      <c r="A9" s="23"/>
      <c r="B9" s="23"/>
      <c r="C9" s="23"/>
      <c r="D9" s="23"/>
      <c r="E9" s="21"/>
      <c r="F9" s="23"/>
      <c r="G9" s="23"/>
      <c r="H9" s="21"/>
      <c r="I9" s="23"/>
      <c r="J9" s="21"/>
      <c r="K9" s="21"/>
      <c r="L9" s="21"/>
      <c r="M9" s="23"/>
      <c r="N9" s="23"/>
      <c r="O9" s="21"/>
      <c r="P9" s="21"/>
      <c r="Q9" s="23"/>
      <c r="R9" s="23"/>
      <c r="S9" s="23"/>
      <c r="T9" s="23"/>
      <c r="U9" s="23"/>
      <c r="V9" s="23"/>
      <c r="W9" s="23"/>
    </row>
    <row r="10" spans="1:23">
      <c r="A10" s="23"/>
      <c r="B10" s="23"/>
      <c r="C10" s="23"/>
      <c r="D10" s="23"/>
      <c r="E10" s="21"/>
      <c r="F10" s="23"/>
      <c r="G10" s="23"/>
      <c r="H10" s="21"/>
      <c r="I10" s="23"/>
      <c r="J10" s="21"/>
      <c r="K10" s="21"/>
      <c r="L10" s="21"/>
      <c r="M10" s="23"/>
      <c r="N10" s="23"/>
      <c r="O10" s="21"/>
      <c r="P10" s="21"/>
      <c r="Q10" s="23"/>
      <c r="R10" s="23"/>
      <c r="S10" s="23"/>
      <c r="T10" s="23"/>
      <c r="U10" s="23"/>
      <c r="V10" s="23"/>
      <c r="W10" s="23"/>
    </row>
    <row r="11" spans="1:23">
      <c r="A11" s="23"/>
      <c r="B11" s="23"/>
      <c r="C11" s="23"/>
      <c r="D11" s="23"/>
      <c r="E11" s="21"/>
      <c r="F11" s="23"/>
      <c r="G11" s="23"/>
      <c r="H11" s="21"/>
      <c r="I11" s="23"/>
      <c r="J11" s="21"/>
      <c r="K11" s="21"/>
      <c r="L11" s="21"/>
      <c r="M11" s="23"/>
      <c r="N11" s="23"/>
      <c r="O11" s="21"/>
      <c r="P11" s="21"/>
      <c r="Q11" s="23"/>
      <c r="R11" s="23"/>
      <c r="S11" s="23"/>
      <c r="T11" s="23"/>
      <c r="U11" s="23"/>
      <c r="V11" s="23"/>
      <c r="W11" s="23"/>
    </row>
    <row r="12" spans="1:23">
      <c r="A12" s="23"/>
      <c r="B12" s="23"/>
      <c r="C12" s="23"/>
      <c r="D12" s="23"/>
      <c r="E12" s="21"/>
      <c r="F12" s="23"/>
      <c r="G12" s="23"/>
      <c r="H12" s="21"/>
      <c r="I12" s="23"/>
      <c r="J12" s="21"/>
      <c r="K12" s="21"/>
      <c r="L12" s="21"/>
      <c r="M12" s="23"/>
      <c r="N12" s="23"/>
      <c r="O12" s="21"/>
      <c r="P12" s="21"/>
      <c r="Q12" s="23"/>
      <c r="R12" s="23"/>
      <c r="S12" s="23"/>
      <c r="T12" s="23"/>
      <c r="U12" s="23"/>
      <c r="V12" s="23"/>
      <c r="W12" s="23"/>
    </row>
    <row r="13" spans="1:23">
      <c r="A13" s="23"/>
      <c r="B13" s="23"/>
      <c r="C13" s="23"/>
      <c r="D13" s="23"/>
      <c r="E13" s="21"/>
      <c r="F13" s="23"/>
      <c r="G13" s="23"/>
      <c r="H13" s="21"/>
      <c r="I13" s="23"/>
      <c r="J13" s="21"/>
      <c r="K13" s="21"/>
      <c r="L13" s="21"/>
      <c r="M13" s="23"/>
      <c r="N13" s="23"/>
      <c r="O13" s="21"/>
      <c r="P13" s="21"/>
      <c r="Q13" s="23"/>
      <c r="R13" s="23"/>
      <c r="S13" s="23"/>
      <c r="T13" s="23"/>
      <c r="U13" s="23"/>
      <c r="V13" s="23"/>
      <c r="W13" s="23"/>
    </row>
    <row r="14" spans="1:23">
      <c r="A14" s="23"/>
      <c r="B14" s="23"/>
      <c r="C14" s="23"/>
      <c r="D14" s="23"/>
      <c r="E14" s="21"/>
      <c r="F14" s="23"/>
      <c r="G14" s="23"/>
      <c r="H14" s="21"/>
      <c r="I14" s="23"/>
      <c r="J14" s="21"/>
      <c r="K14" s="21"/>
      <c r="L14" s="21"/>
      <c r="M14" s="23"/>
      <c r="N14" s="23"/>
      <c r="O14" s="21"/>
      <c r="P14" s="21"/>
      <c r="Q14" s="23"/>
      <c r="R14" s="23"/>
      <c r="S14" s="23"/>
      <c r="T14" s="23"/>
      <c r="U14" s="23"/>
      <c r="V14" s="23"/>
      <c r="W14" s="23"/>
    </row>
    <row r="15" spans="1:23">
      <c r="A15" s="23"/>
      <c r="B15" s="23"/>
      <c r="C15" s="23"/>
      <c r="D15" s="23"/>
      <c r="E15" s="21"/>
      <c r="F15" s="23"/>
      <c r="G15" s="23"/>
      <c r="H15" s="21"/>
      <c r="I15" s="23"/>
      <c r="J15" s="21"/>
      <c r="K15" s="21"/>
      <c r="L15" s="21"/>
      <c r="M15" s="23"/>
      <c r="N15" s="23"/>
      <c r="O15" s="21"/>
      <c r="P15" s="21"/>
      <c r="Q15" s="23"/>
      <c r="R15" s="23"/>
      <c r="S15" s="23"/>
      <c r="T15" s="23"/>
      <c r="U15" s="23"/>
      <c r="V15" s="23"/>
      <c r="W15" s="23"/>
    </row>
    <row r="16" spans="1:23">
      <c r="A16" s="23"/>
      <c r="B16" s="23"/>
      <c r="C16" s="23"/>
      <c r="D16" s="23"/>
      <c r="E16" s="21"/>
      <c r="F16" s="23"/>
      <c r="G16" s="23"/>
      <c r="H16" s="21"/>
      <c r="I16" s="23"/>
      <c r="J16" s="21"/>
      <c r="K16" s="21"/>
      <c r="L16" s="21"/>
      <c r="M16" s="23"/>
      <c r="N16" s="23"/>
      <c r="O16" s="21"/>
      <c r="P16" s="21"/>
      <c r="Q16" s="23"/>
      <c r="R16" s="23"/>
      <c r="S16" s="23"/>
      <c r="T16" s="23"/>
      <c r="U16" s="23"/>
      <c r="V16" s="23"/>
      <c r="W16" s="23"/>
    </row>
    <row r="17" spans="1:23">
      <c r="A17" s="23"/>
      <c r="B17" s="23"/>
      <c r="C17" s="23"/>
      <c r="D17" s="23"/>
      <c r="E17" s="21"/>
      <c r="F17" s="23"/>
      <c r="G17" s="23"/>
      <c r="H17" s="21"/>
      <c r="I17" s="23"/>
      <c r="J17" s="21"/>
      <c r="K17" s="21"/>
      <c r="L17" s="21"/>
      <c r="M17" s="23"/>
      <c r="N17" s="23"/>
      <c r="O17" s="21"/>
      <c r="P17" s="21"/>
      <c r="Q17" s="23"/>
      <c r="R17" s="23"/>
      <c r="S17" s="23"/>
      <c r="T17" s="23"/>
      <c r="U17" s="23"/>
      <c r="V17" s="23"/>
      <c r="W17" s="23"/>
    </row>
    <row r="18" spans="1:23">
      <c r="A18" s="23"/>
      <c r="B18" s="23"/>
      <c r="C18" s="23"/>
      <c r="D18" s="23"/>
      <c r="E18" s="21"/>
      <c r="F18" s="23"/>
      <c r="G18" s="23"/>
      <c r="H18" s="21"/>
      <c r="I18" s="23"/>
      <c r="J18" s="21"/>
      <c r="K18" s="21"/>
      <c r="L18" s="21"/>
      <c r="M18" s="23"/>
      <c r="N18" s="23"/>
      <c r="O18" s="21"/>
      <c r="P18" s="21"/>
      <c r="Q18" s="23"/>
      <c r="R18" s="23"/>
      <c r="S18" s="23"/>
      <c r="T18" s="23"/>
      <c r="U18" s="23"/>
      <c r="V18" s="23"/>
      <c r="W18" s="23"/>
    </row>
    <row r="19" spans="1:23">
      <c r="A19" s="23"/>
      <c r="B19" s="23"/>
      <c r="C19" s="23"/>
      <c r="D19" s="23"/>
      <c r="E19" s="21"/>
      <c r="F19" s="23"/>
      <c r="G19" s="23"/>
      <c r="H19" s="21"/>
      <c r="I19" s="23"/>
      <c r="J19" s="21"/>
      <c r="K19" s="21"/>
      <c r="L19" s="21"/>
      <c r="M19" s="23"/>
      <c r="N19" s="23"/>
      <c r="O19" s="21"/>
      <c r="P19" s="21"/>
      <c r="Q19" s="23"/>
      <c r="R19" s="23"/>
      <c r="S19" s="23"/>
      <c r="T19" s="23"/>
      <c r="U19" s="23"/>
      <c r="V19" s="23"/>
      <c r="W19" s="23"/>
    </row>
    <row r="20" spans="1:23">
      <c r="E20" s="21"/>
      <c r="H20" s="21"/>
      <c r="I20" s="23"/>
      <c r="J20" s="21"/>
      <c r="K20" s="21"/>
      <c r="L20" s="21"/>
      <c r="M20" s="23"/>
      <c r="N20" s="23"/>
      <c r="P20" s="21"/>
    </row>
    <row r="21" spans="1:23" s="42" customFormat="1">
      <c r="E21" s="45"/>
      <c r="H21" s="45"/>
      <c r="L21" s="45"/>
      <c r="M21" s="41"/>
      <c r="P21" s="45"/>
    </row>
    <row r="22" spans="1:23">
      <c r="L22" s="5"/>
    </row>
    <row r="26" spans="1:23">
      <c r="G26" s="9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8">
    <dataValidation type="list" allowBlank="1" showInputMessage="1" showErrorMessage="1" sqref="J2:J20" xr:uid="{00000000-0002-0000-0700-000000000000}">
      <formula1>israel_abroad</formula1>
    </dataValidation>
    <dataValidation type="list" allowBlank="1" showInputMessage="1" showErrorMessage="1" sqref="N2:N20" xr:uid="{00000000-0002-0000-0700-000001000000}">
      <formula1>Holding_interest</formula1>
    </dataValidation>
    <dataValidation type="list" allowBlank="1" showInputMessage="1" showErrorMessage="1" sqref="K3:K20" xr:uid="{00000000-0002-0000-0700-000002000000}">
      <formula1>Country_list</formula1>
    </dataValidation>
    <dataValidation type="list" allowBlank="1" showInputMessage="1" showErrorMessage="1" sqref="M2:M20" xr:uid="{00000000-0002-0000-0700-000003000000}">
      <formula1>Fund_type</formula1>
    </dataValidation>
    <dataValidation type="list" allowBlank="1" showInputMessage="1" showErrorMessage="1" sqref="E2:E20" xr:uid="{00000000-0002-0000-0700-000004000000}">
      <formula1>Issuer_Type_TFunds</formula1>
    </dataValidation>
    <dataValidation type="list" allowBlank="1" showInputMessage="1" showErrorMessage="1" sqref="H2:H20" xr:uid="{00000000-0002-0000-0700-000005000000}">
      <formula1>Security_ID_Number_Type</formula1>
    </dataValidation>
    <dataValidation type="list" allowBlank="1" showInputMessage="1" showErrorMessage="1" sqref="K2" xr:uid="{00000000-0002-0000-0700-000006000000}">
      <formula1>Country_list_funds</formula1>
    </dataValidation>
    <dataValidation type="list" allowBlank="1" showInputMessage="1" showErrorMessage="1" sqref="L2:L20" xr:uid="{00000000-0002-0000-0700-000007000000}">
      <formula1>Stock_Exchange</formula1>
    </dataValidation>
  </dataValidations>
  <pageMargins left="0.7" right="0.7" top="0.75" bottom="0.75" header="0.3" footer="0.3"/>
  <pageSetup paperSize="9"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8000000}">
          <x14:formula1>
            <xm:f>'אפשרויות בחירה'!$C$891:$C$896</xm:f>
          </x14:formula1>
          <xm:sqref>I2:I20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10"/>
  <dimension ref="A1:X20"/>
  <sheetViews>
    <sheetView rightToLeft="1" workbookViewId="0">
      <selection activeCell="A2" sqref="A2"/>
    </sheetView>
  </sheetViews>
  <sheetFormatPr defaultColWidth="0" defaultRowHeight="14.25"/>
  <cols>
    <col min="1" max="12" width="11.625" style="5" customWidth="1"/>
    <col min="13" max="13" width="11.625" style="3" customWidth="1"/>
    <col min="14" max="23" width="11.625" style="5" customWidth="1"/>
    <col min="24" max="24" width="11.625" style="5" hidden="1" customWidth="1"/>
    <col min="25" max="25" width="9" style="5" hidden="1" customWidth="1"/>
    <col min="26" max="16384" width="9" style="5" hidden="1"/>
  </cols>
  <sheetData>
    <row r="1" spans="1:23" ht="51">
      <c r="A1" s="22" t="s">
        <v>0</v>
      </c>
      <c r="B1" s="22" t="s">
        <v>1</v>
      </c>
      <c r="C1" s="22" t="s">
        <v>2</v>
      </c>
      <c r="D1" s="22" t="s">
        <v>47</v>
      </c>
      <c r="E1" s="22" t="s">
        <v>48</v>
      </c>
      <c r="F1" s="22" t="s">
        <v>59</v>
      </c>
      <c r="G1" s="22" t="s">
        <v>4</v>
      </c>
      <c r="H1" s="22" t="s">
        <v>49</v>
      </c>
      <c r="I1" s="22" t="s">
        <v>5</v>
      </c>
      <c r="J1" s="22" t="s">
        <v>6</v>
      </c>
      <c r="K1" s="22" t="s">
        <v>7</v>
      </c>
      <c r="L1" s="22" t="s">
        <v>57</v>
      </c>
      <c r="M1" s="22" t="s">
        <v>8</v>
      </c>
      <c r="N1" s="22" t="s">
        <v>58</v>
      </c>
      <c r="O1" s="22" t="s">
        <v>51</v>
      </c>
      <c r="P1" s="22" t="s">
        <v>11</v>
      </c>
      <c r="Q1" s="22" t="s">
        <v>17</v>
      </c>
      <c r="R1" s="22" t="s">
        <v>18</v>
      </c>
      <c r="S1" s="22" t="s">
        <v>19</v>
      </c>
      <c r="T1" s="22" t="s">
        <v>20</v>
      </c>
      <c r="U1" s="22" t="s">
        <v>23</v>
      </c>
      <c r="V1" s="22" t="s">
        <v>24</v>
      </c>
      <c r="W1" s="22" t="s">
        <v>25</v>
      </c>
    </row>
    <row r="2" spans="1:23">
      <c r="A2" s="21"/>
      <c r="B2" s="21"/>
      <c r="C2" s="21"/>
      <c r="D2" s="21"/>
      <c r="E2" s="21"/>
      <c r="F2" s="21"/>
      <c r="G2" s="21"/>
      <c r="H2" s="21"/>
      <c r="I2" s="21"/>
      <c r="J2" s="21"/>
      <c r="K2" s="21"/>
      <c r="M2" s="21"/>
      <c r="N2" s="23"/>
      <c r="O2" s="23"/>
      <c r="P2" s="21"/>
      <c r="Q2" s="21"/>
      <c r="R2" s="21"/>
      <c r="S2" s="21"/>
      <c r="T2" s="21"/>
      <c r="U2" s="21"/>
      <c r="V2" s="21"/>
      <c r="W2" s="21"/>
    </row>
    <row r="3" spans="1:23">
      <c r="A3" s="21"/>
      <c r="B3" s="21"/>
      <c r="C3" s="21"/>
      <c r="D3" s="21"/>
      <c r="E3" s="21"/>
      <c r="F3" s="21"/>
      <c r="G3" s="21"/>
      <c r="H3" s="21"/>
      <c r="I3" s="21"/>
      <c r="J3" s="21"/>
      <c r="K3" s="21"/>
      <c r="M3" s="21"/>
      <c r="N3" s="23"/>
      <c r="O3" s="23"/>
      <c r="P3" s="21"/>
      <c r="Q3" s="21"/>
      <c r="R3" s="21"/>
      <c r="S3" s="21"/>
      <c r="T3" s="21"/>
      <c r="U3" s="21"/>
      <c r="V3" s="21"/>
      <c r="W3" s="21"/>
    </row>
    <row r="4" spans="1:23">
      <c r="A4" s="21"/>
      <c r="B4" s="21"/>
      <c r="C4" s="21"/>
      <c r="D4" s="21"/>
      <c r="E4" s="21"/>
      <c r="F4" s="21"/>
      <c r="G4" s="21"/>
      <c r="H4" s="21"/>
      <c r="I4" s="21"/>
      <c r="J4" s="21"/>
      <c r="K4" s="21"/>
      <c r="M4" s="21"/>
      <c r="N4" s="23"/>
      <c r="O4" s="23"/>
      <c r="P4" s="21"/>
      <c r="Q4" s="21"/>
      <c r="R4" s="21"/>
      <c r="S4" s="21"/>
      <c r="T4" s="21"/>
      <c r="U4" s="21"/>
      <c r="V4" s="21"/>
      <c r="W4" s="21"/>
    </row>
    <row r="5" spans="1:23">
      <c r="A5" s="21"/>
      <c r="B5" s="21"/>
      <c r="C5" s="21"/>
      <c r="D5" s="21"/>
      <c r="E5" s="21"/>
      <c r="F5" s="21"/>
      <c r="G5" s="21"/>
      <c r="H5" s="21"/>
      <c r="I5" s="21"/>
      <c r="J5" s="21"/>
      <c r="K5" s="21"/>
      <c r="M5" s="21"/>
      <c r="N5" s="23"/>
      <c r="O5" s="23"/>
      <c r="P5" s="21"/>
      <c r="Q5" s="21"/>
      <c r="R5" s="21"/>
      <c r="S5" s="21"/>
      <c r="T5" s="21"/>
      <c r="U5" s="21"/>
      <c r="V5" s="21"/>
      <c r="W5" s="21"/>
    </row>
    <row r="6" spans="1:23">
      <c r="A6" s="21"/>
      <c r="B6" s="21"/>
      <c r="C6" s="21"/>
      <c r="D6" s="21"/>
      <c r="E6" s="21"/>
      <c r="F6" s="21"/>
      <c r="G6" s="21"/>
      <c r="H6" s="21"/>
      <c r="I6" s="21"/>
      <c r="J6" s="21"/>
      <c r="K6" s="21"/>
      <c r="M6" s="21"/>
      <c r="N6" s="23"/>
      <c r="O6" s="23"/>
      <c r="P6" s="21"/>
      <c r="Q6" s="21"/>
      <c r="R6" s="21"/>
      <c r="S6" s="21"/>
      <c r="T6" s="21"/>
      <c r="U6" s="21"/>
      <c r="V6" s="21"/>
      <c r="W6" s="21"/>
    </row>
    <row r="7" spans="1:23">
      <c r="A7" s="21"/>
      <c r="B7" s="21"/>
      <c r="C7" s="21"/>
      <c r="D7" s="21"/>
      <c r="E7" s="21"/>
      <c r="F7" s="21"/>
      <c r="G7" s="21"/>
      <c r="H7" s="21"/>
      <c r="I7" s="21"/>
      <c r="J7" s="21"/>
      <c r="K7" s="21"/>
      <c r="M7" s="21"/>
      <c r="N7" s="23"/>
      <c r="O7" s="23"/>
      <c r="P7" s="21"/>
      <c r="Q7" s="21"/>
      <c r="R7" s="21"/>
      <c r="S7" s="21"/>
      <c r="T7" s="21"/>
      <c r="U7" s="21"/>
      <c r="V7" s="21"/>
      <c r="W7" s="21"/>
    </row>
    <row r="8" spans="1:23">
      <c r="A8" s="21"/>
      <c r="B8" s="21"/>
      <c r="C8" s="21"/>
      <c r="D8" s="21"/>
      <c r="E8" s="21"/>
      <c r="F8" s="21"/>
      <c r="G8" s="21"/>
      <c r="H8" s="21"/>
      <c r="I8" s="21"/>
      <c r="J8" s="21"/>
      <c r="K8" s="21"/>
      <c r="M8" s="21"/>
      <c r="N8" s="23"/>
      <c r="O8" s="23"/>
      <c r="P8" s="21"/>
      <c r="Q8" s="21"/>
      <c r="R8" s="21"/>
      <c r="S8" s="21"/>
      <c r="T8" s="21"/>
      <c r="U8" s="21"/>
      <c r="V8" s="21"/>
      <c r="W8" s="21"/>
    </row>
    <row r="9" spans="1:23">
      <c r="A9" s="21"/>
      <c r="B9" s="21"/>
      <c r="C9" s="21"/>
      <c r="D9" s="21"/>
      <c r="E9" s="21"/>
      <c r="F9" s="21"/>
      <c r="G9" s="21"/>
      <c r="H9" s="21"/>
      <c r="I9" s="21"/>
      <c r="J9" s="21"/>
      <c r="K9" s="21"/>
      <c r="M9" s="21"/>
      <c r="N9" s="23"/>
      <c r="O9" s="23"/>
      <c r="P9" s="21"/>
      <c r="Q9" s="21"/>
      <c r="R9" s="21"/>
      <c r="S9" s="21"/>
      <c r="T9" s="21"/>
      <c r="U9" s="21"/>
      <c r="V9" s="21"/>
      <c r="W9" s="21"/>
    </row>
    <row r="10" spans="1:23">
      <c r="A10" s="21"/>
      <c r="B10" s="21"/>
      <c r="C10" s="21"/>
      <c r="D10" s="21"/>
      <c r="E10" s="21"/>
      <c r="F10" s="21"/>
      <c r="G10" s="21"/>
      <c r="H10" s="21"/>
      <c r="I10" s="21"/>
      <c r="J10" s="21"/>
      <c r="K10" s="21"/>
      <c r="M10" s="21"/>
      <c r="N10" s="23"/>
      <c r="O10" s="23"/>
      <c r="P10" s="21"/>
      <c r="Q10" s="21"/>
      <c r="R10" s="21"/>
      <c r="S10" s="21"/>
      <c r="T10" s="21"/>
      <c r="U10" s="21"/>
      <c r="V10" s="21"/>
      <c r="W10" s="21"/>
    </row>
    <row r="11" spans="1:23">
      <c r="A11" s="21"/>
      <c r="B11" s="21"/>
      <c r="C11" s="21"/>
      <c r="D11" s="21"/>
      <c r="E11" s="21"/>
      <c r="F11" s="21"/>
      <c r="G11" s="21"/>
      <c r="H11" s="21"/>
      <c r="I11" s="21"/>
      <c r="J11" s="21"/>
      <c r="K11" s="21"/>
      <c r="M11" s="21"/>
      <c r="N11" s="23"/>
      <c r="O11" s="23"/>
      <c r="P11" s="21"/>
      <c r="Q11" s="21"/>
      <c r="R11" s="21"/>
      <c r="S11" s="21"/>
      <c r="T11" s="21"/>
      <c r="U11" s="21"/>
      <c r="V11" s="21"/>
      <c r="W11" s="21"/>
    </row>
    <row r="12" spans="1:23">
      <c r="A12" s="21"/>
      <c r="B12" s="21"/>
      <c r="C12" s="21"/>
      <c r="D12" s="21"/>
      <c r="E12" s="21"/>
      <c r="F12" s="21"/>
      <c r="G12" s="21"/>
      <c r="H12" s="21"/>
      <c r="I12" s="21"/>
      <c r="J12" s="21"/>
      <c r="K12" s="21"/>
      <c r="M12" s="21"/>
      <c r="N12" s="23"/>
      <c r="O12" s="23"/>
      <c r="P12" s="21"/>
      <c r="Q12" s="21"/>
      <c r="R12" s="21"/>
      <c r="S12" s="21"/>
      <c r="T12" s="21"/>
      <c r="U12" s="21"/>
      <c r="V12" s="21"/>
      <c r="W12" s="21"/>
    </row>
    <row r="13" spans="1:23">
      <c r="A13" s="21"/>
      <c r="B13" s="21"/>
      <c r="C13" s="21"/>
      <c r="D13" s="21"/>
      <c r="E13" s="21"/>
      <c r="F13" s="21"/>
      <c r="G13" s="21"/>
      <c r="H13" s="21"/>
      <c r="I13" s="21"/>
      <c r="J13" s="21"/>
      <c r="K13" s="21"/>
      <c r="M13" s="21"/>
      <c r="N13" s="23"/>
      <c r="O13" s="23"/>
      <c r="P13" s="21"/>
      <c r="Q13" s="21"/>
      <c r="R13" s="21"/>
      <c r="S13" s="21"/>
      <c r="T13" s="21"/>
      <c r="U13" s="21"/>
      <c r="V13" s="21"/>
      <c r="W13" s="21"/>
    </row>
    <row r="14" spans="1:23">
      <c r="A14" s="21"/>
      <c r="B14" s="21"/>
      <c r="C14" s="21"/>
      <c r="D14" s="21"/>
      <c r="E14" s="21"/>
      <c r="F14" s="21"/>
      <c r="G14" s="21"/>
      <c r="H14" s="21"/>
      <c r="I14" s="21"/>
      <c r="J14" s="21"/>
      <c r="K14" s="21"/>
      <c r="M14" s="21"/>
      <c r="N14" s="23"/>
      <c r="O14" s="23"/>
      <c r="P14" s="21"/>
      <c r="Q14" s="21"/>
      <c r="R14" s="21"/>
      <c r="S14" s="21"/>
      <c r="T14" s="21"/>
      <c r="U14" s="21"/>
      <c r="V14" s="21"/>
      <c r="W14" s="21"/>
    </row>
    <row r="15" spans="1:23">
      <c r="A15" s="21"/>
      <c r="B15" s="21"/>
      <c r="C15" s="21"/>
      <c r="D15" s="21"/>
      <c r="E15" s="21"/>
      <c r="F15" s="21"/>
      <c r="G15" s="21"/>
      <c r="H15" s="21"/>
      <c r="I15" s="21"/>
      <c r="J15" s="21"/>
      <c r="K15" s="21"/>
      <c r="M15" s="21"/>
      <c r="N15" s="23"/>
      <c r="O15" s="23"/>
      <c r="P15" s="21"/>
      <c r="Q15" s="21"/>
      <c r="R15" s="21"/>
      <c r="S15" s="21"/>
      <c r="T15" s="21"/>
      <c r="U15" s="21"/>
      <c r="V15" s="21"/>
      <c r="W15" s="21"/>
    </row>
    <row r="16" spans="1:23">
      <c r="A16" s="21"/>
      <c r="B16" s="21"/>
      <c r="C16" s="21"/>
      <c r="D16" s="21"/>
      <c r="E16" s="21"/>
      <c r="F16" s="21"/>
      <c r="G16" s="21"/>
      <c r="H16" s="21"/>
      <c r="I16" s="21"/>
      <c r="J16" s="21"/>
      <c r="K16" s="21"/>
      <c r="M16" s="21"/>
      <c r="N16" s="23"/>
      <c r="O16" s="23"/>
      <c r="P16" s="21"/>
      <c r="Q16" s="21"/>
      <c r="R16" s="21"/>
      <c r="S16" s="21"/>
      <c r="T16" s="21"/>
      <c r="U16" s="21"/>
      <c r="V16" s="21"/>
      <c r="W16" s="21"/>
    </row>
    <row r="17" spans="1:23">
      <c r="A17" s="21"/>
      <c r="B17" s="21"/>
      <c r="C17" s="21"/>
      <c r="D17" s="21"/>
      <c r="E17" s="21"/>
      <c r="F17" s="21"/>
      <c r="G17" s="21"/>
      <c r="H17" s="21"/>
      <c r="I17" s="21"/>
      <c r="J17" s="21"/>
      <c r="K17" s="21"/>
      <c r="M17" s="21"/>
      <c r="N17" s="23"/>
      <c r="O17" s="23"/>
      <c r="P17" s="21"/>
      <c r="Q17" s="21"/>
      <c r="R17" s="21"/>
      <c r="S17" s="21"/>
      <c r="T17" s="21"/>
      <c r="U17" s="21"/>
      <c r="V17" s="21"/>
      <c r="W17" s="21"/>
    </row>
    <row r="18" spans="1:23">
      <c r="A18" s="21"/>
      <c r="B18" s="21"/>
      <c r="C18" s="21"/>
      <c r="D18" s="21"/>
      <c r="E18" s="21"/>
      <c r="F18" s="21"/>
      <c r="G18" s="21"/>
      <c r="H18" s="21"/>
      <c r="I18" s="21"/>
      <c r="J18" s="21"/>
      <c r="K18" s="21"/>
      <c r="M18" s="21"/>
      <c r="N18" s="23"/>
      <c r="O18" s="23"/>
      <c r="P18" s="21"/>
      <c r="Q18" s="21"/>
      <c r="R18" s="21"/>
      <c r="S18" s="21"/>
      <c r="T18" s="21"/>
      <c r="U18" s="21"/>
      <c r="V18" s="21"/>
      <c r="W18" s="21"/>
    </row>
    <row r="19" spans="1:23">
      <c r="A19" s="21"/>
      <c r="B19" s="21"/>
      <c r="C19" s="21"/>
      <c r="D19" s="21"/>
      <c r="E19" s="21"/>
      <c r="F19" s="21"/>
      <c r="G19" s="21"/>
      <c r="H19" s="21"/>
      <c r="I19" s="21"/>
      <c r="J19" s="21"/>
      <c r="K19" s="21"/>
      <c r="M19" s="21"/>
      <c r="N19" s="23"/>
      <c r="O19" s="23"/>
      <c r="P19" s="21"/>
      <c r="Q19" s="21"/>
      <c r="R19" s="21"/>
      <c r="S19" s="21"/>
      <c r="T19" s="21"/>
      <c r="U19" s="21"/>
      <c r="V19" s="21"/>
      <c r="W19" s="21"/>
    </row>
    <row r="20" spans="1:23">
      <c r="E20" s="21"/>
      <c r="H20" s="21"/>
      <c r="I20" s="21"/>
      <c r="J20" s="21"/>
      <c r="K20" s="21"/>
      <c r="M20" s="21"/>
      <c r="N20" s="23"/>
      <c r="O20" s="23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8">
    <dataValidation type="list" allowBlank="1" showInputMessage="1" showErrorMessage="1" sqref="J2:J20" xr:uid="{00000000-0002-0000-0800-000000000000}">
      <formula1>israel_abroad</formula1>
    </dataValidation>
    <dataValidation type="list" allowBlank="1" showInputMessage="1" showErrorMessage="1" sqref="O2:O20" xr:uid="{00000000-0002-0000-0800-000001000000}">
      <formula1>Holding_interest</formula1>
    </dataValidation>
    <dataValidation type="list" allowBlank="1" showInputMessage="1" showErrorMessage="1" sqref="N2:N20" xr:uid="{00000000-0002-0000-0800-000002000000}">
      <formula1>Fund_type</formula1>
    </dataValidation>
    <dataValidation type="list" allowBlank="1" showInputMessage="1" showErrorMessage="1" sqref="E2:E20" xr:uid="{00000000-0002-0000-0800-000003000000}">
      <formula1>Issuer_Type_TFunds</formula1>
    </dataValidation>
    <dataValidation type="list" allowBlank="1" showInputMessage="1" showErrorMessage="1" sqref="H2:H20" xr:uid="{00000000-0002-0000-0800-000004000000}">
      <formula1>Security_ID_Number_Type</formula1>
    </dataValidation>
    <dataValidation type="list" allowBlank="1" showInputMessage="1" showErrorMessage="1" sqref="L2:L20" xr:uid="{00000000-0002-0000-0800-000005000000}">
      <formula1>tradeable_status_funds</formula1>
    </dataValidation>
    <dataValidation type="list" allowBlank="1" showInputMessage="1" showErrorMessage="1" sqref="K2:K20" xr:uid="{00000000-0002-0000-0800-000006000000}">
      <formula1>Country_list_funds</formula1>
    </dataValidation>
    <dataValidation type="list" allowBlank="1" showInputMessage="1" showErrorMessage="1" sqref="M2:M20" xr:uid="{00000000-0002-0000-0800-000007000000}">
      <formula1>Stock_Exchange</formula1>
    </dataValidation>
  </dataValidations>
  <pageMargins left="0.7" right="0.7" top="0.75" bottom="0.75" header="0.3" footer="0.3"/>
  <pageSetup paperSize="9" orientation="portrait" verticalDpi="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8000000}">
          <x14:formula1>
            <xm:f>'אפשרויות בחירה'!$C$897:$C$900</xm:f>
          </x14:formula1>
          <xm:sqref>I2:I20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1"/>
  <dimension ref="A1:AA28"/>
  <sheetViews>
    <sheetView rightToLeft="1" workbookViewId="0">
      <selection activeCell="A2" sqref="A2"/>
    </sheetView>
  </sheetViews>
  <sheetFormatPr defaultColWidth="0" defaultRowHeight="14.25"/>
  <cols>
    <col min="1" max="4" width="11.625" style="3" customWidth="1"/>
    <col min="5" max="5" width="11.625" style="5" customWidth="1"/>
    <col min="6" max="25" width="11.625" style="3" customWidth="1"/>
    <col min="26" max="27" width="11.625" style="3" hidden="1" customWidth="1"/>
    <col min="28" max="28" width="9" style="3" hidden="1" customWidth="1"/>
    <col min="29" max="16384" width="9" style="3" hidden="1"/>
  </cols>
  <sheetData>
    <row r="1" spans="1:25" ht="51">
      <c r="A1" s="22" t="s">
        <v>0</v>
      </c>
      <c r="B1" s="22" t="s">
        <v>1</v>
      </c>
      <c r="C1" s="22" t="s">
        <v>2</v>
      </c>
      <c r="D1" s="22" t="s">
        <v>47</v>
      </c>
      <c r="E1" s="22" t="s">
        <v>48</v>
      </c>
      <c r="F1" s="22" t="s">
        <v>3</v>
      </c>
      <c r="G1" s="22" t="s">
        <v>4</v>
      </c>
      <c r="H1" s="22" t="s">
        <v>49</v>
      </c>
      <c r="I1" s="22" t="s">
        <v>6</v>
      </c>
      <c r="J1" s="22" t="s">
        <v>7</v>
      </c>
      <c r="K1" s="22" t="s">
        <v>57</v>
      </c>
      <c r="L1" s="22" t="s">
        <v>8</v>
      </c>
      <c r="M1" s="22" t="s">
        <v>60</v>
      </c>
      <c r="N1" s="22" t="s">
        <v>50</v>
      </c>
      <c r="O1" s="22" t="s">
        <v>61</v>
      </c>
      <c r="P1" s="22" t="s">
        <v>51</v>
      </c>
      <c r="Q1" s="22" t="s">
        <v>11</v>
      </c>
      <c r="R1" s="22" t="s">
        <v>62</v>
      </c>
      <c r="S1" s="22" t="s">
        <v>63</v>
      </c>
      <c r="T1" s="22" t="s">
        <v>17</v>
      </c>
      <c r="U1" s="22" t="s">
        <v>18</v>
      </c>
      <c r="V1" s="22" t="s">
        <v>19</v>
      </c>
      <c r="W1" s="22" t="s">
        <v>20</v>
      </c>
      <c r="X1" s="22" t="s">
        <v>24</v>
      </c>
      <c r="Y1" s="22" t="s">
        <v>25</v>
      </c>
    </row>
    <row r="2" spans="1:25">
      <c r="A2" s="30"/>
      <c r="B2" s="23"/>
      <c r="C2" s="23"/>
      <c r="D2" s="23"/>
      <c r="E2" s="21"/>
      <c r="F2" s="23"/>
      <c r="G2" s="23"/>
      <c r="H2" s="21"/>
      <c r="I2" s="21"/>
      <c r="J2" s="21"/>
      <c r="K2" s="23"/>
      <c r="L2" s="21"/>
      <c r="M2" s="24"/>
      <c r="N2" s="23"/>
      <c r="O2" s="23"/>
      <c r="P2" s="23"/>
      <c r="Q2" s="21"/>
      <c r="R2" s="21"/>
      <c r="S2" s="21"/>
      <c r="T2" s="23"/>
      <c r="U2" s="23"/>
      <c r="V2" s="23"/>
      <c r="W2" s="23"/>
      <c r="X2" s="23"/>
      <c r="Y2" s="23"/>
    </row>
    <row r="3" spans="1:25">
      <c r="A3" s="23"/>
      <c r="B3" s="23"/>
      <c r="C3" s="23"/>
      <c r="D3" s="23"/>
      <c r="E3" s="21"/>
      <c r="F3" s="23"/>
      <c r="G3" s="23"/>
      <c r="H3" s="21"/>
      <c r="I3" s="21"/>
      <c r="J3" s="21"/>
      <c r="K3" s="23"/>
      <c r="L3" s="21"/>
      <c r="M3" s="23"/>
      <c r="N3" s="23"/>
      <c r="O3" s="23"/>
      <c r="P3" s="23"/>
      <c r="Q3" s="21"/>
      <c r="R3" s="21"/>
      <c r="S3" s="21"/>
      <c r="T3" s="23"/>
      <c r="U3" s="23"/>
      <c r="V3" s="23"/>
      <c r="W3" s="23"/>
      <c r="X3" s="23"/>
      <c r="Y3" s="23"/>
    </row>
    <row r="4" spans="1:25">
      <c r="A4" s="23"/>
      <c r="B4" s="23"/>
      <c r="C4" s="23"/>
      <c r="D4" s="23"/>
      <c r="E4" s="21"/>
      <c r="F4" s="23"/>
      <c r="G4" s="23"/>
      <c r="H4" s="21"/>
      <c r="I4" s="21"/>
      <c r="J4" s="21"/>
      <c r="K4" s="23"/>
      <c r="L4" s="21"/>
      <c r="M4" s="23"/>
      <c r="N4" s="23"/>
      <c r="O4" s="23"/>
      <c r="P4" s="23"/>
      <c r="Q4" s="21"/>
      <c r="R4" s="21"/>
      <c r="S4" s="21"/>
      <c r="T4" s="23"/>
      <c r="U4" s="23"/>
      <c r="V4" s="23"/>
      <c r="W4" s="23"/>
      <c r="X4" s="23"/>
      <c r="Y4" s="23"/>
    </row>
    <row r="5" spans="1:25">
      <c r="A5" s="23"/>
      <c r="B5" s="23"/>
      <c r="C5" s="23"/>
      <c r="D5" s="23"/>
      <c r="E5" s="21"/>
      <c r="F5" s="23"/>
      <c r="G5" s="23"/>
      <c r="H5" s="21"/>
      <c r="I5" s="21"/>
      <c r="J5" s="21"/>
      <c r="K5" s="23"/>
      <c r="L5" s="21"/>
      <c r="M5" s="23"/>
      <c r="N5" s="23"/>
      <c r="O5" s="23"/>
      <c r="P5" s="23"/>
      <c r="Q5" s="21"/>
      <c r="R5" s="21"/>
      <c r="S5" s="21"/>
      <c r="T5" s="23"/>
      <c r="U5" s="23"/>
      <c r="V5" s="23"/>
      <c r="W5" s="23"/>
      <c r="X5" s="23"/>
      <c r="Y5" s="23"/>
    </row>
    <row r="6" spans="1:25">
      <c r="A6" s="23"/>
      <c r="B6" s="23"/>
      <c r="C6" s="23"/>
      <c r="D6" s="23"/>
      <c r="E6" s="21"/>
      <c r="F6" s="23"/>
      <c r="G6" s="23"/>
      <c r="H6" s="21"/>
      <c r="I6" s="21"/>
      <c r="J6" s="21"/>
      <c r="K6" s="23"/>
      <c r="L6" s="21"/>
      <c r="M6" s="23"/>
      <c r="N6" s="23"/>
      <c r="O6" s="23"/>
      <c r="P6" s="23"/>
      <c r="Q6" s="21"/>
      <c r="R6" s="21"/>
      <c r="S6" s="21"/>
      <c r="T6" s="23"/>
      <c r="U6" s="23"/>
      <c r="V6" s="23"/>
      <c r="W6" s="23"/>
      <c r="X6" s="23"/>
      <c r="Y6" s="23"/>
    </row>
    <row r="7" spans="1:25">
      <c r="A7" s="23"/>
      <c r="B7" s="23"/>
      <c r="C7" s="23"/>
      <c r="D7" s="23"/>
      <c r="E7" s="21"/>
      <c r="F7" s="23"/>
      <c r="G7" s="23"/>
      <c r="H7" s="21"/>
      <c r="I7" s="21"/>
      <c r="J7" s="21"/>
      <c r="K7" s="23"/>
      <c r="L7" s="21"/>
      <c r="M7" s="23"/>
      <c r="N7" s="23"/>
      <c r="O7" s="23"/>
      <c r="P7" s="23"/>
      <c r="Q7" s="21"/>
      <c r="R7" s="21"/>
      <c r="S7" s="21"/>
      <c r="T7" s="23"/>
      <c r="U7" s="23"/>
      <c r="V7" s="23"/>
      <c r="W7" s="23"/>
      <c r="X7" s="23"/>
      <c r="Y7" s="23"/>
    </row>
    <row r="8" spans="1:25">
      <c r="A8" s="23"/>
      <c r="B8" s="23"/>
      <c r="C8" s="23"/>
      <c r="D8" s="23"/>
      <c r="E8" s="21"/>
      <c r="F8" s="23"/>
      <c r="G8" s="23"/>
      <c r="H8" s="21"/>
      <c r="I8" s="21"/>
      <c r="J8" s="21"/>
      <c r="K8" s="23"/>
      <c r="L8" s="21"/>
      <c r="M8" s="23"/>
      <c r="N8" s="23"/>
      <c r="O8" s="23"/>
      <c r="P8" s="23"/>
      <c r="Q8" s="21"/>
      <c r="R8" s="21"/>
      <c r="S8" s="21"/>
      <c r="T8" s="23"/>
      <c r="U8" s="23"/>
      <c r="V8" s="23"/>
      <c r="W8" s="23"/>
      <c r="X8" s="23"/>
      <c r="Y8" s="23"/>
    </row>
    <row r="9" spans="1:25">
      <c r="A9" s="23"/>
      <c r="B9" s="23"/>
      <c r="C9" s="23"/>
      <c r="D9" s="23"/>
      <c r="E9" s="21"/>
      <c r="F9" s="23"/>
      <c r="G9" s="23"/>
      <c r="H9" s="21"/>
      <c r="I9" s="21"/>
      <c r="J9" s="21"/>
      <c r="K9" s="23"/>
      <c r="L9" s="21"/>
      <c r="M9" s="23"/>
      <c r="N9" s="23"/>
      <c r="O9" s="23"/>
      <c r="P9" s="23"/>
      <c r="Q9" s="21"/>
      <c r="R9" s="21"/>
      <c r="S9" s="21"/>
      <c r="T9" s="23"/>
      <c r="U9" s="23"/>
      <c r="V9" s="23"/>
      <c r="W9" s="23"/>
      <c r="X9" s="23"/>
      <c r="Y9" s="23"/>
    </row>
    <row r="10" spans="1:25">
      <c r="A10" s="23"/>
      <c r="B10" s="23"/>
      <c r="C10" s="23"/>
      <c r="D10" s="23"/>
      <c r="E10" s="21"/>
      <c r="F10" s="23"/>
      <c r="G10" s="23"/>
      <c r="H10" s="21"/>
      <c r="I10" s="21"/>
      <c r="J10" s="21"/>
      <c r="K10" s="23"/>
      <c r="L10" s="21"/>
      <c r="M10" s="23"/>
      <c r="N10" s="23"/>
      <c r="O10" s="23"/>
      <c r="P10" s="23"/>
      <c r="Q10" s="21"/>
      <c r="R10" s="21"/>
      <c r="S10" s="21"/>
      <c r="T10" s="23"/>
      <c r="U10" s="23"/>
      <c r="V10" s="23"/>
      <c r="W10" s="23"/>
      <c r="X10" s="23"/>
      <c r="Y10" s="23"/>
    </row>
    <row r="11" spans="1:25">
      <c r="A11" s="30"/>
      <c r="B11" s="23"/>
      <c r="C11" s="23"/>
      <c r="D11" s="23"/>
      <c r="E11" s="21"/>
      <c r="F11" s="23"/>
      <c r="G11" s="23"/>
      <c r="H11" s="21"/>
      <c r="I11" s="21"/>
      <c r="J11" s="21"/>
      <c r="K11" s="23"/>
      <c r="L11" s="21"/>
      <c r="M11" s="23"/>
      <c r="N11" s="23"/>
      <c r="O11" s="23"/>
      <c r="P11" s="23"/>
      <c r="Q11" s="21"/>
      <c r="R11" s="21"/>
      <c r="S11" s="21"/>
      <c r="T11" s="23"/>
      <c r="U11" s="23"/>
      <c r="V11" s="23"/>
      <c r="W11" s="23"/>
      <c r="X11" s="23"/>
      <c r="Y11" s="23"/>
    </row>
    <row r="12" spans="1:25">
      <c r="A12" s="23"/>
      <c r="B12" s="23"/>
      <c r="C12" s="23"/>
      <c r="D12" s="23"/>
      <c r="E12" s="21"/>
      <c r="F12" s="23"/>
      <c r="G12" s="23"/>
      <c r="H12" s="21"/>
      <c r="I12" s="21"/>
      <c r="J12" s="21"/>
      <c r="K12" s="23"/>
      <c r="L12" s="21"/>
      <c r="M12" s="23"/>
      <c r="N12" s="23"/>
      <c r="O12" s="23"/>
      <c r="P12" s="23"/>
      <c r="Q12" s="21"/>
      <c r="R12" s="21"/>
      <c r="S12" s="21"/>
      <c r="T12" s="23"/>
      <c r="U12" s="23"/>
      <c r="V12" s="23"/>
      <c r="W12" s="23"/>
      <c r="X12" s="23"/>
      <c r="Y12" s="23"/>
    </row>
    <row r="13" spans="1:25">
      <c r="A13" s="23"/>
      <c r="B13" s="23"/>
      <c r="C13" s="23"/>
      <c r="D13" s="23"/>
      <c r="E13" s="21"/>
      <c r="F13" s="23"/>
      <c r="G13" s="23"/>
      <c r="H13" s="21"/>
      <c r="I13" s="21"/>
      <c r="J13" s="21"/>
      <c r="K13" s="23"/>
      <c r="L13" s="21"/>
      <c r="M13" s="23"/>
      <c r="N13" s="23"/>
      <c r="O13" s="23"/>
      <c r="P13" s="23"/>
      <c r="Q13" s="21"/>
      <c r="R13" s="21"/>
      <c r="S13" s="21"/>
      <c r="T13" s="23"/>
      <c r="U13" s="23"/>
      <c r="V13" s="23"/>
      <c r="W13" s="23"/>
      <c r="X13" s="23"/>
      <c r="Y13" s="23"/>
    </row>
    <row r="14" spans="1:25">
      <c r="A14" s="23"/>
      <c r="B14" s="23"/>
      <c r="C14" s="23"/>
      <c r="D14" s="23"/>
      <c r="E14" s="21"/>
      <c r="F14" s="23"/>
      <c r="G14" s="23"/>
      <c r="H14" s="21"/>
      <c r="I14" s="21"/>
      <c r="J14" s="21"/>
      <c r="K14" s="23"/>
      <c r="L14" s="21"/>
      <c r="M14" s="23"/>
      <c r="N14" s="23"/>
      <c r="O14" s="23"/>
      <c r="P14" s="23"/>
      <c r="Q14" s="21"/>
      <c r="R14" s="21"/>
      <c r="S14" s="21"/>
      <c r="T14" s="23"/>
      <c r="U14" s="23"/>
      <c r="V14" s="23"/>
      <c r="W14" s="23"/>
      <c r="X14" s="23"/>
      <c r="Y14" s="23"/>
    </row>
    <row r="15" spans="1:25">
      <c r="A15" s="23"/>
      <c r="B15" s="23"/>
      <c r="C15" s="23"/>
      <c r="D15" s="23"/>
      <c r="E15" s="21"/>
      <c r="F15" s="23"/>
      <c r="G15" s="23"/>
      <c r="H15" s="21"/>
      <c r="I15" s="21"/>
      <c r="J15" s="21"/>
      <c r="K15" s="23"/>
      <c r="L15" s="21"/>
      <c r="M15" s="23"/>
      <c r="N15" s="23"/>
      <c r="O15" s="23"/>
      <c r="P15" s="23"/>
      <c r="Q15" s="21"/>
      <c r="R15" s="21"/>
      <c r="S15" s="21"/>
      <c r="T15" s="23"/>
      <c r="U15" s="23"/>
      <c r="V15" s="23"/>
      <c r="W15" s="23"/>
      <c r="X15" s="23"/>
      <c r="Y15" s="23"/>
    </row>
    <row r="16" spans="1:25">
      <c r="A16" s="23"/>
      <c r="B16" s="23"/>
      <c r="C16" s="23"/>
      <c r="D16" s="23"/>
      <c r="E16" s="21"/>
      <c r="F16" s="23"/>
      <c r="G16" s="23"/>
      <c r="H16" s="21"/>
      <c r="I16" s="21"/>
      <c r="J16" s="21"/>
      <c r="K16" s="23"/>
      <c r="L16" s="21"/>
      <c r="M16" s="23"/>
      <c r="N16" s="23"/>
      <c r="O16" s="23"/>
      <c r="P16" s="23"/>
      <c r="Q16" s="21"/>
      <c r="R16" s="21"/>
      <c r="S16" s="21"/>
      <c r="T16" s="23"/>
      <c r="U16" s="23"/>
      <c r="V16" s="23"/>
      <c r="W16" s="23"/>
      <c r="X16" s="23"/>
      <c r="Y16" s="23"/>
    </row>
    <row r="17" spans="1:25">
      <c r="A17" s="23"/>
      <c r="B17" s="23"/>
      <c r="C17" s="23"/>
      <c r="D17" s="23"/>
      <c r="E17" s="21"/>
      <c r="F17" s="23"/>
      <c r="G17" s="23"/>
      <c r="H17" s="21"/>
      <c r="I17" s="21"/>
      <c r="J17" s="21"/>
      <c r="K17" s="23"/>
      <c r="L17" s="21"/>
      <c r="M17" s="23"/>
      <c r="N17" s="23"/>
      <c r="O17" s="23"/>
      <c r="P17" s="23"/>
      <c r="Q17" s="21"/>
      <c r="R17" s="21"/>
      <c r="S17" s="21"/>
      <c r="T17" s="23"/>
      <c r="U17" s="23"/>
      <c r="V17" s="23"/>
      <c r="W17" s="23"/>
      <c r="X17" s="23"/>
      <c r="Y17" s="23"/>
    </row>
    <row r="18" spans="1:25">
      <c r="A18" s="23"/>
      <c r="B18" s="23"/>
      <c r="C18" s="23"/>
      <c r="D18" s="23"/>
      <c r="E18" s="21"/>
      <c r="F18" s="23"/>
      <c r="G18" s="23"/>
      <c r="H18" s="21"/>
      <c r="I18" s="21"/>
      <c r="J18" s="21"/>
      <c r="K18" s="23"/>
      <c r="L18" s="21"/>
      <c r="M18" s="23"/>
      <c r="N18" s="23"/>
      <c r="O18" s="23"/>
      <c r="P18" s="23"/>
      <c r="Q18" s="21"/>
      <c r="R18" s="21"/>
      <c r="S18" s="21"/>
      <c r="T18" s="23"/>
      <c r="U18" s="23"/>
      <c r="V18" s="23"/>
      <c r="W18" s="23"/>
      <c r="X18" s="23"/>
      <c r="Y18" s="23"/>
    </row>
    <row r="19" spans="1:25">
      <c r="A19" s="23"/>
      <c r="B19" s="23"/>
      <c r="C19" s="23"/>
      <c r="D19" s="23"/>
      <c r="E19" s="21"/>
      <c r="F19" s="23"/>
      <c r="G19" s="23"/>
      <c r="H19" s="21"/>
      <c r="I19" s="21"/>
      <c r="J19" s="21"/>
      <c r="K19" s="23"/>
      <c r="L19" s="21"/>
      <c r="M19" s="23"/>
      <c r="N19" s="23"/>
      <c r="O19" s="23"/>
      <c r="P19" s="23"/>
      <c r="Q19" s="21"/>
      <c r="R19" s="21"/>
      <c r="S19" s="21"/>
      <c r="T19" s="23"/>
      <c r="U19" s="23"/>
      <c r="V19" s="23"/>
      <c r="W19" s="23"/>
      <c r="X19" s="23"/>
      <c r="Y19" s="23"/>
    </row>
    <row r="20" spans="1:25">
      <c r="E20" s="21"/>
      <c r="H20" s="21"/>
      <c r="I20" s="21"/>
      <c r="J20" s="21"/>
      <c r="K20" s="23"/>
      <c r="L20" s="21"/>
      <c r="N20" s="23"/>
      <c r="P20" s="23"/>
    </row>
    <row r="21" spans="1:25">
      <c r="H21" s="45"/>
      <c r="L21" s="45"/>
    </row>
    <row r="22" spans="1:25">
      <c r="L22" s="5"/>
    </row>
    <row r="23" spans="1:25">
      <c r="H23" s="42"/>
    </row>
    <row r="24" spans="1:25">
      <c r="H24" s="42"/>
    </row>
    <row r="25" spans="1:25">
      <c r="H25" s="42"/>
    </row>
    <row r="26" spans="1:25">
      <c r="H26" s="42"/>
    </row>
    <row r="27" spans="1:25">
      <c r="H27" s="42"/>
    </row>
    <row r="28" spans="1:25">
      <c r="H28" s="42"/>
    </row>
  </sheetData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8">
    <dataValidation type="list" allowBlank="1" showInputMessage="1" showErrorMessage="1" sqref="I2:I20" xr:uid="{00000000-0002-0000-0900-000000000000}">
      <formula1>israel_abroad</formula1>
    </dataValidation>
    <dataValidation type="list" allowBlank="1" showInputMessage="1" showErrorMessage="1" sqref="N2:N20" xr:uid="{00000000-0002-0000-0900-000001000000}">
      <formula1>Industry_sectors</formula1>
    </dataValidation>
    <dataValidation type="list" allowBlank="1" showInputMessage="1" showErrorMessage="1" sqref="P2:P20" xr:uid="{00000000-0002-0000-0900-000002000000}">
      <formula1>Holding_interest</formula1>
    </dataValidation>
    <dataValidation type="list" allowBlank="1" showInputMessage="1" showErrorMessage="1" sqref="J2:J20" xr:uid="{00000000-0002-0000-0900-000003000000}">
      <formula1>Country_list</formula1>
    </dataValidation>
    <dataValidation type="list" allowBlank="1" showInputMessage="1" showErrorMessage="1" sqref="E2:E20" xr:uid="{00000000-0002-0000-0900-000004000000}">
      <formula1>Issuer_Type_TFunds</formula1>
    </dataValidation>
    <dataValidation type="list" allowBlank="1" showInputMessage="1" showErrorMessage="1" sqref="H2:H20" xr:uid="{00000000-0002-0000-0900-000005000000}">
      <formula1>Security_ID_Number_Type</formula1>
    </dataValidation>
    <dataValidation type="list" allowBlank="1" showInputMessage="1" showErrorMessage="1" sqref="K2:K20" xr:uid="{00000000-0002-0000-0900-000006000000}">
      <formula1>tradeable_status_warrants</formula1>
    </dataValidation>
    <dataValidation type="list" allowBlank="1" showInputMessage="1" showErrorMessage="1" sqref="L2:L20" xr:uid="{00000000-0002-0000-0900-000007000000}">
      <formula1>Stock_Exchange</formula1>
    </dataValidation>
  </dataValidation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2"/>
  <dimension ref="A1:Y30"/>
  <sheetViews>
    <sheetView rightToLeft="1" workbookViewId="0">
      <selection activeCell="A2" sqref="A2"/>
    </sheetView>
  </sheetViews>
  <sheetFormatPr defaultColWidth="0" defaultRowHeight="14.25"/>
  <cols>
    <col min="1" max="4" width="11.625" style="3" customWidth="1"/>
    <col min="5" max="5" width="11.625" style="5" customWidth="1"/>
    <col min="6" max="24" width="11.625" style="3" customWidth="1"/>
    <col min="25" max="25" width="11.625" style="3" hidden="1" customWidth="1"/>
    <col min="26" max="26" width="9" style="3" hidden="1" customWidth="1"/>
    <col min="27" max="16384" width="9" style="3" hidden="1"/>
  </cols>
  <sheetData>
    <row r="1" spans="1:24" ht="51">
      <c r="A1" s="22" t="s">
        <v>0</v>
      </c>
      <c r="B1" s="22" t="s">
        <v>1</v>
      </c>
      <c r="C1" s="22" t="s">
        <v>2</v>
      </c>
      <c r="D1" s="22" t="s">
        <v>47</v>
      </c>
      <c r="E1" s="22" t="s">
        <v>48</v>
      </c>
      <c r="F1" s="22" t="s">
        <v>3</v>
      </c>
      <c r="G1" s="22" t="s">
        <v>4</v>
      </c>
      <c r="H1" s="22" t="s">
        <v>49</v>
      </c>
      <c r="I1" s="22" t="s">
        <v>5</v>
      </c>
      <c r="J1" s="22" t="s">
        <v>6</v>
      </c>
      <c r="K1" s="22" t="s">
        <v>7</v>
      </c>
      <c r="L1" s="22" t="s">
        <v>8</v>
      </c>
      <c r="M1" s="22" t="s">
        <v>50</v>
      </c>
      <c r="N1" s="22" t="s">
        <v>64</v>
      </c>
      <c r="O1" s="176" t="s">
        <v>61</v>
      </c>
      <c r="P1" s="22" t="s">
        <v>51</v>
      </c>
      <c r="Q1" s="22" t="s">
        <v>11</v>
      </c>
      <c r="R1" s="174" t="s">
        <v>62</v>
      </c>
      <c r="S1" s="22" t="s">
        <v>17</v>
      </c>
      <c r="T1" s="167" t="s">
        <v>18</v>
      </c>
      <c r="U1" s="174" t="s">
        <v>19</v>
      </c>
      <c r="V1" s="22" t="s">
        <v>20</v>
      </c>
      <c r="W1" s="169" t="s">
        <v>24</v>
      </c>
      <c r="X1" s="169" t="s">
        <v>25</v>
      </c>
    </row>
    <row r="2" spans="1:24">
      <c r="A2" s="23">
        <v>1192</v>
      </c>
      <c r="B2" s="23">
        <v>1192</v>
      </c>
      <c r="C2" s="23" t="s">
        <v>65</v>
      </c>
      <c r="D2" s="23" t="s">
        <v>66</v>
      </c>
      <c r="E2" s="21" t="s">
        <v>67</v>
      </c>
      <c r="F2" s="23" t="s">
        <v>68</v>
      </c>
      <c r="G2" s="23" t="s">
        <v>69</v>
      </c>
      <c r="H2" s="21" t="s">
        <v>70</v>
      </c>
      <c r="I2" s="23" t="s">
        <v>71</v>
      </c>
      <c r="J2" s="21" t="s">
        <v>30</v>
      </c>
      <c r="K2" s="21" t="s">
        <v>30</v>
      </c>
      <c r="L2" s="21" t="s">
        <v>31</v>
      </c>
      <c r="M2" s="23" t="s">
        <v>72</v>
      </c>
      <c r="N2" s="23" t="s">
        <v>71</v>
      </c>
      <c r="O2" s="177" t="s">
        <v>73</v>
      </c>
      <c r="P2" s="23" t="s">
        <v>74</v>
      </c>
      <c r="Q2" s="21" t="s">
        <v>34</v>
      </c>
      <c r="R2" s="181">
        <v>3.25</v>
      </c>
      <c r="S2" s="165">
        <v>875</v>
      </c>
      <c r="T2" s="178">
        <v>1</v>
      </c>
      <c r="U2" s="180">
        <v>40000</v>
      </c>
      <c r="V2" s="165">
        <v>350</v>
      </c>
      <c r="W2" s="179">
        <v>0.157193511950075</v>
      </c>
      <c r="X2" s="179">
        <v>4.7794130504379599E-3</v>
      </c>
    </row>
    <row r="3" spans="1:24">
      <c r="A3" s="23">
        <v>1192</v>
      </c>
      <c r="B3" s="23">
        <v>1192</v>
      </c>
      <c r="C3" s="23" t="s">
        <v>65</v>
      </c>
      <c r="D3" s="23" t="s">
        <v>66</v>
      </c>
      <c r="E3" s="21" t="s">
        <v>67</v>
      </c>
      <c r="F3" s="23" t="s">
        <v>75</v>
      </c>
      <c r="G3" s="23" t="s">
        <v>76</v>
      </c>
      <c r="H3" s="21" t="s">
        <v>70</v>
      </c>
      <c r="I3" s="23" t="s">
        <v>71</v>
      </c>
      <c r="J3" s="21" t="s">
        <v>30</v>
      </c>
      <c r="K3" s="21" t="s">
        <v>30</v>
      </c>
      <c r="L3" s="21" t="s">
        <v>31</v>
      </c>
      <c r="M3" s="23" t="s">
        <v>72</v>
      </c>
      <c r="N3" s="23" t="s">
        <v>71</v>
      </c>
      <c r="O3" s="177" t="s">
        <v>73</v>
      </c>
      <c r="P3" s="23" t="s">
        <v>74</v>
      </c>
      <c r="Q3" s="21" t="s">
        <v>34</v>
      </c>
      <c r="R3" s="181">
        <v>3.3</v>
      </c>
      <c r="S3" s="165">
        <v>810</v>
      </c>
      <c r="T3" s="178">
        <v>1</v>
      </c>
      <c r="U3" s="180">
        <v>62900</v>
      </c>
      <c r="V3" s="165">
        <v>509.49</v>
      </c>
      <c r="W3" s="179">
        <v>0.22882434972412499</v>
      </c>
      <c r="X3" s="179">
        <v>6.9573233001932501E-3</v>
      </c>
    </row>
    <row r="4" spans="1:24">
      <c r="A4" s="23">
        <v>1192</v>
      </c>
      <c r="B4" s="23">
        <v>1192</v>
      </c>
      <c r="C4" s="23" t="s">
        <v>65</v>
      </c>
      <c r="D4" s="23" t="s">
        <v>66</v>
      </c>
      <c r="E4" s="21" t="s">
        <v>67</v>
      </c>
      <c r="F4" s="23" t="s">
        <v>77</v>
      </c>
      <c r="G4" s="23" t="s">
        <v>78</v>
      </c>
      <c r="H4" s="21" t="s">
        <v>70</v>
      </c>
      <c r="I4" s="23" t="s">
        <v>71</v>
      </c>
      <c r="J4" s="21" t="s">
        <v>30</v>
      </c>
      <c r="K4" s="21" t="s">
        <v>30</v>
      </c>
      <c r="L4" s="21" t="s">
        <v>31</v>
      </c>
      <c r="M4" s="23" t="s">
        <v>79</v>
      </c>
      <c r="N4" s="23" t="s">
        <v>71</v>
      </c>
      <c r="O4" s="177" t="s">
        <v>80</v>
      </c>
      <c r="P4" s="23" t="s">
        <v>74</v>
      </c>
      <c r="Q4" s="21" t="s">
        <v>34</v>
      </c>
      <c r="R4" s="181">
        <v>3.3</v>
      </c>
      <c r="S4" s="165">
        <v>1967</v>
      </c>
      <c r="T4" s="178">
        <v>1</v>
      </c>
      <c r="U4" s="180">
        <v>69500</v>
      </c>
      <c r="V4" s="165">
        <v>1367.0650000000001</v>
      </c>
      <c r="W4" s="179">
        <v>0.61398213832579895</v>
      </c>
      <c r="X4" s="179">
        <v>1.8667909433705599E-2</v>
      </c>
    </row>
    <row r="5" spans="1:24">
      <c r="A5" s="23"/>
      <c r="B5" s="23"/>
      <c r="C5" s="23"/>
      <c r="D5" s="23"/>
      <c r="E5" s="21"/>
      <c r="F5" s="23"/>
      <c r="G5" s="23"/>
      <c r="H5" s="21"/>
      <c r="I5" s="23"/>
      <c r="J5" s="21"/>
      <c r="K5" s="21"/>
      <c r="L5" s="21"/>
      <c r="M5" s="23"/>
      <c r="N5" s="23"/>
      <c r="O5" s="23"/>
      <c r="P5" s="23"/>
      <c r="Q5" s="21"/>
      <c r="R5" s="21"/>
      <c r="S5" s="23"/>
      <c r="T5" s="23"/>
      <c r="U5" s="23"/>
      <c r="V5" s="23"/>
      <c r="W5" s="23"/>
      <c r="X5" s="23"/>
    </row>
    <row r="6" spans="1:24">
      <c r="A6" s="23"/>
      <c r="B6" s="23"/>
      <c r="C6" s="23"/>
      <c r="D6" s="23"/>
      <c r="E6" s="21"/>
      <c r="F6" s="23"/>
      <c r="G6" s="23"/>
      <c r="H6" s="21"/>
      <c r="I6" s="23"/>
      <c r="J6" s="21"/>
      <c r="K6" s="21"/>
      <c r="L6" s="21"/>
      <c r="M6" s="23"/>
      <c r="N6" s="23"/>
      <c r="O6" s="23"/>
      <c r="P6" s="23"/>
      <c r="Q6" s="21"/>
      <c r="R6" s="21"/>
      <c r="S6" s="23"/>
      <c r="T6" s="23"/>
      <c r="U6" s="23"/>
      <c r="V6" s="23"/>
      <c r="W6" s="23"/>
      <c r="X6" s="23"/>
    </row>
    <row r="7" spans="1:24">
      <c r="A7" s="23"/>
      <c r="B7" s="23"/>
      <c r="C7" s="23"/>
      <c r="D7" s="23"/>
      <c r="E7" s="21"/>
      <c r="F7" s="23"/>
      <c r="G7" s="23"/>
      <c r="H7" s="21"/>
      <c r="I7" s="23"/>
      <c r="J7" s="21"/>
      <c r="K7" s="21"/>
      <c r="L7" s="21"/>
      <c r="M7" s="23"/>
      <c r="N7" s="23"/>
      <c r="O7" s="23"/>
      <c r="P7" s="23"/>
      <c r="Q7" s="21"/>
      <c r="R7" s="21"/>
      <c r="S7" s="23"/>
      <c r="T7" s="23"/>
      <c r="U7" s="23"/>
      <c r="V7" s="23"/>
      <c r="W7" s="23"/>
      <c r="X7" s="23"/>
    </row>
    <row r="8" spans="1:24">
      <c r="A8" s="23"/>
      <c r="B8" s="23"/>
      <c r="C8" s="23"/>
      <c r="D8" s="23"/>
      <c r="E8" s="21"/>
      <c r="F8" s="23"/>
      <c r="G8" s="23"/>
      <c r="H8" s="21"/>
      <c r="I8" s="23"/>
      <c r="J8" s="21"/>
      <c r="K8" s="21"/>
      <c r="L8" s="21"/>
      <c r="M8" s="23"/>
      <c r="N8" s="23"/>
      <c r="O8" s="23"/>
      <c r="P8" s="23"/>
      <c r="Q8" s="21"/>
      <c r="R8" s="21"/>
      <c r="S8" s="23"/>
      <c r="T8" s="23"/>
      <c r="U8" s="23"/>
      <c r="V8" s="23"/>
      <c r="W8" s="23"/>
      <c r="X8" s="23"/>
    </row>
    <row r="9" spans="1:24">
      <c r="A9" s="23"/>
      <c r="B9" s="23"/>
      <c r="C9" s="23"/>
      <c r="D9" s="23"/>
      <c r="E9" s="21"/>
      <c r="F9" s="23"/>
      <c r="G9" s="23"/>
      <c r="H9" s="21"/>
      <c r="I9" s="23"/>
      <c r="J9" s="21"/>
      <c r="K9" s="21"/>
      <c r="L9" s="21"/>
      <c r="M9" s="23"/>
      <c r="N9" s="23"/>
      <c r="O9" s="23"/>
      <c r="P9" s="23"/>
      <c r="Q9" s="21"/>
      <c r="R9" s="21"/>
      <c r="S9" s="23"/>
      <c r="T9" s="23"/>
      <c r="U9" s="23"/>
      <c r="V9" s="23"/>
      <c r="W9" s="23"/>
      <c r="X9" s="23"/>
    </row>
    <row r="10" spans="1:24">
      <c r="A10" s="23"/>
      <c r="B10" s="23"/>
      <c r="C10" s="23"/>
      <c r="D10" s="23"/>
      <c r="E10" s="21"/>
      <c r="F10" s="23"/>
      <c r="G10" s="23"/>
      <c r="H10" s="21"/>
      <c r="I10" s="23"/>
      <c r="J10" s="21"/>
      <c r="K10" s="21"/>
      <c r="L10" s="21"/>
      <c r="M10" s="23"/>
      <c r="N10" s="23"/>
      <c r="O10" s="23"/>
      <c r="P10" s="23"/>
      <c r="Q10" s="21"/>
      <c r="R10" s="21"/>
      <c r="S10" s="23"/>
      <c r="T10" s="23"/>
      <c r="U10" s="23"/>
      <c r="V10" s="23"/>
      <c r="W10" s="23"/>
      <c r="X10" s="23"/>
    </row>
    <row r="11" spans="1:24">
      <c r="A11" s="23"/>
      <c r="B11" s="23"/>
      <c r="C11" s="23"/>
      <c r="D11" s="23"/>
      <c r="E11" s="21"/>
      <c r="F11" s="23"/>
      <c r="G11" s="23"/>
      <c r="H11" s="21"/>
      <c r="I11" s="23"/>
      <c r="J11" s="21"/>
      <c r="K11" s="21"/>
      <c r="L11" s="21"/>
      <c r="M11" s="23"/>
      <c r="N11" s="23"/>
      <c r="O11" s="23"/>
      <c r="P11" s="23"/>
      <c r="Q11" s="21"/>
      <c r="R11" s="21"/>
      <c r="S11" s="23"/>
      <c r="T11" s="23"/>
      <c r="U11" s="23"/>
      <c r="V11" s="23"/>
      <c r="W11" s="23"/>
      <c r="X11" s="23"/>
    </row>
    <row r="12" spans="1:24">
      <c r="A12" s="23"/>
      <c r="B12" s="23"/>
      <c r="C12" s="23"/>
      <c r="D12" s="23"/>
      <c r="E12" s="21"/>
      <c r="F12" s="23"/>
      <c r="G12" s="23"/>
      <c r="H12" s="21"/>
      <c r="I12" s="23"/>
      <c r="J12" s="21"/>
      <c r="K12" s="21"/>
      <c r="L12" s="21"/>
      <c r="M12" s="23"/>
      <c r="N12" s="23"/>
      <c r="O12" s="23"/>
      <c r="P12" s="23"/>
      <c r="Q12" s="21"/>
      <c r="R12" s="21"/>
      <c r="S12" s="23"/>
      <c r="T12" s="23"/>
      <c r="U12" s="23"/>
      <c r="V12" s="23"/>
      <c r="W12" s="23"/>
      <c r="X12" s="23"/>
    </row>
    <row r="13" spans="1:24">
      <c r="A13" s="23"/>
      <c r="B13" s="23"/>
      <c r="C13" s="23"/>
      <c r="D13" s="23"/>
      <c r="E13" s="21"/>
      <c r="F13" s="23"/>
      <c r="G13" s="23"/>
      <c r="H13" s="21"/>
      <c r="I13" s="23"/>
      <c r="J13" s="21"/>
      <c r="K13" s="21"/>
      <c r="L13" s="21"/>
      <c r="M13" s="23"/>
      <c r="N13" s="23"/>
      <c r="O13" s="23"/>
      <c r="P13" s="23"/>
      <c r="Q13" s="21"/>
      <c r="R13" s="21"/>
      <c r="S13" s="23"/>
      <c r="T13" s="23"/>
      <c r="U13" s="23"/>
      <c r="V13" s="23"/>
      <c r="W13" s="23"/>
      <c r="X13" s="23"/>
    </row>
    <row r="14" spans="1:24">
      <c r="A14" s="23"/>
      <c r="B14" s="23"/>
      <c r="C14" s="23"/>
      <c r="D14" s="23"/>
      <c r="E14" s="21"/>
      <c r="F14" s="23"/>
      <c r="G14" s="23"/>
      <c r="H14" s="21"/>
      <c r="I14" s="23"/>
      <c r="J14" s="21"/>
      <c r="K14" s="21"/>
      <c r="L14" s="21"/>
      <c r="M14" s="23"/>
      <c r="N14" s="23"/>
      <c r="O14" s="23"/>
      <c r="P14" s="23"/>
      <c r="Q14" s="21"/>
      <c r="R14" s="21"/>
      <c r="S14" s="23"/>
      <c r="T14" s="23"/>
      <c r="U14" s="23"/>
      <c r="V14" s="23"/>
      <c r="W14" s="23"/>
      <c r="X14" s="23"/>
    </row>
    <row r="15" spans="1:24">
      <c r="A15" s="23"/>
      <c r="B15" s="23"/>
      <c r="C15" s="23"/>
      <c r="D15" s="23"/>
      <c r="E15" s="21"/>
      <c r="F15" s="23"/>
      <c r="G15" s="23"/>
      <c r="H15" s="21"/>
      <c r="I15" s="23"/>
      <c r="J15" s="21"/>
      <c r="K15" s="21"/>
      <c r="L15" s="21"/>
      <c r="M15" s="23"/>
      <c r="N15" s="23"/>
      <c r="O15" s="23"/>
      <c r="P15" s="23"/>
      <c r="Q15" s="21"/>
      <c r="R15" s="21"/>
      <c r="S15" s="23"/>
      <c r="T15" s="23"/>
      <c r="U15" s="23"/>
      <c r="V15" s="23"/>
      <c r="W15" s="23"/>
      <c r="X15" s="23"/>
    </row>
    <row r="16" spans="1:24">
      <c r="A16" s="23"/>
      <c r="B16" s="23"/>
      <c r="C16" s="23"/>
      <c r="D16" s="23"/>
      <c r="E16" s="21"/>
      <c r="F16" s="23"/>
      <c r="G16" s="23"/>
      <c r="H16" s="21"/>
      <c r="I16" s="23"/>
      <c r="J16" s="21"/>
      <c r="K16" s="21"/>
      <c r="L16" s="21"/>
      <c r="M16" s="23"/>
      <c r="N16" s="23"/>
      <c r="O16" s="23"/>
      <c r="P16" s="23"/>
      <c r="Q16" s="21"/>
      <c r="R16" s="21"/>
      <c r="S16" s="23"/>
      <c r="T16" s="23"/>
      <c r="U16" s="23"/>
      <c r="V16" s="23"/>
      <c r="W16" s="23"/>
      <c r="X16" s="23"/>
    </row>
    <row r="17" spans="1:24">
      <c r="A17" s="23"/>
      <c r="B17" s="23"/>
      <c r="C17" s="23"/>
      <c r="D17" s="23"/>
      <c r="E17" s="21"/>
      <c r="F17" s="23"/>
      <c r="G17" s="23"/>
      <c r="H17" s="21"/>
      <c r="I17" s="23"/>
      <c r="J17" s="21"/>
      <c r="K17" s="21"/>
      <c r="L17" s="21"/>
      <c r="M17" s="23"/>
      <c r="N17" s="23"/>
      <c r="O17" s="23"/>
      <c r="P17" s="23"/>
      <c r="Q17" s="21"/>
      <c r="R17" s="21"/>
      <c r="S17" s="23"/>
      <c r="T17" s="23"/>
      <c r="U17" s="23"/>
      <c r="V17" s="23"/>
      <c r="W17" s="23"/>
      <c r="X17" s="23"/>
    </row>
    <row r="18" spans="1:24">
      <c r="A18" s="23"/>
      <c r="B18" s="23"/>
      <c r="C18" s="23"/>
      <c r="D18" s="23"/>
      <c r="E18" s="21"/>
      <c r="F18" s="23"/>
      <c r="G18" s="23"/>
      <c r="H18" s="21"/>
      <c r="I18" s="23"/>
      <c r="J18" s="21"/>
      <c r="K18" s="21"/>
      <c r="L18" s="21"/>
      <c r="M18" s="23"/>
      <c r="N18" s="23"/>
      <c r="O18" s="23"/>
      <c r="P18" s="23"/>
      <c r="Q18" s="21"/>
      <c r="R18" s="21"/>
      <c r="S18" s="23"/>
      <c r="T18" s="23"/>
      <c r="U18" s="23"/>
      <c r="V18" s="23"/>
      <c r="W18" s="23"/>
      <c r="X18" s="23"/>
    </row>
    <row r="19" spans="1:24">
      <c r="A19" s="23"/>
      <c r="B19" s="23"/>
      <c r="C19" s="23"/>
      <c r="D19" s="23"/>
      <c r="E19" s="21"/>
      <c r="F19" s="23"/>
      <c r="G19" s="23"/>
      <c r="H19" s="21"/>
      <c r="I19" s="23"/>
      <c r="J19" s="21"/>
      <c r="K19" s="21"/>
      <c r="L19" s="21"/>
      <c r="M19" s="23"/>
      <c r="N19" s="23"/>
      <c r="O19" s="23"/>
      <c r="P19" s="23"/>
      <c r="Q19" s="21"/>
      <c r="R19" s="21"/>
      <c r="S19" s="23"/>
      <c r="T19" s="23"/>
      <c r="U19" s="23"/>
      <c r="V19" s="23"/>
      <c r="W19" s="23"/>
      <c r="X19" s="23"/>
    </row>
    <row r="20" spans="1:24">
      <c r="E20" s="21"/>
      <c r="H20" s="21"/>
      <c r="I20" s="23"/>
      <c r="J20" s="21"/>
      <c r="K20" s="21"/>
      <c r="L20" s="21"/>
      <c r="M20" s="23"/>
      <c r="P20" s="23"/>
    </row>
    <row r="21" spans="1:24" s="42" customFormat="1">
      <c r="E21" s="41"/>
      <c r="H21" s="45"/>
      <c r="L21" s="45"/>
    </row>
    <row r="22" spans="1:24">
      <c r="L22" s="5"/>
    </row>
    <row r="23" spans="1:24">
      <c r="H23" s="42"/>
    </row>
    <row r="24" spans="1:24">
      <c r="H24" s="42"/>
    </row>
    <row r="25" spans="1:24">
      <c r="H25" s="42"/>
    </row>
    <row r="26" spans="1:24">
      <c r="H26" s="42"/>
    </row>
    <row r="27" spans="1:24">
      <c r="H27" s="42"/>
    </row>
    <row r="30" spans="1:24">
      <c r="H30" s="9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8">
    <dataValidation type="list" allowBlank="1" showInputMessage="1" showErrorMessage="1" sqref="J2:J20" xr:uid="{00000000-0002-0000-0A00-000000000000}">
      <formula1>israel_abroad</formula1>
    </dataValidation>
    <dataValidation type="list" allowBlank="1" showInputMessage="1" showErrorMessage="1" sqref="P2:P20" xr:uid="{00000000-0002-0000-0A00-000001000000}">
      <formula1>Holding_interest</formula1>
    </dataValidation>
    <dataValidation type="list" allowBlank="1" showInputMessage="1" showErrorMessage="1" sqref="N2:N19" xr:uid="{00000000-0002-0000-0A00-000002000000}">
      <formula1>Underlying_Asset</formula1>
    </dataValidation>
    <dataValidation type="list" allowBlank="1" showInputMessage="1" showErrorMessage="1" sqref="K2:K20" xr:uid="{00000000-0002-0000-0A00-000003000000}">
      <formula1>Country_list</formula1>
    </dataValidation>
    <dataValidation type="list" allowBlank="1" showInputMessage="1" showErrorMessage="1" sqref="E2:E20" xr:uid="{00000000-0002-0000-0A00-000004000000}">
      <formula1>Issuer_Type_TFunds</formula1>
    </dataValidation>
    <dataValidation type="list" allowBlank="1" showInputMessage="1" showErrorMessage="1" sqref="H2:H20" xr:uid="{00000000-0002-0000-0A00-000005000000}">
      <formula1>Security_ID_Number_Type</formula1>
    </dataValidation>
    <dataValidation type="list" allowBlank="1" showInputMessage="1" showErrorMessage="1" sqref="M2:M20" xr:uid="{00000000-0002-0000-0A00-000006000000}">
      <formula1>Industry_Sector</formula1>
    </dataValidation>
    <dataValidation type="list" allowBlank="1" showInputMessage="1" showErrorMessage="1" sqref="L2:L20" xr:uid="{00000000-0002-0000-0A00-000007000000}">
      <formula1>Stock_Exchange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8000000}">
          <x14:formula1>
            <xm:f>'אפשרויות בחירה'!$C$901:$C$905</xm:f>
          </x14:formula1>
          <xm:sqref>I2:I20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3"/>
  <dimension ref="A1:T26"/>
  <sheetViews>
    <sheetView rightToLeft="1" workbookViewId="0">
      <selection activeCell="A2" sqref="A2"/>
    </sheetView>
  </sheetViews>
  <sheetFormatPr defaultColWidth="0" defaultRowHeight="14.25"/>
  <cols>
    <col min="1" max="4" width="11.625" style="3" customWidth="1"/>
    <col min="5" max="5" width="11.625" style="5" customWidth="1"/>
    <col min="6" max="20" width="11.625" style="3" customWidth="1"/>
    <col min="21" max="21" width="9" style="3" hidden="1" customWidth="1"/>
    <col min="22" max="16384" width="9" style="3" hidden="1"/>
  </cols>
  <sheetData>
    <row r="1" spans="1:20" ht="51">
      <c r="A1" s="22" t="s">
        <v>0</v>
      </c>
      <c r="B1" s="22" t="s">
        <v>1</v>
      </c>
      <c r="C1" s="22" t="s">
        <v>2</v>
      </c>
      <c r="D1" s="22" t="s">
        <v>47</v>
      </c>
      <c r="E1" s="22" t="s">
        <v>48</v>
      </c>
      <c r="F1" s="22" t="s">
        <v>3</v>
      </c>
      <c r="G1" s="22" t="s">
        <v>4</v>
      </c>
      <c r="H1" s="22" t="s">
        <v>49</v>
      </c>
      <c r="I1" s="22" t="s">
        <v>6</v>
      </c>
      <c r="J1" s="22" t="s">
        <v>7</v>
      </c>
      <c r="K1" s="22" t="s">
        <v>8</v>
      </c>
      <c r="L1" s="22" t="s">
        <v>64</v>
      </c>
      <c r="M1" s="22" t="s">
        <v>51</v>
      </c>
      <c r="N1" s="22" t="s">
        <v>11</v>
      </c>
      <c r="O1" s="22" t="s">
        <v>17</v>
      </c>
      <c r="P1" s="22" t="s">
        <v>18</v>
      </c>
      <c r="Q1" s="22" t="s">
        <v>19</v>
      </c>
      <c r="R1" s="22" t="s">
        <v>20</v>
      </c>
      <c r="S1" s="22" t="s">
        <v>24</v>
      </c>
      <c r="T1" s="22" t="s">
        <v>25</v>
      </c>
    </row>
    <row r="2" spans="1:20">
      <c r="A2" s="23"/>
      <c r="B2" s="23"/>
      <c r="E2" s="21"/>
      <c r="F2" s="23"/>
      <c r="G2" s="23"/>
      <c r="H2" s="21"/>
      <c r="I2" s="21"/>
      <c r="J2" s="21"/>
      <c r="K2" s="21"/>
      <c r="L2" s="24"/>
      <c r="M2" s="23"/>
      <c r="N2" s="21"/>
      <c r="O2" s="23"/>
      <c r="P2" s="23"/>
      <c r="Q2" s="23"/>
      <c r="R2" s="23"/>
      <c r="S2" s="23"/>
      <c r="T2" s="23"/>
    </row>
    <row r="3" spans="1:20">
      <c r="A3" s="23"/>
      <c r="B3" s="23"/>
      <c r="E3" s="21"/>
      <c r="F3" s="23"/>
      <c r="G3" s="23"/>
      <c r="H3" s="21"/>
      <c r="I3" s="21"/>
      <c r="J3" s="21"/>
      <c r="K3" s="21"/>
      <c r="L3" s="24"/>
      <c r="M3" s="23"/>
      <c r="N3" s="21"/>
      <c r="O3" s="23"/>
      <c r="P3" s="23"/>
      <c r="Q3" s="23"/>
      <c r="R3" s="23"/>
      <c r="S3" s="23"/>
      <c r="T3" s="23"/>
    </row>
    <row r="4" spans="1:20">
      <c r="A4" s="23"/>
      <c r="B4" s="23"/>
      <c r="E4" s="21"/>
      <c r="F4" s="23"/>
      <c r="G4" s="23"/>
      <c r="H4" s="21"/>
      <c r="I4" s="21"/>
      <c r="J4" s="21"/>
      <c r="K4" s="21"/>
      <c r="L4" s="24"/>
      <c r="M4" s="23"/>
      <c r="N4" s="21"/>
      <c r="O4" s="23"/>
      <c r="P4" s="23"/>
      <c r="Q4" s="23"/>
      <c r="R4" s="23"/>
      <c r="S4" s="23"/>
      <c r="T4" s="23"/>
    </row>
    <row r="5" spans="1:20">
      <c r="A5" s="23"/>
      <c r="B5" s="23"/>
      <c r="E5" s="21"/>
      <c r="F5" s="23"/>
      <c r="G5" s="23"/>
      <c r="H5" s="21"/>
      <c r="I5" s="21"/>
      <c r="J5" s="21"/>
      <c r="K5" s="21"/>
      <c r="L5" s="24"/>
      <c r="M5" s="23"/>
      <c r="N5" s="21"/>
      <c r="O5" s="23"/>
      <c r="P5" s="23"/>
      <c r="Q5" s="23"/>
      <c r="R5" s="23"/>
      <c r="S5" s="23"/>
      <c r="T5" s="23"/>
    </row>
    <row r="6" spans="1:20">
      <c r="A6" s="23"/>
      <c r="B6" s="23"/>
      <c r="E6" s="21"/>
      <c r="F6" s="23"/>
      <c r="G6" s="23"/>
      <c r="H6" s="21"/>
      <c r="I6" s="21"/>
      <c r="J6" s="21"/>
      <c r="K6" s="21"/>
      <c r="L6" s="24"/>
      <c r="M6" s="23"/>
      <c r="N6" s="21"/>
      <c r="O6" s="23"/>
      <c r="P6" s="23"/>
      <c r="Q6" s="23"/>
      <c r="R6" s="23"/>
      <c r="S6" s="23"/>
      <c r="T6" s="23"/>
    </row>
    <row r="7" spans="1:20">
      <c r="A7" s="23"/>
      <c r="B7" s="23"/>
      <c r="E7" s="21"/>
      <c r="F7" s="23"/>
      <c r="G7" s="23"/>
      <c r="H7" s="21"/>
      <c r="I7" s="21"/>
      <c r="J7" s="21"/>
      <c r="K7" s="21"/>
      <c r="L7" s="24"/>
      <c r="M7" s="23"/>
      <c r="N7" s="21"/>
      <c r="O7" s="23"/>
      <c r="P7" s="23"/>
      <c r="Q7" s="23"/>
      <c r="R7" s="23"/>
      <c r="S7" s="23"/>
      <c r="T7" s="23"/>
    </row>
    <row r="8" spans="1:20">
      <c r="A8" s="23"/>
      <c r="B8" s="23"/>
      <c r="E8" s="21"/>
      <c r="F8" s="23"/>
      <c r="G8" s="23"/>
      <c r="H8" s="21"/>
      <c r="I8" s="21"/>
      <c r="J8" s="21"/>
      <c r="K8" s="21"/>
      <c r="L8" s="24"/>
      <c r="M8" s="23"/>
      <c r="N8" s="21"/>
      <c r="O8" s="23"/>
      <c r="P8" s="23"/>
      <c r="Q8" s="23"/>
      <c r="R8" s="23"/>
      <c r="S8" s="23"/>
      <c r="T8" s="23"/>
    </row>
    <row r="9" spans="1:20">
      <c r="A9" s="23"/>
      <c r="B9" s="23"/>
      <c r="E9" s="21"/>
      <c r="F9" s="23"/>
      <c r="G9" s="23"/>
      <c r="H9" s="21"/>
      <c r="I9" s="21"/>
      <c r="J9" s="21"/>
      <c r="K9" s="21"/>
      <c r="L9" s="24"/>
      <c r="M9" s="23"/>
      <c r="N9" s="21"/>
      <c r="O9" s="23"/>
      <c r="P9" s="23"/>
      <c r="Q9" s="23"/>
      <c r="R9" s="23"/>
      <c r="S9" s="23"/>
      <c r="T9" s="23"/>
    </row>
    <row r="10" spans="1:20">
      <c r="A10" s="23"/>
      <c r="B10" s="23"/>
      <c r="E10" s="21"/>
      <c r="F10" s="23"/>
      <c r="G10" s="23"/>
      <c r="H10" s="21"/>
      <c r="I10" s="21"/>
      <c r="J10" s="21"/>
      <c r="K10" s="21"/>
      <c r="L10" s="24"/>
      <c r="M10" s="23"/>
      <c r="N10" s="21"/>
      <c r="O10" s="23"/>
      <c r="P10" s="23"/>
      <c r="Q10" s="23"/>
      <c r="R10" s="23"/>
      <c r="S10" s="23"/>
      <c r="T10" s="23"/>
    </row>
    <row r="11" spans="1:20">
      <c r="A11" s="23"/>
      <c r="B11" s="23"/>
      <c r="E11" s="21"/>
      <c r="F11" s="23"/>
      <c r="G11" s="23"/>
      <c r="H11" s="21"/>
      <c r="I11" s="21"/>
      <c r="J11" s="21"/>
      <c r="K11" s="21"/>
      <c r="L11" s="24"/>
      <c r="M11" s="23"/>
      <c r="N11" s="21"/>
      <c r="O11" s="23"/>
      <c r="P11" s="23"/>
      <c r="Q11" s="23"/>
      <c r="R11" s="23"/>
      <c r="S11" s="23"/>
      <c r="T11" s="23"/>
    </row>
    <row r="12" spans="1:20">
      <c r="A12" s="23"/>
      <c r="B12" s="23"/>
      <c r="E12" s="21"/>
      <c r="F12" s="23"/>
      <c r="G12" s="23"/>
      <c r="H12" s="21"/>
      <c r="I12" s="21"/>
      <c r="J12" s="21"/>
      <c r="K12" s="21"/>
      <c r="L12" s="24"/>
      <c r="M12" s="23"/>
      <c r="N12" s="21"/>
      <c r="O12" s="23"/>
      <c r="P12" s="23"/>
      <c r="Q12" s="23"/>
      <c r="R12" s="23"/>
      <c r="S12" s="23"/>
      <c r="T12" s="23"/>
    </row>
    <row r="13" spans="1:20">
      <c r="A13" s="23"/>
      <c r="B13" s="23"/>
      <c r="E13" s="21"/>
      <c r="F13" s="23"/>
      <c r="G13" s="23"/>
      <c r="H13" s="21"/>
      <c r="I13" s="21"/>
      <c r="J13" s="21"/>
      <c r="K13" s="21"/>
      <c r="L13" s="24"/>
      <c r="M13" s="23"/>
      <c r="N13" s="21"/>
      <c r="O13" s="23"/>
      <c r="P13" s="23"/>
      <c r="Q13" s="23"/>
      <c r="R13" s="23"/>
      <c r="S13" s="23"/>
      <c r="T13" s="23"/>
    </row>
    <row r="14" spans="1:20">
      <c r="A14" s="23"/>
      <c r="B14" s="23"/>
      <c r="E14" s="21"/>
      <c r="F14" s="23"/>
      <c r="G14" s="23"/>
      <c r="H14" s="21"/>
      <c r="I14" s="21"/>
      <c r="J14" s="21"/>
      <c r="K14" s="21"/>
      <c r="L14" s="24"/>
      <c r="M14" s="23"/>
      <c r="N14" s="21"/>
      <c r="O14" s="23"/>
      <c r="P14" s="23"/>
      <c r="Q14" s="23"/>
      <c r="R14" s="23"/>
      <c r="S14" s="23"/>
      <c r="T14" s="23"/>
    </row>
    <row r="15" spans="1:20">
      <c r="A15" s="23"/>
      <c r="B15" s="23"/>
      <c r="E15" s="21"/>
      <c r="F15" s="23"/>
      <c r="G15" s="23"/>
      <c r="H15" s="21"/>
      <c r="I15" s="21"/>
      <c r="J15" s="21"/>
      <c r="K15" s="21"/>
      <c r="L15" s="24"/>
      <c r="M15" s="23"/>
      <c r="N15" s="21"/>
      <c r="O15" s="23"/>
      <c r="P15" s="23"/>
      <c r="Q15" s="23"/>
      <c r="R15" s="23"/>
      <c r="S15" s="23"/>
      <c r="T15" s="23"/>
    </row>
    <row r="16" spans="1:20">
      <c r="A16" s="23"/>
      <c r="B16" s="23"/>
      <c r="E16" s="21"/>
      <c r="F16" s="23"/>
      <c r="G16" s="23"/>
      <c r="H16" s="21"/>
      <c r="I16" s="21"/>
      <c r="J16" s="21"/>
      <c r="K16" s="21"/>
      <c r="L16" s="24"/>
      <c r="M16" s="23"/>
      <c r="N16" s="21"/>
      <c r="O16" s="23"/>
      <c r="P16" s="23"/>
      <c r="Q16" s="23"/>
      <c r="R16" s="23"/>
      <c r="S16" s="23"/>
      <c r="T16" s="23"/>
    </row>
    <row r="17" spans="1:20">
      <c r="A17" s="23"/>
      <c r="B17" s="23"/>
      <c r="E17" s="21"/>
      <c r="F17" s="23"/>
      <c r="G17" s="23"/>
      <c r="H17" s="21"/>
      <c r="I17" s="21"/>
      <c r="J17" s="21"/>
      <c r="K17" s="21"/>
      <c r="L17" s="24"/>
      <c r="M17" s="23"/>
      <c r="N17" s="21"/>
      <c r="O17" s="23"/>
      <c r="P17" s="23"/>
      <c r="Q17" s="23"/>
      <c r="R17" s="23"/>
      <c r="S17" s="23"/>
      <c r="T17" s="23"/>
    </row>
    <row r="18" spans="1:20">
      <c r="A18" s="23"/>
      <c r="B18" s="23"/>
      <c r="E18" s="21"/>
      <c r="F18" s="23"/>
      <c r="G18" s="23"/>
      <c r="H18" s="21"/>
      <c r="I18" s="21"/>
      <c r="J18" s="21"/>
      <c r="K18" s="21"/>
      <c r="L18" s="24"/>
      <c r="M18" s="23"/>
      <c r="N18" s="21"/>
      <c r="O18" s="23"/>
      <c r="P18" s="23"/>
      <c r="Q18" s="23"/>
      <c r="R18" s="23"/>
      <c r="S18" s="23"/>
      <c r="T18" s="23"/>
    </row>
    <row r="19" spans="1:20">
      <c r="A19" s="23"/>
      <c r="B19" s="23"/>
      <c r="E19" s="21"/>
      <c r="F19" s="23"/>
      <c r="G19" s="23"/>
      <c r="H19" s="21"/>
      <c r="I19" s="21"/>
      <c r="J19" s="21"/>
      <c r="K19" s="21"/>
      <c r="L19" s="24"/>
      <c r="M19" s="23"/>
      <c r="N19" s="21"/>
      <c r="O19" s="23"/>
      <c r="P19" s="23"/>
      <c r="Q19" s="23"/>
      <c r="R19" s="23"/>
      <c r="S19" s="23"/>
      <c r="T19" s="23"/>
    </row>
    <row r="20" spans="1:20">
      <c r="E20" s="21"/>
      <c r="H20" s="21"/>
      <c r="J20" s="21"/>
      <c r="K20" s="21"/>
      <c r="L20" s="24"/>
      <c r="M20" s="23"/>
    </row>
    <row r="21" spans="1:20" s="42" customFormat="1">
      <c r="E21" s="41"/>
      <c r="H21" s="45"/>
      <c r="K21" s="45"/>
    </row>
    <row r="22" spans="1:20">
      <c r="K22" s="5"/>
    </row>
    <row r="23" spans="1:20">
      <c r="H23" s="42"/>
    </row>
    <row r="24" spans="1:20">
      <c r="H24" s="42"/>
    </row>
    <row r="25" spans="1:20">
      <c r="H25" s="42"/>
    </row>
    <row r="26" spans="1:20">
      <c r="H26" s="42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7">
    <dataValidation type="list" allowBlank="1" showInputMessage="1" showErrorMessage="1" sqref="I2:I19" xr:uid="{00000000-0002-0000-0B00-000000000000}">
      <formula1>israel_abroad</formula1>
    </dataValidation>
    <dataValidation type="list" allowBlank="1" showInputMessage="1" showErrorMessage="1" sqref="M2:M20" xr:uid="{00000000-0002-0000-0B00-000001000000}">
      <formula1>Holding_interest</formula1>
    </dataValidation>
    <dataValidation type="list" allowBlank="1" showInputMessage="1" showErrorMessage="1" sqref="L2:L20" xr:uid="{00000000-0002-0000-0B00-000002000000}">
      <formula1>Underlying_Asset</formula1>
    </dataValidation>
    <dataValidation type="list" allowBlank="1" showInputMessage="1" showErrorMessage="1" sqref="J2:J20" xr:uid="{00000000-0002-0000-0B00-000003000000}">
      <formula1>Country_list</formula1>
    </dataValidation>
    <dataValidation type="list" allowBlank="1" showInputMessage="1" showErrorMessage="1" sqref="E2:E20" xr:uid="{00000000-0002-0000-0B00-000004000000}">
      <formula1>Issuer_Type_TFunds</formula1>
    </dataValidation>
    <dataValidation type="list" allowBlank="1" showInputMessage="1" showErrorMessage="1" sqref="H2:H20" xr:uid="{00000000-0002-0000-0B00-000005000000}">
      <formula1>Security_ID_Number_Type</formula1>
    </dataValidation>
    <dataValidation type="list" allowBlank="1" showInputMessage="1" showErrorMessage="1" sqref="K2:K20" xr:uid="{00000000-0002-0000-0B00-000006000000}">
      <formula1>Stock_Exchange</formula1>
    </dataValidation>
  </dataValidations>
  <pageMargins left="0.7" right="0.7" top="0.75" bottom="0.75" header="0.3" footer="0.3"/>
  <pageSetup orientation="portrait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4"/>
  <dimension ref="A1:AB26"/>
  <sheetViews>
    <sheetView rightToLeft="1" workbookViewId="0">
      <selection activeCell="A2" sqref="A2"/>
    </sheetView>
  </sheetViews>
  <sheetFormatPr defaultColWidth="0" defaultRowHeight="14.25"/>
  <cols>
    <col min="1" max="4" width="11.625" style="3" customWidth="1"/>
    <col min="5" max="5" width="11.625" style="5" customWidth="1"/>
    <col min="6" max="28" width="11.625" style="3" customWidth="1"/>
    <col min="29" max="29" width="9" style="3" hidden="1" customWidth="1"/>
    <col min="30" max="16384" width="9" style="3" hidden="1"/>
  </cols>
  <sheetData>
    <row r="1" spans="1:28" ht="51">
      <c r="A1" s="22" t="s">
        <v>0</v>
      </c>
      <c r="B1" s="22" t="s">
        <v>1</v>
      </c>
      <c r="C1" s="22" t="s">
        <v>2</v>
      </c>
      <c r="D1" s="22" t="s">
        <v>47</v>
      </c>
      <c r="E1" s="22" t="s">
        <v>48</v>
      </c>
      <c r="F1" s="22" t="s">
        <v>3</v>
      </c>
      <c r="G1" s="22" t="s">
        <v>4</v>
      </c>
      <c r="H1" s="22" t="s">
        <v>49</v>
      </c>
      <c r="I1" s="22" t="s">
        <v>5</v>
      </c>
      <c r="J1" s="22" t="s">
        <v>6</v>
      </c>
      <c r="K1" s="22" t="s">
        <v>7</v>
      </c>
      <c r="L1" s="22" t="s">
        <v>57</v>
      </c>
      <c r="M1" s="22" t="s">
        <v>8</v>
      </c>
      <c r="N1" s="22" t="s">
        <v>64</v>
      </c>
      <c r="O1" s="22" t="s">
        <v>51</v>
      </c>
      <c r="P1" s="22" t="s">
        <v>12</v>
      </c>
      <c r="Q1" s="22" t="s">
        <v>14</v>
      </c>
      <c r="R1" s="22" t="s">
        <v>15</v>
      </c>
      <c r="S1" s="22" t="s">
        <v>9</v>
      </c>
      <c r="T1" s="22" t="s">
        <v>10</v>
      </c>
      <c r="U1" s="22" t="s">
        <v>52</v>
      </c>
      <c r="V1" s="22" t="s">
        <v>11</v>
      </c>
      <c r="W1" s="22" t="s">
        <v>17</v>
      </c>
      <c r="X1" s="22" t="s">
        <v>18</v>
      </c>
      <c r="Y1" s="22" t="s">
        <v>19</v>
      </c>
      <c r="Z1" s="22" t="s">
        <v>20</v>
      </c>
      <c r="AA1" s="22" t="s">
        <v>24</v>
      </c>
      <c r="AB1" s="22" t="s">
        <v>25</v>
      </c>
    </row>
    <row r="2" spans="1:28">
      <c r="A2" s="23"/>
      <c r="B2" s="23"/>
      <c r="C2" s="23"/>
      <c r="D2" s="23"/>
      <c r="E2" s="21"/>
      <c r="F2" s="23"/>
      <c r="G2" s="23"/>
      <c r="H2" s="21"/>
      <c r="I2" s="23"/>
      <c r="J2" s="21"/>
      <c r="K2" s="21"/>
      <c r="L2" s="23"/>
      <c r="M2" s="21"/>
      <c r="N2" s="24"/>
      <c r="O2" s="23"/>
      <c r="P2" s="23"/>
      <c r="Q2" s="23"/>
      <c r="R2" s="23"/>
      <c r="S2" s="23"/>
      <c r="T2" s="23"/>
      <c r="U2" s="23"/>
      <c r="V2" s="21"/>
      <c r="W2" s="23"/>
      <c r="X2" s="23"/>
      <c r="Y2" s="23"/>
      <c r="Z2" s="23"/>
      <c r="AA2" s="23"/>
      <c r="AB2" s="23"/>
    </row>
    <row r="3" spans="1:28">
      <c r="A3" s="23"/>
      <c r="B3" s="23"/>
      <c r="C3" s="23"/>
      <c r="D3" s="23"/>
      <c r="E3" s="21"/>
      <c r="F3" s="23"/>
      <c r="G3" s="23"/>
      <c r="H3" s="21"/>
      <c r="I3" s="23"/>
      <c r="J3" s="21"/>
      <c r="K3" s="21"/>
      <c r="L3" s="23"/>
      <c r="M3" s="21"/>
      <c r="N3" s="24"/>
      <c r="O3" s="23"/>
      <c r="P3" s="23"/>
      <c r="Q3" s="23"/>
      <c r="R3" s="23"/>
      <c r="S3" s="23"/>
      <c r="T3" s="23"/>
      <c r="U3" s="23"/>
      <c r="V3" s="21"/>
      <c r="W3" s="23"/>
      <c r="X3" s="23"/>
      <c r="Y3" s="23"/>
      <c r="Z3" s="23"/>
      <c r="AA3" s="23"/>
      <c r="AB3" s="23"/>
    </row>
    <row r="4" spans="1:28">
      <c r="A4" s="23"/>
      <c r="B4" s="23"/>
      <c r="C4" s="23"/>
      <c r="D4" s="23"/>
      <c r="E4" s="21"/>
      <c r="F4" s="23"/>
      <c r="G4" s="23"/>
      <c r="H4" s="21"/>
      <c r="I4" s="23"/>
      <c r="J4" s="21"/>
      <c r="K4" s="21"/>
      <c r="L4" s="23"/>
      <c r="M4" s="21"/>
      <c r="N4" s="24"/>
      <c r="O4" s="23"/>
      <c r="P4" s="23"/>
      <c r="Q4" s="23"/>
      <c r="R4" s="23"/>
      <c r="S4" s="23"/>
      <c r="T4" s="23"/>
      <c r="U4" s="23"/>
      <c r="V4" s="21"/>
      <c r="W4" s="23"/>
      <c r="X4" s="23"/>
      <c r="Y4" s="23"/>
      <c r="Z4" s="23"/>
      <c r="AA4" s="23"/>
      <c r="AB4" s="23"/>
    </row>
    <row r="5" spans="1:28">
      <c r="A5" s="23"/>
      <c r="B5" s="23"/>
      <c r="C5" s="23"/>
      <c r="D5" s="23"/>
      <c r="E5" s="21"/>
      <c r="F5" s="23"/>
      <c r="G5" s="23"/>
      <c r="H5" s="21"/>
      <c r="I5" s="23"/>
      <c r="J5" s="21"/>
      <c r="K5" s="21"/>
      <c r="L5" s="23"/>
      <c r="M5" s="21"/>
      <c r="N5" s="24"/>
      <c r="O5" s="23"/>
      <c r="P5" s="23"/>
      <c r="Q5" s="23"/>
      <c r="R5" s="23"/>
      <c r="S5" s="23"/>
      <c r="T5" s="23"/>
      <c r="U5" s="23"/>
      <c r="V5" s="21"/>
      <c r="W5" s="23"/>
      <c r="X5" s="23"/>
      <c r="Y5" s="23"/>
      <c r="Z5" s="23"/>
      <c r="AA5" s="23"/>
      <c r="AB5" s="23"/>
    </row>
    <row r="6" spans="1:28">
      <c r="A6" s="23"/>
      <c r="B6" s="23"/>
      <c r="C6" s="23"/>
      <c r="D6" s="23"/>
      <c r="E6" s="21"/>
      <c r="F6" s="23"/>
      <c r="G6" s="23"/>
      <c r="H6" s="21"/>
      <c r="I6" s="23"/>
      <c r="J6" s="21"/>
      <c r="K6" s="21"/>
      <c r="L6" s="23"/>
      <c r="M6" s="21"/>
      <c r="N6" s="24"/>
      <c r="O6" s="23"/>
      <c r="P6" s="23"/>
      <c r="Q6" s="23"/>
      <c r="R6" s="23"/>
      <c r="S6" s="23"/>
      <c r="T6" s="23"/>
      <c r="U6" s="23"/>
      <c r="V6" s="21"/>
      <c r="W6" s="23"/>
      <c r="X6" s="23"/>
      <c r="Y6" s="23"/>
      <c r="Z6" s="23"/>
      <c r="AA6" s="23"/>
      <c r="AB6" s="23"/>
    </row>
    <row r="7" spans="1:28">
      <c r="A7" s="23"/>
      <c r="B7" s="23"/>
      <c r="C7" s="23"/>
      <c r="D7" s="23"/>
      <c r="E7" s="21"/>
      <c r="F7" s="23"/>
      <c r="G7" s="23"/>
      <c r="H7" s="21"/>
      <c r="I7" s="23"/>
      <c r="J7" s="21"/>
      <c r="K7" s="21"/>
      <c r="L7" s="23"/>
      <c r="M7" s="21"/>
      <c r="N7" s="24"/>
      <c r="O7" s="23"/>
      <c r="P7" s="23"/>
      <c r="Q7" s="23"/>
      <c r="R7" s="23"/>
      <c r="S7" s="23"/>
      <c r="T7" s="23"/>
      <c r="U7" s="23"/>
      <c r="V7" s="21"/>
      <c r="W7" s="23"/>
      <c r="X7" s="23"/>
      <c r="Y7" s="23"/>
      <c r="Z7" s="23"/>
      <c r="AA7" s="23"/>
      <c r="AB7" s="23"/>
    </row>
    <row r="8" spans="1:28">
      <c r="A8" s="23"/>
      <c r="B8" s="23"/>
      <c r="C8" s="23"/>
      <c r="D8" s="23"/>
      <c r="E8" s="21"/>
      <c r="F8" s="23"/>
      <c r="G8" s="23"/>
      <c r="H8" s="21"/>
      <c r="I8" s="23"/>
      <c r="J8" s="21"/>
      <c r="K8" s="21"/>
      <c r="L8" s="23"/>
      <c r="M8" s="21"/>
      <c r="N8" s="24"/>
      <c r="O8" s="23"/>
      <c r="P8" s="23"/>
      <c r="Q8" s="23"/>
      <c r="R8" s="23"/>
      <c r="S8" s="23"/>
      <c r="T8" s="23"/>
      <c r="U8" s="23"/>
      <c r="V8" s="21"/>
      <c r="W8" s="23"/>
      <c r="X8" s="23"/>
      <c r="Y8" s="23"/>
      <c r="Z8" s="23"/>
      <c r="AA8" s="23"/>
      <c r="AB8" s="23"/>
    </row>
    <row r="9" spans="1:28">
      <c r="A9" s="23"/>
      <c r="B9" s="23"/>
      <c r="C9" s="23"/>
      <c r="D9" s="23"/>
      <c r="E9" s="21"/>
      <c r="F9" s="23"/>
      <c r="G9" s="23"/>
      <c r="H9" s="21"/>
      <c r="I9" s="23"/>
      <c r="J9" s="21"/>
      <c r="K9" s="21"/>
      <c r="L9" s="23"/>
      <c r="M9" s="21"/>
      <c r="N9" s="24"/>
      <c r="O9" s="23"/>
      <c r="P9" s="23"/>
      <c r="Q9" s="23"/>
      <c r="R9" s="23"/>
      <c r="S9" s="23"/>
      <c r="T9" s="23"/>
      <c r="U9" s="23"/>
      <c r="V9" s="21"/>
      <c r="W9" s="23"/>
      <c r="X9" s="23"/>
      <c r="Y9" s="23"/>
      <c r="Z9" s="23"/>
      <c r="AA9" s="23"/>
      <c r="AB9" s="23"/>
    </row>
    <row r="10" spans="1:28">
      <c r="A10" s="23"/>
      <c r="B10" s="23"/>
      <c r="C10" s="23"/>
      <c r="D10" s="23"/>
      <c r="E10" s="21"/>
      <c r="F10" s="23"/>
      <c r="G10" s="23"/>
      <c r="H10" s="21"/>
      <c r="I10" s="23"/>
      <c r="J10" s="21"/>
      <c r="K10" s="21"/>
      <c r="L10" s="23"/>
      <c r="M10" s="21"/>
      <c r="N10" s="24"/>
      <c r="O10" s="23"/>
      <c r="P10" s="23"/>
      <c r="Q10" s="23"/>
      <c r="R10" s="23"/>
      <c r="S10" s="23"/>
      <c r="T10" s="23"/>
      <c r="U10" s="23"/>
      <c r="V10" s="21"/>
      <c r="W10" s="23"/>
      <c r="X10" s="23"/>
      <c r="Y10" s="23"/>
      <c r="Z10" s="23"/>
      <c r="AA10" s="23"/>
      <c r="AB10" s="23"/>
    </row>
    <row r="11" spans="1:28">
      <c r="A11" s="23"/>
      <c r="B11" s="23"/>
      <c r="C11" s="23"/>
      <c r="D11" s="23"/>
      <c r="E11" s="21"/>
      <c r="F11" s="23"/>
      <c r="G11" s="23"/>
      <c r="H11" s="21"/>
      <c r="I11" s="23"/>
      <c r="J11" s="21"/>
      <c r="K11" s="21"/>
      <c r="L11" s="23"/>
      <c r="M11" s="21"/>
      <c r="N11" s="24"/>
      <c r="O11" s="23"/>
      <c r="P11" s="23"/>
      <c r="Q11" s="23"/>
      <c r="R11" s="23"/>
      <c r="S11" s="23"/>
      <c r="T11" s="23"/>
      <c r="U11" s="23"/>
      <c r="V11" s="21"/>
      <c r="W11" s="23"/>
      <c r="X11" s="23"/>
      <c r="Y11" s="23"/>
      <c r="Z11" s="23"/>
      <c r="AA11" s="23"/>
      <c r="AB11" s="23"/>
    </row>
    <row r="12" spans="1:28">
      <c r="A12" s="23"/>
      <c r="B12" s="23"/>
      <c r="C12" s="23"/>
      <c r="D12" s="23"/>
      <c r="E12" s="21"/>
      <c r="F12" s="23"/>
      <c r="G12" s="23"/>
      <c r="H12" s="21"/>
      <c r="I12" s="23"/>
      <c r="J12" s="21"/>
      <c r="K12" s="21"/>
      <c r="L12" s="23"/>
      <c r="M12" s="21"/>
      <c r="N12" s="24"/>
      <c r="O12" s="23"/>
      <c r="P12" s="23"/>
      <c r="Q12" s="23"/>
      <c r="R12" s="23"/>
      <c r="S12" s="23"/>
      <c r="T12" s="23"/>
      <c r="U12" s="23"/>
      <c r="V12" s="21"/>
      <c r="W12" s="23"/>
      <c r="X12" s="23"/>
      <c r="Y12" s="23"/>
      <c r="Z12" s="23"/>
      <c r="AA12" s="23"/>
      <c r="AB12" s="23"/>
    </row>
    <row r="13" spans="1:28">
      <c r="A13" s="23"/>
      <c r="B13" s="23"/>
      <c r="C13" s="23"/>
      <c r="D13" s="23"/>
      <c r="E13" s="21"/>
      <c r="F13" s="23"/>
      <c r="G13" s="23"/>
      <c r="H13" s="21"/>
      <c r="I13" s="23"/>
      <c r="J13" s="21"/>
      <c r="K13" s="21"/>
      <c r="L13" s="23"/>
      <c r="M13" s="21"/>
      <c r="N13" s="24"/>
      <c r="O13" s="23"/>
      <c r="P13" s="23"/>
      <c r="Q13" s="23"/>
      <c r="R13" s="23"/>
      <c r="S13" s="23"/>
      <c r="T13" s="23"/>
      <c r="U13" s="23"/>
      <c r="V13" s="21"/>
      <c r="W13" s="23"/>
      <c r="X13" s="23"/>
      <c r="Y13" s="23"/>
      <c r="Z13" s="23"/>
      <c r="AA13" s="23"/>
      <c r="AB13" s="23"/>
    </row>
    <row r="14" spans="1:28">
      <c r="A14" s="23"/>
      <c r="B14" s="23"/>
      <c r="C14" s="23"/>
      <c r="D14" s="23"/>
      <c r="E14" s="21"/>
      <c r="F14" s="23"/>
      <c r="G14" s="23"/>
      <c r="H14" s="21"/>
      <c r="I14" s="23"/>
      <c r="J14" s="21"/>
      <c r="K14" s="21"/>
      <c r="L14" s="23"/>
      <c r="M14" s="21"/>
      <c r="N14" s="24"/>
      <c r="O14" s="23"/>
      <c r="P14" s="23"/>
      <c r="Q14" s="23"/>
      <c r="R14" s="23"/>
      <c r="S14" s="23"/>
      <c r="T14" s="23"/>
      <c r="U14" s="23"/>
      <c r="V14" s="21"/>
      <c r="W14" s="23"/>
      <c r="X14" s="23"/>
      <c r="Y14" s="23"/>
      <c r="Z14" s="23"/>
      <c r="AA14" s="23"/>
      <c r="AB14" s="23"/>
    </row>
    <row r="15" spans="1:28">
      <c r="A15" s="23"/>
      <c r="B15" s="23"/>
      <c r="C15" s="23"/>
      <c r="D15" s="23"/>
      <c r="E15" s="21"/>
      <c r="F15" s="23"/>
      <c r="G15" s="23"/>
      <c r="H15" s="21"/>
      <c r="I15" s="23"/>
      <c r="J15" s="21"/>
      <c r="K15" s="21"/>
      <c r="L15" s="23"/>
      <c r="M15" s="21"/>
      <c r="N15" s="24"/>
      <c r="O15" s="23"/>
      <c r="P15" s="23"/>
      <c r="Q15" s="23"/>
      <c r="R15" s="23"/>
      <c r="S15" s="23"/>
      <c r="T15" s="23"/>
      <c r="U15" s="23"/>
      <c r="V15" s="21"/>
      <c r="W15" s="23"/>
      <c r="X15" s="23"/>
      <c r="Y15" s="23"/>
      <c r="Z15" s="23"/>
      <c r="AA15" s="23"/>
      <c r="AB15" s="23"/>
    </row>
    <row r="16" spans="1:28">
      <c r="A16" s="23"/>
      <c r="B16" s="23"/>
      <c r="C16" s="23"/>
      <c r="D16" s="23"/>
      <c r="E16" s="21"/>
      <c r="F16" s="23"/>
      <c r="G16" s="23"/>
      <c r="H16" s="21"/>
      <c r="I16" s="23"/>
      <c r="J16" s="21"/>
      <c r="K16" s="21"/>
      <c r="L16" s="23"/>
      <c r="M16" s="21"/>
      <c r="N16" s="24"/>
      <c r="O16" s="23"/>
      <c r="P16" s="23"/>
      <c r="Q16" s="23"/>
      <c r="R16" s="23"/>
      <c r="S16" s="23"/>
      <c r="T16" s="23"/>
      <c r="U16" s="23"/>
      <c r="V16" s="21"/>
      <c r="W16" s="23"/>
      <c r="X16" s="23"/>
      <c r="Y16" s="23"/>
      <c r="Z16" s="23"/>
      <c r="AA16" s="23"/>
      <c r="AB16" s="23"/>
    </row>
    <row r="17" spans="1:28">
      <c r="A17" s="23"/>
      <c r="B17" s="23"/>
      <c r="C17" s="23"/>
      <c r="D17" s="23"/>
      <c r="E17" s="21"/>
      <c r="F17" s="23"/>
      <c r="G17" s="23"/>
      <c r="H17" s="21"/>
      <c r="I17" s="23"/>
      <c r="J17" s="21"/>
      <c r="K17" s="21"/>
      <c r="L17" s="23"/>
      <c r="M17" s="21"/>
      <c r="N17" s="24"/>
      <c r="O17" s="23"/>
      <c r="P17" s="23"/>
      <c r="Q17" s="23"/>
      <c r="R17" s="23"/>
      <c r="S17" s="23"/>
      <c r="T17" s="23"/>
      <c r="U17" s="23"/>
      <c r="V17" s="21"/>
      <c r="W17" s="23"/>
      <c r="X17" s="23"/>
      <c r="Y17" s="23"/>
      <c r="Z17" s="23"/>
      <c r="AA17" s="23"/>
      <c r="AB17" s="23"/>
    </row>
    <row r="18" spans="1:28">
      <c r="A18" s="23"/>
      <c r="B18" s="23"/>
      <c r="C18" s="23"/>
      <c r="D18" s="23"/>
      <c r="E18" s="21"/>
      <c r="F18" s="23"/>
      <c r="G18" s="23"/>
      <c r="H18" s="21"/>
      <c r="I18" s="23"/>
      <c r="J18" s="21"/>
      <c r="K18" s="21"/>
      <c r="L18" s="23"/>
      <c r="M18" s="21"/>
      <c r="N18" s="24"/>
      <c r="O18" s="23"/>
      <c r="P18" s="23"/>
      <c r="Q18" s="23"/>
      <c r="R18" s="23"/>
      <c r="S18" s="23"/>
      <c r="T18" s="23"/>
      <c r="U18" s="23"/>
      <c r="V18" s="21"/>
      <c r="W18" s="23"/>
      <c r="X18" s="23"/>
      <c r="Y18" s="23"/>
      <c r="Z18" s="23"/>
      <c r="AA18" s="23"/>
      <c r="AB18" s="23"/>
    </row>
    <row r="19" spans="1:28">
      <c r="A19" s="23"/>
      <c r="B19" s="23"/>
      <c r="C19" s="23"/>
      <c r="D19" s="23"/>
      <c r="E19" s="21"/>
      <c r="F19" s="23"/>
      <c r="G19" s="23"/>
      <c r="H19" s="21"/>
      <c r="I19" s="23"/>
      <c r="J19" s="21"/>
      <c r="K19" s="21"/>
      <c r="L19" s="23"/>
      <c r="M19" s="21"/>
      <c r="N19" s="24"/>
      <c r="O19" s="23"/>
      <c r="P19" s="23"/>
      <c r="Q19" s="23"/>
      <c r="R19" s="23"/>
      <c r="S19" s="23"/>
      <c r="T19" s="23"/>
      <c r="U19" s="23"/>
      <c r="V19" s="21"/>
      <c r="W19" s="23"/>
      <c r="X19" s="23"/>
      <c r="Y19" s="23"/>
      <c r="Z19" s="23"/>
      <c r="AA19" s="23"/>
      <c r="AB19" s="23"/>
    </row>
    <row r="20" spans="1:28">
      <c r="E20" s="21"/>
      <c r="H20" s="21"/>
      <c r="I20" s="23"/>
      <c r="J20" s="21"/>
      <c r="K20" s="21"/>
      <c r="L20" s="23"/>
      <c r="M20" s="21"/>
      <c r="N20" s="24"/>
      <c r="O20" s="23"/>
      <c r="T20" s="23"/>
      <c r="U20" s="23"/>
    </row>
    <row r="21" spans="1:28" s="42" customFormat="1">
      <c r="E21" s="41"/>
      <c r="H21" s="45"/>
      <c r="M21" s="45"/>
      <c r="N21" s="24"/>
    </row>
    <row r="22" spans="1:28">
      <c r="M22" s="5"/>
    </row>
    <row r="23" spans="1:28">
      <c r="H23" s="42"/>
    </row>
    <row r="24" spans="1:28">
      <c r="H24" s="42"/>
    </row>
    <row r="25" spans="1:28">
      <c r="H25" s="42"/>
    </row>
    <row r="26" spans="1:28">
      <c r="H26" s="42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0">
    <dataValidation type="list" allowBlank="1" showInputMessage="1" showErrorMessage="1" sqref="J2:J20" xr:uid="{00000000-0002-0000-0C00-000000000000}">
      <formula1>israel_abroad</formula1>
    </dataValidation>
    <dataValidation type="list" allowBlank="1" showInputMessage="1" showErrorMessage="1" sqref="O2:O20" xr:uid="{00000000-0002-0000-0C00-000001000000}">
      <formula1>Holding_interest</formula1>
    </dataValidation>
    <dataValidation type="list" allowBlank="1" showInputMessage="1" showErrorMessage="1" sqref="U2:U20" xr:uid="{00000000-0002-0000-0C00-000002000000}">
      <formula1>What_is_rated</formula1>
    </dataValidation>
    <dataValidation type="list" allowBlank="1" showInputMessage="1" showErrorMessage="1" sqref="T2:T20" xr:uid="{00000000-0002-0000-0C00-000003000000}">
      <formula1>Rating_Agency</formula1>
    </dataValidation>
    <dataValidation type="list" allowBlank="1" showInputMessage="1" showErrorMessage="1" sqref="K2:K20" xr:uid="{00000000-0002-0000-0C00-000004000000}">
      <formula1>Country_list</formula1>
    </dataValidation>
    <dataValidation type="list" allowBlank="1" showInputMessage="1" showErrorMessage="1" sqref="E2:E20" xr:uid="{00000000-0002-0000-0C00-000005000000}">
      <formula1>Issuer_Type_TFunds</formula1>
    </dataValidation>
    <dataValidation type="list" allowBlank="1" showInputMessage="1" showErrorMessage="1" sqref="N2:N21" xr:uid="{00000000-0002-0000-0C00-000006000000}">
      <formula1>Underlying_Asset_Structured</formula1>
    </dataValidation>
    <dataValidation type="list" allowBlank="1" showInputMessage="1" showErrorMessage="1" sqref="H2:H20" xr:uid="{00000000-0002-0000-0C00-000007000000}">
      <formula1>Security_ID_Number_Type</formula1>
    </dataValidation>
    <dataValidation type="list" allowBlank="1" showInputMessage="1" showErrorMessage="1" sqref="L2:L20" xr:uid="{00000000-0002-0000-0C00-000008000000}">
      <formula1>Tradeable_Status</formula1>
    </dataValidation>
    <dataValidation type="list" allowBlank="1" showInputMessage="1" showErrorMessage="1" sqref="M2:M20" xr:uid="{00000000-0002-0000-0C00-000009000000}">
      <formula1>Stock_Exchange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A000000}">
          <x14:formula1>
            <xm:f>'אפשרויות בחירה'!$C$906:$C$911</xm:f>
          </x14:formula1>
          <xm:sqref>I2:I20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5"/>
  <dimension ref="A1:Y20"/>
  <sheetViews>
    <sheetView rightToLeft="1" workbookViewId="0">
      <selection activeCell="A2" sqref="A2"/>
    </sheetView>
  </sheetViews>
  <sheetFormatPr defaultColWidth="0" defaultRowHeight="14.25"/>
  <cols>
    <col min="1" max="8" width="11.625" customWidth="1"/>
    <col min="9" max="9" width="11.625" style="3" customWidth="1"/>
    <col min="10" max="23" width="11.625" customWidth="1"/>
    <col min="24" max="24" width="11.625" style="3" customWidth="1"/>
    <col min="25" max="25" width="11.625" customWidth="1"/>
    <col min="26" max="26" width="9" hidden="1" customWidth="1"/>
    <col min="27" max="16384" width="9" hidden="1"/>
  </cols>
  <sheetData>
    <row r="1" spans="1:25" ht="51">
      <c r="A1" s="22" t="s">
        <v>0</v>
      </c>
      <c r="B1" s="22" t="s">
        <v>1</v>
      </c>
      <c r="C1" s="22" t="s">
        <v>2</v>
      </c>
      <c r="D1" s="22" t="s">
        <v>3</v>
      </c>
      <c r="E1" s="22" t="s">
        <v>4</v>
      </c>
      <c r="F1" s="22" t="s">
        <v>49</v>
      </c>
      <c r="G1" s="22" t="s">
        <v>5</v>
      </c>
      <c r="H1" s="22" t="s">
        <v>6</v>
      </c>
      <c r="I1" s="22" t="s">
        <v>7</v>
      </c>
      <c r="J1" s="22" t="s">
        <v>81</v>
      </c>
      <c r="K1" s="22" t="s">
        <v>9</v>
      </c>
      <c r="L1" s="22" t="s">
        <v>10</v>
      </c>
      <c r="M1" s="22" t="s">
        <v>11</v>
      </c>
      <c r="N1" s="22" t="s">
        <v>12</v>
      </c>
      <c r="O1" s="22" t="s">
        <v>13</v>
      </c>
      <c r="P1" s="22" t="s">
        <v>14</v>
      </c>
      <c r="Q1" s="22" t="s">
        <v>15</v>
      </c>
      <c r="R1" s="22" t="s">
        <v>17</v>
      </c>
      <c r="S1" s="22" t="s">
        <v>18</v>
      </c>
      <c r="T1" s="22" t="s">
        <v>19</v>
      </c>
      <c r="U1" s="22" t="s">
        <v>20</v>
      </c>
      <c r="V1" s="22" t="s">
        <v>21</v>
      </c>
      <c r="W1" s="22" t="s">
        <v>22</v>
      </c>
      <c r="X1" s="22" t="s">
        <v>24</v>
      </c>
      <c r="Y1" s="22" t="s">
        <v>25</v>
      </c>
    </row>
    <row r="2" spans="1:25">
      <c r="A2" s="23"/>
      <c r="B2" s="23"/>
      <c r="C2" s="23"/>
      <c r="D2" s="23"/>
      <c r="E2" s="23"/>
      <c r="F2" s="23"/>
      <c r="G2" s="23"/>
      <c r="H2" s="31"/>
      <c r="I2" s="21"/>
      <c r="J2" s="23"/>
      <c r="K2" s="40"/>
      <c r="L2" s="24"/>
      <c r="M2" s="31"/>
      <c r="N2" s="23"/>
      <c r="O2" s="23"/>
      <c r="P2" s="23"/>
      <c r="Q2" s="23"/>
      <c r="R2" s="23"/>
      <c r="S2" s="24"/>
      <c r="T2" s="23"/>
      <c r="U2" s="23"/>
      <c r="V2" s="23"/>
      <c r="W2" s="21"/>
      <c r="X2" s="23"/>
      <c r="Y2" s="23"/>
    </row>
    <row r="3" spans="1:25">
      <c r="A3" s="23"/>
      <c r="B3" s="23"/>
      <c r="C3" s="23"/>
      <c r="D3" s="23"/>
      <c r="E3" s="23"/>
      <c r="F3" s="23"/>
      <c r="G3" s="23"/>
      <c r="H3" s="31"/>
      <c r="I3" s="21"/>
      <c r="J3" s="23"/>
      <c r="K3" s="23"/>
      <c r="L3" s="24"/>
      <c r="M3" s="21"/>
      <c r="N3" s="23"/>
      <c r="O3" s="23"/>
      <c r="P3" s="23"/>
      <c r="Q3" s="23"/>
      <c r="R3" s="23"/>
      <c r="S3" s="23"/>
      <c r="T3" s="23"/>
      <c r="U3" s="23"/>
      <c r="V3" s="23"/>
      <c r="W3" s="21"/>
      <c r="X3" s="23"/>
      <c r="Y3" s="23"/>
    </row>
    <row r="4" spans="1:25">
      <c r="A4" s="23"/>
      <c r="B4" s="23"/>
      <c r="C4" s="23"/>
      <c r="D4" s="23"/>
      <c r="E4" s="23"/>
      <c r="F4" s="23"/>
      <c r="G4" s="23"/>
      <c r="H4" s="31"/>
      <c r="I4" s="21"/>
      <c r="J4" s="23"/>
      <c r="K4" s="23"/>
      <c r="L4" s="24"/>
      <c r="M4" s="21"/>
      <c r="N4" s="23"/>
      <c r="O4" s="23"/>
      <c r="P4" s="23"/>
      <c r="Q4" s="23"/>
      <c r="R4" s="23"/>
      <c r="S4" s="23"/>
      <c r="T4" s="23"/>
      <c r="U4" s="23"/>
      <c r="V4" s="23"/>
      <c r="W4" s="21"/>
      <c r="X4" s="23"/>
      <c r="Y4" s="23"/>
    </row>
    <row r="5" spans="1:25">
      <c r="A5" s="23"/>
      <c r="B5" s="23"/>
      <c r="C5" s="23"/>
      <c r="D5" s="23"/>
      <c r="E5" s="23"/>
      <c r="F5" s="23"/>
      <c r="G5" s="23"/>
      <c r="H5" s="31"/>
      <c r="I5" s="21"/>
      <c r="J5" s="23"/>
      <c r="K5" s="21"/>
      <c r="L5" s="24"/>
      <c r="N5" s="23"/>
      <c r="O5" s="23"/>
      <c r="P5" s="21"/>
      <c r="Q5" s="21"/>
      <c r="R5" s="23"/>
      <c r="T5" s="23"/>
      <c r="U5" s="23"/>
      <c r="V5" s="23"/>
      <c r="W5" s="23"/>
      <c r="X5" s="23"/>
      <c r="Y5" s="23"/>
    </row>
    <row r="6" spans="1:25">
      <c r="A6" s="23"/>
      <c r="B6" s="23"/>
      <c r="C6" s="23"/>
      <c r="D6" s="23"/>
      <c r="E6" s="23"/>
      <c r="F6" s="23"/>
      <c r="G6" s="23"/>
      <c r="H6" s="31"/>
      <c r="I6" s="21"/>
      <c r="J6" s="23"/>
      <c r="K6" s="23"/>
      <c r="L6" s="24"/>
      <c r="M6" s="21"/>
      <c r="N6" s="23"/>
      <c r="O6" s="23"/>
      <c r="P6" s="23"/>
      <c r="Q6" s="23"/>
      <c r="R6" s="23"/>
      <c r="S6" s="23"/>
      <c r="T6" s="23"/>
      <c r="U6" s="23"/>
      <c r="V6" s="23"/>
      <c r="W6" s="21"/>
      <c r="X6" s="23"/>
      <c r="Y6" s="23"/>
    </row>
    <row r="7" spans="1:25">
      <c r="A7" s="23"/>
      <c r="B7" s="23"/>
      <c r="C7" s="23"/>
      <c r="D7" s="23"/>
      <c r="E7" s="23"/>
      <c r="F7" s="23"/>
      <c r="G7" s="23"/>
      <c r="H7" s="31"/>
      <c r="I7" s="21"/>
      <c r="J7" s="23"/>
      <c r="K7" s="23"/>
      <c r="L7" s="24"/>
      <c r="M7" s="21"/>
      <c r="N7" s="23"/>
      <c r="O7" s="23"/>
      <c r="P7" s="23"/>
      <c r="Q7" s="23"/>
      <c r="R7" s="23"/>
      <c r="S7" s="23"/>
      <c r="T7" s="23"/>
      <c r="U7" s="23"/>
      <c r="V7" s="23"/>
      <c r="W7" s="21"/>
      <c r="X7" s="23"/>
      <c r="Y7" s="23"/>
    </row>
    <row r="8" spans="1:25">
      <c r="A8" s="23"/>
      <c r="B8" s="23"/>
      <c r="C8" s="23"/>
      <c r="D8" s="23"/>
      <c r="E8" s="23"/>
      <c r="F8" s="23"/>
      <c r="G8" s="23"/>
      <c r="H8" s="31"/>
      <c r="I8" s="21"/>
      <c r="J8" s="23"/>
      <c r="K8" s="23"/>
      <c r="L8" s="24"/>
      <c r="M8" s="21"/>
      <c r="N8" s="23"/>
      <c r="O8" s="23"/>
      <c r="P8" s="23"/>
      <c r="Q8" s="23"/>
      <c r="R8" s="23"/>
      <c r="S8" s="23"/>
      <c r="T8" s="23"/>
      <c r="U8" s="23"/>
      <c r="V8" s="23"/>
      <c r="W8" s="21"/>
      <c r="X8" s="23"/>
      <c r="Y8" s="23"/>
    </row>
    <row r="9" spans="1:25">
      <c r="A9" s="23"/>
      <c r="B9" s="23"/>
      <c r="C9" s="23"/>
      <c r="D9" s="23"/>
      <c r="E9" s="23"/>
      <c r="F9" s="23"/>
      <c r="G9" s="23"/>
      <c r="H9" s="31"/>
      <c r="I9" s="21"/>
      <c r="J9" s="23"/>
      <c r="K9" s="23"/>
      <c r="L9" s="24"/>
      <c r="M9" s="21"/>
      <c r="N9" s="23"/>
      <c r="O9" s="23"/>
      <c r="P9" s="23"/>
      <c r="Q9" s="23"/>
      <c r="R9" s="23"/>
      <c r="S9" s="23"/>
      <c r="T9" s="23"/>
      <c r="U9" s="23"/>
      <c r="V9" s="23"/>
      <c r="W9" s="21"/>
      <c r="X9" s="23"/>
      <c r="Y9" s="23"/>
    </row>
    <row r="10" spans="1:25">
      <c r="A10" s="23"/>
      <c r="B10" s="23"/>
      <c r="C10" s="23"/>
      <c r="D10" s="23"/>
      <c r="E10" s="23"/>
      <c r="F10" s="23"/>
      <c r="G10" s="23"/>
      <c r="H10" s="31"/>
      <c r="I10" s="21"/>
      <c r="J10" s="23"/>
      <c r="K10" s="23"/>
      <c r="L10" s="24"/>
      <c r="M10" s="21"/>
      <c r="N10" s="23"/>
      <c r="O10" s="23"/>
      <c r="P10" s="23"/>
      <c r="Q10" s="23"/>
      <c r="R10" s="23"/>
      <c r="S10" s="23"/>
      <c r="T10" s="23"/>
      <c r="U10" s="23"/>
      <c r="V10" s="23"/>
      <c r="W10" s="21"/>
      <c r="X10" s="23"/>
      <c r="Y10" s="23"/>
    </row>
    <row r="11" spans="1:25">
      <c r="A11" s="23"/>
      <c r="B11" s="23"/>
      <c r="C11" s="23"/>
      <c r="D11" s="23"/>
      <c r="E11" s="23"/>
      <c r="F11" s="23"/>
      <c r="G11" s="23"/>
      <c r="H11" s="31"/>
      <c r="I11" s="21"/>
      <c r="J11" s="23"/>
      <c r="K11" s="23"/>
      <c r="L11" s="24"/>
      <c r="M11" s="21"/>
      <c r="N11" s="23"/>
      <c r="O11" s="23"/>
      <c r="P11" s="23"/>
      <c r="Q11" s="23"/>
      <c r="R11" s="23"/>
      <c r="S11" s="23"/>
      <c r="T11" s="23"/>
      <c r="U11" s="23"/>
      <c r="V11" s="23"/>
      <c r="W11" s="21"/>
      <c r="X11" s="23"/>
      <c r="Y11" s="23"/>
    </row>
    <row r="12" spans="1:25">
      <c r="A12" s="23"/>
      <c r="B12" s="23"/>
      <c r="C12" s="23"/>
      <c r="D12" s="23"/>
      <c r="E12" s="23"/>
      <c r="F12" s="23"/>
      <c r="G12" s="23"/>
      <c r="H12" s="31"/>
      <c r="I12" s="21"/>
      <c r="J12" s="23"/>
      <c r="K12" s="23"/>
      <c r="L12" s="24"/>
      <c r="M12" s="21"/>
      <c r="N12" s="23"/>
      <c r="O12" s="23"/>
      <c r="P12" s="23"/>
      <c r="Q12" s="23"/>
      <c r="R12" s="23"/>
      <c r="S12" s="23"/>
      <c r="T12" s="23"/>
      <c r="U12" s="23"/>
      <c r="V12" s="23"/>
      <c r="W12" s="21"/>
      <c r="X12" s="23"/>
      <c r="Y12" s="23"/>
    </row>
    <row r="13" spans="1:25">
      <c r="A13" s="23"/>
      <c r="B13" s="23"/>
      <c r="C13" s="23"/>
      <c r="D13" s="23"/>
      <c r="E13" s="23"/>
      <c r="F13" s="23"/>
      <c r="G13" s="23"/>
      <c r="H13" s="31"/>
      <c r="I13" s="21"/>
      <c r="J13" s="23"/>
      <c r="K13" s="23"/>
      <c r="L13" s="24"/>
      <c r="M13" s="21"/>
      <c r="N13" s="23"/>
      <c r="O13" s="23"/>
      <c r="P13" s="23"/>
      <c r="Q13" s="23"/>
      <c r="R13" s="23"/>
      <c r="S13" s="23"/>
      <c r="T13" s="23"/>
      <c r="U13" s="23"/>
      <c r="V13" s="23"/>
      <c r="W13" s="21"/>
      <c r="X13" s="23"/>
      <c r="Y13" s="23"/>
    </row>
    <row r="14" spans="1:25">
      <c r="A14" s="23"/>
      <c r="B14" s="23"/>
      <c r="C14" s="23"/>
      <c r="D14" s="23"/>
      <c r="E14" s="23"/>
      <c r="F14" s="23"/>
      <c r="G14" s="23"/>
      <c r="H14" s="31"/>
      <c r="I14" s="21"/>
      <c r="J14" s="23"/>
      <c r="K14" s="23"/>
      <c r="L14" s="24"/>
      <c r="M14" s="21"/>
      <c r="N14" s="23"/>
      <c r="O14" s="23"/>
      <c r="P14" s="23"/>
      <c r="Q14" s="23"/>
      <c r="R14" s="23"/>
      <c r="S14" s="23"/>
      <c r="T14" s="23"/>
      <c r="U14" s="23"/>
      <c r="V14" s="23"/>
      <c r="W14" s="21"/>
      <c r="X14" s="23"/>
      <c r="Y14" s="23"/>
    </row>
    <row r="15" spans="1:25">
      <c r="A15" s="23"/>
      <c r="B15" s="23"/>
      <c r="C15" s="23"/>
      <c r="D15" s="23"/>
      <c r="E15" s="23"/>
      <c r="F15" s="23"/>
      <c r="G15" s="23"/>
      <c r="H15" s="31"/>
      <c r="I15" s="21"/>
      <c r="J15" s="23"/>
      <c r="K15" s="23"/>
      <c r="L15" s="24"/>
      <c r="M15" s="21"/>
      <c r="N15" s="23"/>
      <c r="O15" s="23"/>
      <c r="P15" s="23"/>
      <c r="Q15" s="23"/>
      <c r="R15" s="23"/>
      <c r="S15" s="23"/>
      <c r="T15" s="23"/>
      <c r="U15" s="23"/>
      <c r="V15" s="23"/>
      <c r="W15" s="21"/>
      <c r="X15" s="23"/>
      <c r="Y15" s="23"/>
    </row>
    <row r="16" spans="1:25">
      <c r="A16" s="23"/>
      <c r="B16" s="23"/>
      <c r="C16" s="23"/>
      <c r="D16" s="23"/>
      <c r="E16" s="23"/>
      <c r="F16" s="23"/>
      <c r="G16" s="23"/>
      <c r="H16" s="31"/>
      <c r="I16" s="21"/>
      <c r="J16" s="23"/>
      <c r="K16" s="23"/>
      <c r="L16" s="24"/>
      <c r="M16" s="21"/>
      <c r="N16" s="23"/>
      <c r="O16" s="23"/>
      <c r="P16" s="23"/>
      <c r="Q16" s="23"/>
      <c r="R16" s="23"/>
      <c r="S16" s="23"/>
      <c r="T16" s="23"/>
      <c r="U16" s="23"/>
      <c r="V16" s="23"/>
      <c r="W16" s="21"/>
      <c r="X16" s="23"/>
      <c r="Y16" s="23"/>
    </row>
    <row r="17" spans="1:25">
      <c r="A17" s="23"/>
      <c r="B17" s="23"/>
      <c r="C17" s="23"/>
      <c r="D17" s="23"/>
      <c r="E17" s="23"/>
      <c r="F17" s="23"/>
      <c r="G17" s="23"/>
      <c r="H17" s="31"/>
      <c r="I17" s="21"/>
      <c r="J17" s="23"/>
      <c r="K17" s="23"/>
      <c r="L17" s="24"/>
      <c r="M17" s="21"/>
      <c r="N17" s="23"/>
      <c r="O17" s="23"/>
      <c r="P17" s="23"/>
      <c r="Q17" s="23"/>
      <c r="R17" s="23"/>
      <c r="S17" s="23"/>
      <c r="T17" s="23"/>
      <c r="U17" s="23"/>
      <c r="V17" s="23"/>
      <c r="W17" s="21"/>
      <c r="X17" s="23"/>
      <c r="Y17" s="23"/>
    </row>
    <row r="18" spans="1:25">
      <c r="A18" s="23"/>
      <c r="B18" s="23"/>
      <c r="C18" s="23"/>
      <c r="D18" s="23"/>
      <c r="E18" s="23"/>
      <c r="F18" s="23"/>
      <c r="G18" s="23"/>
      <c r="H18" s="31"/>
      <c r="I18" s="21"/>
      <c r="J18" s="23"/>
      <c r="K18" s="23"/>
      <c r="L18" s="24"/>
      <c r="M18" s="21"/>
      <c r="N18" s="23"/>
      <c r="O18" s="23"/>
      <c r="P18" s="23"/>
      <c r="Q18" s="23"/>
      <c r="R18" s="23"/>
      <c r="S18" s="23"/>
      <c r="T18" s="23"/>
      <c r="U18" s="23"/>
      <c r="V18" s="23"/>
      <c r="W18" s="21"/>
      <c r="X18" s="23"/>
      <c r="Y18" s="23"/>
    </row>
    <row r="19" spans="1:25">
      <c r="A19" s="23"/>
      <c r="B19" s="23"/>
      <c r="C19" s="23"/>
      <c r="D19" s="23"/>
      <c r="E19" s="23"/>
      <c r="F19" s="23"/>
      <c r="G19" s="23"/>
      <c r="H19" s="31"/>
      <c r="I19" s="21"/>
      <c r="J19" s="23"/>
      <c r="K19" s="23"/>
      <c r="L19" s="24"/>
      <c r="M19" s="21"/>
      <c r="N19" s="23"/>
      <c r="O19" s="23"/>
      <c r="P19" s="23"/>
      <c r="Q19" s="23"/>
      <c r="R19" s="23"/>
      <c r="S19" s="23"/>
      <c r="T19" s="23"/>
      <c r="U19" s="23"/>
      <c r="V19" s="23"/>
      <c r="W19" s="21"/>
      <c r="X19" s="23"/>
      <c r="Y19" s="23"/>
    </row>
    <row r="20" spans="1:25">
      <c r="F20" s="23"/>
      <c r="G20" s="23"/>
      <c r="H20" s="31"/>
      <c r="I20" s="21"/>
      <c r="L20" s="24"/>
      <c r="W20" s="21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9">
    <dataValidation type="list" allowBlank="1" showInputMessage="1" showErrorMessage="1" sqref="W6:W20 W2:W4" xr:uid="{00000000-0002-0000-0D00-000000000000}">
      <formula1>In_the_books</formula1>
    </dataValidation>
    <dataValidation type="list" allowBlank="1" showInputMessage="1" showErrorMessage="1" sqref="Y5" xr:uid="{00000000-0002-0000-0D00-000001000000}">
      <formula1>Info_Provider</formula1>
    </dataValidation>
    <dataValidation type="list" allowBlank="1" showInputMessage="1" showErrorMessage="1" sqref="H2:H20 K5" xr:uid="{00000000-0002-0000-0D00-000002000000}">
      <formula1>israel_abroad</formula1>
    </dataValidation>
    <dataValidation type="list" allowBlank="1" showInputMessage="1" showErrorMessage="1" sqref="O5 L2:L20" xr:uid="{00000000-0002-0000-0D00-000003000000}">
      <formula1>Rating_Agency</formula1>
    </dataValidation>
    <dataValidation type="list" allowBlank="1" showInputMessage="1" showErrorMessage="1" sqref="P5" xr:uid="{00000000-0002-0000-0D00-000004000000}">
      <formula1>Currency</formula1>
    </dataValidation>
    <dataValidation type="list" allowBlank="1" showInputMessage="1" showErrorMessage="1" sqref="Q5" xr:uid="{00000000-0002-0000-0D00-000005000000}">
      <formula1>Currency_Abbreviation</formula1>
    </dataValidation>
    <dataValidation type="list" allowBlank="1" showInputMessage="1" showErrorMessage="1" sqref="I2:I20" xr:uid="{00000000-0002-0000-0D00-000006000000}">
      <formula1>Country_list</formula1>
    </dataValidation>
    <dataValidation type="list" allowBlank="1" showInputMessage="1" showErrorMessage="1" sqref="F2:F20" xr:uid="{00000000-0002-0000-0D00-000007000000}">
      <formula1>Type_of_Security_ID_Fund</formula1>
    </dataValidation>
    <dataValidation type="list" allowBlank="1" showInputMessage="1" showErrorMessage="1" sqref="J5" xr:uid="{00000000-0002-0000-0D00-000008000000}">
      <formula1>#REF!</formula1>
    </dataValidation>
  </dataValidations>
  <pageMargins left="0.7" right="0.7" top="0.75" bottom="0.75" header="0.3" footer="0.3"/>
  <pageSetup paperSize="9" orientation="portrait" verticalDpi="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9000000}">
          <x14:formula1>
            <xm:f>'אפשרויות בחירה'!$C$912:$C$919</xm:f>
          </x14:formula1>
          <xm:sqref>G2:G20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6"/>
  <dimension ref="A1:R24"/>
  <sheetViews>
    <sheetView rightToLeft="1" workbookViewId="0">
      <selection activeCell="A2" sqref="A2"/>
    </sheetView>
  </sheetViews>
  <sheetFormatPr defaultColWidth="0" defaultRowHeight="14.25"/>
  <cols>
    <col min="1" max="7" width="11.625" style="3" customWidth="1"/>
    <col min="8" max="8" width="11.625" customWidth="1"/>
    <col min="9" max="15" width="11.625" style="3" customWidth="1"/>
    <col min="16" max="16" width="11.625" customWidth="1"/>
    <col min="17" max="18" width="11.625" style="3" customWidth="1"/>
    <col min="19" max="19" width="9" style="3" hidden="1" customWidth="1"/>
    <col min="20" max="16384" width="9" style="3" hidden="1"/>
  </cols>
  <sheetData>
    <row r="1" spans="1:18" ht="51">
      <c r="A1" s="22" t="s">
        <v>0</v>
      </c>
      <c r="B1" s="22" t="s">
        <v>1</v>
      </c>
      <c r="C1" s="22" t="s">
        <v>5</v>
      </c>
      <c r="D1" s="22" t="s">
        <v>3</v>
      </c>
      <c r="E1" s="22" t="s">
        <v>4</v>
      </c>
      <c r="F1" s="22" t="s">
        <v>81</v>
      </c>
      <c r="G1" s="22" t="s">
        <v>12</v>
      </c>
      <c r="H1" s="22" t="s">
        <v>82</v>
      </c>
      <c r="I1" s="22" t="s">
        <v>13</v>
      </c>
      <c r="J1" s="22" t="s">
        <v>14</v>
      </c>
      <c r="K1" s="22" t="s">
        <v>15</v>
      </c>
      <c r="L1" s="22" t="s">
        <v>17</v>
      </c>
      <c r="M1" s="22" t="s">
        <v>19</v>
      </c>
      <c r="N1" s="22" t="s">
        <v>20</v>
      </c>
      <c r="O1" s="22" t="s">
        <v>21</v>
      </c>
      <c r="P1" s="22" t="s">
        <v>22</v>
      </c>
      <c r="Q1" s="22" t="s">
        <v>24</v>
      </c>
      <c r="R1" s="22" t="s">
        <v>25</v>
      </c>
    </row>
    <row r="2" spans="1:18">
      <c r="A2" s="23"/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1"/>
      <c r="Q2" s="23"/>
      <c r="R2" s="23"/>
    </row>
    <row r="3" spans="1:18">
      <c r="A3" s="23"/>
      <c r="B3" s="23"/>
      <c r="C3" s="23"/>
      <c r="D3" s="23"/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1"/>
      <c r="Q3" s="23"/>
      <c r="R3" s="23"/>
    </row>
    <row r="4" spans="1:18">
      <c r="A4" s="23"/>
      <c r="B4" s="23"/>
      <c r="C4" s="23"/>
      <c r="D4" s="23"/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1"/>
      <c r="Q4" s="23"/>
      <c r="R4" s="23"/>
    </row>
    <row r="5" spans="1:18">
      <c r="A5" s="23"/>
      <c r="B5" s="23"/>
      <c r="C5" s="23"/>
      <c r="D5" s="23"/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</row>
    <row r="6" spans="1:18">
      <c r="A6" s="23"/>
      <c r="B6" s="23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1"/>
      <c r="Q6" s="23"/>
      <c r="R6" s="23"/>
    </row>
    <row r="7" spans="1:18">
      <c r="A7" s="23"/>
      <c r="B7" s="23"/>
      <c r="C7" s="23"/>
      <c r="D7" s="23"/>
      <c r="E7" s="23"/>
      <c r="F7" s="23"/>
      <c r="G7" s="23"/>
      <c r="H7" s="23"/>
      <c r="I7" s="23"/>
      <c r="J7" s="23"/>
      <c r="K7" s="23"/>
      <c r="L7" s="23"/>
      <c r="M7" s="23"/>
      <c r="N7" s="23"/>
      <c r="O7" s="23"/>
      <c r="P7" s="21"/>
      <c r="Q7" s="23"/>
      <c r="R7" s="23"/>
    </row>
    <row r="8" spans="1:18">
      <c r="A8" s="23"/>
      <c r="B8" s="23"/>
      <c r="C8" s="23"/>
      <c r="D8" s="23"/>
      <c r="E8" s="23"/>
      <c r="F8" s="23"/>
      <c r="G8" s="23"/>
      <c r="H8" s="23"/>
      <c r="I8" s="23"/>
      <c r="J8" s="23"/>
      <c r="K8" s="23"/>
      <c r="L8" s="23"/>
      <c r="M8" s="23"/>
      <c r="N8" s="23"/>
      <c r="O8" s="23"/>
      <c r="P8" s="21"/>
      <c r="Q8" s="23"/>
      <c r="R8" s="23"/>
    </row>
    <row r="9" spans="1:18">
      <c r="A9" s="23"/>
      <c r="B9" s="23"/>
      <c r="C9" s="23"/>
      <c r="D9" s="23"/>
      <c r="E9" s="23"/>
      <c r="F9" s="23"/>
      <c r="G9" s="23"/>
      <c r="H9" s="23"/>
      <c r="I9" s="23"/>
      <c r="J9" s="23"/>
      <c r="K9" s="23"/>
      <c r="L9" s="23"/>
      <c r="M9" s="23"/>
      <c r="N9" s="23"/>
      <c r="O9" s="23"/>
      <c r="P9" s="21"/>
      <c r="Q9" s="23"/>
      <c r="R9" s="23"/>
    </row>
    <row r="10" spans="1:18">
      <c r="A10" s="23"/>
      <c r="B10" s="23"/>
      <c r="C10" s="23"/>
      <c r="D10" s="23"/>
      <c r="E10" s="23"/>
      <c r="F10" s="23"/>
      <c r="G10" s="23"/>
      <c r="H10" s="23"/>
      <c r="I10" s="23"/>
      <c r="J10" s="23"/>
      <c r="K10" s="23"/>
      <c r="L10" s="23"/>
      <c r="M10" s="23"/>
      <c r="N10" s="23"/>
      <c r="O10" s="23"/>
      <c r="P10" s="21"/>
      <c r="Q10" s="23"/>
      <c r="R10" s="23"/>
    </row>
    <row r="11" spans="1:18">
      <c r="A11" s="23"/>
      <c r="B11" s="23"/>
      <c r="C11" s="23"/>
      <c r="D11" s="23"/>
      <c r="E11" s="23"/>
      <c r="F11" s="23"/>
      <c r="G11" s="23"/>
      <c r="H11" s="23"/>
      <c r="I11" s="23"/>
      <c r="J11" s="23"/>
      <c r="K11" s="23"/>
      <c r="L11" s="23"/>
      <c r="M11" s="23"/>
      <c r="N11" s="23"/>
      <c r="O11" s="23"/>
      <c r="P11" s="21"/>
      <c r="Q11" s="23"/>
      <c r="R11" s="23"/>
    </row>
    <row r="12" spans="1:18">
      <c r="A12" s="23"/>
      <c r="B12" s="23"/>
      <c r="C12" s="23"/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1"/>
      <c r="Q12" s="23"/>
      <c r="R12" s="23"/>
    </row>
    <row r="13" spans="1:18">
      <c r="A13" s="23"/>
      <c r="B13" s="23"/>
      <c r="C13" s="23"/>
      <c r="D13" s="23"/>
      <c r="E13" s="23"/>
      <c r="F13" s="23"/>
      <c r="G13" s="23"/>
      <c r="H13" s="23"/>
      <c r="I13" s="23"/>
      <c r="J13" s="23"/>
      <c r="K13" s="23"/>
      <c r="L13" s="23"/>
      <c r="M13" s="23"/>
      <c r="N13" s="23"/>
      <c r="O13" s="23"/>
      <c r="P13" s="21"/>
      <c r="Q13" s="23"/>
      <c r="R13" s="23"/>
    </row>
    <row r="14" spans="1:18">
      <c r="A14" s="23"/>
      <c r="B14" s="23"/>
      <c r="C14" s="23"/>
      <c r="D14" s="23"/>
      <c r="E14" s="23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1"/>
      <c r="Q14" s="23"/>
      <c r="R14" s="23"/>
    </row>
    <row r="15" spans="1:18">
      <c r="A15" s="23"/>
      <c r="B15" s="23"/>
      <c r="C15" s="23"/>
      <c r="D15" s="23"/>
      <c r="E15" s="23"/>
      <c r="F15" s="23"/>
      <c r="G15" s="23"/>
      <c r="H15" s="23"/>
      <c r="I15" s="23"/>
      <c r="J15" s="23"/>
      <c r="K15" s="23"/>
      <c r="L15" s="23"/>
      <c r="M15" s="23"/>
      <c r="N15" s="23"/>
      <c r="O15" s="23"/>
      <c r="P15" s="21"/>
      <c r="Q15" s="23"/>
      <c r="R15" s="23"/>
    </row>
    <row r="16" spans="1:18">
      <c r="A16" s="23"/>
      <c r="B16" s="23"/>
      <c r="C16" s="23"/>
      <c r="D16" s="23"/>
      <c r="E16" s="23"/>
      <c r="F16" s="23"/>
      <c r="G16" s="23"/>
      <c r="H16" s="23"/>
      <c r="I16" s="23"/>
      <c r="J16" s="23"/>
      <c r="K16" s="23"/>
      <c r="L16" s="23"/>
      <c r="M16" s="23"/>
      <c r="N16" s="23"/>
      <c r="O16" s="23"/>
      <c r="P16" s="21"/>
      <c r="Q16" s="23"/>
      <c r="R16" s="23"/>
    </row>
    <row r="17" spans="1:18">
      <c r="A17" s="23"/>
      <c r="B17" s="23"/>
      <c r="C17" s="23"/>
      <c r="D17" s="23"/>
      <c r="E17" s="23"/>
      <c r="F17" s="23"/>
      <c r="G17" s="23"/>
      <c r="H17" s="23"/>
      <c r="I17" s="23"/>
      <c r="J17" s="23"/>
      <c r="K17" s="23"/>
      <c r="L17" s="23"/>
      <c r="M17" s="23"/>
      <c r="N17" s="23"/>
      <c r="O17" s="23"/>
      <c r="P17" s="21"/>
      <c r="Q17" s="23"/>
      <c r="R17" s="23"/>
    </row>
    <row r="18" spans="1:18">
      <c r="A18" s="23"/>
      <c r="B18" s="23"/>
      <c r="C18" s="23"/>
      <c r="D18" s="23"/>
      <c r="E18" s="23"/>
      <c r="F18" s="23"/>
      <c r="G18" s="23"/>
      <c r="H18" s="23"/>
      <c r="I18" s="23"/>
      <c r="J18" s="23"/>
      <c r="K18" s="23"/>
      <c r="L18" s="23"/>
      <c r="M18" s="23"/>
      <c r="N18" s="23"/>
      <c r="O18" s="23"/>
      <c r="P18" s="21"/>
      <c r="Q18" s="23"/>
      <c r="R18" s="23"/>
    </row>
    <row r="19" spans="1:18">
      <c r="A19" s="23"/>
      <c r="B19" s="23"/>
      <c r="C19" s="23"/>
      <c r="D19" s="23"/>
      <c r="E19" s="23"/>
      <c r="F19" s="23"/>
      <c r="G19" s="23"/>
      <c r="H19" s="23"/>
      <c r="I19" s="23"/>
      <c r="J19" s="23"/>
      <c r="K19" s="23"/>
      <c r="L19" s="23"/>
      <c r="M19" s="23"/>
      <c r="N19" s="23"/>
      <c r="O19" s="23"/>
      <c r="P19" s="21"/>
      <c r="Q19" s="23"/>
      <c r="R19" s="23"/>
    </row>
    <row r="20" spans="1:18">
      <c r="C20" s="23"/>
      <c r="H20" s="23"/>
      <c r="P20" s="21"/>
    </row>
    <row r="21" spans="1:18" s="42" customFormat="1">
      <c r="C21" s="41"/>
    </row>
    <row r="22" spans="1:18">
      <c r="H22" s="3"/>
    </row>
    <row r="23" spans="1:18">
      <c r="H23" s="3"/>
    </row>
    <row r="24" spans="1:18">
      <c r="H24" s="3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  <pageSetup orientation="portrait"/>
    </customSheetView>
  </customSheetViews>
  <dataValidations count="2">
    <dataValidation type="list" allowBlank="1" showInputMessage="1" showErrorMessage="1" sqref="P6:P20 P2:P4" xr:uid="{00000000-0002-0000-0E00-000000000000}">
      <formula1>In_the_books</formula1>
    </dataValidation>
    <dataValidation type="list" allowBlank="1" showInputMessage="1" showErrorMessage="1" sqref="H2:H20" xr:uid="{00000000-0002-0000-0E00-000001000000}">
      <formula1>Linked_Type</formula1>
    </dataValidation>
  </dataValidations>
  <pageMargins left="0.7" right="0.7" top="0.75" bottom="0.75" header="0.3" footer="0.3"/>
  <pageSetup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2000000}">
          <x14:formula1>
            <xm:f>'אפשרויות בחירה'!$C$920:$C$925</xm:f>
          </x14:formula1>
          <xm:sqref>C2:C20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2"/>
  <dimension ref="A1:G20"/>
  <sheetViews>
    <sheetView rightToLeft="1" workbookViewId="0">
      <selection activeCell="A2" sqref="A2"/>
    </sheetView>
  </sheetViews>
  <sheetFormatPr defaultColWidth="0" defaultRowHeight="14.25"/>
  <cols>
    <col min="1" max="3" width="11.625" style="3" customWidth="1"/>
    <col min="4" max="6" width="11.625" customWidth="1"/>
    <col min="7" max="7" width="11.625" style="3" customWidth="1"/>
    <col min="8" max="8" width="9" style="3" hidden="1" customWidth="1"/>
    <col min="9" max="16384" width="9" style="3" hidden="1"/>
  </cols>
  <sheetData>
    <row r="1" spans="1:7" ht="38.25">
      <c r="A1" s="22" t="s">
        <v>83</v>
      </c>
      <c r="B1" s="22" t="s">
        <v>1</v>
      </c>
      <c r="C1" s="22" t="s">
        <v>5</v>
      </c>
      <c r="D1" s="22" t="s">
        <v>84</v>
      </c>
      <c r="E1" s="22" t="s">
        <v>85</v>
      </c>
      <c r="F1" s="22" t="s">
        <v>86</v>
      </c>
      <c r="G1" s="22" t="s">
        <v>25</v>
      </c>
    </row>
    <row r="2" spans="1:7">
      <c r="A2" s="23"/>
      <c r="B2" s="23"/>
      <c r="C2" s="24"/>
      <c r="D2" s="142"/>
      <c r="E2" s="41"/>
      <c r="F2" s="41"/>
      <c r="G2" s="30"/>
    </row>
    <row r="3" spans="1:7">
      <c r="A3" s="23"/>
      <c r="B3" s="23"/>
      <c r="C3" s="24"/>
      <c r="G3" s="23"/>
    </row>
    <row r="4" spans="1:7">
      <c r="A4" s="23"/>
      <c r="B4" s="23"/>
      <c r="C4" s="24"/>
      <c r="G4" s="23"/>
    </row>
    <row r="5" spans="1:7">
      <c r="A5" s="23"/>
      <c r="B5" s="23"/>
      <c r="C5" s="24"/>
      <c r="G5" s="23"/>
    </row>
    <row r="6" spans="1:7">
      <c r="A6" s="23"/>
      <c r="B6" s="23"/>
      <c r="C6" s="24"/>
      <c r="G6" s="23"/>
    </row>
    <row r="7" spans="1:7">
      <c r="A7" s="23"/>
      <c r="B7" s="23"/>
      <c r="C7" s="24"/>
      <c r="G7" s="23"/>
    </row>
    <row r="8" spans="1:7">
      <c r="A8" s="23"/>
      <c r="B8" s="23"/>
      <c r="C8" s="24"/>
      <c r="G8" s="23"/>
    </row>
    <row r="9" spans="1:7">
      <c r="A9" s="23"/>
      <c r="B9" s="23"/>
      <c r="C9" s="24"/>
      <c r="G9" s="23"/>
    </row>
    <row r="10" spans="1:7">
      <c r="A10" s="23"/>
      <c r="B10" s="23"/>
      <c r="C10" s="24"/>
      <c r="G10" s="23"/>
    </row>
    <row r="11" spans="1:7">
      <c r="A11" s="23"/>
      <c r="B11" s="23"/>
      <c r="C11" s="24"/>
      <c r="G11" s="23"/>
    </row>
    <row r="12" spans="1:7">
      <c r="A12" s="23"/>
      <c r="B12" s="23"/>
      <c r="C12" s="24"/>
      <c r="G12" s="23"/>
    </row>
    <row r="13" spans="1:7">
      <c r="A13" s="23"/>
      <c r="B13" s="23"/>
      <c r="C13" s="24"/>
      <c r="G13" s="23"/>
    </row>
    <row r="14" spans="1:7">
      <c r="A14" s="23"/>
      <c r="B14" s="23"/>
      <c r="C14" s="24"/>
      <c r="G14" s="23"/>
    </row>
    <row r="15" spans="1:7">
      <c r="A15" s="23"/>
      <c r="B15" s="23"/>
      <c r="C15" s="24"/>
      <c r="G15" s="23"/>
    </row>
    <row r="16" spans="1:7">
      <c r="A16" s="23"/>
      <c r="B16" s="23"/>
      <c r="C16" s="24"/>
      <c r="G16" s="23"/>
    </row>
    <row r="17" spans="1:7">
      <c r="A17" s="23"/>
      <c r="B17" s="23"/>
      <c r="C17" s="24"/>
      <c r="G17" s="23"/>
    </row>
    <row r="18" spans="1:7">
      <c r="A18" s="23"/>
      <c r="B18" s="23"/>
      <c r="C18" s="24"/>
      <c r="G18" s="23"/>
    </row>
    <row r="19" spans="1:7">
      <c r="A19" s="23"/>
      <c r="B19" s="23"/>
      <c r="C19" s="24"/>
      <c r="G19" s="23"/>
    </row>
    <row r="20" spans="1:7">
      <c r="C20" s="24"/>
    </row>
  </sheetData>
  <sheetProtection formatColumns="0"/>
  <dataValidations count="1">
    <dataValidation type="list" allowBlank="1" showInputMessage="1" showErrorMessage="1" sqref="C2:C20" xr:uid="{00000000-0002-0000-0F00-000000000000}">
      <formula1>Capsule</formula1>
    </dataValidation>
  </dataValidations>
  <pageMargins left="0.7" right="0.7" top="0.75" bottom="0.75" header="0.3" footer="0.3"/>
  <pageSetup orientation="portrait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17"/>
  <dimension ref="A1:AN24"/>
  <sheetViews>
    <sheetView rightToLeft="1" workbookViewId="0">
      <selection activeCell="A2" sqref="A2"/>
    </sheetView>
  </sheetViews>
  <sheetFormatPr defaultColWidth="0" defaultRowHeight="14.25"/>
  <cols>
    <col min="1" max="4" width="11.625" customWidth="1"/>
    <col min="5" max="5" width="11.625" style="5" customWidth="1"/>
    <col min="6" max="11" width="11.625" customWidth="1"/>
    <col min="12" max="12" width="11.625" style="3" customWidth="1"/>
    <col min="13" max="24" width="11.625" customWidth="1"/>
    <col min="25" max="26" width="11.625" style="5" customWidth="1"/>
    <col min="27" max="40" width="11.625" customWidth="1"/>
    <col min="41" max="41" width="9" hidden="1" customWidth="1"/>
    <col min="42" max="16384" width="9" hidden="1"/>
  </cols>
  <sheetData>
    <row r="1" spans="1:40" ht="51">
      <c r="A1" s="22" t="s">
        <v>0</v>
      </c>
      <c r="B1" s="22" t="s">
        <v>1</v>
      </c>
      <c r="C1" s="22" t="s">
        <v>2</v>
      </c>
      <c r="D1" s="22" t="s">
        <v>47</v>
      </c>
      <c r="E1" s="22" t="s">
        <v>48</v>
      </c>
      <c r="F1" s="22" t="s">
        <v>3</v>
      </c>
      <c r="G1" s="22" t="s">
        <v>4</v>
      </c>
      <c r="H1" s="22" t="s">
        <v>49</v>
      </c>
      <c r="I1" s="22" t="s">
        <v>5</v>
      </c>
      <c r="J1" s="22" t="s">
        <v>6</v>
      </c>
      <c r="K1" s="22" t="s">
        <v>7</v>
      </c>
      <c r="L1" s="22" t="s">
        <v>50</v>
      </c>
      <c r="M1" s="22" t="s">
        <v>51</v>
      </c>
      <c r="N1" s="22" t="s">
        <v>81</v>
      </c>
      <c r="O1" s="22" t="s">
        <v>9</v>
      </c>
      <c r="P1" s="22" t="s">
        <v>10</v>
      </c>
      <c r="Q1" s="22" t="s">
        <v>52</v>
      </c>
      <c r="R1" s="22" t="s">
        <v>11</v>
      </c>
      <c r="S1" s="22" t="s">
        <v>12</v>
      </c>
      <c r="T1" s="22" t="s">
        <v>82</v>
      </c>
      <c r="U1" s="22" t="s">
        <v>53</v>
      </c>
      <c r="V1" s="22" t="s">
        <v>13</v>
      </c>
      <c r="W1" s="22" t="s">
        <v>14</v>
      </c>
      <c r="X1" s="22" t="s">
        <v>15</v>
      </c>
      <c r="Y1" s="22" t="s">
        <v>54</v>
      </c>
      <c r="Z1" s="22" t="s">
        <v>55</v>
      </c>
      <c r="AA1" s="22" t="s">
        <v>87</v>
      </c>
      <c r="AB1" s="22" t="s">
        <v>88</v>
      </c>
      <c r="AC1" s="22" t="s">
        <v>89</v>
      </c>
      <c r="AD1" s="22" t="s">
        <v>90</v>
      </c>
      <c r="AE1" s="22" t="s">
        <v>91</v>
      </c>
      <c r="AF1" s="22" t="s">
        <v>17</v>
      </c>
      <c r="AG1" s="22" t="s">
        <v>18</v>
      </c>
      <c r="AH1" s="22" t="s">
        <v>19</v>
      </c>
      <c r="AI1" s="22" t="s">
        <v>20</v>
      </c>
      <c r="AJ1" s="22" t="s">
        <v>21</v>
      </c>
      <c r="AK1" s="22" t="s">
        <v>56</v>
      </c>
      <c r="AL1" s="22" t="s">
        <v>22</v>
      </c>
      <c r="AM1" s="22" t="s">
        <v>24</v>
      </c>
      <c r="AN1" s="22" t="s">
        <v>25</v>
      </c>
    </row>
    <row r="2" spans="1:40">
      <c r="A2" s="30"/>
      <c r="B2" s="23"/>
      <c r="C2" s="23"/>
      <c r="D2" s="23"/>
      <c r="E2" s="21"/>
      <c r="F2" s="23"/>
      <c r="G2" s="23"/>
      <c r="H2" s="21"/>
      <c r="I2" s="23"/>
      <c r="J2" s="21"/>
      <c r="K2" s="21"/>
      <c r="L2" s="23"/>
      <c r="M2" s="23"/>
      <c r="N2" s="23"/>
      <c r="O2" s="23"/>
      <c r="P2" s="23"/>
      <c r="Q2" s="23"/>
      <c r="R2" s="21"/>
      <c r="S2" s="23"/>
      <c r="T2" s="23"/>
      <c r="U2" s="23"/>
      <c r="V2" s="23"/>
      <c r="W2" s="23"/>
      <c r="X2" s="23"/>
      <c r="Y2" s="21"/>
      <c r="Z2" s="24"/>
      <c r="AA2" s="23"/>
      <c r="AB2" s="23"/>
      <c r="AC2" s="24"/>
      <c r="AD2" s="24"/>
      <c r="AE2" s="23"/>
      <c r="AF2" s="23"/>
      <c r="AG2" s="23"/>
      <c r="AH2" s="23"/>
      <c r="AI2" s="23"/>
      <c r="AK2" s="40"/>
      <c r="AL2" s="23"/>
    </row>
    <row r="3" spans="1:40">
      <c r="A3" s="23"/>
      <c r="B3" s="23"/>
      <c r="C3" s="23"/>
      <c r="D3" s="23"/>
      <c r="E3" s="21"/>
      <c r="F3" s="23"/>
      <c r="G3" s="23"/>
      <c r="H3" s="21"/>
      <c r="I3" s="23"/>
      <c r="J3" s="21"/>
      <c r="K3" s="21"/>
      <c r="L3" s="23"/>
      <c r="M3" s="23"/>
      <c r="N3" s="23"/>
      <c r="O3" s="23"/>
      <c r="P3" s="23"/>
      <c r="Q3" s="23"/>
      <c r="R3" s="21"/>
      <c r="S3" s="23"/>
      <c r="T3" s="23"/>
      <c r="U3" s="23"/>
      <c r="V3" s="23"/>
      <c r="W3" s="23"/>
      <c r="X3" s="23"/>
      <c r="Y3" s="21"/>
      <c r="Z3" s="21"/>
      <c r="AA3" s="23"/>
      <c r="AB3" s="23"/>
      <c r="AC3" s="41"/>
      <c r="AF3" s="23"/>
      <c r="AG3" s="24"/>
      <c r="AH3" s="23"/>
      <c r="AI3" s="23"/>
      <c r="AK3" s="23"/>
      <c r="AL3" s="23"/>
    </row>
    <row r="4" spans="1:40">
      <c r="A4" s="23"/>
      <c r="B4" s="23"/>
      <c r="C4" s="23"/>
      <c r="D4" s="23"/>
      <c r="E4" s="21"/>
      <c r="F4" s="23"/>
      <c r="G4" s="23"/>
      <c r="H4" s="21"/>
      <c r="I4" s="23"/>
      <c r="J4" s="21"/>
      <c r="K4" s="21"/>
      <c r="L4" s="23"/>
      <c r="M4" s="23"/>
      <c r="N4" s="23"/>
      <c r="O4" s="23"/>
      <c r="P4" s="23"/>
      <c r="Q4" s="23"/>
      <c r="R4" s="21"/>
      <c r="S4" s="23"/>
      <c r="T4" s="23"/>
      <c r="U4" s="23"/>
      <c r="V4" s="23"/>
      <c r="W4" s="23"/>
      <c r="X4" s="23"/>
      <c r="Y4" s="21"/>
      <c r="Z4" s="21"/>
      <c r="AA4" s="23"/>
      <c r="AB4" s="23"/>
      <c r="AD4" s="24"/>
      <c r="AE4" s="23"/>
      <c r="AF4" s="23"/>
      <c r="AG4" s="23"/>
      <c r="AH4" s="23"/>
      <c r="AI4" s="23"/>
      <c r="AK4" s="23"/>
      <c r="AL4" s="23"/>
    </row>
    <row r="5" spans="1:40">
      <c r="A5" s="23"/>
      <c r="B5" s="23"/>
      <c r="C5" s="23"/>
      <c r="D5" s="23"/>
      <c r="E5" s="21"/>
      <c r="F5" s="23"/>
      <c r="G5" s="23"/>
      <c r="H5" s="21"/>
      <c r="I5" s="23"/>
      <c r="J5" s="21"/>
      <c r="K5" s="21"/>
      <c r="L5" s="23"/>
      <c r="M5" s="23"/>
      <c r="N5" s="23"/>
      <c r="O5" s="23"/>
      <c r="P5" s="23"/>
      <c r="Q5" s="23"/>
      <c r="R5" s="21"/>
      <c r="S5" s="23"/>
      <c r="T5" s="23"/>
      <c r="U5" s="23"/>
      <c r="V5" s="23"/>
      <c r="W5" s="23"/>
      <c r="X5" s="23"/>
      <c r="Y5" s="21"/>
      <c r="Z5" s="21"/>
      <c r="AA5" s="23"/>
      <c r="AB5" s="23"/>
      <c r="AD5" s="24"/>
      <c r="AE5" s="23"/>
      <c r="AF5" s="23"/>
      <c r="AG5" s="23"/>
      <c r="AH5" s="23"/>
      <c r="AI5" s="23"/>
      <c r="AK5" s="23"/>
      <c r="AL5" s="23"/>
    </row>
    <row r="6" spans="1:40">
      <c r="A6" s="23"/>
      <c r="B6" s="23"/>
      <c r="C6" s="23"/>
      <c r="D6" s="23"/>
      <c r="E6" s="21"/>
      <c r="F6" s="23"/>
      <c r="G6" s="23"/>
      <c r="H6" s="21"/>
      <c r="I6" s="23"/>
      <c r="J6" s="21"/>
      <c r="K6" s="21"/>
      <c r="L6" s="23"/>
      <c r="M6" s="23"/>
      <c r="N6" s="23"/>
      <c r="O6" s="23"/>
      <c r="P6" s="23"/>
      <c r="Q6" s="23"/>
      <c r="R6" s="21"/>
      <c r="S6" s="23"/>
      <c r="T6" s="23"/>
      <c r="U6" s="23"/>
      <c r="V6" s="23"/>
      <c r="W6" s="23"/>
      <c r="X6" s="23"/>
      <c r="Y6" s="21"/>
      <c r="Z6" s="21"/>
      <c r="AA6" s="23"/>
      <c r="AB6" s="23"/>
      <c r="AD6" s="24"/>
      <c r="AE6" s="23"/>
      <c r="AF6" s="23"/>
      <c r="AG6" s="23"/>
      <c r="AH6" s="23"/>
      <c r="AI6" s="23"/>
      <c r="AK6" s="23"/>
      <c r="AL6" s="23"/>
    </row>
    <row r="7" spans="1:40">
      <c r="A7" s="23"/>
      <c r="B7" s="23"/>
      <c r="C7" s="23"/>
      <c r="D7" s="23"/>
      <c r="E7" s="21"/>
      <c r="F7" s="23"/>
      <c r="G7" s="23"/>
      <c r="H7" s="21"/>
      <c r="I7" s="23"/>
      <c r="J7" s="21"/>
      <c r="K7" s="21"/>
      <c r="L7" s="23"/>
      <c r="M7" s="23"/>
      <c r="N7" s="23"/>
      <c r="O7" s="23"/>
      <c r="P7" s="23"/>
      <c r="Q7" s="23"/>
      <c r="R7" s="21"/>
      <c r="S7" s="23"/>
      <c r="T7" s="23"/>
      <c r="U7" s="23"/>
      <c r="V7" s="23"/>
      <c r="W7" s="23"/>
      <c r="X7" s="23"/>
      <c r="Y7" s="21"/>
      <c r="Z7" s="21"/>
      <c r="AA7" s="23"/>
      <c r="AB7" s="23"/>
      <c r="AD7" s="24"/>
      <c r="AE7" s="23"/>
      <c r="AF7" s="23"/>
      <c r="AG7" s="23"/>
      <c r="AH7" s="23"/>
      <c r="AI7" s="23"/>
      <c r="AK7" s="23"/>
      <c r="AL7" s="23"/>
    </row>
    <row r="8" spans="1:40">
      <c r="A8" s="23"/>
      <c r="B8" s="23"/>
      <c r="C8" s="23"/>
      <c r="D8" s="23"/>
      <c r="E8" s="21"/>
      <c r="F8" s="23"/>
      <c r="G8" s="23"/>
      <c r="H8" s="21"/>
      <c r="I8" s="23"/>
      <c r="J8" s="21"/>
      <c r="K8" s="21"/>
      <c r="L8" s="23"/>
      <c r="M8" s="23"/>
      <c r="N8" s="23"/>
      <c r="O8" s="23"/>
      <c r="P8" s="23"/>
      <c r="Q8" s="23"/>
      <c r="R8" s="21"/>
      <c r="S8" s="23"/>
      <c r="T8" s="23"/>
      <c r="U8" s="23"/>
      <c r="V8" s="23"/>
      <c r="W8" s="23"/>
      <c r="X8" s="23"/>
      <c r="Y8" s="21"/>
      <c r="Z8" s="21"/>
      <c r="AA8" s="23"/>
      <c r="AB8" s="23"/>
      <c r="AD8" s="24"/>
      <c r="AE8" s="23"/>
      <c r="AF8" s="23"/>
      <c r="AG8" s="23"/>
      <c r="AH8" s="23"/>
      <c r="AI8" s="23"/>
      <c r="AK8" s="23"/>
      <c r="AL8" s="23"/>
    </row>
    <row r="9" spans="1:40">
      <c r="A9" s="23"/>
      <c r="B9" s="23"/>
      <c r="C9" s="23"/>
      <c r="D9" s="23"/>
      <c r="E9" s="21"/>
      <c r="F9" s="23"/>
      <c r="G9" s="23"/>
      <c r="H9" s="21"/>
      <c r="I9" s="23"/>
      <c r="J9" s="21"/>
      <c r="K9" s="21"/>
      <c r="L9" s="23"/>
      <c r="M9" s="23"/>
      <c r="N9" s="23"/>
      <c r="O9" s="23"/>
      <c r="P9" s="23"/>
      <c r="Q9" s="23"/>
      <c r="R9" s="21"/>
      <c r="S9" s="23"/>
      <c r="T9" s="23"/>
      <c r="U9" s="23"/>
      <c r="V9" s="23"/>
      <c r="W9" s="23"/>
      <c r="X9" s="23"/>
      <c r="Y9" s="21"/>
      <c r="Z9" s="21"/>
      <c r="AA9" s="23"/>
      <c r="AB9" s="23"/>
      <c r="AD9" s="24"/>
      <c r="AE9" s="23"/>
      <c r="AF9" s="23"/>
      <c r="AG9" s="23"/>
      <c r="AH9" s="23"/>
      <c r="AL9" s="23"/>
    </row>
    <row r="10" spans="1:40">
      <c r="A10" s="23"/>
      <c r="B10" s="23"/>
      <c r="C10" s="23"/>
      <c r="D10" s="23"/>
      <c r="E10" s="21"/>
      <c r="F10" s="23"/>
      <c r="G10" s="23"/>
      <c r="H10" s="21"/>
      <c r="I10" s="23"/>
      <c r="J10" s="21"/>
      <c r="K10" s="21"/>
      <c r="L10" s="23"/>
      <c r="M10" s="23"/>
      <c r="N10" s="23"/>
      <c r="O10" s="23"/>
      <c r="P10" s="23"/>
      <c r="Q10" s="23"/>
      <c r="R10" s="21"/>
      <c r="S10" s="23"/>
      <c r="T10" s="23"/>
      <c r="U10" s="23"/>
      <c r="V10" s="23"/>
      <c r="W10" s="23"/>
      <c r="X10" s="23"/>
      <c r="Y10" s="21"/>
      <c r="Z10" s="21"/>
      <c r="AA10" s="23"/>
      <c r="AB10" s="23"/>
      <c r="AD10" s="24"/>
      <c r="AE10" s="23"/>
      <c r="AF10" s="23"/>
      <c r="AG10" s="23"/>
      <c r="AH10" s="23"/>
      <c r="AL10" s="23"/>
    </row>
    <row r="11" spans="1:40">
      <c r="A11" s="23"/>
      <c r="B11" s="23"/>
      <c r="C11" s="23"/>
      <c r="D11" s="23"/>
      <c r="E11" s="21"/>
      <c r="F11" s="23"/>
      <c r="G11" s="23"/>
      <c r="H11" s="21"/>
      <c r="I11" s="23"/>
      <c r="J11" s="21"/>
      <c r="K11" s="21"/>
      <c r="L11" s="23"/>
      <c r="M11" s="23"/>
      <c r="N11" s="23"/>
      <c r="O11" s="23"/>
      <c r="P11" s="23"/>
      <c r="Q11" s="23"/>
      <c r="R11" s="21"/>
      <c r="S11" s="23"/>
      <c r="T11" s="23"/>
      <c r="U11" s="23"/>
      <c r="V11" s="23"/>
      <c r="W11" s="23"/>
      <c r="X11" s="23"/>
      <c r="Y11" s="21"/>
      <c r="Z11" s="21"/>
      <c r="AA11" s="23"/>
      <c r="AB11" s="23"/>
      <c r="AD11" s="24"/>
      <c r="AE11" s="23"/>
      <c r="AF11" s="23"/>
      <c r="AG11" s="23"/>
      <c r="AH11" s="23"/>
      <c r="AI11" s="23"/>
      <c r="AK11" s="23"/>
      <c r="AL11" s="23"/>
    </row>
    <row r="12" spans="1:40">
      <c r="A12" s="23"/>
      <c r="B12" s="23"/>
      <c r="C12" s="23"/>
      <c r="D12" s="23"/>
      <c r="E12" s="21"/>
      <c r="F12" s="23"/>
      <c r="G12" s="23"/>
      <c r="H12" s="21"/>
      <c r="I12" s="23"/>
      <c r="J12" s="21"/>
      <c r="K12" s="21"/>
      <c r="L12" s="23"/>
      <c r="M12" s="23"/>
      <c r="N12" s="23"/>
      <c r="O12" s="23"/>
      <c r="P12" s="23"/>
      <c r="Q12" s="23"/>
      <c r="R12" s="21"/>
      <c r="S12" s="23"/>
      <c r="T12" s="23"/>
      <c r="U12" s="23"/>
      <c r="V12" s="23"/>
      <c r="W12" s="23"/>
      <c r="X12" s="23"/>
      <c r="Y12" s="21"/>
      <c r="Z12" s="21"/>
      <c r="AA12" s="23"/>
      <c r="AB12" s="23"/>
      <c r="AD12" s="24"/>
      <c r="AE12" s="23"/>
      <c r="AF12" s="23"/>
      <c r="AG12" s="23"/>
      <c r="AH12" s="23"/>
      <c r="AI12" s="23"/>
      <c r="AK12" s="23"/>
      <c r="AL12" s="23"/>
    </row>
    <row r="13" spans="1:40">
      <c r="A13" s="23"/>
      <c r="B13" s="23"/>
      <c r="C13" s="23"/>
      <c r="D13" s="23"/>
      <c r="E13" s="21"/>
      <c r="F13" s="23"/>
      <c r="G13" s="23"/>
      <c r="H13" s="21"/>
      <c r="I13" s="23"/>
      <c r="J13" s="21"/>
      <c r="K13" s="21"/>
      <c r="L13" s="23"/>
      <c r="M13" s="23"/>
      <c r="N13" s="23"/>
      <c r="O13" s="23"/>
      <c r="P13" s="23"/>
      <c r="Q13" s="23"/>
      <c r="R13" s="21"/>
      <c r="S13" s="23"/>
      <c r="T13" s="23"/>
      <c r="U13" s="23"/>
      <c r="V13" s="23"/>
      <c r="W13" s="23"/>
      <c r="X13" s="23"/>
      <c r="Y13" s="21"/>
      <c r="Z13" s="21"/>
      <c r="AA13" s="23"/>
      <c r="AB13" s="23"/>
      <c r="AD13" s="24"/>
      <c r="AE13" s="23"/>
      <c r="AF13" s="23"/>
      <c r="AG13" s="23"/>
      <c r="AH13" s="23"/>
      <c r="AI13" s="23"/>
      <c r="AK13" s="23"/>
      <c r="AL13" s="23"/>
    </row>
    <row r="14" spans="1:40">
      <c r="A14" s="23"/>
      <c r="B14" s="23"/>
      <c r="C14" s="23"/>
      <c r="D14" s="23"/>
      <c r="E14" s="21"/>
      <c r="F14" s="23"/>
      <c r="G14" s="23"/>
      <c r="H14" s="21"/>
      <c r="I14" s="23"/>
      <c r="J14" s="21"/>
      <c r="K14" s="21"/>
      <c r="L14" s="23"/>
      <c r="M14" s="23"/>
      <c r="N14" s="23"/>
      <c r="O14" s="23"/>
      <c r="P14" s="23"/>
      <c r="Q14" s="23"/>
      <c r="R14" s="21"/>
      <c r="S14" s="23"/>
      <c r="T14" s="23"/>
      <c r="U14" s="23"/>
      <c r="V14" s="23"/>
      <c r="W14" s="23"/>
      <c r="X14" s="23"/>
      <c r="Y14" s="21"/>
      <c r="Z14" s="21"/>
      <c r="AA14" s="23"/>
      <c r="AB14" s="23"/>
      <c r="AD14" s="24"/>
      <c r="AE14" s="23"/>
      <c r="AF14" s="23"/>
      <c r="AG14" s="23"/>
      <c r="AH14" s="23"/>
      <c r="AI14" s="23"/>
      <c r="AK14" s="23"/>
      <c r="AL14" s="23"/>
    </row>
    <row r="15" spans="1:40">
      <c r="A15" s="23"/>
      <c r="B15" s="23"/>
      <c r="C15" s="23"/>
      <c r="D15" s="23"/>
      <c r="E15" s="21"/>
      <c r="F15" s="23"/>
      <c r="G15" s="23"/>
      <c r="H15" s="21"/>
      <c r="I15" s="23"/>
      <c r="J15" s="21"/>
      <c r="K15" s="21"/>
      <c r="L15" s="23"/>
      <c r="M15" s="23"/>
      <c r="N15" s="23"/>
      <c r="O15" s="23"/>
      <c r="P15" s="23"/>
      <c r="Q15" s="23"/>
      <c r="R15" s="21"/>
      <c r="S15" s="23"/>
      <c r="T15" s="23"/>
      <c r="U15" s="23"/>
      <c r="V15" s="23"/>
      <c r="W15" s="23"/>
      <c r="X15" s="23"/>
      <c r="Y15" s="21"/>
      <c r="Z15" s="21"/>
      <c r="AA15" s="23"/>
      <c r="AB15" s="23"/>
      <c r="AD15" s="24"/>
      <c r="AE15" s="23"/>
      <c r="AF15" s="23"/>
      <c r="AG15" s="23"/>
      <c r="AH15" s="23"/>
      <c r="AI15" s="23"/>
      <c r="AK15" s="23"/>
      <c r="AL15" s="23"/>
    </row>
    <row r="16" spans="1:40">
      <c r="A16" s="23"/>
      <c r="B16" s="23"/>
      <c r="C16" s="23"/>
      <c r="D16" s="23"/>
      <c r="E16" s="21"/>
      <c r="F16" s="23"/>
      <c r="G16" s="23"/>
      <c r="H16" s="21"/>
      <c r="I16" s="23"/>
      <c r="J16" s="21"/>
      <c r="K16" s="21"/>
      <c r="L16" s="23"/>
      <c r="M16" s="23"/>
      <c r="N16" s="23"/>
      <c r="O16" s="23"/>
      <c r="P16" s="23"/>
      <c r="Q16" s="23"/>
      <c r="R16" s="21"/>
      <c r="S16" s="23"/>
      <c r="T16" s="23"/>
      <c r="U16" s="23"/>
      <c r="V16" s="23"/>
      <c r="W16" s="23"/>
      <c r="X16" s="23"/>
      <c r="Y16" s="21"/>
      <c r="Z16" s="21"/>
      <c r="AA16" s="23"/>
      <c r="AB16" s="23"/>
      <c r="AD16" s="24"/>
      <c r="AE16" s="23"/>
      <c r="AF16" s="23"/>
      <c r="AG16" s="23"/>
      <c r="AH16" s="23"/>
      <c r="AI16" s="23"/>
      <c r="AK16" s="23"/>
      <c r="AL16" s="23"/>
    </row>
    <row r="17" spans="1:38">
      <c r="A17" s="23"/>
      <c r="B17" s="23"/>
      <c r="C17" s="23"/>
      <c r="D17" s="23"/>
      <c r="E17" s="21"/>
      <c r="F17" s="23"/>
      <c r="G17" s="23"/>
      <c r="H17" s="21"/>
      <c r="I17" s="23"/>
      <c r="J17" s="21"/>
      <c r="K17" s="21"/>
      <c r="L17" s="23"/>
      <c r="M17" s="23"/>
      <c r="N17" s="23"/>
      <c r="O17" s="23"/>
      <c r="P17" s="23"/>
      <c r="Q17" s="23"/>
      <c r="R17" s="21"/>
      <c r="S17" s="23"/>
      <c r="T17" s="23"/>
      <c r="U17" s="23"/>
      <c r="V17" s="23"/>
      <c r="W17" s="23"/>
      <c r="X17" s="23"/>
      <c r="Y17" s="21"/>
      <c r="Z17" s="21"/>
      <c r="AA17" s="23"/>
      <c r="AB17" s="23"/>
      <c r="AD17" s="24"/>
      <c r="AE17" s="23"/>
      <c r="AF17" s="23"/>
      <c r="AG17" s="23"/>
      <c r="AH17" s="23"/>
      <c r="AI17" s="23"/>
      <c r="AK17" s="23"/>
      <c r="AL17" s="23"/>
    </row>
    <row r="18" spans="1:38">
      <c r="A18" s="23"/>
      <c r="B18" s="23"/>
      <c r="C18" s="23"/>
      <c r="D18" s="23"/>
      <c r="E18" s="21"/>
      <c r="F18" s="23"/>
      <c r="G18" s="23"/>
      <c r="H18" s="21"/>
      <c r="I18" s="23"/>
      <c r="J18" s="21"/>
      <c r="K18" s="21"/>
      <c r="L18" s="23"/>
      <c r="M18" s="23"/>
      <c r="N18" s="23"/>
      <c r="O18" s="23"/>
      <c r="P18" s="23"/>
      <c r="Q18" s="23"/>
      <c r="R18" s="21"/>
      <c r="S18" s="23"/>
      <c r="T18" s="23"/>
      <c r="U18" s="23"/>
      <c r="V18" s="23"/>
      <c r="W18" s="23"/>
      <c r="X18" s="23"/>
      <c r="Y18" s="21"/>
      <c r="Z18" s="21"/>
      <c r="AA18" s="23"/>
      <c r="AB18" s="23"/>
      <c r="AD18" s="24"/>
      <c r="AE18" s="23"/>
      <c r="AF18" s="23"/>
      <c r="AG18" s="23"/>
      <c r="AH18" s="23"/>
      <c r="AI18" s="23"/>
      <c r="AK18" s="23"/>
      <c r="AL18" s="23"/>
    </row>
    <row r="19" spans="1:38">
      <c r="A19" s="23"/>
      <c r="B19" s="23"/>
      <c r="C19" s="23"/>
      <c r="D19" s="23"/>
      <c r="E19" s="21"/>
      <c r="F19" s="23"/>
      <c r="G19" s="23"/>
      <c r="H19" s="21"/>
      <c r="I19" s="23"/>
      <c r="J19" s="21"/>
      <c r="K19" s="21"/>
      <c r="L19" s="23"/>
      <c r="M19" s="23"/>
      <c r="N19" s="23"/>
      <c r="O19" s="23"/>
      <c r="P19" s="23"/>
      <c r="Q19" s="23"/>
      <c r="R19" s="21"/>
      <c r="S19" s="23"/>
      <c r="T19" s="23"/>
      <c r="U19" s="23"/>
      <c r="V19" s="23"/>
      <c r="W19" s="23"/>
      <c r="X19" s="23"/>
      <c r="Y19" s="21"/>
      <c r="Z19" s="21"/>
      <c r="AA19" s="23"/>
      <c r="AB19" s="23"/>
      <c r="AD19" s="24"/>
      <c r="AE19" s="23"/>
      <c r="AF19" s="23"/>
      <c r="AG19" s="23"/>
      <c r="AH19" s="23"/>
      <c r="AI19" s="23"/>
      <c r="AK19" s="23"/>
      <c r="AL19" s="23"/>
    </row>
    <row r="20" spans="1:38">
      <c r="E20" s="21"/>
      <c r="H20" s="21"/>
      <c r="I20" s="23"/>
      <c r="J20" s="21"/>
      <c r="K20" s="21"/>
      <c r="L20" s="23"/>
      <c r="M20" s="23"/>
      <c r="P20" s="23"/>
      <c r="Q20" s="23"/>
      <c r="T20" s="23"/>
      <c r="U20" s="23"/>
      <c r="Y20" s="21"/>
      <c r="Z20" s="21"/>
      <c r="AA20" s="23"/>
      <c r="AB20" s="23"/>
      <c r="AL20" s="23"/>
    </row>
    <row r="21" spans="1:38">
      <c r="Y21" s="45"/>
      <c r="AL21" s="3"/>
    </row>
    <row r="22" spans="1:38">
      <c r="T22" s="3"/>
      <c r="U22" s="3"/>
      <c r="AL22" s="3"/>
    </row>
    <row r="23" spans="1:38">
      <c r="T23" s="3"/>
      <c r="U23" s="3"/>
    </row>
    <row r="24" spans="1:38">
      <c r="T24" s="3"/>
      <c r="U24" s="3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6">
    <dataValidation type="list" allowBlank="1" showInputMessage="1" showErrorMessage="1" sqref="J2:J20" xr:uid="{00000000-0002-0000-1000-000000000000}">
      <formula1>israel_abroad</formula1>
    </dataValidation>
    <dataValidation type="list" allowBlank="1" showInputMessage="1" showErrorMessage="1" sqref="Q2:Q20" xr:uid="{00000000-0002-0000-1000-000001000000}">
      <formula1>What_is_rated</formula1>
    </dataValidation>
    <dataValidation type="list" allowBlank="1" showInputMessage="1" showErrorMessage="1" sqref="P2:P20" xr:uid="{00000000-0002-0000-1000-000002000000}">
      <formula1>Rating_Agency</formula1>
    </dataValidation>
    <dataValidation type="list" allowBlank="1" showInputMessage="1" showErrorMessage="1" sqref="M2:M20" xr:uid="{00000000-0002-0000-1000-000003000000}">
      <formula1>Holding_interest</formula1>
    </dataValidation>
    <dataValidation type="list" allowBlank="1" showInputMessage="1" showErrorMessage="1" sqref="K2:K20" xr:uid="{00000000-0002-0000-1000-000004000000}">
      <formula1>Country_list</formula1>
    </dataValidation>
    <dataValidation type="list" allowBlank="1" showInputMessage="1" showErrorMessage="1" sqref="AF3 AA2:AA20" xr:uid="{00000000-0002-0000-1000-000005000000}">
      <formula1>Valuation</formula1>
    </dataValidation>
    <dataValidation type="list" allowBlank="1" showInputMessage="1" showErrorMessage="1" sqref="AB2:AB20" xr:uid="{00000000-0002-0000-1000-000006000000}">
      <formula1>Dependence_Independence</formula1>
    </dataValidation>
    <dataValidation type="list" allowBlank="1" showInputMessage="1" showErrorMessage="1" sqref="U2:U20" xr:uid="{00000000-0002-0000-1000-000007000000}">
      <formula1>Underlying_Interest_Rates</formula1>
    </dataValidation>
    <dataValidation type="list" allowBlank="1" showInputMessage="1" showErrorMessage="1" sqref="T2:T20" xr:uid="{00000000-0002-0000-1000-000008000000}">
      <formula1>Linked_Type</formula1>
    </dataValidation>
    <dataValidation type="list" allowBlank="1" showInputMessage="1" showErrorMessage="1" sqref="Z2:Z20" xr:uid="{00000000-0002-0000-1000-000009000000}">
      <formula1>Yes_No_Bad_Debt</formula1>
    </dataValidation>
    <dataValidation type="list" allowBlank="1" showInputMessage="1" showErrorMessage="1" sqref="E3:E20" xr:uid="{00000000-0002-0000-1000-00000A000000}">
      <formula1>Issuer_Number_Type_2</formula1>
    </dataValidation>
    <dataValidation type="list" allowBlank="1" showInputMessage="1" showErrorMessage="1" sqref="H2:H20" xr:uid="{00000000-0002-0000-1000-00000B000000}">
      <formula1>Type_of_Security_ID_Fund</formula1>
    </dataValidation>
    <dataValidation type="list" allowBlank="1" showInputMessage="1" showErrorMessage="1" sqref="E2" xr:uid="{00000000-0002-0000-1000-00000C000000}">
      <formula1>Issuer_Number_Type_3</formula1>
    </dataValidation>
    <dataValidation type="list" allowBlank="1" showInputMessage="1" showErrorMessage="1" sqref="Y2:Y20" xr:uid="{00000000-0002-0000-1000-00000D000000}">
      <formula1>Subordination_Risk</formula1>
    </dataValidation>
    <dataValidation type="list" allowBlank="1" showInputMessage="1" showErrorMessage="1" sqref="AL2:AL20" xr:uid="{00000000-0002-0000-1000-00000E000000}">
      <formula1>In_the_books</formula1>
    </dataValidation>
    <dataValidation type="list" allowBlank="1" showInputMessage="1" showErrorMessage="1" sqref="L2:L20" xr:uid="{00000000-0002-0000-1000-00000F000000}">
      <formula1>Industry_Sector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10000000}">
          <x14:formula1>
            <xm:f>'אפשרויות בחירה'!$C$870:$C$873</xm:f>
          </x14:formula1>
          <xm:sqref>I2:I20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18"/>
  <dimension ref="A1:AL25"/>
  <sheetViews>
    <sheetView rightToLeft="1" topLeftCell="R1" workbookViewId="0">
      <selection activeCell="A2" sqref="A2"/>
    </sheetView>
  </sheetViews>
  <sheetFormatPr defaultColWidth="0" defaultRowHeight="14.25"/>
  <cols>
    <col min="1" max="4" width="11.625" style="3" customWidth="1"/>
    <col min="5" max="5" width="11.625" style="5" customWidth="1"/>
    <col min="6" max="11" width="11.625" style="3" customWidth="1"/>
    <col min="12" max="12" width="11.625" style="5" customWidth="1"/>
    <col min="13" max="23" width="11.625" style="3" customWidth="1"/>
    <col min="24" max="25" width="11.625" style="5" customWidth="1"/>
    <col min="26" max="38" width="11.625" style="3" customWidth="1"/>
    <col min="39" max="39" width="9" style="3" hidden="1" customWidth="1"/>
    <col min="40" max="16384" width="9" style="3" hidden="1"/>
  </cols>
  <sheetData>
    <row r="1" spans="1:38" ht="51">
      <c r="A1" s="22" t="s">
        <v>0</v>
      </c>
      <c r="B1" s="22" t="s">
        <v>1</v>
      </c>
      <c r="C1" s="22" t="s">
        <v>2</v>
      </c>
      <c r="D1" s="22" t="s">
        <v>47</v>
      </c>
      <c r="E1" s="22" t="s">
        <v>48</v>
      </c>
      <c r="F1" s="22" t="s">
        <v>3</v>
      </c>
      <c r="G1" s="22" t="s">
        <v>4</v>
      </c>
      <c r="H1" s="22" t="s">
        <v>49</v>
      </c>
      <c r="I1" s="22" t="s">
        <v>5</v>
      </c>
      <c r="J1" s="22" t="s">
        <v>6</v>
      </c>
      <c r="K1" s="22" t="s">
        <v>7</v>
      </c>
      <c r="L1" s="22" t="s">
        <v>57</v>
      </c>
      <c r="M1" s="22" t="s">
        <v>50</v>
      </c>
      <c r="N1" s="22" t="s">
        <v>51</v>
      </c>
      <c r="O1" s="176" t="s">
        <v>81</v>
      </c>
      <c r="P1" s="22" t="s">
        <v>9</v>
      </c>
      <c r="Q1" s="22" t="s">
        <v>10</v>
      </c>
      <c r="R1" s="22" t="s">
        <v>52</v>
      </c>
      <c r="S1" s="22" t="s">
        <v>11</v>
      </c>
      <c r="T1" s="22" t="s">
        <v>12</v>
      </c>
      <c r="U1" s="22" t="s">
        <v>13</v>
      </c>
      <c r="V1" s="169" t="s">
        <v>15</v>
      </c>
      <c r="W1" s="169" t="s">
        <v>14</v>
      </c>
      <c r="X1" s="22" t="s">
        <v>54</v>
      </c>
      <c r="Y1" s="22" t="s">
        <v>55</v>
      </c>
      <c r="Z1" s="22" t="s">
        <v>87</v>
      </c>
      <c r="AA1" s="22" t="s">
        <v>88</v>
      </c>
      <c r="AB1" s="176" t="s">
        <v>90</v>
      </c>
      <c r="AC1" s="176" t="s">
        <v>91</v>
      </c>
      <c r="AD1" s="22" t="s">
        <v>17</v>
      </c>
      <c r="AE1" s="167" t="s">
        <v>18</v>
      </c>
      <c r="AF1" s="174" t="s">
        <v>19</v>
      </c>
      <c r="AG1" s="22" t="s">
        <v>20</v>
      </c>
      <c r="AH1" s="22" t="s">
        <v>21</v>
      </c>
      <c r="AI1" s="22" t="s">
        <v>56</v>
      </c>
      <c r="AJ1" s="22" t="s">
        <v>22</v>
      </c>
      <c r="AK1" s="169" t="s">
        <v>24</v>
      </c>
      <c r="AL1" s="169" t="s">
        <v>25</v>
      </c>
    </row>
    <row r="2" spans="1:38">
      <c r="A2" s="3">
        <v>1192</v>
      </c>
      <c r="B2" s="23">
        <v>1192</v>
      </c>
      <c r="C2" s="23" t="s">
        <v>92</v>
      </c>
      <c r="D2" s="23" t="s">
        <v>93</v>
      </c>
      <c r="E2" s="21" t="s">
        <v>67</v>
      </c>
      <c r="F2" s="23" t="s">
        <v>94</v>
      </c>
      <c r="G2" s="23" t="s">
        <v>95</v>
      </c>
      <c r="H2" s="23" t="s">
        <v>70</v>
      </c>
      <c r="I2" s="23" t="s">
        <v>96</v>
      </c>
      <c r="J2" s="21" t="s">
        <v>30</v>
      </c>
      <c r="K2" s="21" t="s">
        <v>30</v>
      </c>
      <c r="L2" s="23" t="s">
        <v>72</v>
      </c>
      <c r="M2" s="23" t="s">
        <v>97</v>
      </c>
      <c r="N2" s="23" t="s">
        <v>74</v>
      </c>
      <c r="O2" s="177" t="s">
        <v>98</v>
      </c>
      <c r="P2" s="23" t="s">
        <v>99</v>
      </c>
      <c r="Q2" s="23" t="s">
        <v>99</v>
      </c>
      <c r="R2" s="23" t="s">
        <v>99</v>
      </c>
      <c r="S2" s="21" t="s">
        <v>34</v>
      </c>
      <c r="T2" s="165">
        <v>0</v>
      </c>
      <c r="U2" s="23" t="s">
        <v>100</v>
      </c>
      <c r="V2" s="179">
        <v>0</v>
      </c>
      <c r="W2" s="171">
        <v>0</v>
      </c>
      <c r="X2" s="21" t="s">
        <v>101</v>
      </c>
      <c r="Y2" s="31" t="s">
        <v>102</v>
      </c>
      <c r="Z2" s="23" t="s">
        <v>103</v>
      </c>
      <c r="AA2" s="23" t="s">
        <v>104</v>
      </c>
      <c r="AB2" s="182" t="s">
        <v>105</v>
      </c>
      <c r="AC2" s="177" t="s">
        <v>105</v>
      </c>
      <c r="AD2" s="165">
        <v>25451.57</v>
      </c>
      <c r="AE2" s="178">
        <v>1</v>
      </c>
      <c r="AF2" s="180">
        <v>0</v>
      </c>
      <c r="AG2" s="165">
        <v>0</v>
      </c>
      <c r="AH2" s="23"/>
      <c r="AI2" s="40"/>
      <c r="AJ2" s="24" t="s">
        <v>36</v>
      </c>
      <c r="AK2" s="171">
        <v>0.44531898882257098</v>
      </c>
      <c r="AL2" s="171">
        <v>3.4755304517752997E-12</v>
      </c>
    </row>
    <row r="3" spans="1:38">
      <c r="A3" s="23">
        <v>1192</v>
      </c>
      <c r="B3" s="23">
        <v>1192</v>
      </c>
      <c r="C3" s="23" t="s">
        <v>106</v>
      </c>
      <c r="D3" s="23" t="s">
        <v>107</v>
      </c>
      <c r="E3" s="21" t="s">
        <v>67</v>
      </c>
      <c r="F3" s="23" t="s">
        <v>108</v>
      </c>
      <c r="G3" s="23" t="s">
        <v>109</v>
      </c>
      <c r="H3" s="23" t="s">
        <v>70</v>
      </c>
      <c r="I3" s="23" t="s">
        <v>110</v>
      </c>
      <c r="J3" s="21" t="s">
        <v>30</v>
      </c>
      <c r="K3" s="21" t="s">
        <v>30</v>
      </c>
      <c r="L3" s="23" t="s">
        <v>72</v>
      </c>
      <c r="M3" s="23" t="s">
        <v>111</v>
      </c>
      <c r="N3" s="23" t="s">
        <v>74</v>
      </c>
      <c r="O3" s="177" t="s">
        <v>98</v>
      </c>
      <c r="P3" s="23" t="s">
        <v>99</v>
      </c>
      <c r="Q3" s="23" t="s">
        <v>99</v>
      </c>
      <c r="R3" s="23" t="s">
        <v>99</v>
      </c>
      <c r="S3" s="21" t="s">
        <v>34</v>
      </c>
      <c r="T3" s="165">
        <v>0</v>
      </c>
      <c r="U3" s="23" t="s">
        <v>112</v>
      </c>
      <c r="V3" s="179">
        <v>0</v>
      </c>
      <c r="W3" s="171">
        <v>0</v>
      </c>
      <c r="X3" s="21" t="s">
        <v>113</v>
      </c>
      <c r="Y3" s="21" t="s">
        <v>102</v>
      </c>
      <c r="Z3" s="23" t="s">
        <v>103</v>
      </c>
      <c r="AA3" s="23" t="s">
        <v>104</v>
      </c>
      <c r="AB3" s="182" t="s">
        <v>105</v>
      </c>
      <c r="AC3" s="177" t="s">
        <v>105</v>
      </c>
      <c r="AD3" s="165">
        <v>15851</v>
      </c>
      <c r="AE3" s="178">
        <v>1</v>
      </c>
      <c r="AF3" s="180">
        <v>0</v>
      </c>
      <c r="AG3" s="165">
        <v>0</v>
      </c>
      <c r="AH3" s="23"/>
      <c r="AI3" s="23"/>
      <c r="AJ3" s="24" t="s">
        <v>36</v>
      </c>
      <c r="AK3" s="171">
        <v>0.27734050558871498</v>
      </c>
      <c r="AL3" s="171">
        <v>2.1645278932140597E-12</v>
      </c>
    </row>
    <row r="4" spans="1:38">
      <c r="A4" s="23">
        <v>1192</v>
      </c>
      <c r="B4" s="23">
        <v>1192</v>
      </c>
      <c r="C4" s="23" t="s">
        <v>106</v>
      </c>
      <c r="D4" s="23" t="s">
        <v>107</v>
      </c>
      <c r="E4" s="21" t="s">
        <v>67</v>
      </c>
      <c r="F4" s="23" t="s">
        <v>114</v>
      </c>
      <c r="G4" s="23" t="s">
        <v>115</v>
      </c>
      <c r="H4" s="23" t="s">
        <v>70</v>
      </c>
      <c r="I4" s="23" t="s">
        <v>96</v>
      </c>
      <c r="J4" s="21" t="s">
        <v>30</v>
      </c>
      <c r="K4" s="21" t="s">
        <v>30</v>
      </c>
      <c r="L4" s="23" t="s">
        <v>72</v>
      </c>
      <c r="M4" s="23" t="s">
        <v>111</v>
      </c>
      <c r="N4" s="23" t="s">
        <v>74</v>
      </c>
      <c r="O4" s="182" t="s">
        <v>98</v>
      </c>
      <c r="P4" s="23" t="s">
        <v>99</v>
      </c>
      <c r="Q4" s="23" t="s">
        <v>99</v>
      </c>
      <c r="R4" s="23" t="s">
        <v>99</v>
      </c>
      <c r="S4" s="23" t="s">
        <v>34</v>
      </c>
      <c r="T4" s="165">
        <v>0</v>
      </c>
      <c r="U4" s="23" t="s">
        <v>112</v>
      </c>
      <c r="V4" s="179">
        <v>0</v>
      </c>
      <c r="W4" s="171">
        <v>0</v>
      </c>
      <c r="X4" s="21" t="s">
        <v>113</v>
      </c>
      <c r="Y4" s="21" t="s">
        <v>102</v>
      </c>
      <c r="Z4" s="23" t="s">
        <v>103</v>
      </c>
      <c r="AA4" s="23" t="s">
        <v>104</v>
      </c>
      <c r="AB4" s="182" t="s">
        <v>105</v>
      </c>
      <c r="AC4" s="182" t="s">
        <v>105</v>
      </c>
      <c r="AD4" s="162">
        <v>15851</v>
      </c>
      <c r="AE4" s="178">
        <v>1</v>
      </c>
      <c r="AF4" s="180">
        <v>0</v>
      </c>
      <c r="AG4" s="165">
        <v>0</v>
      </c>
      <c r="AH4" s="23"/>
      <c r="AI4" s="23"/>
      <c r="AJ4" s="24" t="s">
        <v>36</v>
      </c>
      <c r="AK4" s="171">
        <v>0.27734050558871498</v>
      </c>
      <c r="AL4" s="171">
        <v>2.1645278932140597E-12</v>
      </c>
    </row>
    <row r="5" spans="1:38">
      <c r="A5" s="23"/>
      <c r="B5" s="23"/>
      <c r="C5" s="23"/>
      <c r="D5" s="23"/>
      <c r="E5" s="21"/>
      <c r="F5" s="23"/>
      <c r="G5" s="23"/>
      <c r="H5" s="23"/>
      <c r="I5" s="23"/>
      <c r="J5" s="21"/>
      <c r="K5" s="21"/>
      <c r="L5" s="23"/>
      <c r="M5" s="23"/>
      <c r="N5" s="23"/>
      <c r="O5" s="23"/>
      <c r="P5" s="23"/>
      <c r="Q5" s="23"/>
      <c r="R5" s="23"/>
      <c r="S5" s="21"/>
      <c r="T5" s="23"/>
      <c r="U5" s="23"/>
      <c r="V5" s="23"/>
      <c r="X5" s="21"/>
      <c r="Y5" s="21"/>
      <c r="Z5" s="23"/>
      <c r="AA5" s="23"/>
      <c r="AC5" s="23"/>
      <c r="AD5" s="23"/>
      <c r="AE5" s="23"/>
      <c r="AF5" s="23"/>
      <c r="AJ5" s="24"/>
    </row>
    <row r="6" spans="1:38">
      <c r="A6" s="23"/>
      <c r="B6" s="23"/>
      <c r="C6" s="23"/>
      <c r="D6" s="23"/>
      <c r="E6" s="21"/>
      <c r="F6" s="23"/>
      <c r="G6" s="23"/>
      <c r="H6" s="23"/>
      <c r="I6" s="23"/>
      <c r="J6" s="21"/>
      <c r="K6" s="21"/>
      <c r="L6" s="23"/>
      <c r="M6" s="23"/>
      <c r="N6" s="23"/>
      <c r="O6" s="23"/>
      <c r="P6" s="23"/>
      <c r="Q6" s="23"/>
      <c r="R6" s="23"/>
      <c r="S6" s="21"/>
      <c r="T6" s="23"/>
      <c r="U6" s="23"/>
      <c r="V6" s="23"/>
      <c r="X6" s="21"/>
      <c r="Y6" s="21"/>
      <c r="Z6" s="23"/>
      <c r="AA6" s="23"/>
      <c r="AC6" s="23"/>
      <c r="AD6" s="23"/>
      <c r="AE6" s="23"/>
      <c r="AF6" s="23"/>
      <c r="AJ6" s="24"/>
    </row>
    <row r="7" spans="1:38">
      <c r="A7" s="23"/>
      <c r="B7" s="23"/>
      <c r="C7" s="23"/>
      <c r="D7" s="23"/>
      <c r="E7" s="21"/>
      <c r="F7" s="23"/>
      <c r="G7" s="23"/>
      <c r="H7" s="23"/>
      <c r="I7" s="23"/>
      <c r="J7" s="21"/>
      <c r="K7" s="21"/>
      <c r="L7" s="23"/>
      <c r="M7" s="23"/>
      <c r="N7" s="23"/>
      <c r="O7" s="23"/>
      <c r="P7" s="23"/>
      <c r="Q7" s="23"/>
      <c r="R7" s="23"/>
      <c r="S7" s="21"/>
      <c r="T7" s="23"/>
      <c r="U7" s="23"/>
      <c r="V7" s="23"/>
      <c r="X7" s="21"/>
      <c r="Y7" s="21"/>
      <c r="Z7" s="23"/>
      <c r="AA7" s="23"/>
      <c r="AC7" s="23"/>
      <c r="AD7" s="23"/>
      <c r="AE7" s="23"/>
      <c r="AF7" s="23"/>
      <c r="AG7" s="23"/>
      <c r="AH7" s="23"/>
      <c r="AI7" s="23"/>
      <c r="AJ7" s="24"/>
    </row>
    <row r="8" spans="1:38">
      <c r="A8" s="23"/>
      <c r="B8" s="23"/>
      <c r="C8" s="23"/>
      <c r="D8" s="23"/>
      <c r="E8" s="21"/>
      <c r="F8" s="23"/>
      <c r="G8" s="23"/>
      <c r="H8" s="23"/>
      <c r="I8" s="23"/>
      <c r="J8" s="21"/>
      <c r="K8" s="21"/>
      <c r="L8" s="23"/>
      <c r="M8" s="23"/>
      <c r="N8" s="23"/>
      <c r="O8" s="23"/>
      <c r="P8" s="23"/>
      <c r="Q8" s="23"/>
      <c r="R8" s="23"/>
      <c r="S8" s="21"/>
      <c r="T8" s="23"/>
      <c r="U8" s="23"/>
      <c r="V8" s="23"/>
      <c r="X8" s="21"/>
      <c r="Y8" s="21"/>
      <c r="Z8" s="23"/>
      <c r="AA8" s="23"/>
      <c r="AC8" s="23"/>
      <c r="AD8" s="23"/>
      <c r="AE8" s="23"/>
      <c r="AF8" s="23"/>
      <c r="AG8" s="23"/>
      <c r="AH8" s="23"/>
      <c r="AI8" s="23"/>
      <c r="AJ8" s="24"/>
    </row>
    <row r="9" spans="1:38">
      <c r="A9" s="23"/>
      <c r="B9" s="23"/>
      <c r="C9" s="23"/>
      <c r="D9" s="23"/>
      <c r="E9" s="21"/>
      <c r="F9" s="23"/>
      <c r="G9" s="23"/>
      <c r="H9" s="23"/>
      <c r="I9" s="23"/>
      <c r="J9" s="21"/>
      <c r="K9" s="21"/>
      <c r="L9" s="23"/>
      <c r="M9" s="23"/>
      <c r="N9" s="23"/>
      <c r="O9" s="23"/>
      <c r="P9" s="23"/>
      <c r="Q9" s="23"/>
      <c r="R9" s="23"/>
      <c r="S9" s="21"/>
      <c r="T9" s="23"/>
      <c r="U9" s="23"/>
      <c r="V9" s="23"/>
      <c r="X9" s="21"/>
      <c r="Y9" s="21"/>
      <c r="Z9" s="23"/>
      <c r="AA9" s="23"/>
      <c r="AC9" s="23"/>
      <c r="AD9" s="23"/>
      <c r="AE9" s="23"/>
      <c r="AF9" s="23"/>
      <c r="AG9" s="23"/>
      <c r="AH9" s="23"/>
      <c r="AI9" s="23"/>
      <c r="AJ9" s="24"/>
    </row>
    <row r="10" spans="1:38">
      <c r="A10" s="23"/>
      <c r="B10" s="23"/>
      <c r="C10" s="23"/>
      <c r="D10" s="23"/>
      <c r="E10" s="21"/>
      <c r="F10" s="23"/>
      <c r="G10" s="23"/>
      <c r="H10" s="23"/>
      <c r="I10" s="23"/>
      <c r="J10" s="21"/>
      <c r="K10" s="21"/>
      <c r="L10" s="23"/>
      <c r="M10" s="23"/>
      <c r="N10" s="23"/>
      <c r="O10" s="23"/>
      <c r="P10" s="23"/>
      <c r="Q10" s="23"/>
      <c r="R10" s="23"/>
      <c r="S10" s="21"/>
      <c r="T10" s="23"/>
      <c r="U10" s="23"/>
      <c r="V10" s="23"/>
      <c r="X10" s="21"/>
      <c r="Y10" s="21"/>
      <c r="Z10" s="23"/>
      <c r="AA10" s="23"/>
      <c r="AC10" s="23"/>
      <c r="AD10" s="23"/>
      <c r="AE10" s="23"/>
      <c r="AF10" s="23"/>
      <c r="AG10" s="23"/>
      <c r="AH10" s="23"/>
      <c r="AI10" s="23"/>
      <c r="AJ10" s="24"/>
    </row>
    <row r="11" spans="1:38">
      <c r="A11" s="23"/>
      <c r="B11" s="23"/>
      <c r="C11" s="23"/>
      <c r="D11" s="23"/>
      <c r="E11" s="21"/>
      <c r="F11" s="23"/>
      <c r="G11" s="23"/>
      <c r="H11" s="23"/>
      <c r="I11" s="23"/>
      <c r="J11" s="21"/>
      <c r="K11" s="21"/>
      <c r="L11" s="23"/>
      <c r="M11" s="23"/>
      <c r="N11" s="23"/>
      <c r="O11" s="23"/>
      <c r="P11" s="23"/>
      <c r="Q11" s="23"/>
      <c r="R11" s="23"/>
      <c r="S11" s="21"/>
      <c r="T11" s="23"/>
      <c r="U11" s="23"/>
      <c r="V11" s="23"/>
      <c r="X11" s="21"/>
      <c r="Y11" s="21"/>
      <c r="Z11" s="23"/>
      <c r="AA11" s="23"/>
      <c r="AC11" s="23"/>
      <c r="AD11" s="23"/>
      <c r="AE11" s="23"/>
      <c r="AF11" s="23"/>
      <c r="AG11" s="23"/>
      <c r="AH11" s="23"/>
      <c r="AI11" s="23"/>
      <c r="AJ11" s="24"/>
    </row>
    <row r="12" spans="1:38">
      <c r="A12" s="23"/>
      <c r="B12" s="23"/>
      <c r="C12" s="23"/>
      <c r="D12" s="23"/>
      <c r="E12" s="21"/>
      <c r="F12" s="23"/>
      <c r="G12" s="23"/>
      <c r="H12" s="23"/>
      <c r="I12" s="23"/>
      <c r="J12" s="21"/>
      <c r="K12" s="21"/>
      <c r="L12" s="23"/>
      <c r="M12" s="23"/>
      <c r="N12" s="23"/>
      <c r="O12" s="23"/>
      <c r="P12" s="23"/>
      <c r="Q12" s="23"/>
      <c r="R12" s="23"/>
      <c r="S12" s="21"/>
      <c r="T12" s="23"/>
      <c r="U12" s="23"/>
      <c r="V12" s="23"/>
      <c r="X12" s="21"/>
      <c r="Y12" s="21"/>
      <c r="Z12" s="23"/>
      <c r="AA12" s="23"/>
      <c r="AC12" s="23"/>
      <c r="AD12" s="23"/>
      <c r="AE12" s="23"/>
      <c r="AF12" s="23"/>
      <c r="AG12" s="23"/>
      <c r="AH12" s="23"/>
      <c r="AI12" s="23"/>
      <c r="AJ12" s="24"/>
    </row>
    <row r="13" spans="1:38">
      <c r="A13" s="23"/>
      <c r="B13" s="23"/>
      <c r="C13" s="23"/>
      <c r="D13" s="23"/>
      <c r="E13" s="21"/>
      <c r="F13" s="23"/>
      <c r="G13" s="23"/>
      <c r="H13" s="23"/>
      <c r="I13" s="23"/>
      <c r="J13" s="21"/>
      <c r="K13" s="21"/>
      <c r="L13" s="23"/>
      <c r="M13" s="23"/>
      <c r="N13" s="23"/>
      <c r="O13" s="23"/>
      <c r="P13" s="23"/>
      <c r="Q13" s="23"/>
      <c r="R13" s="23"/>
      <c r="S13" s="21"/>
      <c r="T13" s="23"/>
      <c r="U13" s="23"/>
      <c r="V13" s="23"/>
      <c r="X13" s="21"/>
      <c r="Y13" s="21"/>
      <c r="Z13" s="23"/>
      <c r="AA13" s="23"/>
      <c r="AC13" s="23"/>
      <c r="AD13" s="23"/>
      <c r="AE13" s="23"/>
      <c r="AF13" s="23"/>
      <c r="AG13" s="23"/>
      <c r="AH13" s="23"/>
      <c r="AI13" s="23"/>
      <c r="AJ13" s="24"/>
    </row>
    <row r="14" spans="1:38">
      <c r="A14" s="23"/>
      <c r="B14" s="23"/>
      <c r="C14" s="23"/>
      <c r="D14" s="23"/>
      <c r="E14" s="21"/>
      <c r="F14" s="23"/>
      <c r="G14" s="23"/>
      <c r="H14" s="23"/>
      <c r="I14" s="23"/>
      <c r="J14" s="21"/>
      <c r="K14" s="21"/>
      <c r="L14" s="23"/>
      <c r="M14" s="23"/>
      <c r="N14" s="23"/>
      <c r="O14" s="23"/>
      <c r="P14" s="23"/>
      <c r="Q14" s="23"/>
      <c r="R14" s="23"/>
      <c r="S14" s="21"/>
      <c r="T14" s="23"/>
      <c r="U14" s="23"/>
      <c r="V14" s="23"/>
      <c r="X14" s="21"/>
      <c r="Y14" s="21"/>
      <c r="Z14" s="23"/>
      <c r="AA14" s="23"/>
      <c r="AC14" s="23"/>
      <c r="AD14" s="23"/>
      <c r="AE14" s="23"/>
      <c r="AF14" s="23"/>
      <c r="AG14" s="23"/>
      <c r="AH14" s="23"/>
      <c r="AI14" s="23"/>
      <c r="AJ14" s="24"/>
    </row>
    <row r="15" spans="1:38">
      <c r="A15" s="23"/>
      <c r="B15" s="23"/>
      <c r="C15" s="23"/>
      <c r="D15" s="23"/>
      <c r="E15" s="21"/>
      <c r="F15" s="23"/>
      <c r="G15" s="23"/>
      <c r="H15" s="23"/>
      <c r="I15" s="23"/>
      <c r="J15" s="21"/>
      <c r="K15" s="21"/>
      <c r="L15" s="23"/>
      <c r="M15" s="23"/>
      <c r="N15" s="23"/>
      <c r="O15" s="23"/>
      <c r="P15" s="23"/>
      <c r="Q15" s="23"/>
      <c r="R15" s="23"/>
      <c r="S15" s="21"/>
      <c r="T15" s="23"/>
      <c r="U15" s="23"/>
      <c r="V15" s="23"/>
      <c r="X15" s="21"/>
      <c r="Y15" s="21"/>
      <c r="Z15" s="23"/>
      <c r="AA15" s="23"/>
      <c r="AC15" s="23"/>
      <c r="AD15" s="23"/>
      <c r="AE15" s="23"/>
      <c r="AF15" s="23"/>
      <c r="AG15" s="23"/>
      <c r="AH15" s="23"/>
      <c r="AI15" s="23"/>
      <c r="AJ15" s="24"/>
    </row>
    <row r="16" spans="1:38">
      <c r="A16" s="23"/>
      <c r="B16" s="23"/>
      <c r="C16" s="23"/>
      <c r="D16" s="23"/>
      <c r="E16" s="21"/>
      <c r="F16" s="23"/>
      <c r="G16" s="23"/>
      <c r="H16" s="23"/>
      <c r="I16" s="23"/>
      <c r="J16" s="21"/>
      <c r="K16" s="21"/>
      <c r="L16" s="23"/>
      <c r="M16" s="23"/>
      <c r="N16" s="23"/>
      <c r="O16" s="23"/>
      <c r="P16" s="23"/>
      <c r="Q16" s="23"/>
      <c r="R16" s="23"/>
      <c r="S16" s="21"/>
      <c r="T16" s="23"/>
      <c r="U16" s="23"/>
      <c r="V16" s="23"/>
      <c r="X16" s="21"/>
      <c r="Y16" s="21"/>
      <c r="Z16" s="23"/>
      <c r="AA16" s="23"/>
      <c r="AC16" s="23"/>
      <c r="AD16" s="23"/>
      <c r="AE16" s="23"/>
      <c r="AF16" s="23"/>
      <c r="AG16" s="23"/>
      <c r="AH16" s="23"/>
      <c r="AI16" s="23"/>
      <c r="AJ16" s="24"/>
    </row>
    <row r="17" spans="1:36">
      <c r="A17" s="23"/>
      <c r="B17" s="23"/>
      <c r="C17" s="23"/>
      <c r="D17" s="23"/>
      <c r="E17" s="21"/>
      <c r="F17" s="23"/>
      <c r="G17" s="23"/>
      <c r="H17" s="23"/>
      <c r="I17" s="23"/>
      <c r="J17" s="21"/>
      <c r="K17" s="21"/>
      <c r="L17" s="23"/>
      <c r="M17" s="23"/>
      <c r="N17" s="23"/>
      <c r="O17" s="23"/>
      <c r="P17" s="23"/>
      <c r="Q17" s="23"/>
      <c r="R17" s="23"/>
      <c r="S17" s="21"/>
      <c r="T17" s="23"/>
      <c r="U17" s="23"/>
      <c r="V17" s="23"/>
      <c r="X17" s="21"/>
      <c r="Y17" s="21"/>
      <c r="Z17" s="23"/>
      <c r="AA17" s="23"/>
      <c r="AC17" s="23"/>
      <c r="AD17" s="23"/>
      <c r="AE17" s="23"/>
      <c r="AF17" s="23"/>
      <c r="AG17" s="23"/>
      <c r="AH17" s="23"/>
      <c r="AI17" s="23"/>
      <c r="AJ17" s="24"/>
    </row>
    <row r="18" spans="1:36">
      <c r="A18" s="23"/>
      <c r="B18" s="23"/>
      <c r="C18" s="23"/>
      <c r="D18" s="23"/>
      <c r="E18" s="21"/>
      <c r="F18" s="23"/>
      <c r="G18" s="23"/>
      <c r="H18" s="23"/>
      <c r="I18" s="23"/>
      <c r="J18" s="21"/>
      <c r="K18" s="21"/>
      <c r="L18" s="23"/>
      <c r="M18" s="23"/>
      <c r="N18" s="23"/>
      <c r="O18" s="23"/>
      <c r="P18" s="23"/>
      <c r="Q18" s="23"/>
      <c r="R18" s="23"/>
      <c r="S18" s="21"/>
      <c r="T18" s="23"/>
      <c r="U18" s="23"/>
      <c r="V18" s="23"/>
      <c r="X18" s="21"/>
      <c r="Y18" s="21"/>
      <c r="Z18" s="23"/>
      <c r="AA18" s="23"/>
      <c r="AC18" s="23"/>
      <c r="AD18" s="23"/>
      <c r="AE18" s="23"/>
      <c r="AF18" s="23"/>
      <c r="AG18" s="23"/>
      <c r="AH18" s="23"/>
      <c r="AI18" s="23"/>
      <c r="AJ18" s="24"/>
    </row>
    <row r="19" spans="1:36">
      <c r="A19" s="23"/>
      <c r="B19" s="23"/>
      <c r="C19" s="23"/>
      <c r="D19" s="23"/>
      <c r="E19" s="21"/>
      <c r="F19" s="23"/>
      <c r="G19" s="23"/>
      <c r="H19" s="23"/>
      <c r="I19" s="23"/>
      <c r="J19" s="21"/>
      <c r="K19" s="21"/>
      <c r="L19" s="23"/>
      <c r="M19" s="23"/>
      <c r="N19" s="23"/>
      <c r="O19" s="23"/>
      <c r="P19" s="23"/>
      <c r="Q19" s="23"/>
      <c r="R19" s="23"/>
      <c r="S19" s="21"/>
      <c r="T19" s="23"/>
      <c r="U19" s="23"/>
      <c r="V19" s="23"/>
      <c r="X19" s="21"/>
      <c r="Y19" s="21"/>
      <c r="Z19" s="23"/>
      <c r="AA19" s="23"/>
      <c r="AC19" s="23"/>
      <c r="AD19" s="23"/>
      <c r="AE19" s="23"/>
      <c r="AF19" s="23"/>
      <c r="AG19" s="23"/>
      <c r="AH19" s="23"/>
      <c r="AI19" s="23"/>
      <c r="AJ19" s="24"/>
    </row>
    <row r="20" spans="1:36">
      <c r="E20" s="21"/>
      <c r="H20" s="23"/>
      <c r="I20" s="23"/>
      <c r="J20" s="21"/>
      <c r="K20" s="21"/>
      <c r="L20" s="23"/>
      <c r="M20" s="23"/>
      <c r="N20" s="23"/>
      <c r="Q20" s="23"/>
      <c r="R20" s="23"/>
      <c r="X20" s="21"/>
      <c r="Y20" s="21"/>
      <c r="AA20" s="23"/>
      <c r="AJ20" s="24"/>
    </row>
    <row r="21" spans="1:36">
      <c r="L21" s="42"/>
      <c r="X21" s="45"/>
    </row>
    <row r="22" spans="1:36">
      <c r="L22" s="3"/>
    </row>
    <row r="23" spans="1:36">
      <c r="L23" s="3"/>
    </row>
    <row r="24" spans="1:36">
      <c r="L24" s="3"/>
    </row>
    <row r="25" spans="1:36">
      <c r="L25" s="3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6">
    <dataValidation type="list" allowBlank="1" showInputMessage="1" showErrorMessage="1" sqref="J2:J20" xr:uid="{00000000-0002-0000-1100-000000000000}">
      <formula1>israel_abroad</formula1>
    </dataValidation>
    <dataValidation type="list" allowBlank="1" showInputMessage="1" showErrorMessage="1" sqref="N2:N20" xr:uid="{00000000-0002-0000-1100-000001000000}">
      <formula1>Holding_interest</formula1>
    </dataValidation>
    <dataValidation type="list" allowBlank="1" showInputMessage="1" showErrorMessage="1" sqref="K2:K20" xr:uid="{00000000-0002-0000-1100-000002000000}">
      <formula1>Country_list</formula1>
    </dataValidation>
    <dataValidation type="list" allowBlank="1" showInputMessage="1" showErrorMessage="1" sqref="E3:E20" xr:uid="{00000000-0002-0000-1100-000003000000}">
      <formula1>Issuer_Number_Type_2</formula1>
    </dataValidation>
    <dataValidation type="list" allowBlank="1" showInputMessage="1" showErrorMessage="1" sqref="Q2:Q20" xr:uid="{00000000-0002-0000-1100-000004000000}">
      <formula1>Rating_Agency</formula1>
    </dataValidation>
    <dataValidation type="list" allowBlank="1" showInputMessage="1" showErrorMessage="1" sqref="P4 R2:R20" xr:uid="{00000000-0002-0000-1100-000005000000}">
      <formula1>What_is_rated</formula1>
    </dataValidation>
    <dataValidation type="list" allowBlank="1" showInputMessage="1" showErrorMessage="1" sqref="V4 X2:X20" xr:uid="{00000000-0002-0000-1100-000006000000}">
      <formula1>Subordination_Risk</formula1>
    </dataValidation>
    <dataValidation type="list" allowBlank="1" showInputMessage="1" showErrorMessage="1" sqref="Z2:Z19" xr:uid="{00000000-0002-0000-1100-000007000000}">
      <formula1>Valuation</formula1>
    </dataValidation>
    <dataValidation type="list" allowBlank="1" showInputMessage="1" showErrorMessage="1" sqref="AA2:AA20" xr:uid="{00000000-0002-0000-1100-000008000000}">
      <formula1>Dependence_Independence</formula1>
    </dataValidation>
    <dataValidation type="list" allowBlank="1" showInputMessage="1" showErrorMessage="1" sqref="AE4" xr:uid="{00000000-0002-0000-1100-000009000000}">
      <formula1>Info_Provider</formula1>
    </dataValidation>
    <dataValidation type="list" allowBlank="1" showInputMessage="1" showErrorMessage="1" sqref="Y2:Y20" xr:uid="{00000000-0002-0000-1100-00000A000000}">
      <formula1>Yes_No_Bad_Debt</formula1>
    </dataValidation>
    <dataValidation type="list" allowBlank="1" showInputMessage="1" showErrorMessage="1" sqref="H2:H20" xr:uid="{00000000-0002-0000-1100-00000B000000}">
      <formula1>Type_of_Security_ID_Fund</formula1>
    </dataValidation>
    <dataValidation type="list" allowBlank="1" showInputMessage="1" showErrorMessage="1" sqref="E2" xr:uid="{00000000-0002-0000-1100-00000C000000}">
      <formula1>Issuer_Number_Type_3</formula1>
    </dataValidation>
    <dataValidation type="list" allowBlank="1" showInputMessage="1" showErrorMessage="1" sqref="AJ2:AJ20" xr:uid="{00000000-0002-0000-1100-00000D000000}">
      <formula1>In_the_books</formula1>
    </dataValidation>
    <dataValidation type="list" allowBlank="1" showInputMessage="1" showErrorMessage="1" sqref="M2:M20" xr:uid="{00000000-0002-0000-1100-00000E000000}">
      <formula1>Industry_Sector</formula1>
    </dataValidation>
    <dataValidation type="list" allowBlank="1" showInputMessage="1" showErrorMessage="1" sqref="L2:L20" xr:uid="{00000000-0002-0000-1100-00000F000000}">
      <formula1>tradeable_status_bonds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10000000}">
          <x14:formula1>
            <xm:f>'אפשרויות בחירה'!$C$934:$C$945</xm:f>
          </x14:formula1>
          <xm:sqref>I2:I20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Sheet19"/>
  <dimension ref="A1:Z20"/>
  <sheetViews>
    <sheetView rightToLeft="1" topLeftCell="M1" workbookViewId="0">
      <selection activeCell="A2" sqref="A2"/>
    </sheetView>
  </sheetViews>
  <sheetFormatPr defaultColWidth="0" defaultRowHeight="14.25"/>
  <cols>
    <col min="1" max="4" width="11.625" style="3" customWidth="1"/>
    <col min="5" max="5" width="11.625" style="5" customWidth="1"/>
    <col min="6" max="11" width="11.625" style="3" customWidth="1"/>
    <col min="12" max="12" width="11.625" style="5" customWidth="1"/>
    <col min="13" max="26" width="11.625" style="3" customWidth="1"/>
    <col min="27" max="27" width="9" style="3" hidden="1" customWidth="1"/>
    <col min="28" max="16384" width="9" style="3" hidden="1"/>
  </cols>
  <sheetData>
    <row r="1" spans="1:26" ht="51">
      <c r="A1" s="22" t="s">
        <v>0</v>
      </c>
      <c r="B1" s="22" t="s">
        <v>1</v>
      </c>
      <c r="C1" s="22" t="s">
        <v>2</v>
      </c>
      <c r="D1" s="22" t="s">
        <v>47</v>
      </c>
      <c r="E1" s="22" t="s">
        <v>48</v>
      </c>
      <c r="F1" s="22" t="s">
        <v>3</v>
      </c>
      <c r="G1" s="22" t="s">
        <v>4</v>
      </c>
      <c r="H1" s="22" t="s">
        <v>49</v>
      </c>
      <c r="I1" s="22" t="s">
        <v>5</v>
      </c>
      <c r="J1" s="22" t="s">
        <v>6</v>
      </c>
      <c r="K1" s="22" t="s">
        <v>7</v>
      </c>
      <c r="L1" s="22" t="s">
        <v>57</v>
      </c>
      <c r="M1" s="22" t="s">
        <v>50</v>
      </c>
      <c r="N1" s="22" t="s">
        <v>51</v>
      </c>
      <c r="O1" s="176" t="s">
        <v>81</v>
      </c>
      <c r="P1" s="22" t="s">
        <v>11</v>
      </c>
      <c r="Q1" s="22" t="s">
        <v>87</v>
      </c>
      <c r="R1" s="22" t="s">
        <v>88</v>
      </c>
      <c r="S1" s="176" t="s">
        <v>90</v>
      </c>
      <c r="T1" s="176" t="s">
        <v>91</v>
      </c>
      <c r="U1" s="22" t="s">
        <v>17</v>
      </c>
      <c r="V1" s="167" t="s">
        <v>18</v>
      </c>
      <c r="W1" s="174" t="s">
        <v>19</v>
      </c>
      <c r="X1" s="22" t="s">
        <v>20</v>
      </c>
      <c r="Y1" s="169" t="s">
        <v>24</v>
      </c>
      <c r="Z1" s="169" t="s">
        <v>25</v>
      </c>
    </row>
    <row r="2" spans="1:26">
      <c r="A2" s="23">
        <v>1192</v>
      </c>
      <c r="B2" s="23">
        <v>1192</v>
      </c>
      <c r="C2" s="23" t="s">
        <v>106</v>
      </c>
      <c r="D2" s="23" t="s">
        <v>107</v>
      </c>
      <c r="E2" s="21" t="s">
        <v>67</v>
      </c>
      <c r="F2" s="23" t="s">
        <v>116</v>
      </c>
      <c r="G2" s="23" t="s">
        <v>117</v>
      </c>
      <c r="H2" s="21" t="s">
        <v>70</v>
      </c>
      <c r="I2" s="23" t="s">
        <v>118</v>
      </c>
      <c r="J2" s="21" t="s">
        <v>30</v>
      </c>
      <c r="K2" s="21" t="s">
        <v>30</v>
      </c>
      <c r="L2" s="23" t="s">
        <v>72</v>
      </c>
      <c r="M2" s="23" t="s">
        <v>111</v>
      </c>
      <c r="N2" s="23" t="s">
        <v>74</v>
      </c>
      <c r="O2" s="177" t="s">
        <v>98</v>
      </c>
      <c r="P2" s="21" t="s">
        <v>34</v>
      </c>
      <c r="Q2" s="23" t="s">
        <v>103</v>
      </c>
      <c r="R2" s="23" t="s">
        <v>104</v>
      </c>
      <c r="S2" s="177" t="s">
        <v>105</v>
      </c>
      <c r="T2" s="177" t="s">
        <v>105</v>
      </c>
      <c r="U2" s="165">
        <v>774004</v>
      </c>
      <c r="V2" s="178">
        <v>1</v>
      </c>
      <c r="W2" s="180">
        <v>0</v>
      </c>
      <c r="X2" s="165">
        <v>0</v>
      </c>
      <c r="Y2" s="179">
        <v>0.94739071096776595</v>
      </c>
      <c r="Z2" s="179">
        <v>1.05693851962605E-10</v>
      </c>
    </row>
    <row r="3" spans="1:26">
      <c r="A3" s="23">
        <v>1192</v>
      </c>
      <c r="B3" s="23">
        <v>1192</v>
      </c>
      <c r="C3" s="23" t="s">
        <v>119</v>
      </c>
      <c r="D3" s="23" t="s">
        <v>120</v>
      </c>
      <c r="E3" s="21" t="s">
        <v>67</v>
      </c>
      <c r="F3" s="23" t="s">
        <v>121</v>
      </c>
      <c r="G3" s="23" t="s">
        <v>122</v>
      </c>
      <c r="H3" s="21" t="s">
        <v>70</v>
      </c>
      <c r="I3" s="23" t="s">
        <v>118</v>
      </c>
      <c r="J3" s="21" t="s">
        <v>30</v>
      </c>
      <c r="K3" s="21" t="s">
        <v>30</v>
      </c>
      <c r="L3" s="23" t="s">
        <v>72</v>
      </c>
      <c r="M3" s="23" t="s">
        <v>123</v>
      </c>
      <c r="N3" s="23" t="s">
        <v>74</v>
      </c>
      <c r="O3" s="177" t="s">
        <v>98</v>
      </c>
      <c r="P3" s="21" t="s">
        <v>34</v>
      </c>
      <c r="Q3" s="23" t="s">
        <v>103</v>
      </c>
      <c r="R3" s="23" t="s">
        <v>104</v>
      </c>
      <c r="S3" s="177" t="s">
        <v>105</v>
      </c>
      <c r="T3" s="177" t="s">
        <v>105</v>
      </c>
      <c r="U3" s="165">
        <v>42981</v>
      </c>
      <c r="V3" s="178">
        <v>1</v>
      </c>
      <c r="W3" s="180">
        <v>0</v>
      </c>
      <c r="X3" s="165">
        <v>0</v>
      </c>
      <c r="Y3" s="179">
        <v>5.2609289032234399E-2</v>
      </c>
      <c r="Z3" s="179">
        <v>5.8692557805963994E-12</v>
      </c>
    </row>
    <row r="4" spans="1:26">
      <c r="A4" s="23"/>
      <c r="B4" s="23"/>
      <c r="C4" s="23"/>
      <c r="D4" s="23"/>
      <c r="E4" s="21"/>
      <c r="F4" s="23"/>
      <c r="G4" s="23"/>
      <c r="H4" s="21"/>
      <c r="I4" s="23"/>
      <c r="J4" s="21"/>
      <c r="K4" s="21"/>
      <c r="L4" s="23"/>
      <c r="M4" s="23"/>
      <c r="N4" s="23"/>
      <c r="P4" s="21"/>
      <c r="Q4" s="23"/>
      <c r="R4" s="23"/>
      <c r="S4" s="23"/>
      <c r="T4" s="23"/>
      <c r="U4" s="23"/>
      <c r="V4" s="23"/>
      <c r="W4" s="23"/>
      <c r="X4" s="23"/>
      <c r="Y4" s="23"/>
      <c r="Z4" s="23"/>
    </row>
    <row r="5" spans="1:26">
      <c r="A5" s="23"/>
      <c r="B5" s="23"/>
      <c r="C5" s="23"/>
      <c r="D5" s="23"/>
      <c r="E5" s="21"/>
      <c r="F5" s="23"/>
      <c r="G5" s="23"/>
      <c r="H5" s="21"/>
      <c r="I5" s="23"/>
      <c r="J5" s="21"/>
      <c r="K5" s="21"/>
      <c r="L5" s="23"/>
      <c r="M5" s="23"/>
      <c r="N5" s="23"/>
      <c r="O5" s="23"/>
      <c r="P5" s="21"/>
      <c r="Q5" s="23"/>
      <c r="R5" s="23"/>
      <c r="S5" s="23"/>
      <c r="T5" s="23"/>
      <c r="U5" s="23"/>
      <c r="V5" s="23"/>
      <c r="W5" s="23"/>
      <c r="X5" s="23"/>
      <c r="Y5" s="23"/>
      <c r="Z5" s="23"/>
    </row>
    <row r="6" spans="1:26">
      <c r="A6" s="23"/>
      <c r="B6" s="23"/>
      <c r="C6" s="23"/>
      <c r="D6" s="23"/>
      <c r="E6" s="21"/>
      <c r="F6" s="23"/>
      <c r="G6" s="23"/>
      <c r="H6" s="21"/>
      <c r="I6" s="23"/>
      <c r="J6" s="21"/>
      <c r="K6" s="21"/>
      <c r="L6" s="23"/>
      <c r="M6" s="23"/>
      <c r="N6" s="23"/>
      <c r="O6" s="23"/>
      <c r="P6" s="21"/>
      <c r="Q6" s="23"/>
      <c r="R6" s="23"/>
      <c r="S6" s="23"/>
      <c r="T6" s="23"/>
      <c r="U6" s="23"/>
      <c r="V6" s="23"/>
      <c r="W6" s="23"/>
      <c r="X6" s="23"/>
      <c r="Y6" s="23"/>
      <c r="Z6" s="23"/>
    </row>
    <row r="7" spans="1:26">
      <c r="A7" s="23"/>
      <c r="B7" s="23"/>
      <c r="C7" s="23"/>
      <c r="D7" s="23"/>
      <c r="E7" s="21"/>
      <c r="F7" s="23"/>
      <c r="G7" s="23"/>
      <c r="H7" s="21"/>
      <c r="I7" s="23"/>
      <c r="J7" s="21"/>
      <c r="K7" s="21"/>
      <c r="L7" s="23"/>
      <c r="M7" s="23"/>
      <c r="N7" s="23"/>
      <c r="O7" s="23"/>
      <c r="P7" s="21"/>
      <c r="Q7" s="23"/>
      <c r="R7" s="23"/>
      <c r="S7" s="23"/>
      <c r="T7" s="23"/>
      <c r="U7" s="23"/>
      <c r="V7" s="23"/>
      <c r="W7" s="23"/>
      <c r="X7" s="23"/>
      <c r="Y7" s="23"/>
      <c r="Z7" s="23"/>
    </row>
    <row r="8" spans="1:26">
      <c r="A8" s="23"/>
      <c r="B8" s="23"/>
      <c r="C8" s="23"/>
      <c r="D8" s="23"/>
      <c r="E8" s="21"/>
      <c r="F8" s="23"/>
      <c r="G8" s="23"/>
      <c r="H8" s="21"/>
      <c r="I8" s="23"/>
      <c r="J8" s="21"/>
      <c r="K8" s="21"/>
      <c r="L8" s="23"/>
      <c r="M8" s="23"/>
      <c r="N8" s="23"/>
      <c r="O8" s="23"/>
      <c r="P8" s="21"/>
      <c r="Q8" s="23"/>
      <c r="R8" s="23"/>
      <c r="S8" s="23"/>
      <c r="T8" s="23"/>
      <c r="U8" s="23"/>
      <c r="V8" s="23"/>
      <c r="W8" s="23"/>
      <c r="X8" s="23"/>
      <c r="Y8" s="23"/>
      <c r="Z8" s="23"/>
    </row>
    <row r="9" spans="1:26">
      <c r="A9" s="23"/>
      <c r="B9" s="23"/>
      <c r="C9" s="23"/>
      <c r="D9" s="23"/>
      <c r="E9" s="21"/>
      <c r="F9" s="23"/>
      <c r="G9" s="23"/>
      <c r="H9" s="21"/>
      <c r="I9" s="23"/>
      <c r="J9" s="21"/>
      <c r="K9" s="21"/>
      <c r="L9" s="23"/>
      <c r="M9" s="23"/>
      <c r="N9" s="23"/>
      <c r="O9" s="23"/>
      <c r="P9" s="21"/>
      <c r="Q9" s="23"/>
      <c r="R9" s="23"/>
      <c r="S9" s="23"/>
      <c r="T9" s="23"/>
      <c r="U9" s="23"/>
      <c r="V9" s="23"/>
      <c r="W9" s="23"/>
      <c r="X9" s="23"/>
      <c r="Y9" s="23"/>
      <c r="Z9" s="23"/>
    </row>
    <row r="10" spans="1:26">
      <c r="A10" s="23"/>
      <c r="B10" s="23"/>
      <c r="C10" s="23"/>
      <c r="D10" s="23"/>
      <c r="E10" s="21"/>
      <c r="F10" s="23"/>
      <c r="G10" s="23"/>
      <c r="H10" s="21"/>
      <c r="I10" s="23"/>
      <c r="J10" s="21"/>
      <c r="K10" s="21"/>
      <c r="L10" s="23"/>
      <c r="M10" s="23"/>
      <c r="N10" s="23"/>
      <c r="O10" s="23"/>
      <c r="P10" s="21"/>
      <c r="Q10" s="23"/>
      <c r="R10" s="23"/>
      <c r="S10" s="23"/>
      <c r="T10" s="23"/>
      <c r="U10" s="23"/>
      <c r="V10" s="23"/>
      <c r="W10" s="23"/>
      <c r="X10" s="23"/>
      <c r="Y10" s="23"/>
      <c r="Z10" s="23"/>
    </row>
    <row r="11" spans="1:26">
      <c r="A11" s="23"/>
      <c r="B11" s="23"/>
      <c r="C11" s="23"/>
      <c r="D11" s="23"/>
      <c r="E11" s="21"/>
      <c r="F11" s="23"/>
      <c r="G11" s="23"/>
      <c r="H11" s="21"/>
      <c r="I11" s="23"/>
      <c r="J11" s="21"/>
      <c r="K11" s="21"/>
      <c r="L11" s="23"/>
      <c r="M11" s="23"/>
      <c r="N11" s="23"/>
      <c r="O11" s="23"/>
      <c r="P11" s="21"/>
      <c r="Q11" s="23"/>
      <c r="R11" s="23"/>
      <c r="S11" s="23"/>
      <c r="T11" s="23"/>
      <c r="U11" s="23"/>
      <c r="V11" s="23"/>
      <c r="W11" s="23"/>
      <c r="X11" s="23"/>
      <c r="Y11" s="23"/>
      <c r="Z11" s="23"/>
    </row>
    <row r="12" spans="1:26">
      <c r="A12" s="23"/>
      <c r="B12" s="23"/>
      <c r="C12" s="23"/>
      <c r="D12" s="23"/>
      <c r="E12" s="21"/>
      <c r="F12" s="23"/>
      <c r="G12" s="23"/>
      <c r="H12" s="21"/>
      <c r="I12" s="23"/>
      <c r="J12" s="21"/>
      <c r="K12" s="21"/>
      <c r="L12" s="23"/>
      <c r="M12" s="23"/>
      <c r="N12" s="23"/>
      <c r="O12" s="23"/>
      <c r="P12" s="21"/>
      <c r="Q12" s="23"/>
      <c r="R12" s="23"/>
      <c r="S12" s="23"/>
      <c r="T12" s="23"/>
      <c r="U12" s="23"/>
      <c r="V12" s="23"/>
      <c r="W12" s="23"/>
      <c r="X12" s="23"/>
      <c r="Y12" s="23"/>
      <c r="Z12" s="23"/>
    </row>
    <row r="13" spans="1:26">
      <c r="A13" s="23"/>
      <c r="B13" s="23"/>
      <c r="C13" s="23"/>
      <c r="D13" s="23"/>
      <c r="E13" s="21"/>
      <c r="F13" s="23"/>
      <c r="G13" s="23"/>
      <c r="H13" s="21"/>
      <c r="I13" s="23"/>
      <c r="J13" s="21"/>
      <c r="K13" s="21"/>
      <c r="L13" s="23"/>
      <c r="M13" s="23"/>
      <c r="N13" s="23"/>
      <c r="O13" s="23"/>
      <c r="P13" s="21"/>
      <c r="Q13" s="23"/>
      <c r="R13" s="23"/>
      <c r="S13" s="23"/>
      <c r="T13" s="23"/>
      <c r="U13" s="23"/>
      <c r="V13" s="23"/>
      <c r="W13" s="23"/>
      <c r="X13" s="23"/>
      <c r="Y13" s="23"/>
      <c r="Z13" s="23"/>
    </row>
    <row r="14" spans="1:26">
      <c r="A14" s="23"/>
      <c r="B14" s="23"/>
      <c r="C14" s="23"/>
      <c r="D14" s="23"/>
      <c r="E14" s="21"/>
      <c r="F14" s="23"/>
      <c r="G14" s="23"/>
      <c r="H14" s="21"/>
      <c r="I14" s="23"/>
      <c r="J14" s="21"/>
      <c r="K14" s="21"/>
      <c r="L14" s="23"/>
      <c r="M14" s="23"/>
      <c r="N14" s="23"/>
      <c r="O14" s="23"/>
      <c r="P14" s="21"/>
      <c r="Q14" s="23"/>
      <c r="R14" s="23"/>
      <c r="S14" s="23"/>
      <c r="T14" s="23"/>
      <c r="U14" s="23"/>
      <c r="V14" s="23"/>
      <c r="W14" s="23"/>
      <c r="X14" s="23"/>
      <c r="Y14" s="23"/>
      <c r="Z14" s="23"/>
    </row>
    <row r="15" spans="1:26">
      <c r="A15" s="23"/>
      <c r="B15" s="23"/>
      <c r="C15" s="23"/>
      <c r="D15" s="23"/>
      <c r="E15" s="21"/>
      <c r="F15" s="23"/>
      <c r="G15" s="23"/>
      <c r="H15" s="21"/>
      <c r="I15" s="23"/>
      <c r="J15" s="21"/>
      <c r="K15" s="21"/>
      <c r="L15" s="23"/>
      <c r="M15" s="23"/>
      <c r="N15" s="23"/>
      <c r="O15" s="23"/>
      <c r="P15" s="21"/>
      <c r="Q15" s="23"/>
      <c r="R15" s="23"/>
      <c r="S15" s="23"/>
      <c r="T15" s="23"/>
      <c r="U15" s="23"/>
      <c r="V15" s="23"/>
      <c r="W15" s="23"/>
      <c r="X15" s="23"/>
      <c r="Y15" s="23"/>
      <c r="Z15" s="23"/>
    </row>
    <row r="16" spans="1:26">
      <c r="A16" s="23"/>
      <c r="B16" s="23"/>
      <c r="C16" s="23"/>
      <c r="D16" s="23"/>
      <c r="E16" s="21"/>
      <c r="F16" s="23"/>
      <c r="G16" s="23"/>
      <c r="H16" s="21"/>
      <c r="I16" s="23"/>
      <c r="J16" s="21"/>
      <c r="K16" s="21"/>
      <c r="L16" s="23"/>
      <c r="M16" s="23"/>
      <c r="N16" s="23"/>
      <c r="O16" s="23"/>
      <c r="P16" s="21"/>
      <c r="Q16" s="23"/>
      <c r="R16" s="23"/>
      <c r="S16" s="23"/>
      <c r="T16" s="23"/>
      <c r="U16" s="23"/>
      <c r="V16" s="23"/>
      <c r="W16" s="23"/>
      <c r="X16" s="23"/>
      <c r="Y16" s="23"/>
      <c r="Z16" s="23"/>
    </row>
    <row r="17" spans="1:26">
      <c r="A17" s="23"/>
      <c r="B17" s="23"/>
      <c r="C17" s="23"/>
      <c r="D17" s="23"/>
      <c r="E17" s="21"/>
      <c r="F17" s="23"/>
      <c r="G17" s="23"/>
      <c r="H17" s="21"/>
      <c r="I17" s="23"/>
      <c r="J17" s="21"/>
      <c r="K17" s="21"/>
      <c r="L17" s="23"/>
      <c r="M17" s="23"/>
      <c r="N17" s="23"/>
      <c r="O17" s="23"/>
      <c r="P17" s="21"/>
      <c r="Q17" s="23"/>
      <c r="R17" s="23"/>
      <c r="S17" s="23"/>
      <c r="T17" s="23"/>
      <c r="U17" s="23"/>
      <c r="V17" s="23"/>
      <c r="W17" s="23"/>
      <c r="X17" s="23"/>
      <c r="Y17" s="23"/>
      <c r="Z17" s="23"/>
    </row>
    <row r="18" spans="1:26">
      <c r="A18" s="23"/>
      <c r="B18" s="23"/>
      <c r="C18" s="23"/>
      <c r="D18" s="23"/>
      <c r="E18" s="21"/>
      <c r="F18" s="23"/>
      <c r="G18" s="23"/>
      <c r="H18" s="21"/>
      <c r="I18" s="23"/>
      <c r="J18" s="21"/>
      <c r="K18" s="21"/>
      <c r="L18" s="23"/>
      <c r="M18" s="23"/>
      <c r="N18" s="23"/>
      <c r="O18" s="23"/>
      <c r="P18" s="21"/>
      <c r="Q18" s="23"/>
      <c r="R18" s="23"/>
      <c r="S18" s="23"/>
      <c r="T18" s="23"/>
      <c r="U18" s="23"/>
      <c r="V18" s="23"/>
      <c r="W18" s="23"/>
      <c r="X18" s="23"/>
      <c r="Y18" s="23"/>
      <c r="Z18" s="23"/>
    </row>
    <row r="19" spans="1:26">
      <c r="A19" s="5"/>
      <c r="B19" s="23"/>
      <c r="C19" s="23"/>
      <c r="D19" s="23"/>
      <c r="E19" s="21"/>
      <c r="F19" s="23"/>
      <c r="G19" s="23"/>
      <c r="H19" s="21"/>
      <c r="I19" s="23"/>
      <c r="J19" s="21"/>
      <c r="K19" s="21"/>
      <c r="L19" s="23"/>
      <c r="M19" s="23"/>
      <c r="N19" s="23"/>
      <c r="O19" s="23"/>
      <c r="P19" s="21"/>
      <c r="Q19" s="23"/>
      <c r="R19" s="23"/>
      <c r="S19" s="23"/>
      <c r="T19" s="23"/>
      <c r="U19" s="23"/>
      <c r="V19" s="23"/>
      <c r="W19" s="23"/>
      <c r="X19" s="23"/>
      <c r="Y19" s="23"/>
      <c r="Z19" s="23"/>
    </row>
    <row r="20" spans="1:26">
      <c r="E20" s="21"/>
      <c r="H20" s="5"/>
      <c r="I20" s="23"/>
      <c r="J20" s="21"/>
      <c r="K20" s="21"/>
      <c r="L20" s="23"/>
      <c r="M20" s="23"/>
      <c r="N20" s="23"/>
      <c r="R20" s="23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1">
    <dataValidation type="list" allowBlank="1" showInputMessage="1" showErrorMessage="1" sqref="J2:J20" xr:uid="{00000000-0002-0000-1200-000000000000}">
      <formula1>israel_abroad</formula1>
    </dataValidation>
    <dataValidation type="list" allowBlank="1" showInputMessage="1" showErrorMessage="1" sqref="N2:N20" xr:uid="{00000000-0002-0000-1200-000001000000}">
      <formula1>Holding_interest</formula1>
    </dataValidation>
    <dataValidation type="list" allowBlank="1" showInputMessage="1" showErrorMessage="1" sqref="Q2:Q19" xr:uid="{00000000-0002-0000-1200-000002000000}">
      <formula1>Valuation</formula1>
    </dataValidation>
    <dataValidation type="list" allowBlank="1" showInputMessage="1" showErrorMessage="1" sqref="R2:R20" xr:uid="{00000000-0002-0000-1200-000003000000}">
      <formula1>Dependence_Independence</formula1>
    </dataValidation>
    <dataValidation type="list" allowBlank="1" showInputMessage="1" showErrorMessage="1" sqref="K2:K20" xr:uid="{00000000-0002-0000-1200-000004000000}">
      <formula1>Country_list</formula1>
    </dataValidation>
    <dataValidation type="list" allowBlank="1" showInputMessage="1" showErrorMessage="1" sqref="E3:E20" xr:uid="{00000000-0002-0000-1200-000005000000}">
      <formula1>Issuer_Number_Type_2</formula1>
    </dataValidation>
    <dataValidation type="list" allowBlank="1" showInputMessage="1" showErrorMessage="1" sqref="H2" xr:uid="{00000000-0002-0000-1200-000006000000}">
      <formula1>Type_of_Security_ID</formula1>
    </dataValidation>
    <dataValidation type="list" allowBlank="1" showInputMessage="1" showErrorMessage="1" sqref="H3:H19" xr:uid="{00000000-0002-0000-1200-000007000000}">
      <formula1>Type_of_Security_ID_Traded</formula1>
    </dataValidation>
    <dataValidation type="list" allowBlank="1" showInputMessage="1" showErrorMessage="1" sqref="E2" xr:uid="{00000000-0002-0000-1200-000008000000}">
      <formula1>Issuer_Number_Type_3</formula1>
    </dataValidation>
    <dataValidation type="list" allowBlank="1" showInputMessage="1" showErrorMessage="1" sqref="M2:M20" xr:uid="{00000000-0002-0000-1200-000009000000}">
      <formula1>Industry_Sector</formula1>
    </dataValidation>
    <dataValidation type="list" allowBlank="1" showInputMessage="1" showErrorMessage="1" sqref="L2:L20" xr:uid="{00000000-0002-0000-1200-00000A000000}">
      <formula1>tradeable_status_stock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B000000}">
          <x14:formula1>
            <xm:f>'אפשרויות בחירה'!$C$946:$C$955</xm:f>
          </x14:formula1>
          <xm:sqref>I2:I20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Sheet20"/>
  <dimension ref="A1:Z15"/>
  <sheetViews>
    <sheetView rightToLeft="1" topLeftCell="A6" workbookViewId="0">
      <selection activeCell="A36" sqref="A36:A41"/>
    </sheetView>
  </sheetViews>
  <sheetFormatPr defaultColWidth="0" defaultRowHeight="14.25"/>
  <cols>
    <col min="1" max="5" width="11.625" style="3" customWidth="1"/>
    <col min="6" max="6" width="27.75" style="3" bestFit="1" customWidth="1"/>
    <col min="7" max="15" width="11.625" style="3" customWidth="1"/>
    <col min="16" max="16" width="11.625" customWidth="1"/>
    <col min="17" max="26" width="11.625" style="3" customWidth="1"/>
    <col min="27" max="27" width="9" style="3" hidden="1" customWidth="1"/>
    <col min="28" max="16384" width="9" style="3" hidden="1"/>
  </cols>
  <sheetData>
    <row r="1" spans="1:26" ht="51">
      <c r="A1" s="22" t="s">
        <v>0</v>
      </c>
      <c r="B1" s="22" t="s">
        <v>1</v>
      </c>
      <c r="C1" s="22" t="s">
        <v>124</v>
      </c>
      <c r="D1" s="22" t="s">
        <v>125</v>
      </c>
      <c r="E1" s="22" t="s">
        <v>126</v>
      </c>
      <c r="F1" s="22" t="s">
        <v>127</v>
      </c>
      <c r="G1" s="22" t="s">
        <v>128</v>
      </c>
      <c r="H1" s="22" t="s">
        <v>129</v>
      </c>
      <c r="I1" s="22" t="s">
        <v>5</v>
      </c>
      <c r="J1" s="22" t="s">
        <v>130</v>
      </c>
      <c r="K1" s="22" t="s">
        <v>6</v>
      </c>
      <c r="L1" s="22" t="s">
        <v>131</v>
      </c>
      <c r="M1" s="22" t="s">
        <v>132</v>
      </c>
      <c r="N1" s="22" t="s">
        <v>7</v>
      </c>
      <c r="O1" s="22" t="s">
        <v>51</v>
      </c>
      <c r="P1" s="183" t="s">
        <v>81</v>
      </c>
      <c r="Q1" s="22" t="s">
        <v>11</v>
      </c>
      <c r="R1" s="22" t="s">
        <v>87</v>
      </c>
      <c r="S1" s="22" t="s">
        <v>88</v>
      </c>
      <c r="T1" s="176" t="s">
        <v>90</v>
      </c>
      <c r="U1" s="167" t="s">
        <v>18</v>
      </c>
      <c r="V1" s="121" t="s">
        <v>133</v>
      </c>
      <c r="W1" s="22" t="s">
        <v>20</v>
      </c>
      <c r="X1" s="169" t="s">
        <v>134</v>
      </c>
      <c r="Y1" s="169" t="s">
        <v>24</v>
      </c>
      <c r="Z1" s="169" t="s">
        <v>25</v>
      </c>
    </row>
    <row r="2" spans="1:26">
      <c r="A2" s="23">
        <v>1192</v>
      </c>
      <c r="B2" s="23">
        <v>1192</v>
      </c>
      <c r="C2" s="24" t="s">
        <v>135</v>
      </c>
      <c r="D2" s="24" t="s">
        <v>136</v>
      </c>
      <c r="E2" s="24" t="s">
        <v>137</v>
      </c>
      <c r="F2" s="24" t="s">
        <v>138</v>
      </c>
      <c r="G2" s="24">
        <v>29993119</v>
      </c>
      <c r="H2" s="24" t="s">
        <v>33</v>
      </c>
      <c r="I2" s="3" t="s">
        <v>139</v>
      </c>
      <c r="J2" s="24" t="s">
        <v>140</v>
      </c>
      <c r="K2" s="21" t="s">
        <v>141</v>
      </c>
      <c r="L2" s="24" t="s">
        <v>142</v>
      </c>
      <c r="M2" s="24" t="s">
        <v>30</v>
      </c>
      <c r="N2" s="21" t="s">
        <v>30</v>
      </c>
      <c r="O2" s="23" t="s">
        <v>74</v>
      </c>
      <c r="P2" s="184" t="s">
        <v>143</v>
      </c>
      <c r="Q2" s="21" t="s">
        <v>144</v>
      </c>
      <c r="R2" s="23" t="s">
        <v>145</v>
      </c>
      <c r="S2" s="23" t="s">
        <v>146</v>
      </c>
      <c r="T2" s="177" t="s">
        <v>147</v>
      </c>
      <c r="U2" s="178">
        <v>3.19</v>
      </c>
      <c r="V2" s="165">
        <v>5817.7179999999998</v>
      </c>
      <c r="W2" s="165">
        <v>18558.521000000001</v>
      </c>
      <c r="X2" s="179">
        <v>1.5891934843067099E-2</v>
      </c>
      <c r="Y2" s="179">
        <v>0.32753242724241999</v>
      </c>
      <c r="Z2" s="179">
        <v>0.25342525100176</v>
      </c>
    </row>
    <row r="3" spans="1:26">
      <c r="A3" s="23">
        <v>1192</v>
      </c>
      <c r="B3" s="23">
        <v>1192</v>
      </c>
      <c r="C3" s="23" t="s">
        <v>148</v>
      </c>
      <c r="D3" s="3" t="s">
        <v>149</v>
      </c>
      <c r="E3" s="24" t="s">
        <v>150</v>
      </c>
      <c r="F3" s="23" t="s">
        <v>151</v>
      </c>
      <c r="G3" s="23">
        <v>29993120</v>
      </c>
      <c r="H3" s="24" t="s">
        <v>33</v>
      </c>
      <c r="I3" s="3" t="s">
        <v>152</v>
      </c>
      <c r="J3" s="23" t="s">
        <v>153</v>
      </c>
      <c r="K3" s="21" t="s">
        <v>30</v>
      </c>
      <c r="L3" s="24" t="s">
        <v>30</v>
      </c>
      <c r="M3" s="24" t="s">
        <v>30</v>
      </c>
      <c r="N3" s="21" t="s">
        <v>30</v>
      </c>
      <c r="O3" s="23" t="s">
        <v>74</v>
      </c>
      <c r="P3" s="184" t="s">
        <v>154</v>
      </c>
      <c r="Q3" s="21" t="s">
        <v>34</v>
      </c>
      <c r="R3" s="23" t="s">
        <v>145</v>
      </c>
      <c r="S3" s="23" t="s">
        <v>146</v>
      </c>
      <c r="T3" s="177" t="s">
        <v>105</v>
      </c>
      <c r="U3" s="178">
        <v>1</v>
      </c>
      <c r="V3" s="165">
        <v>7764.268</v>
      </c>
      <c r="W3" s="165">
        <v>7764.268</v>
      </c>
      <c r="X3" s="186">
        <v>1.1917392799999999E-2</v>
      </c>
      <c r="Y3" s="179">
        <v>0.13702867404432101</v>
      </c>
      <c r="Z3" s="179">
        <v>0.10602469626135</v>
      </c>
    </row>
    <row r="4" spans="1:26">
      <c r="A4" s="23">
        <v>1192</v>
      </c>
      <c r="B4" s="23">
        <v>1192</v>
      </c>
      <c r="C4" s="23" t="s">
        <v>156</v>
      </c>
      <c r="D4" s="3" t="s">
        <v>157</v>
      </c>
      <c r="E4" s="24" t="s">
        <v>137</v>
      </c>
      <c r="F4" s="23" t="s">
        <v>158</v>
      </c>
      <c r="G4" s="23">
        <v>29993122</v>
      </c>
      <c r="H4" s="24" t="s">
        <v>33</v>
      </c>
      <c r="I4" s="3" t="s">
        <v>139</v>
      </c>
      <c r="J4" s="23" t="s">
        <v>79</v>
      </c>
      <c r="K4" s="21" t="s">
        <v>30</v>
      </c>
      <c r="L4" s="24" t="s">
        <v>159</v>
      </c>
      <c r="M4" s="24" t="s">
        <v>30</v>
      </c>
      <c r="N4" s="21" t="s">
        <v>30</v>
      </c>
      <c r="O4" s="23" t="s">
        <v>74</v>
      </c>
      <c r="P4" s="184" t="s">
        <v>160</v>
      </c>
      <c r="Q4" s="21" t="s">
        <v>144</v>
      </c>
      <c r="R4" s="23" t="s">
        <v>145</v>
      </c>
      <c r="S4" s="23" t="s">
        <v>146</v>
      </c>
      <c r="T4" s="177" t="s">
        <v>161</v>
      </c>
      <c r="U4" s="178">
        <v>3.19</v>
      </c>
      <c r="V4" s="165">
        <v>5299.0060000000003</v>
      </c>
      <c r="W4" s="165">
        <v>16903.829000000002</v>
      </c>
      <c r="X4" s="179">
        <v>2.5689027895073199E-2</v>
      </c>
      <c r="Y4" s="179">
        <v>0.29832938359037298</v>
      </c>
      <c r="Z4" s="179">
        <v>0.23082966029996399</v>
      </c>
    </row>
    <row r="5" spans="1:26">
      <c r="A5" s="23">
        <v>1192</v>
      </c>
      <c r="B5" s="23">
        <v>1192</v>
      </c>
      <c r="C5" s="23" t="s">
        <v>162</v>
      </c>
      <c r="D5" s="3" t="s">
        <v>163</v>
      </c>
      <c r="E5" s="24" t="s">
        <v>150</v>
      </c>
      <c r="F5" s="23" t="s">
        <v>164</v>
      </c>
      <c r="G5" s="23">
        <v>29993030</v>
      </c>
      <c r="H5" s="24" t="s">
        <v>33</v>
      </c>
      <c r="I5" s="3" t="s">
        <v>139</v>
      </c>
      <c r="J5" s="23" t="s">
        <v>79</v>
      </c>
      <c r="K5" s="21" t="s">
        <v>30</v>
      </c>
      <c r="L5" s="24" t="s">
        <v>30</v>
      </c>
      <c r="M5" s="24" t="s">
        <v>30</v>
      </c>
      <c r="N5" s="21" t="s">
        <v>30</v>
      </c>
      <c r="O5" s="23" t="s">
        <v>74</v>
      </c>
      <c r="P5" s="184" t="s">
        <v>165</v>
      </c>
      <c r="Q5" s="21" t="s">
        <v>144</v>
      </c>
      <c r="R5" s="23" t="s">
        <v>145</v>
      </c>
      <c r="S5" s="23" t="s">
        <v>146</v>
      </c>
      <c r="T5" s="177" t="s">
        <v>166</v>
      </c>
      <c r="U5" s="178">
        <v>3.19</v>
      </c>
      <c r="V5" s="165">
        <v>3325.8989999999999</v>
      </c>
      <c r="W5" s="165">
        <v>10609.618</v>
      </c>
      <c r="X5" s="179">
        <v>1.1049723756906099E-2</v>
      </c>
      <c r="Y5" s="179">
        <v>0.18724518826266301</v>
      </c>
      <c r="Z5" s="179">
        <v>0.144879269615693</v>
      </c>
    </row>
    <row r="6" spans="1:26">
      <c r="A6" s="23">
        <v>1192</v>
      </c>
      <c r="B6" s="23">
        <v>1192</v>
      </c>
      <c r="C6" s="23" t="s">
        <v>167</v>
      </c>
      <c r="D6" s="3" t="s">
        <v>168</v>
      </c>
      <c r="E6" s="24" t="s">
        <v>67</v>
      </c>
      <c r="F6" s="23" t="s">
        <v>169</v>
      </c>
      <c r="G6" s="23">
        <v>29990937</v>
      </c>
      <c r="H6" s="24" t="s">
        <v>33</v>
      </c>
      <c r="I6" s="3" t="s">
        <v>139</v>
      </c>
      <c r="J6" s="23" t="s">
        <v>79</v>
      </c>
      <c r="K6" s="21" t="s">
        <v>30</v>
      </c>
      <c r="L6" s="24" t="s">
        <v>30</v>
      </c>
      <c r="M6" s="24" t="s">
        <v>30</v>
      </c>
      <c r="N6" s="21" t="s">
        <v>30</v>
      </c>
      <c r="O6" s="23" t="s">
        <v>74</v>
      </c>
      <c r="P6" s="184" t="s">
        <v>170</v>
      </c>
      <c r="Q6" s="21" t="s">
        <v>144</v>
      </c>
      <c r="R6" s="23" t="s">
        <v>145</v>
      </c>
      <c r="S6" s="23" t="s">
        <v>146</v>
      </c>
      <c r="T6" s="177" t="s">
        <v>171</v>
      </c>
      <c r="U6" s="178">
        <v>3.19</v>
      </c>
      <c r="V6" s="165">
        <v>727.66099999999994</v>
      </c>
      <c r="W6" s="165">
        <v>2321.2379999999998</v>
      </c>
      <c r="X6" s="179">
        <v>0</v>
      </c>
      <c r="Y6" s="179">
        <v>4.0966663894490302E-2</v>
      </c>
      <c r="Z6" s="179">
        <v>3.1697585388947701E-2</v>
      </c>
    </row>
    <row r="7" spans="1:26">
      <c r="A7" s="23">
        <v>1192</v>
      </c>
      <c r="B7" s="23">
        <v>1192</v>
      </c>
      <c r="C7" s="23" t="s">
        <v>172</v>
      </c>
      <c r="D7" s="3" t="s">
        <v>173</v>
      </c>
      <c r="E7" s="24" t="s">
        <v>67</v>
      </c>
      <c r="F7" s="23" t="s">
        <v>174</v>
      </c>
      <c r="G7" s="23">
        <v>29991107</v>
      </c>
      <c r="H7" s="24" t="s">
        <v>33</v>
      </c>
      <c r="I7" s="3" t="s">
        <v>175</v>
      </c>
      <c r="J7" s="23" t="s">
        <v>176</v>
      </c>
      <c r="K7" s="21" t="s">
        <v>30</v>
      </c>
      <c r="L7" s="24" t="s">
        <v>30</v>
      </c>
      <c r="M7" s="24" t="s">
        <v>30</v>
      </c>
      <c r="N7" s="21" t="s">
        <v>30</v>
      </c>
      <c r="O7" s="23" t="s">
        <v>74</v>
      </c>
      <c r="P7" s="184" t="s">
        <v>177</v>
      </c>
      <c r="Q7" s="21" t="s">
        <v>144</v>
      </c>
      <c r="R7" s="23" t="s">
        <v>145</v>
      </c>
      <c r="S7" s="23" t="s">
        <v>146</v>
      </c>
      <c r="T7" s="177" t="s">
        <v>178</v>
      </c>
      <c r="U7" s="178">
        <v>3.19</v>
      </c>
      <c r="V7" s="165">
        <v>6.4710000000000001</v>
      </c>
      <c r="W7" s="165">
        <v>20.643000000000001</v>
      </c>
      <c r="X7" s="179">
        <v>0</v>
      </c>
      <c r="Y7" s="179">
        <v>3.6432560078153003E-4</v>
      </c>
      <c r="Z7" s="179">
        <v>2.8189363600352498E-4</v>
      </c>
    </row>
    <row r="8" spans="1:26">
      <c r="A8" s="23">
        <v>1192</v>
      </c>
      <c r="B8" s="23">
        <v>1192</v>
      </c>
      <c r="C8" s="23" t="s">
        <v>180</v>
      </c>
      <c r="D8" s="3" t="s">
        <v>181</v>
      </c>
      <c r="E8" s="24" t="s">
        <v>67</v>
      </c>
      <c r="F8" s="23" t="s">
        <v>182</v>
      </c>
      <c r="G8" s="23">
        <v>29991025</v>
      </c>
      <c r="H8" s="24" t="s">
        <v>33</v>
      </c>
      <c r="I8" s="3" t="s">
        <v>183</v>
      </c>
      <c r="J8" s="23" t="s">
        <v>184</v>
      </c>
      <c r="K8" s="21" t="s">
        <v>30</v>
      </c>
      <c r="L8" s="24" t="s">
        <v>185</v>
      </c>
      <c r="M8" s="24" t="s">
        <v>185</v>
      </c>
      <c r="N8" s="21" t="s">
        <v>186</v>
      </c>
      <c r="O8" s="23" t="s">
        <v>74</v>
      </c>
      <c r="P8" s="184" t="s">
        <v>187</v>
      </c>
      <c r="Q8" s="21" t="s">
        <v>188</v>
      </c>
      <c r="R8" s="23" t="s">
        <v>145</v>
      </c>
      <c r="S8" s="23" t="s">
        <v>146</v>
      </c>
      <c r="T8" s="177" t="s">
        <v>189</v>
      </c>
      <c r="U8" s="178">
        <v>3.7454999999999998</v>
      </c>
      <c r="V8" s="165">
        <v>83.143000000000001</v>
      </c>
      <c r="W8" s="165">
        <v>311.411</v>
      </c>
      <c r="X8" s="179">
        <v>0</v>
      </c>
      <c r="Y8" s="179">
        <v>5.4959762004417496E-3</v>
      </c>
      <c r="Z8" s="179">
        <v>4.2524618396509598E-3</v>
      </c>
    </row>
    <row r="9" spans="1:26">
      <c r="A9" s="23">
        <v>1192</v>
      </c>
      <c r="B9" s="23">
        <v>1192</v>
      </c>
      <c r="C9" s="23" t="s">
        <v>190</v>
      </c>
      <c r="D9" s="3" t="s">
        <v>191</v>
      </c>
      <c r="E9" s="24" t="s">
        <v>67</v>
      </c>
      <c r="F9" s="23" t="s">
        <v>192</v>
      </c>
      <c r="G9" s="23">
        <v>29991453</v>
      </c>
      <c r="H9" s="24" t="s">
        <v>33</v>
      </c>
      <c r="I9" s="3" t="s">
        <v>152</v>
      </c>
      <c r="J9" s="23" t="s">
        <v>193</v>
      </c>
      <c r="K9" s="21" t="s">
        <v>30</v>
      </c>
      <c r="L9" s="24" t="s">
        <v>30</v>
      </c>
      <c r="M9" s="24" t="s">
        <v>30</v>
      </c>
      <c r="N9" s="21" t="s">
        <v>30</v>
      </c>
      <c r="O9" s="23" t="s">
        <v>74</v>
      </c>
      <c r="P9" s="184" t="s">
        <v>194</v>
      </c>
      <c r="Q9" s="21" t="s">
        <v>144</v>
      </c>
      <c r="R9" s="23" t="s">
        <v>145</v>
      </c>
      <c r="S9" s="23" t="s">
        <v>146</v>
      </c>
      <c r="T9" s="177" t="s">
        <v>195</v>
      </c>
      <c r="U9" s="178">
        <v>3.19</v>
      </c>
      <c r="V9" s="165">
        <v>4.5119999999999996</v>
      </c>
      <c r="W9" s="165">
        <v>14.393000000000001</v>
      </c>
      <c r="X9" s="179">
        <v>0</v>
      </c>
      <c r="Y9" s="179">
        <v>2.5401981437138301E-4</v>
      </c>
      <c r="Z9" s="179">
        <v>1.9654553217364801E-4</v>
      </c>
    </row>
    <row r="10" spans="1:26">
      <c r="A10" s="23">
        <v>1192</v>
      </c>
      <c r="B10" s="23">
        <v>1192</v>
      </c>
      <c r="C10" s="23" t="s">
        <v>196</v>
      </c>
      <c r="D10" s="3" t="s">
        <v>197</v>
      </c>
      <c r="E10" s="24" t="s">
        <v>67</v>
      </c>
      <c r="F10" s="23" t="s">
        <v>198</v>
      </c>
      <c r="G10" s="23">
        <v>29992025</v>
      </c>
      <c r="H10" s="24" t="s">
        <v>33</v>
      </c>
      <c r="I10" s="3" t="s">
        <v>152</v>
      </c>
      <c r="J10" s="23" t="s">
        <v>193</v>
      </c>
      <c r="K10" s="21" t="s">
        <v>30</v>
      </c>
      <c r="L10" s="24" t="s">
        <v>30</v>
      </c>
      <c r="M10" s="24" t="s">
        <v>30</v>
      </c>
      <c r="N10" s="21" t="s">
        <v>30</v>
      </c>
      <c r="O10" s="23" t="s">
        <v>74</v>
      </c>
      <c r="P10" s="184" t="s">
        <v>199</v>
      </c>
      <c r="Q10" s="21" t="s">
        <v>144</v>
      </c>
      <c r="R10" s="23" t="s">
        <v>145</v>
      </c>
      <c r="S10" s="23" t="s">
        <v>146</v>
      </c>
      <c r="T10" s="177" t="s">
        <v>200</v>
      </c>
      <c r="U10" s="178">
        <v>3.19</v>
      </c>
      <c r="V10" s="165">
        <v>49.435000000000002</v>
      </c>
      <c r="W10" s="165">
        <v>157.69800000000001</v>
      </c>
      <c r="X10" s="179">
        <v>0</v>
      </c>
      <c r="Y10" s="179">
        <v>2.7831558235880799E-3</v>
      </c>
      <c r="Z10" s="179">
        <v>2.15344162746909E-3</v>
      </c>
    </row>
    <row r="11" spans="1:26">
      <c r="A11" s="23"/>
      <c r="B11" s="23"/>
      <c r="C11" s="23"/>
      <c r="E11" s="24"/>
      <c r="F11" s="23"/>
      <c r="G11" s="23"/>
      <c r="H11" s="24"/>
      <c r="J11" s="23"/>
      <c r="K11" s="21"/>
      <c r="L11" s="24"/>
      <c r="M11" s="24"/>
      <c r="N11" s="21"/>
      <c r="O11" s="23"/>
      <c r="Q11" s="21"/>
      <c r="R11" s="23"/>
      <c r="S11" s="23"/>
      <c r="T11" s="24"/>
      <c r="U11" s="23"/>
      <c r="V11" s="23"/>
      <c r="W11" s="23"/>
      <c r="X11" s="23"/>
      <c r="Y11" s="23"/>
      <c r="Z11" s="23"/>
    </row>
    <row r="12" spans="1:26">
      <c r="A12" s="23"/>
      <c r="B12" s="23"/>
      <c r="C12" s="23"/>
      <c r="E12" s="24"/>
      <c r="F12" s="23"/>
      <c r="G12" s="23"/>
      <c r="H12" s="24"/>
      <c r="J12" s="23"/>
      <c r="K12" s="21"/>
      <c r="L12" s="24"/>
      <c r="M12" s="24"/>
      <c r="N12" s="21"/>
      <c r="O12" s="23"/>
      <c r="Q12" s="21"/>
      <c r="R12" s="23"/>
      <c r="S12" s="23"/>
      <c r="T12" s="24"/>
      <c r="U12" s="23"/>
      <c r="V12" s="23"/>
      <c r="W12" s="23"/>
      <c r="X12" s="23"/>
      <c r="Y12" s="23"/>
      <c r="Z12" s="23"/>
    </row>
    <row r="13" spans="1:26">
      <c r="A13" s="23"/>
      <c r="B13" s="23"/>
      <c r="C13" s="23"/>
      <c r="E13" s="24"/>
      <c r="F13" s="23"/>
      <c r="G13" s="23"/>
      <c r="H13" s="24"/>
      <c r="J13" s="23"/>
      <c r="K13" s="21"/>
      <c r="L13" s="24"/>
      <c r="M13" s="24"/>
      <c r="N13" s="21"/>
      <c r="O13" s="23"/>
      <c r="Q13" s="21"/>
      <c r="R13" s="23"/>
      <c r="S13" s="23"/>
      <c r="T13" s="24"/>
      <c r="U13" s="23"/>
      <c r="V13" s="23"/>
      <c r="W13" s="23"/>
      <c r="X13" s="23"/>
      <c r="Y13" s="23"/>
      <c r="Z13" s="23"/>
    </row>
    <row r="14" spans="1:26">
      <c r="A14" s="23"/>
      <c r="B14" s="23"/>
      <c r="C14" s="23"/>
      <c r="E14" s="24"/>
      <c r="F14" s="23"/>
      <c r="G14" s="23"/>
      <c r="H14" s="24"/>
      <c r="J14" s="23"/>
      <c r="K14" s="21"/>
      <c r="L14" s="24"/>
      <c r="M14" s="24"/>
      <c r="N14" s="21"/>
      <c r="O14" s="23"/>
      <c r="Q14" s="21"/>
      <c r="R14" s="23"/>
      <c r="S14" s="23"/>
      <c r="T14" s="24"/>
      <c r="U14" s="23"/>
      <c r="V14" s="23"/>
      <c r="W14" s="23"/>
      <c r="X14" s="23"/>
      <c r="Y14" s="23"/>
      <c r="Z14" s="23"/>
    </row>
    <row r="15" spans="1:26">
      <c r="E15" s="24"/>
      <c r="H15" s="24"/>
      <c r="J15" s="23"/>
      <c r="K15" s="21"/>
      <c r="L15" s="24"/>
      <c r="M15" s="24"/>
      <c r="N15" s="21"/>
      <c r="O15" s="23"/>
      <c r="R15" s="23"/>
      <c r="S15" s="23"/>
    </row>
  </sheetData>
  <sheetProtection formatColumns="0"/>
  <customSheetViews>
    <customSheetView guid="{AE318230-F718-49FC-82EB-7CAC3DCD05F1}" showGridLines="0" hiddenRows="1" topLeftCell="P1">
      <selection activeCell="Z2" sqref="Z2"/>
      <pageMargins left="0.7" right="0.7" top="0.75" bottom="0.75" header="0.3" footer="0.3"/>
    </customSheetView>
  </customSheetViews>
  <dataValidations count="10">
    <dataValidation type="list" allowBlank="1" showInputMessage="1" showErrorMessage="1" sqref="L16:L1048576" xr:uid="{00000000-0002-0000-1300-000009000000}">
      <formula1>Country</formula1>
    </dataValidation>
    <dataValidation type="list" allowBlank="1" showInputMessage="1" showErrorMessage="1" sqref="J2:J15" xr:uid="{00000000-0002-0000-1300-000000000000}">
      <formula1>Fund_Strategy</formula1>
    </dataValidation>
    <dataValidation type="list" allowBlank="1" showInputMessage="1" showErrorMessage="1" sqref="K2:K15" xr:uid="{00000000-0002-0000-1300-000001000000}">
      <formula1>israel_abroad</formula1>
    </dataValidation>
    <dataValidation type="list" allowBlank="1" showInputMessage="1" showErrorMessage="1" sqref="O2:O15" xr:uid="{00000000-0002-0000-1300-000002000000}">
      <formula1>Holding_interest</formula1>
    </dataValidation>
    <dataValidation type="list" allowBlank="1" showInputMessage="1" showErrorMessage="1" sqref="R2:R15" xr:uid="{00000000-0002-0000-1300-000003000000}">
      <formula1>Valuation</formula1>
    </dataValidation>
    <dataValidation type="list" allowBlank="1" showInputMessage="1" showErrorMessage="1" sqref="S2:S15" xr:uid="{00000000-0002-0000-1300-000004000000}">
      <formula1>Dependence_Independence</formula1>
    </dataValidation>
    <dataValidation type="list" allowBlank="1" showInputMessage="1" showErrorMessage="1" sqref="L2:M15" xr:uid="{00000000-0002-0000-1300-000005000000}">
      <formula1>Country_list</formula1>
    </dataValidation>
    <dataValidation type="list" allowBlank="1" showInputMessage="1" showErrorMessage="1" sqref="E2:E15" xr:uid="{00000000-0002-0000-1300-000006000000}">
      <formula1>Issuer_Number_Fund</formula1>
    </dataValidation>
    <dataValidation type="list" allowBlank="1" showInputMessage="1" showErrorMessage="1" sqref="H2:H15" xr:uid="{00000000-0002-0000-1300-000007000000}">
      <formula1>Type_of_Security_ID_Fund</formula1>
    </dataValidation>
    <dataValidation type="list" allowBlank="1" showInputMessage="1" showErrorMessage="1" sqref="N2:N15" xr:uid="{00000000-0002-0000-1300-000008000000}">
      <formula1>Country_list_funds</formula1>
    </dataValidation>
  </dataValidations>
  <pageMargins left="0.7" right="0.7" top="0.75" bottom="0.75" header="0.3" footer="0.3"/>
  <pageSetup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A000000}">
          <x14:formula1>
            <xm:f>'אפשרויות בחירה'!$C$956:$C$963</xm:f>
          </x14:formula1>
          <xm:sqref>I2:I15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Sheet21"/>
  <dimension ref="A1:AC26"/>
  <sheetViews>
    <sheetView rightToLeft="1" workbookViewId="0">
      <selection activeCell="A2" sqref="A2"/>
    </sheetView>
  </sheetViews>
  <sheetFormatPr defaultColWidth="0" defaultRowHeight="14.25"/>
  <cols>
    <col min="1" max="4" width="11.625" style="3" customWidth="1"/>
    <col min="5" max="5" width="11.625" style="5" customWidth="1"/>
    <col min="6" max="10" width="11.625" style="3" customWidth="1"/>
    <col min="11" max="11" width="11.625" style="5" customWidth="1"/>
    <col min="12" max="23" width="11.625" style="3" customWidth="1"/>
    <col min="24" max="24" width="11" style="3" bestFit="1" customWidth="1"/>
    <col min="25" max="28" width="11.625" style="3" customWidth="1"/>
    <col min="29" max="29" width="11.625" style="3" hidden="1" customWidth="1"/>
    <col min="30" max="30" width="9" style="3" hidden="1" customWidth="1"/>
    <col min="31" max="16384" width="9" style="3" hidden="1"/>
  </cols>
  <sheetData>
    <row r="1" spans="1:28" ht="51">
      <c r="A1" s="22" t="s">
        <v>0</v>
      </c>
      <c r="B1" s="22" t="s">
        <v>1</v>
      </c>
      <c r="C1" s="22" t="s">
        <v>2</v>
      </c>
      <c r="D1" s="22" t="s">
        <v>47</v>
      </c>
      <c r="E1" s="22" t="s">
        <v>48</v>
      </c>
      <c r="F1" s="22" t="s">
        <v>3</v>
      </c>
      <c r="G1" s="22" t="s">
        <v>4</v>
      </c>
      <c r="H1" s="22" t="s">
        <v>49</v>
      </c>
      <c r="I1" s="22" t="s">
        <v>6</v>
      </c>
      <c r="J1" s="22" t="s">
        <v>7</v>
      </c>
      <c r="K1" s="22" t="s">
        <v>57</v>
      </c>
      <c r="L1" s="22" t="s">
        <v>60</v>
      </c>
      <c r="M1" s="22" t="s">
        <v>50</v>
      </c>
      <c r="N1" s="22" t="s">
        <v>61</v>
      </c>
      <c r="O1" s="22" t="s">
        <v>51</v>
      </c>
      <c r="P1" s="22" t="s">
        <v>81</v>
      </c>
      <c r="Q1" s="22" t="s">
        <v>11</v>
      </c>
      <c r="R1" s="22" t="s">
        <v>87</v>
      </c>
      <c r="S1" s="22" t="s">
        <v>88</v>
      </c>
      <c r="T1" s="22" t="s">
        <v>90</v>
      </c>
      <c r="U1" s="22" t="s">
        <v>62</v>
      </c>
      <c r="V1" s="22" t="s">
        <v>63</v>
      </c>
      <c r="W1" s="22" t="s">
        <v>17</v>
      </c>
      <c r="X1" s="22" t="s">
        <v>19</v>
      </c>
      <c r="Y1" s="22" t="s">
        <v>18</v>
      </c>
      <c r="Z1" s="22" t="s">
        <v>20</v>
      </c>
      <c r="AA1" s="22" t="s">
        <v>24</v>
      </c>
      <c r="AB1" s="22" t="s">
        <v>25</v>
      </c>
    </row>
    <row r="2" spans="1:28">
      <c r="A2" s="23"/>
      <c r="B2" s="23"/>
      <c r="C2" s="23"/>
      <c r="D2" s="23"/>
      <c r="E2" s="21"/>
      <c r="F2" s="23"/>
      <c r="G2" s="23"/>
      <c r="H2" s="23"/>
      <c r="I2" s="21"/>
      <c r="J2" s="21"/>
      <c r="K2" s="23"/>
      <c r="L2" s="24"/>
      <c r="M2" s="23"/>
      <c r="N2" s="23"/>
      <c r="O2" s="23"/>
      <c r="P2" s="23"/>
      <c r="Q2" s="21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</row>
    <row r="3" spans="1:28">
      <c r="A3" s="23"/>
      <c r="B3" s="23"/>
      <c r="C3" s="23"/>
      <c r="D3" s="23"/>
      <c r="E3" s="21"/>
      <c r="F3" s="23"/>
      <c r="G3" s="23"/>
      <c r="H3" s="23"/>
      <c r="I3" s="21"/>
      <c r="J3" s="21"/>
      <c r="K3" s="23"/>
      <c r="L3" s="23"/>
      <c r="M3" s="23"/>
      <c r="N3" s="23"/>
      <c r="O3" s="23"/>
      <c r="P3" s="23"/>
      <c r="Q3" s="21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</row>
    <row r="4" spans="1:28">
      <c r="A4" s="23"/>
      <c r="B4" s="23"/>
      <c r="C4" s="23"/>
      <c r="D4" s="23"/>
      <c r="E4" s="21"/>
      <c r="F4" s="23"/>
      <c r="G4" s="23"/>
      <c r="H4" s="23"/>
      <c r="I4" s="21"/>
      <c r="J4" s="21"/>
      <c r="K4" s="23"/>
      <c r="L4" s="23"/>
      <c r="M4" s="23"/>
      <c r="N4" s="23"/>
      <c r="O4" s="23"/>
      <c r="P4" s="23"/>
      <c r="Q4" s="21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</row>
    <row r="5" spans="1:28">
      <c r="A5" s="23"/>
      <c r="B5" s="23"/>
      <c r="C5" s="23"/>
      <c r="D5" s="23"/>
      <c r="E5" s="21"/>
      <c r="F5" s="23"/>
      <c r="G5" s="23"/>
      <c r="H5" s="23"/>
      <c r="I5" s="21"/>
      <c r="J5" s="21"/>
      <c r="K5" s="23"/>
      <c r="L5" s="23"/>
      <c r="M5" s="23"/>
      <c r="N5" s="23"/>
      <c r="O5" s="23"/>
      <c r="P5" s="23"/>
      <c r="Q5" s="21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</row>
    <row r="6" spans="1:28">
      <c r="A6" s="23"/>
      <c r="B6" s="23"/>
      <c r="C6" s="23"/>
      <c r="D6" s="23"/>
      <c r="E6" s="21"/>
      <c r="F6" s="23"/>
      <c r="G6" s="23"/>
      <c r="H6" s="23"/>
      <c r="I6" s="21"/>
      <c r="J6" s="21"/>
      <c r="K6" s="23"/>
      <c r="L6" s="23"/>
      <c r="M6" s="23"/>
      <c r="N6" s="23"/>
      <c r="O6" s="23"/>
      <c r="P6" s="23"/>
      <c r="Q6" s="21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</row>
    <row r="7" spans="1:28">
      <c r="A7" s="23"/>
      <c r="B7" s="23"/>
      <c r="C7" s="23"/>
      <c r="D7" s="23"/>
      <c r="E7" s="21"/>
      <c r="F7" s="23"/>
      <c r="G7" s="23"/>
      <c r="H7" s="23"/>
      <c r="I7" s="21"/>
      <c r="J7" s="21"/>
      <c r="K7" s="23"/>
      <c r="L7" s="23"/>
      <c r="M7" s="23"/>
      <c r="N7" s="23"/>
      <c r="O7" s="23"/>
      <c r="P7" s="23"/>
      <c r="Q7" s="21"/>
      <c r="R7" s="23"/>
      <c r="S7" s="23"/>
      <c r="T7" s="23"/>
      <c r="U7" s="23"/>
      <c r="V7" s="23"/>
      <c r="W7" s="23"/>
      <c r="X7" s="23"/>
      <c r="Y7" s="23"/>
      <c r="Z7" s="23"/>
      <c r="AA7" s="23"/>
      <c r="AB7" s="23"/>
    </row>
    <row r="8" spans="1:28">
      <c r="A8" s="23"/>
      <c r="B8" s="23"/>
      <c r="C8" s="23"/>
      <c r="D8" s="23"/>
      <c r="E8" s="21"/>
      <c r="F8" s="23"/>
      <c r="G8" s="23"/>
      <c r="H8" s="23"/>
      <c r="I8" s="21"/>
      <c r="J8" s="21"/>
      <c r="K8" s="23"/>
      <c r="L8" s="23"/>
      <c r="M8" s="23"/>
      <c r="N8" s="23"/>
      <c r="O8" s="23"/>
      <c r="P8" s="23"/>
      <c r="Q8" s="21"/>
      <c r="R8" s="23"/>
      <c r="S8" s="23"/>
      <c r="T8" s="23"/>
      <c r="U8" s="23"/>
      <c r="V8" s="23"/>
      <c r="W8" s="23"/>
      <c r="X8" s="23"/>
      <c r="Y8" s="23"/>
      <c r="Z8" s="23"/>
      <c r="AA8" s="23"/>
      <c r="AB8" s="23"/>
    </row>
    <row r="9" spans="1:28">
      <c r="A9" s="23"/>
      <c r="B9" s="23"/>
      <c r="C9" s="23"/>
      <c r="D9" s="23"/>
      <c r="E9" s="21"/>
      <c r="F9" s="23"/>
      <c r="G9" s="23"/>
      <c r="H9" s="23"/>
      <c r="I9" s="21"/>
      <c r="J9" s="21"/>
      <c r="K9" s="23"/>
      <c r="L9" s="23"/>
      <c r="M9" s="23"/>
      <c r="N9" s="23"/>
      <c r="O9" s="23"/>
      <c r="P9" s="23"/>
      <c r="Q9" s="21"/>
      <c r="R9" s="23"/>
      <c r="S9" s="23"/>
      <c r="T9" s="23"/>
      <c r="U9" s="23"/>
      <c r="V9" s="23"/>
      <c r="W9" s="23"/>
      <c r="X9" s="23"/>
      <c r="Y9" s="23"/>
      <c r="Z9" s="23"/>
      <c r="AA9" s="23"/>
      <c r="AB9" s="23"/>
    </row>
    <row r="10" spans="1:28">
      <c r="A10" s="23"/>
      <c r="B10" s="23"/>
      <c r="C10" s="23"/>
      <c r="D10" s="23"/>
      <c r="E10" s="21"/>
      <c r="F10" s="23"/>
      <c r="G10" s="23"/>
      <c r="H10" s="23"/>
      <c r="I10" s="21"/>
      <c r="J10" s="21"/>
      <c r="K10" s="23"/>
      <c r="L10" s="23"/>
      <c r="M10" s="23"/>
      <c r="N10" s="23"/>
      <c r="O10" s="23"/>
      <c r="P10" s="23"/>
      <c r="Q10" s="21"/>
      <c r="R10" s="23"/>
      <c r="S10" s="23"/>
      <c r="T10" s="23"/>
      <c r="U10" s="23"/>
      <c r="V10" s="23"/>
      <c r="W10" s="23"/>
      <c r="X10" s="23"/>
      <c r="Y10" s="23"/>
      <c r="Z10" s="23"/>
      <c r="AA10" s="23"/>
      <c r="AB10" s="23"/>
    </row>
    <row r="11" spans="1:28">
      <c r="A11" s="23"/>
      <c r="B11" s="23"/>
      <c r="C11" s="23"/>
      <c r="D11" s="23"/>
      <c r="E11" s="21"/>
      <c r="F11" s="23"/>
      <c r="G11" s="23"/>
      <c r="H11" s="23"/>
      <c r="I11" s="21"/>
      <c r="J11" s="21"/>
      <c r="K11" s="23"/>
      <c r="L11" s="23"/>
      <c r="M11" s="23"/>
      <c r="N11" s="23"/>
      <c r="O11" s="23"/>
      <c r="P11" s="23"/>
      <c r="Q11" s="21"/>
      <c r="R11" s="23"/>
      <c r="S11" s="23"/>
      <c r="T11" s="23"/>
      <c r="U11" s="23"/>
      <c r="V11" s="23"/>
      <c r="W11" s="23"/>
      <c r="X11" s="23"/>
      <c r="Y11" s="23"/>
      <c r="Z11" s="23"/>
      <c r="AA11" s="23"/>
      <c r="AB11" s="23"/>
    </row>
    <row r="12" spans="1:28">
      <c r="A12" s="23"/>
      <c r="B12" s="23"/>
      <c r="C12" s="23"/>
      <c r="D12" s="23"/>
      <c r="E12" s="21"/>
      <c r="F12" s="23"/>
      <c r="G12" s="23"/>
      <c r="H12" s="23"/>
      <c r="I12" s="21"/>
      <c r="J12" s="21"/>
      <c r="K12" s="23"/>
      <c r="L12" s="23"/>
      <c r="M12" s="23"/>
      <c r="N12" s="23"/>
      <c r="O12" s="23"/>
      <c r="P12" s="23"/>
      <c r="Q12" s="21"/>
      <c r="R12" s="23"/>
      <c r="S12" s="23"/>
      <c r="T12" s="23"/>
      <c r="U12" s="23"/>
      <c r="V12" s="23"/>
      <c r="W12" s="23"/>
      <c r="X12" s="23"/>
      <c r="Y12" s="23"/>
      <c r="Z12" s="23"/>
      <c r="AA12" s="23"/>
      <c r="AB12" s="23"/>
    </row>
    <row r="13" spans="1:28">
      <c r="A13" s="23"/>
      <c r="B13" s="23"/>
      <c r="C13" s="23"/>
      <c r="D13" s="23"/>
      <c r="E13" s="21"/>
      <c r="F13" s="23"/>
      <c r="G13" s="23"/>
      <c r="H13" s="23"/>
      <c r="I13" s="21"/>
      <c r="J13" s="21"/>
      <c r="K13" s="23"/>
      <c r="L13" s="23"/>
      <c r="M13" s="23"/>
      <c r="N13" s="23"/>
      <c r="O13" s="23"/>
      <c r="P13" s="23"/>
      <c r="Q13" s="21"/>
      <c r="R13" s="23"/>
      <c r="S13" s="23"/>
      <c r="T13" s="23"/>
      <c r="U13" s="23"/>
      <c r="V13" s="23"/>
      <c r="W13" s="23"/>
      <c r="X13" s="23"/>
      <c r="Y13" s="23"/>
      <c r="Z13" s="23"/>
      <c r="AA13" s="23"/>
      <c r="AB13" s="23"/>
    </row>
    <row r="14" spans="1:28">
      <c r="A14" s="23"/>
      <c r="B14" s="23"/>
      <c r="C14" s="23"/>
      <c r="D14" s="23"/>
      <c r="E14" s="21"/>
      <c r="F14" s="23"/>
      <c r="G14" s="23"/>
      <c r="H14" s="23"/>
      <c r="I14" s="21"/>
      <c r="J14" s="21"/>
      <c r="K14" s="23"/>
      <c r="L14" s="23"/>
      <c r="M14" s="23"/>
      <c r="N14" s="23"/>
      <c r="O14" s="23"/>
      <c r="P14" s="23"/>
      <c r="Q14" s="21"/>
      <c r="R14" s="23"/>
      <c r="S14" s="23"/>
      <c r="T14" s="23"/>
      <c r="U14" s="23"/>
      <c r="V14" s="23"/>
      <c r="W14" s="23"/>
      <c r="X14" s="23"/>
      <c r="Y14" s="23"/>
      <c r="Z14" s="23"/>
      <c r="AA14" s="23"/>
      <c r="AB14" s="23"/>
    </row>
    <row r="15" spans="1:28">
      <c r="A15" s="23"/>
      <c r="B15" s="23"/>
      <c r="C15" s="23"/>
      <c r="D15" s="23"/>
      <c r="E15" s="21"/>
      <c r="F15" s="23"/>
      <c r="G15" s="23"/>
      <c r="H15" s="23"/>
      <c r="I15" s="21"/>
      <c r="J15" s="21"/>
      <c r="K15" s="23"/>
      <c r="L15" s="23"/>
      <c r="M15" s="23"/>
      <c r="N15" s="23"/>
      <c r="O15" s="23"/>
      <c r="P15" s="23"/>
      <c r="Q15" s="21"/>
      <c r="R15" s="23"/>
      <c r="S15" s="23"/>
      <c r="T15" s="23"/>
      <c r="U15" s="23"/>
      <c r="V15" s="23"/>
      <c r="W15" s="23"/>
      <c r="X15" s="23"/>
      <c r="Y15" s="23"/>
      <c r="Z15" s="23"/>
      <c r="AA15" s="23"/>
      <c r="AB15" s="23"/>
    </row>
    <row r="16" spans="1:28">
      <c r="A16" s="23"/>
      <c r="B16" s="23"/>
      <c r="C16" s="23"/>
      <c r="D16" s="23"/>
      <c r="E16" s="21"/>
      <c r="F16" s="23"/>
      <c r="G16" s="23"/>
      <c r="H16" s="23"/>
      <c r="I16" s="21"/>
      <c r="J16" s="21"/>
      <c r="K16" s="23"/>
      <c r="L16" s="23"/>
      <c r="M16" s="23"/>
      <c r="N16" s="23"/>
      <c r="O16" s="23"/>
      <c r="P16" s="23"/>
      <c r="Q16" s="21"/>
      <c r="R16" s="23"/>
      <c r="S16" s="23"/>
      <c r="T16" s="23"/>
      <c r="U16" s="23"/>
      <c r="V16" s="23"/>
      <c r="W16" s="23"/>
      <c r="X16" s="23"/>
      <c r="Y16" s="23"/>
      <c r="Z16" s="23"/>
      <c r="AA16" s="23"/>
      <c r="AB16" s="23"/>
    </row>
    <row r="17" spans="1:28">
      <c r="A17" s="23"/>
      <c r="B17" s="23"/>
      <c r="C17" s="23"/>
      <c r="D17" s="23"/>
      <c r="E17" s="21"/>
      <c r="F17" s="23"/>
      <c r="G17" s="23"/>
      <c r="H17" s="23"/>
      <c r="I17" s="21"/>
      <c r="J17" s="21"/>
      <c r="K17" s="23"/>
      <c r="L17" s="23"/>
      <c r="M17" s="23"/>
      <c r="N17" s="23"/>
      <c r="O17" s="23"/>
      <c r="P17" s="23"/>
      <c r="Q17" s="21"/>
      <c r="R17" s="23"/>
      <c r="S17" s="23"/>
      <c r="T17" s="23"/>
      <c r="U17" s="23"/>
      <c r="V17" s="23"/>
      <c r="W17" s="23"/>
      <c r="X17" s="23"/>
      <c r="Y17" s="23"/>
      <c r="Z17" s="23"/>
      <c r="AA17" s="23"/>
      <c r="AB17" s="23"/>
    </row>
    <row r="18" spans="1:28">
      <c r="A18" s="23"/>
      <c r="B18" s="23"/>
      <c r="C18" s="23"/>
      <c r="D18" s="23"/>
      <c r="E18" s="21"/>
      <c r="F18" s="23"/>
      <c r="G18" s="23"/>
      <c r="H18" s="23"/>
      <c r="I18" s="21"/>
      <c r="J18" s="21"/>
      <c r="K18" s="23"/>
      <c r="L18" s="23"/>
      <c r="M18" s="23"/>
      <c r="N18" s="23"/>
      <c r="O18" s="23"/>
      <c r="P18" s="23"/>
      <c r="Q18" s="21"/>
      <c r="R18" s="23"/>
      <c r="S18" s="23"/>
      <c r="T18" s="23"/>
      <c r="U18" s="23"/>
      <c r="V18" s="23"/>
      <c r="W18" s="23"/>
      <c r="X18" s="23"/>
      <c r="Y18" s="23"/>
      <c r="Z18" s="23"/>
      <c r="AA18" s="23"/>
      <c r="AB18" s="23"/>
    </row>
    <row r="19" spans="1:28">
      <c r="A19" s="23"/>
      <c r="B19" s="23"/>
      <c r="C19" s="23"/>
      <c r="D19" s="23"/>
      <c r="E19" s="21"/>
      <c r="F19" s="23"/>
      <c r="G19" s="23"/>
      <c r="H19" s="23"/>
      <c r="I19" s="21"/>
      <c r="J19" s="21"/>
      <c r="K19" s="23"/>
      <c r="L19" s="23"/>
      <c r="M19" s="23"/>
      <c r="N19" s="23"/>
      <c r="O19" s="23"/>
      <c r="P19" s="23"/>
      <c r="Q19" s="21"/>
      <c r="R19" s="23"/>
      <c r="S19" s="23"/>
      <c r="T19" s="23"/>
      <c r="U19" s="23"/>
      <c r="V19" s="23"/>
      <c r="W19" s="23"/>
      <c r="X19" s="23"/>
      <c r="Y19" s="23"/>
      <c r="Z19" s="23"/>
      <c r="AA19" s="23"/>
      <c r="AB19" s="23"/>
    </row>
    <row r="20" spans="1:28">
      <c r="E20" s="21"/>
      <c r="H20" s="23"/>
      <c r="I20" s="21"/>
      <c r="J20" s="21"/>
      <c r="K20" s="23"/>
      <c r="M20" s="23"/>
      <c r="O20" s="23"/>
      <c r="S20" s="23"/>
    </row>
    <row r="23" spans="1:28">
      <c r="H23" s="42"/>
    </row>
    <row r="24" spans="1:28">
      <c r="H24" s="42"/>
      <c r="K24" s="3"/>
    </row>
    <row r="25" spans="1:28">
      <c r="H25" s="42"/>
    </row>
    <row r="26" spans="1:28">
      <c r="H26" s="42"/>
    </row>
  </sheetData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0">
    <dataValidation type="list" allowBlank="1" showInputMessage="1" showErrorMessage="1" sqref="I2:I20" xr:uid="{00000000-0002-0000-1400-000000000000}">
      <formula1>israel_abroad</formula1>
    </dataValidation>
    <dataValidation type="list" allowBlank="1" showInputMessage="1" showErrorMessage="1" sqref="O2:O20" xr:uid="{00000000-0002-0000-1400-000001000000}">
      <formula1>Holding_interest</formula1>
    </dataValidation>
    <dataValidation type="list" allowBlank="1" showInputMessage="1" showErrorMessage="1" sqref="R2:R19" xr:uid="{00000000-0002-0000-1400-000002000000}">
      <formula1>Valuation</formula1>
    </dataValidation>
    <dataValidation type="list" allowBlank="1" showInputMessage="1" showErrorMessage="1" sqref="S2:S20" xr:uid="{00000000-0002-0000-1400-000003000000}">
      <formula1>Dependence_Independence</formula1>
    </dataValidation>
    <dataValidation type="list" allowBlank="1" showInputMessage="1" showErrorMessage="1" sqref="J2:J20" xr:uid="{00000000-0002-0000-1400-000004000000}">
      <formula1>Country_list</formula1>
    </dataValidation>
    <dataValidation type="list" allowBlank="1" showInputMessage="1" showErrorMessage="1" sqref="H2:H20" xr:uid="{00000000-0002-0000-1400-000005000000}">
      <formula1>Type_of_Security_ID</formula1>
    </dataValidation>
    <dataValidation type="list" allowBlank="1" showInputMessage="1" showErrorMessage="1" sqref="E2" xr:uid="{00000000-0002-0000-1400-000006000000}">
      <formula1>Issuer_Number_Type_3</formula1>
    </dataValidation>
    <dataValidation type="list" allowBlank="1" showInputMessage="1" showErrorMessage="1" sqref="E3:E20" xr:uid="{00000000-0002-0000-1400-000007000000}">
      <formula1>Issuer_Number_Type_2</formula1>
    </dataValidation>
    <dataValidation type="list" allowBlank="1" showInputMessage="1" showErrorMessage="1" sqref="M2:M20" xr:uid="{00000000-0002-0000-1400-000008000000}">
      <formula1>Industry_Sector</formula1>
    </dataValidation>
    <dataValidation type="list" allowBlank="1" showInputMessage="1" showErrorMessage="1" sqref="K2:K20" xr:uid="{00000000-0002-0000-1400-000009000000}">
      <formula1>tradeable_status_warrants_v2</formula1>
    </dataValidation>
  </dataValidation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Sheet22"/>
  <dimension ref="A1:AC26"/>
  <sheetViews>
    <sheetView rightToLeft="1" workbookViewId="0">
      <selection activeCell="A2" sqref="A2"/>
    </sheetView>
  </sheetViews>
  <sheetFormatPr defaultColWidth="0" defaultRowHeight="14.25"/>
  <cols>
    <col min="1" max="4" width="11.625" style="3" customWidth="1"/>
    <col min="5" max="5" width="11.625" style="5" customWidth="1"/>
    <col min="6" max="23" width="11.625" style="3" customWidth="1"/>
    <col min="24" max="24" width="11" style="3" bestFit="1" customWidth="1"/>
    <col min="25" max="25" width="8.625" style="3" bestFit="1" customWidth="1"/>
    <col min="26" max="28" width="11.625" style="3" customWidth="1"/>
    <col min="29" max="29" width="11.625" style="3" hidden="1" customWidth="1"/>
    <col min="30" max="30" width="9" style="3" hidden="1" customWidth="1"/>
    <col min="31" max="16384" width="9" style="3" hidden="1"/>
  </cols>
  <sheetData>
    <row r="1" spans="1:28" ht="51">
      <c r="A1" s="22" t="s">
        <v>0</v>
      </c>
      <c r="B1" s="22" t="s">
        <v>1</v>
      </c>
      <c r="C1" s="22" t="s">
        <v>2</v>
      </c>
      <c r="D1" s="22" t="s">
        <v>47</v>
      </c>
      <c r="E1" s="22" t="s">
        <v>48</v>
      </c>
      <c r="F1" s="22" t="s">
        <v>3</v>
      </c>
      <c r="G1" s="22" t="s">
        <v>4</v>
      </c>
      <c r="H1" s="22" t="s">
        <v>49</v>
      </c>
      <c r="I1" s="22" t="s">
        <v>5</v>
      </c>
      <c r="J1" s="22" t="s">
        <v>6</v>
      </c>
      <c r="K1" s="22" t="s">
        <v>7</v>
      </c>
      <c r="L1" s="22" t="s">
        <v>50</v>
      </c>
      <c r="M1" s="22" t="s">
        <v>64</v>
      </c>
      <c r="N1" s="22" t="s">
        <v>61</v>
      </c>
      <c r="O1" s="22" t="s">
        <v>51</v>
      </c>
      <c r="P1" s="22" t="s">
        <v>81</v>
      </c>
      <c r="Q1" s="22" t="s">
        <v>11</v>
      </c>
      <c r="R1" s="22" t="s">
        <v>87</v>
      </c>
      <c r="S1" s="22" t="s">
        <v>88</v>
      </c>
      <c r="T1" s="22" t="s">
        <v>90</v>
      </c>
      <c r="U1" s="22" t="s">
        <v>62</v>
      </c>
      <c r="V1" s="22" t="s">
        <v>63</v>
      </c>
      <c r="W1" s="22" t="s">
        <v>17</v>
      </c>
      <c r="X1" s="22" t="s">
        <v>19</v>
      </c>
      <c r="Y1" s="22" t="s">
        <v>18</v>
      </c>
      <c r="Z1" s="22" t="s">
        <v>201</v>
      </c>
      <c r="AA1" s="22" t="s">
        <v>24</v>
      </c>
      <c r="AB1" s="22" t="s">
        <v>25</v>
      </c>
    </row>
    <row r="2" spans="1:28">
      <c r="A2" s="23"/>
      <c r="B2" s="23"/>
      <c r="C2" s="23"/>
      <c r="D2" s="23"/>
      <c r="E2" s="21"/>
      <c r="F2" s="23"/>
      <c r="G2" s="23"/>
      <c r="H2" s="23"/>
      <c r="I2" s="23"/>
      <c r="J2" s="21"/>
      <c r="K2" s="21"/>
      <c r="L2" s="23"/>
      <c r="M2" s="23"/>
      <c r="N2" s="23"/>
      <c r="O2" s="23"/>
      <c r="P2" s="23"/>
      <c r="Q2" s="21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</row>
    <row r="3" spans="1:28">
      <c r="A3" s="23"/>
      <c r="B3" s="23"/>
      <c r="C3" s="23"/>
      <c r="D3" s="23"/>
      <c r="E3" s="21"/>
      <c r="F3" s="23"/>
      <c r="G3" s="23"/>
      <c r="H3" s="23"/>
      <c r="I3" s="23"/>
      <c r="J3" s="21"/>
      <c r="K3" s="21"/>
      <c r="L3" s="23"/>
      <c r="M3" s="23"/>
      <c r="N3" s="23"/>
      <c r="O3" s="23"/>
      <c r="P3" s="23"/>
      <c r="Q3" s="21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</row>
    <row r="4" spans="1:28">
      <c r="A4" s="23"/>
      <c r="B4" s="23"/>
      <c r="C4" s="23"/>
      <c r="D4" s="23"/>
      <c r="E4" s="21"/>
      <c r="F4" s="23"/>
      <c r="G4" s="23"/>
      <c r="H4" s="23"/>
      <c r="I4" s="23"/>
      <c r="J4" s="21"/>
      <c r="K4" s="21"/>
      <c r="L4" s="23"/>
      <c r="M4" s="23"/>
      <c r="N4" s="23"/>
      <c r="O4" s="23"/>
      <c r="P4" s="23"/>
      <c r="Q4" s="21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</row>
    <row r="5" spans="1:28">
      <c r="A5" s="23"/>
      <c r="B5" s="23"/>
      <c r="C5" s="23"/>
      <c r="D5" s="23"/>
      <c r="E5" s="21"/>
      <c r="F5" s="23"/>
      <c r="G5" s="23"/>
      <c r="H5" s="23"/>
      <c r="I5" s="23"/>
      <c r="J5" s="21"/>
      <c r="K5" s="21"/>
      <c r="L5" s="23"/>
      <c r="M5" s="23"/>
      <c r="N5" s="23"/>
      <c r="O5" s="23"/>
      <c r="P5" s="23"/>
      <c r="Q5" s="21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</row>
    <row r="6" spans="1:28">
      <c r="A6" s="23"/>
      <c r="B6" s="23"/>
      <c r="C6" s="23"/>
      <c r="D6" s="23"/>
      <c r="E6" s="21"/>
      <c r="F6" s="23"/>
      <c r="G6" s="23"/>
      <c r="H6" s="23"/>
      <c r="I6" s="23"/>
      <c r="J6" s="21"/>
      <c r="K6" s="21"/>
      <c r="L6" s="23"/>
      <c r="M6" s="23"/>
      <c r="N6" s="23"/>
      <c r="O6" s="23"/>
      <c r="P6" s="23"/>
      <c r="Q6" s="21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</row>
    <row r="7" spans="1:28">
      <c r="A7" s="23"/>
      <c r="B7" s="23"/>
      <c r="C7" s="23"/>
      <c r="D7" s="23"/>
      <c r="E7" s="21"/>
      <c r="F7" s="23"/>
      <c r="G7" s="23"/>
      <c r="H7" s="23"/>
      <c r="I7" s="23"/>
      <c r="J7" s="21"/>
      <c r="K7" s="21"/>
      <c r="L7" s="23"/>
      <c r="M7" s="23"/>
      <c r="N7" s="23"/>
      <c r="O7" s="23"/>
      <c r="P7" s="23"/>
      <c r="Q7" s="21"/>
      <c r="R7" s="23"/>
      <c r="S7" s="23"/>
      <c r="T7" s="23"/>
      <c r="U7" s="23"/>
      <c r="V7" s="23"/>
      <c r="W7" s="23"/>
      <c r="X7" s="23"/>
      <c r="Y7" s="23"/>
      <c r="Z7" s="23"/>
      <c r="AA7" s="23"/>
      <c r="AB7" s="23"/>
    </row>
    <row r="8" spans="1:28">
      <c r="A8" s="23"/>
      <c r="B8" s="23"/>
      <c r="C8" s="23"/>
      <c r="D8" s="23"/>
      <c r="E8" s="21"/>
      <c r="F8" s="23"/>
      <c r="G8" s="23"/>
      <c r="H8" s="23"/>
      <c r="I8" s="23"/>
      <c r="J8" s="21"/>
      <c r="K8" s="21"/>
      <c r="L8" s="23"/>
      <c r="M8" s="23"/>
      <c r="N8" s="23"/>
      <c r="O8" s="23"/>
      <c r="P8" s="23"/>
      <c r="Q8" s="21"/>
      <c r="R8" s="23"/>
      <c r="S8" s="23"/>
      <c r="T8" s="23"/>
      <c r="U8" s="23"/>
      <c r="V8" s="23"/>
      <c r="W8" s="23"/>
      <c r="X8" s="23"/>
      <c r="Y8" s="23"/>
      <c r="Z8" s="23"/>
      <c r="AA8" s="23"/>
      <c r="AB8" s="23"/>
    </row>
    <row r="9" spans="1:28">
      <c r="A9" s="23"/>
      <c r="B9" s="23"/>
      <c r="C9" s="23"/>
      <c r="D9" s="23"/>
      <c r="E9" s="21"/>
      <c r="F9" s="23"/>
      <c r="G9" s="23"/>
      <c r="H9" s="23"/>
      <c r="I9" s="23"/>
      <c r="J9" s="21"/>
      <c r="K9" s="21"/>
      <c r="L9" s="23"/>
      <c r="M9" s="23"/>
      <c r="N9" s="23"/>
      <c r="O9" s="23"/>
      <c r="P9" s="23"/>
      <c r="Q9" s="21"/>
      <c r="R9" s="23"/>
      <c r="S9" s="23"/>
      <c r="T9" s="23"/>
      <c r="U9" s="23"/>
      <c r="V9" s="23"/>
      <c r="W9" s="23"/>
      <c r="X9" s="23"/>
      <c r="Y9" s="23"/>
      <c r="Z9" s="23"/>
      <c r="AA9" s="23"/>
      <c r="AB9" s="23"/>
    </row>
    <row r="10" spans="1:28">
      <c r="A10" s="23"/>
      <c r="B10" s="23"/>
      <c r="C10" s="23"/>
      <c r="D10" s="23"/>
      <c r="E10" s="21"/>
      <c r="F10" s="23"/>
      <c r="G10" s="23"/>
      <c r="H10" s="23"/>
      <c r="I10" s="23"/>
      <c r="J10" s="21"/>
      <c r="K10" s="21"/>
      <c r="L10" s="23"/>
      <c r="M10" s="23"/>
      <c r="N10" s="23"/>
      <c r="O10" s="23"/>
      <c r="P10" s="23"/>
      <c r="Q10" s="21"/>
      <c r="R10" s="23"/>
      <c r="S10" s="23"/>
      <c r="T10" s="23"/>
      <c r="U10" s="23"/>
      <c r="V10" s="23"/>
      <c r="W10" s="23"/>
      <c r="X10" s="23"/>
      <c r="Y10" s="23"/>
      <c r="Z10" s="23"/>
      <c r="AA10" s="23"/>
      <c r="AB10" s="23"/>
    </row>
    <row r="11" spans="1:28">
      <c r="A11" s="23"/>
      <c r="B11" s="23"/>
      <c r="C11" s="23"/>
      <c r="D11" s="23"/>
      <c r="E11" s="21"/>
      <c r="F11" s="23"/>
      <c r="G11" s="23"/>
      <c r="H11" s="23"/>
      <c r="I11" s="23"/>
      <c r="J11" s="21"/>
      <c r="K11" s="21"/>
      <c r="L11" s="23"/>
      <c r="M11" s="23"/>
      <c r="N11" s="23"/>
      <c r="O11" s="23"/>
      <c r="P11" s="23"/>
      <c r="Q11" s="21"/>
      <c r="R11" s="23"/>
      <c r="S11" s="23"/>
      <c r="T11" s="23"/>
      <c r="U11" s="23"/>
      <c r="V11" s="23"/>
      <c r="W11" s="23"/>
      <c r="X11" s="23"/>
      <c r="Y11" s="23"/>
      <c r="Z11" s="23"/>
      <c r="AA11" s="23"/>
      <c r="AB11" s="23"/>
    </row>
    <row r="12" spans="1:28">
      <c r="A12" s="23"/>
      <c r="B12" s="23"/>
      <c r="C12" s="23"/>
      <c r="D12" s="23"/>
      <c r="E12" s="21"/>
      <c r="F12" s="23"/>
      <c r="G12" s="23"/>
      <c r="H12" s="23"/>
      <c r="I12" s="23"/>
      <c r="J12" s="21"/>
      <c r="K12" s="21"/>
      <c r="L12" s="23"/>
      <c r="M12" s="23"/>
      <c r="N12" s="23"/>
      <c r="O12" s="23"/>
      <c r="P12" s="23"/>
      <c r="Q12" s="21"/>
      <c r="R12" s="23"/>
      <c r="S12" s="23"/>
      <c r="T12" s="23"/>
      <c r="U12" s="23"/>
      <c r="V12" s="23"/>
      <c r="W12" s="23"/>
      <c r="X12" s="23"/>
      <c r="Y12" s="23"/>
      <c r="Z12" s="23"/>
      <c r="AA12" s="23"/>
      <c r="AB12" s="23"/>
    </row>
    <row r="13" spans="1:28">
      <c r="A13" s="23"/>
      <c r="B13" s="23"/>
      <c r="C13" s="23"/>
      <c r="D13" s="23"/>
      <c r="E13" s="21"/>
      <c r="F13" s="23"/>
      <c r="G13" s="23"/>
      <c r="H13" s="23"/>
      <c r="I13" s="23"/>
      <c r="J13" s="21"/>
      <c r="K13" s="21"/>
      <c r="L13" s="23"/>
      <c r="M13" s="23"/>
      <c r="N13" s="23"/>
      <c r="O13" s="23"/>
      <c r="P13" s="23"/>
      <c r="Q13" s="21"/>
      <c r="R13" s="23"/>
      <c r="S13" s="23"/>
      <c r="T13" s="23"/>
      <c r="U13" s="23"/>
      <c r="V13" s="23"/>
      <c r="W13" s="23"/>
      <c r="X13" s="23"/>
      <c r="Y13" s="23"/>
      <c r="Z13" s="23"/>
      <c r="AA13" s="23"/>
      <c r="AB13" s="23"/>
    </row>
    <row r="14" spans="1:28">
      <c r="A14" s="23"/>
      <c r="B14" s="23"/>
      <c r="C14" s="23"/>
      <c r="D14" s="23"/>
      <c r="E14" s="21"/>
      <c r="F14" s="23"/>
      <c r="G14" s="23"/>
      <c r="H14" s="23"/>
      <c r="I14" s="23"/>
      <c r="J14" s="21"/>
      <c r="K14" s="21"/>
      <c r="L14" s="23"/>
      <c r="M14" s="23"/>
      <c r="N14" s="23"/>
      <c r="O14" s="23"/>
      <c r="P14" s="23"/>
      <c r="Q14" s="21"/>
      <c r="R14" s="23"/>
      <c r="S14" s="23"/>
      <c r="T14" s="23"/>
      <c r="U14" s="23"/>
      <c r="V14" s="23"/>
      <c r="W14" s="23"/>
      <c r="X14" s="23"/>
      <c r="Y14" s="23"/>
      <c r="Z14" s="23"/>
      <c r="AA14" s="23"/>
      <c r="AB14" s="23"/>
    </row>
    <row r="15" spans="1:28">
      <c r="A15" s="23"/>
      <c r="B15" s="23"/>
      <c r="C15" s="23"/>
      <c r="D15" s="23"/>
      <c r="E15" s="21"/>
      <c r="F15" s="23"/>
      <c r="G15" s="23"/>
      <c r="H15" s="23"/>
      <c r="I15" s="23"/>
      <c r="J15" s="21"/>
      <c r="K15" s="21"/>
      <c r="L15" s="23"/>
      <c r="M15" s="23"/>
      <c r="N15" s="23"/>
      <c r="O15" s="23"/>
      <c r="P15" s="23"/>
      <c r="Q15" s="21"/>
      <c r="R15" s="23"/>
      <c r="S15" s="23"/>
      <c r="T15" s="23"/>
      <c r="U15" s="23"/>
      <c r="V15" s="23"/>
      <c r="W15" s="23"/>
      <c r="X15" s="23"/>
      <c r="Y15" s="23"/>
      <c r="Z15" s="23"/>
      <c r="AA15" s="23"/>
      <c r="AB15" s="23"/>
    </row>
    <row r="16" spans="1:28">
      <c r="A16" s="23"/>
      <c r="B16" s="23"/>
      <c r="C16" s="23"/>
      <c r="D16" s="23"/>
      <c r="E16" s="21"/>
      <c r="F16" s="23"/>
      <c r="G16" s="23"/>
      <c r="H16" s="23"/>
      <c r="I16" s="23"/>
      <c r="J16" s="21"/>
      <c r="K16" s="21"/>
      <c r="L16" s="23"/>
      <c r="M16" s="23"/>
      <c r="N16" s="23"/>
      <c r="O16" s="23"/>
      <c r="P16" s="23"/>
      <c r="Q16" s="21"/>
      <c r="R16" s="23"/>
      <c r="S16" s="23"/>
      <c r="T16" s="23"/>
      <c r="U16" s="23"/>
      <c r="V16" s="23"/>
      <c r="W16" s="23"/>
      <c r="X16" s="23"/>
      <c r="Y16" s="23"/>
      <c r="Z16" s="23"/>
      <c r="AA16" s="23"/>
      <c r="AB16" s="23"/>
    </row>
    <row r="17" spans="1:28">
      <c r="A17" s="23"/>
      <c r="B17" s="23"/>
      <c r="C17" s="23"/>
      <c r="D17" s="23"/>
      <c r="E17" s="21"/>
      <c r="F17" s="23"/>
      <c r="G17" s="23"/>
      <c r="H17" s="23"/>
      <c r="I17" s="23"/>
      <c r="J17" s="21"/>
      <c r="K17" s="21"/>
      <c r="L17" s="23"/>
      <c r="M17" s="23"/>
      <c r="N17" s="23"/>
      <c r="O17" s="23"/>
      <c r="P17" s="23"/>
      <c r="Q17" s="21"/>
      <c r="R17" s="23"/>
      <c r="S17" s="23"/>
      <c r="T17" s="23"/>
      <c r="U17" s="23"/>
      <c r="V17" s="23"/>
      <c r="W17" s="23"/>
      <c r="X17" s="23"/>
      <c r="Y17" s="23"/>
      <c r="Z17" s="23"/>
      <c r="AA17" s="23"/>
      <c r="AB17" s="23"/>
    </row>
    <row r="18" spans="1:28">
      <c r="A18" s="23"/>
      <c r="B18" s="23"/>
      <c r="C18" s="23"/>
      <c r="D18" s="23"/>
      <c r="E18" s="21"/>
      <c r="F18" s="23"/>
      <c r="G18" s="23"/>
      <c r="H18" s="23"/>
      <c r="I18" s="23"/>
      <c r="J18" s="21"/>
      <c r="K18" s="21"/>
      <c r="L18" s="23"/>
      <c r="M18" s="23"/>
      <c r="N18" s="23"/>
      <c r="O18" s="23"/>
      <c r="P18" s="23"/>
      <c r="Q18" s="21"/>
      <c r="R18" s="23"/>
      <c r="S18" s="23"/>
      <c r="T18" s="23"/>
      <c r="U18" s="23"/>
      <c r="V18" s="23"/>
      <c r="W18" s="23"/>
      <c r="X18" s="23"/>
      <c r="Y18" s="23"/>
      <c r="Z18" s="23"/>
      <c r="AA18" s="23"/>
      <c r="AB18" s="23"/>
    </row>
    <row r="19" spans="1:28">
      <c r="A19" s="23"/>
      <c r="B19" s="23"/>
      <c r="C19" s="23"/>
      <c r="D19" s="23"/>
      <c r="E19" s="21"/>
      <c r="F19" s="23"/>
      <c r="G19" s="23"/>
      <c r="H19" s="23"/>
      <c r="I19" s="23"/>
      <c r="J19" s="21"/>
      <c r="K19" s="21"/>
      <c r="L19" s="23"/>
      <c r="M19" s="23"/>
      <c r="N19" s="23"/>
      <c r="O19" s="23"/>
      <c r="P19" s="23"/>
      <c r="Q19" s="21"/>
      <c r="R19" s="23"/>
      <c r="S19" s="23"/>
      <c r="T19" s="23"/>
      <c r="U19" s="23"/>
      <c r="V19" s="23"/>
      <c r="W19" s="23"/>
      <c r="X19" s="23"/>
      <c r="Y19" s="23"/>
      <c r="Z19" s="23"/>
      <c r="AA19" s="23"/>
      <c r="AB19" s="23"/>
    </row>
    <row r="20" spans="1:28">
      <c r="E20" s="21"/>
      <c r="H20" s="23"/>
      <c r="I20" s="23"/>
      <c r="J20" s="21"/>
      <c r="K20" s="21"/>
      <c r="L20" s="23"/>
      <c r="M20" s="23"/>
      <c r="O20" s="23"/>
      <c r="R20" s="23"/>
      <c r="S20" s="23"/>
    </row>
    <row r="21" spans="1:28" s="42" customFormat="1">
      <c r="H21" s="41"/>
    </row>
    <row r="23" spans="1:28">
      <c r="H23" s="42"/>
    </row>
    <row r="24" spans="1:28">
      <c r="H24" s="42"/>
    </row>
    <row r="25" spans="1:28">
      <c r="H25" s="42"/>
    </row>
    <row r="26" spans="1:28">
      <c r="H26" s="42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0">
    <dataValidation type="list" allowBlank="1" showInputMessage="1" showErrorMessage="1" sqref="J2:J20" xr:uid="{00000000-0002-0000-1500-000000000000}">
      <formula1>israel_abroad</formula1>
    </dataValidation>
    <dataValidation type="list" allowBlank="1" showInputMessage="1" showErrorMessage="1" sqref="O2:O20" xr:uid="{00000000-0002-0000-1500-000001000000}">
      <formula1>Holding_interest</formula1>
    </dataValidation>
    <dataValidation type="list" allowBlank="1" showInputMessage="1" showErrorMessage="1" sqref="M2:M20" xr:uid="{00000000-0002-0000-1500-000002000000}">
      <formula1>Underlying_Asset</formula1>
    </dataValidation>
    <dataValidation type="list" allowBlank="1" showInputMessage="1" showErrorMessage="1" sqref="R2:R20" xr:uid="{00000000-0002-0000-1500-000003000000}">
      <formula1>Valuation</formula1>
    </dataValidation>
    <dataValidation type="list" allowBlank="1" showInputMessage="1" showErrorMessage="1" sqref="S2:S20" xr:uid="{00000000-0002-0000-1500-000004000000}">
      <formula1>Dependence_Independence</formula1>
    </dataValidation>
    <dataValidation type="list" allowBlank="1" showInputMessage="1" showErrorMessage="1" sqref="K2:K20" xr:uid="{00000000-0002-0000-1500-000005000000}">
      <formula1>Country_list</formula1>
    </dataValidation>
    <dataValidation type="list" allowBlank="1" showInputMessage="1" showErrorMessage="1" sqref="H2:H20" xr:uid="{00000000-0002-0000-1500-000006000000}">
      <formula1>Type_of_Security_ID</formula1>
    </dataValidation>
    <dataValidation type="list" allowBlank="1" showInputMessage="1" showErrorMessage="1" sqref="E3:E20" xr:uid="{00000000-0002-0000-1500-000007000000}">
      <formula1>Issuer_Number_Type_2</formula1>
    </dataValidation>
    <dataValidation type="list" allowBlank="1" showInputMessage="1" showErrorMessage="1" sqref="E2" xr:uid="{00000000-0002-0000-1500-000008000000}">
      <formula1>Issuer_Number_Type_3</formula1>
    </dataValidation>
    <dataValidation type="list" allowBlank="1" showInputMessage="1" showErrorMessage="1" sqref="L2:L20" xr:uid="{00000000-0002-0000-1500-000009000000}">
      <formula1>Industry_Sector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A000000}">
          <x14:formula1>
            <xm:f>'אפשרויות בחירה'!$C$964:$C$969</xm:f>
          </x14:formula1>
          <xm:sqref>I2:I20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Sheet23"/>
  <dimension ref="A1:AO34"/>
  <sheetViews>
    <sheetView rightToLeft="1" workbookViewId="0">
      <selection activeCell="A2" sqref="A2"/>
    </sheetView>
  </sheetViews>
  <sheetFormatPr defaultColWidth="0" defaultRowHeight="14.25"/>
  <cols>
    <col min="1" max="33" width="11.625" style="9" customWidth="1"/>
    <col min="34" max="34" width="11.625" customWidth="1"/>
    <col min="35" max="39" width="11.625" style="9" customWidth="1"/>
    <col min="40" max="41" width="11.625" style="3" customWidth="1"/>
    <col min="42" max="42" width="9" style="9" hidden="1" customWidth="1"/>
    <col min="43" max="16384" width="9" style="9" hidden="1"/>
  </cols>
  <sheetData>
    <row r="1" spans="1:41" ht="51">
      <c r="A1" s="22" t="s">
        <v>0</v>
      </c>
      <c r="B1" s="22" t="s">
        <v>1</v>
      </c>
      <c r="C1" s="22" t="s">
        <v>5</v>
      </c>
      <c r="D1" s="22" t="s">
        <v>202</v>
      </c>
      <c r="E1" s="22" t="s">
        <v>203</v>
      </c>
      <c r="F1" s="22" t="s">
        <v>18</v>
      </c>
      <c r="G1" s="22" t="s">
        <v>204</v>
      </c>
      <c r="H1" s="22" t="s">
        <v>205</v>
      </c>
      <c r="I1" s="22" t="s">
        <v>206</v>
      </c>
      <c r="J1" s="22" t="s">
        <v>207</v>
      </c>
      <c r="K1" s="22" t="s">
        <v>208</v>
      </c>
      <c r="L1" s="22" t="s">
        <v>209</v>
      </c>
      <c r="M1" s="22" t="s">
        <v>18</v>
      </c>
      <c r="N1" s="22" t="s">
        <v>210</v>
      </c>
      <c r="O1" s="22" t="s">
        <v>211</v>
      </c>
      <c r="P1" s="22" t="s">
        <v>212</v>
      </c>
      <c r="Q1" s="22" t="s">
        <v>213</v>
      </c>
      <c r="R1" s="22" t="s">
        <v>214</v>
      </c>
      <c r="S1" s="22" t="s">
        <v>6</v>
      </c>
      <c r="T1" s="22" t="s">
        <v>7</v>
      </c>
      <c r="U1" s="22" t="s">
        <v>215</v>
      </c>
      <c r="V1" s="22" t="s">
        <v>216</v>
      </c>
      <c r="W1" s="22" t="s">
        <v>217</v>
      </c>
      <c r="X1" s="22" t="s">
        <v>218</v>
      </c>
      <c r="Y1" s="22" t="s">
        <v>51</v>
      </c>
      <c r="Z1" s="22" t="s">
        <v>219</v>
      </c>
      <c r="AA1" s="22" t="s">
        <v>220</v>
      </c>
      <c r="AB1" s="22" t="s">
        <v>221</v>
      </c>
      <c r="AC1" s="22" t="s">
        <v>222</v>
      </c>
      <c r="AD1" s="22" t="s">
        <v>223</v>
      </c>
      <c r="AE1" s="22" t="s">
        <v>224</v>
      </c>
      <c r="AF1" s="22" t="s">
        <v>53</v>
      </c>
      <c r="AG1" s="22" t="s">
        <v>225</v>
      </c>
      <c r="AH1" s="22" t="s">
        <v>226</v>
      </c>
      <c r="AI1" s="22" t="s">
        <v>227</v>
      </c>
      <c r="AJ1" s="22" t="s">
        <v>228</v>
      </c>
      <c r="AK1" s="22" t="s">
        <v>229</v>
      </c>
      <c r="AL1" s="22" t="s">
        <v>230</v>
      </c>
      <c r="AM1" s="22" t="s">
        <v>231</v>
      </c>
      <c r="AN1" s="22" t="s">
        <v>24</v>
      </c>
      <c r="AO1" s="22" t="s">
        <v>25</v>
      </c>
    </row>
    <row r="2" spans="1:41">
      <c r="A2" s="11"/>
      <c r="B2" s="11"/>
      <c r="C2" s="11"/>
      <c r="D2" s="2"/>
      <c r="E2" s="11"/>
      <c r="F2" s="11"/>
      <c r="G2" s="11"/>
      <c r="H2" s="140"/>
      <c r="J2" s="12"/>
      <c r="L2" s="11"/>
      <c r="O2" s="41"/>
      <c r="R2" s="13"/>
      <c r="T2" s="21"/>
      <c r="U2" s="29"/>
      <c r="V2" s="10"/>
      <c r="X2" s="10"/>
      <c r="Y2" s="10"/>
      <c r="Z2" s="1"/>
      <c r="AA2" s="28"/>
      <c r="AB2" s="10"/>
      <c r="AC2" s="10"/>
      <c r="AD2" s="10"/>
      <c r="AE2" s="29"/>
      <c r="AF2" s="10"/>
      <c r="AG2" s="11"/>
      <c r="AH2" s="39"/>
      <c r="AI2" s="11"/>
      <c r="AJ2" s="39"/>
      <c r="AK2" s="29"/>
      <c r="AL2" s="39"/>
      <c r="AN2" s="23"/>
      <c r="AO2" s="23"/>
    </row>
    <row r="3" spans="1:41">
      <c r="A3" s="11"/>
      <c r="B3" s="11"/>
      <c r="C3" s="11"/>
      <c r="D3" s="2"/>
      <c r="E3" s="11"/>
      <c r="F3" s="11"/>
      <c r="G3" s="11"/>
      <c r="H3" s="14"/>
      <c r="J3" s="12"/>
      <c r="L3" s="11"/>
      <c r="R3" s="13"/>
      <c r="T3" s="21"/>
      <c r="U3" s="29"/>
      <c r="V3" s="10"/>
      <c r="X3" s="10"/>
      <c r="Y3" s="10"/>
      <c r="Z3" s="1"/>
      <c r="AA3" s="28"/>
      <c r="AB3" s="10"/>
      <c r="AC3" s="10"/>
      <c r="AD3" s="10"/>
      <c r="AE3" s="10"/>
      <c r="AF3" s="10"/>
      <c r="AG3" s="11"/>
      <c r="AI3" s="11"/>
      <c r="AJ3" s="10"/>
      <c r="AK3" s="10"/>
      <c r="AN3" s="23"/>
      <c r="AO3" s="23"/>
    </row>
    <row r="4" spans="1:41">
      <c r="A4" s="11"/>
      <c r="B4" s="11"/>
      <c r="C4" s="11"/>
      <c r="D4" s="2"/>
      <c r="E4" s="11"/>
      <c r="F4" s="11"/>
      <c r="G4" s="11"/>
      <c r="H4" s="14"/>
      <c r="J4" s="12"/>
      <c r="L4" s="11"/>
      <c r="R4" s="13"/>
      <c r="T4" s="21"/>
      <c r="U4" s="29"/>
      <c r="V4" s="10"/>
      <c r="X4" s="10"/>
      <c r="Y4" s="10"/>
      <c r="Z4" s="1"/>
      <c r="AA4" s="28"/>
      <c r="AB4" s="10"/>
      <c r="AC4" s="10"/>
      <c r="AD4" s="10"/>
      <c r="AE4" s="10"/>
      <c r="AF4" s="10"/>
      <c r="AG4" s="11"/>
      <c r="AI4" s="11"/>
      <c r="AJ4" s="10"/>
      <c r="AK4" s="10"/>
      <c r="AN4" s="23"/>
      <c r="AO4" s="23"/>
    </row>
    <row r="5" spans="1:41">
      <c r="A5" s="11"/>
      <c r="B5" s="11"/>
      <c r="C5" s="11"/>
      <c r="D5" s="2"/>
      <c r="E5" s="11"/>
      <c r="F5" s="11"/>
      <c r="G5" s="11"/>
      <c r="H5" s="14"/>
      <c r="J5" s="12"/>
      <c r="L5" s="11"/>
      <c r="R5" s="13"/>
      <c r="T5" s="21"/>
      <c r="U5" s="29"/>
      <c r="V5" s="10"/>
      <c r="X5" s="10"/>
      <c r="Y5" s="10"/>
      <c r="Z5" s="1"/>
      <c r="AA5" s="28"/>
      <c r="AB5" s="10"/>
      <c r="AC5" s="10"/>
      <c r="AD5" s="10"/>
      <c r="AE5" s="10"/>
      <c r="AF5" s="10"/>
      <c r="AG5" s="11"/>
      <c r="AI5" s="11"/>
      <c r="AJ5" s="10"/>
      <c r="AK5" s="10"/>
      <c r="AN5" s="23"/>
      <c r="AO5" s="23"/>
    </row>
    <row r="6" spans="1:41">
      <c r="A6" s="11"/>
      <c r="B6" s="11"/>
      <c r="C6" s="11"/>
      <c r="D6" s="2"/>
      <c r="E6" s="11"/>
      <c r="F6" s="11"/>
      <c r="G6" s="11"/>
      <c r="H6" s="14"/>
      <c r="J6" s="12"/>
      <c r="L6" s="11"/>
      <c r="R6" s="13"/>
      <c r="T6" s="21"/>
      <c r="U6" s="29"/>
      <c r="V6" s="10"/>
      <c r="X6" s="10"/>
      <c r="Y6" s="10"/>
      <c r="Z6" s="1"/>
      <c r="AA6" s="28"/>
      <c r="AB6" s="10"/>
      <c r="AC6" s="10"/>
      <c r="AD6" s="10"/>
      <c r="AE6" s="10"/>
      <c r="AF6" s="10"/>
      <c r="AG6" s="11"/>
      <c r="AI6" s="11"/>
      <c r="AJ6" s="10"/>
      <c r="AK6" s="10"/>
      <c r="AN6" s="23"/>
      <c r="AO6" s="23"/>
    </row>
    <row r="7" spans="1:41">
      <c r="A7" s="11"/>
      <c r="B7" s="11"/>
      <c r="C7" s="11"/>
      <c r="D7" s="2"/>
      <c r="E7" s="11"/>
      <c r="F7" s="11"/>
      <c r="G7" s="11"/>
      <c r="H7" s="14"/>
      <c r="J7" s="12"/>
      <c r="L7" s="11"/>
      <c r="R7" s="13"/>
      <c r="T7" s="21"/>
      <c r="U7" s="29"/>
      <c r="V7" s="10"/>
      <c r="X7" s="10"/>
      <c r="Y7" s="10"/>
      <c r="Z7" s="1"/>
      <c r="AA7" s="28"/>
      <c r="AB7" s="10"/>
      <c r="AC7" s="10"/>
      <c r="AD7" s="10"/>
      <c r="AE7" s="10"/>
      <c r="AF7" s="10"/>
      <c r="AG7" s="11"/>
      <c r="AI7" s="11"/>
      <c r="AJ7" s="10"/>
      <c r="AK7" s="10"/>
      <c r="AN7" s="23"/>
      <c r="AO7" s="23"/>
    </row>
    <row r="8" spans="1:41">
      <c r="A8" s="11"/>
      <c r="B8" s="11"/>
      <c r="C8" s="11"/>
      <c r="D8" s="2"/>
      <c r="E8" s="11"/>
      <c r="F8" s="11"/>
      <c r="G8" s="11"/>
      <c r="H8" s="14"/>
      <c r="J8" s="12"/>
      <c r="L8" s="11"/>
      <c r="R8" s="13"/>
      <c r="T8" s="21"/>
      <c r="U8" s="29"/>
      <c r="V8" s="10"/>
      <c r="X8" s="10"/>
      <c r="Y8" s="10"/>
      <c r="Z8" s="1"/>
      <c r="AA8" s="28"/>
      <c r="AB8" s="10"/>
      <c r="AC8" s="10"/>
      <c r="AD8" s="10"/>
      <c r="AE8" s="10"/>
      <c r="AF8" s="10"/>
      <c r="AG8" s="11"/>
      <c r="AI8" s="11"/>
      <c r="AJ8" s="10"/>
      <c r="AK8" s="10"/>
      <c r="AN8" s="23"/>
      <c r="AO8" s="23"/>
    </row>
    <row r="9" spans="1:41">
      <c r="A9" s="11"/>
      <c r="B9" s="11"/>
      <c r="C9" s="11"/>
      <c r="D9" s="2"/>
      <c r="E9" s="11"/>
      <c r="F9" s="11"/>
      <c r="G9" s="11"/>
      <c r="H9" s="14"/>
      <c r="J9" s="12"/>
      <c r="L9" s="11"/>
      <c r="R9" s="13"/>
      <c r="T9" s="21"/>
      <c r="U9" s="29"/>
      <c r="V9" s="10"/>
      <c r="X9" s="10"/>
      <c r="Y9" s="10"/>
      <c r="Z9" s="1"/>
      <c r="AA9" s="28"/>
      <c r="AB9" s="10"/>
      <c r="AC9" s="10"/>
      <c r="AD9" s="10"/>
      <c r="AE9" s="10"/>
      <c r="AF9" s="10"/>
      <c r="AG9" s="11"/>
      <c r="AI9" s="11"/>
      <c r="AJ9" s="10"/>
      <c r="AK9" s="10"/>
      <c r="AN9" s="23"/>
      <c r="AO9" s="23"/>
    </row>
    <row r="10" spans="1:41">
      <c r="A10" s="11"/>
      <c r="B10" s="11"/>
      <c r="C10" s="11"/>
      <c r="D10" s="2"/>
      <c r="E10" s="11"/>
      <c r="F10" s="11"/>
      <c r="G10" s="11"/>
      <c r="H10" s="14"/>
      <c r="J10" s="12"/>
      <c r="L10" s="11"/>
      <c r="R10" s="13"/>
      <c r="T10" s="21"/>
      <c r="U10" s="29"/>
      <c r="V10" s="10"/>
      <c r="X10" s="10"/>
      <c r="Y10" s="10"/>
      <c r="Z10" s="1"/>
      <c r="AA10" s="28"/>
      <c r="AB10" s="10"/>
      <c r="AC10" s="10"/>
      <c r="AD10" s="10"/>
      <c r="AE10" s="10"/>
      <c r="AF10" s="10"/>
      <c r="AG10" s="11"/>
      <c r="AI10" s="11"/>
      <c r="AJ10" s="10"/>
      <c r="AK10" s="10"/>
      <c r="AN10" s="23"/>
      <c r="AO10" s="23"/>
    </row>
    <row r="11" spans="1:41">
      <c r="A11" s="11"/>
      <c r="B11" s="11"/>
      <c r="C11" s="11"/>
      <c r="D11" s="2"/>
      <c r="E11" s="11"/>
      <c r="F11" s="11"/>
      <c r="G11" s="11"/>
      <c r="H11" s="14"/>
      <c r="J11" s="12"/>
      <c r="L11" s="11"/>
      <c r="R11" s="13"/>
      <c r="T11" s="21"/>
      <c r="U11" s="29"/>
      <c r="V11" s="10"/>
      <c r="X11" s="10"/>
      <c r="Y11" s="10"/>
      <c r="Z11" s="1"/>
      <c r="AA11" s="28"/>
      <c r="AB11" s="10"/>
      <c r="AC11" s="10"/>
      <c r="AD11" s="10"/>
      <c r="AE11" s="10"/>
      <c r="AF11" s="10"/>
      <c r="AG11" s="11"/>
      <c r="AI11" s="11"/>
      <c r="AJ11" s="10"/>
      <c r="AK11" s="10"/>
      <c r="AN11" s="23"/>
      <c r="AO11" s="23"/>
    </row>
    <row r="12" spans="1:41">
      <c r="A12" s="11"/>
      <c r="B12" s="11"/>
      <c r="C12" s="11"/>
      <c r="D12" s="2"/>
      <c r="E12" s="11"/>
      <c r="F12" s="11"/>
      <c r="G12" s="11"/>
      <c r="H12" s="14"/>
      <c r="J12" s="12"/>
      <c r="L12" s="11"/>
      <c r="R12" s="13"/>
      <c r="T12" s="21"/>
      <c r="U12" s="29"/>
      <c r="V12" s="10"/>
      <c r="X12" s="10"/>
      <c r="Y12" s="10"/>
      <c r="Z12" s="1"/>
      <c r="AA12" s="28"/>
      <c r="AB12" s="10"/>
      <c r="AC12" s="10"/>
      <c r="AD12" s="10"/>
      <c r="AE12" s="10"/>
      <c r="AF12" s="10"/>
      <c r="AG12" s="11"/>
      <c r="AI12" s="11"/>
      <c r="AJ12" s="10"/>
      <c r="AK12" s="10"/>
      <c r="AN12" s="23"/>
      <c r="AO12" s="23"/>
    </row>
    <row r="13" spans="1:41">
      <c r="A13" s="11"/>
      <c r="B13" s="11"/>
      <c r="C13" s="11"/>
      <c r="D13" s="2"/>
      <c r="E13" s="11"/>
      <c r="F13" s="11"/>
      <c r="G13" s="11"/>
      <c r="H13" s="14"/>
      <c r="J13" s="12"/>
      <c r="L13" s="11"/>
      <c r="R13" s="13"/>
      <c r="T13" s="21"/>
      <c r="U13" s="29"/>
      <c r="V13" s="10"/>
      <c r="X13" s="10"/>
      <c r="Y13" s="10"/>
      <c r="Z13" s="1"/>
      <c r="AA13" s="28"/>
      <c r="AB13" s="10"/>
      <c r="AC13" s="10"/>
      <c r="AD13" s="10"/>
      <c r="AE13" s="10"/>
      <c r="AF13" s="10"/>
      <c r="AG13" s="11"/>
      <c r="AI13" s="11"/>
      <c r="AJ13" s="10"/>
      <c r="AK13" s="10"/>
      <c r="AN13" s="23"/>
      <c r="AO13" s="23"/>
    </row>
    <row r="14" spans="1:41">
      <c r="A14" s="11"/>
      <c r="B14" s="11"/>
      <c r="C14" s="11"/>
      <c r="D14" s="2"/>
      <c r="E14" s="11"/>
      <c r="F14" s="11"/>
      <c r="G14" s="11"/>
      <c r="H14" s="14"/>
      <c r="J14" s="12"/>
      <c r="L14" s="11"/>
      <c r="R14" s="13"/>
      <c r="T14" s="21"/>
      <c r="U14" s="29"/>
      <c r="V14" s="10"/>
      <c r="X14" s="10"/>
      <c r="Y14" s="10"/>
      <c r="Z14" s="1"/>
      <c r="AA14" s="28"/>
      <c r="AB14" s="10"/>
      <c r="AC14" s="10"/>
      <c r="AD14" s="10"/>
      <c r="AE14" s="10"/>
      <c r="AF14" s="10"/>
      <c r="AG14" s="11"/>
      <c r="AI14" s="11"/>
      <c r="AJ14" s="10"/>
      <c r="AK14" s="10"/>
      <c r="AN14" s="23"/>
      <c r="AO14" s="23"/>
    </row>
    <row r="15" spans="1:41">
      <c r="A15" s="11"/>
      <c r="B15" s="11"/>
      <c r="C15" s="11"/>
      <c r="D15" s="2"/>
      <c r="E15" s="11"/>
      <c r="F15" s="11"/>
      <c r="G15" s="11"/>
      <c r="H15" s="14"/>
      <c r="J15" s="12"/>
      <c r="L15" s="11"/>
      <c r="R15" s="13"/>
      <c r="T15" s="21"/>
      <c r="U15" s="29"/>
      <c r="V15" s="10"/>
      <c r="X15" s="10"/>
      <c r="Y15" s="10"/>
      <c r="Z15" s="1"/>
      <c r="AA15" s="28"/>
      <c r="AB15" s="10"/>
      <c r="AC15" s="10"/>
      <c r="AD15" s="10"/>
      <c r="AE15" s="10"/>
      <c r="AF15" s="10"/>
      <c r="AG15" s="11"/>
      <c r="AI15" s="11"/>
      <c r="AJ15" s="10"/>
      <c r="AK15" s="10"/>
      <c r="AN15" s="23"/>
      <c r="AO15" s="23"/>
    </row>
    <row r="16" spans="1:41">
      <c r="A16" s="11"/>
      <c r="B16" s="11"/>
      <c r="C16" s="11"/>
      <c r="D16" s="2"/>
      <c r="E16" s="11"/>
      <c r="F16" s="11"/>
      <c r="G16" s="11"/>
      <c r="H16" s="14"/>
      <c r="J16" s="12"/>
      <c r="L16" s="11"/>
      <c r="R16" s="13"/>
      <c r="T16" s="21"/>
      <c r="U16" s="29"/>
      <c r="V16" s="10"/>
      <c r="X16" s="10"/>
      <c r="Y16" s="10"/>
      <c r="Z16" s="1"/>
      <c r="AA16" s="28"/>
      <c r="AB16" s="10"/>
      <c r="AC16" s="10"/>
      <c r="AD16" s="10"/>
      <c r="AE16" s="10"/>
      <c r="AF16" s="10"/>
      <c r="AG16" s="11"/>
      <c r="AI16" s="11"/>
      <c r="AJ16" s="10"/>
      <c r="AK16" s="10"/>
      <c r="AN16" s="23"/>
      <c r="AO16" s="23"/>
    </row>
    <row r="17" spans="1:41">
      <c r="A17" s="11"/>
      <c r="B17" s="11"/>
      <c r="C17" s="11"/>
      <c r="D17" s="2"/>
      <c r="E17" s="11"/>
      <c r="F17" s="11"/>
      <c r="G17" s="11"/>
      <c r="H17" s="14"/>
      <c r="J17" s="12"/>
      <c r="L17" s="11"/>
      <c r="R17" s="13"/>
      <c r="T17" s="21"/>
      <c r="U17" s="29"/>
      <c r="V17" s="10"/>
      <c r="X17" s="10"/>
      <c r="Y17" s="10"/>
      <c r="Z17" s="1"/>
      <c r="AA17" s="28"/>
      <c r="AB17" s="10"/>
      <c r="AC17" s="10"/>
      <c r="AD17" s="10"/>
      <c r="AE17" s="10"/>
      <c r="AF17" s="10"/>
      <c r="AG17" s="11"/>
      <c r="AI17" s="11"/>
      <c r="AJ17" s="10"/>
      <c r="AK17" s="10"/>
      <c r="AN17" s="23"/>
      <c r="AO17" s="23"/>
    </row>
    <row r="18" spans="1:41">
      <c r="A18" s="11"/>
      <c r="B18" s="11"/>
      <c r="C18" s="11"/>
      <c r="D18" s="2"/>
      <c r="E18" s="11"/>
      <c r="F18" s="11"/>
      <c r="G18" s="11"/>
      <c r="H18" s="14"/>
      <c r="J18" s="12"/>
      <c r="L18" s="11"/>
      <c r="R18" s="13"/>
      <c r="T18" s="21"/>
      <c r="U18" s="29"/>
      <c r="V18" s="10"/>
      <c r="X18" s="10"/>
      <c r="Y18" s="10"/>
      <c r="Z18" s="1"/>
      <c r="AA18" s="28"/>
      <c r="AB18" s="10"/>
      <c r="AC18" s="10"/>
      <c r="AD18" s="10"/>
      <c r="AE18" s="10"/>
      <c r="AF18" s="10"/>
      <c r="AG18" s="11"/>
      <c r="AI18" s="11"/>
      <c r="AJ18" s="10"/>
      <c r="AK18" s="10"/>
      <c r="AN18" s="23"/>
      <c r="AO18" s="23"/>
    </row>
    <row r="19" spans="1:41">
      <c r="A19" s="11"/>
      <c r="B19" s="11"/>
      <c r="C19" s="11"/>
      <c r="D19" s="2"/>
      <c r="E19" s="11"/>
      <c r="F19" s="11"/>
      <c r="G19" s="11"/>
      <c r="H19" s="14"/>
      <c r="J19" s="12"/>
      <c r="L19" s="11"/>
      <c r="R19" s="13"/>
      <c r="T19" s="21"/>
      <c r="U19" s="29"/>
      <c r="V19" s="10"/>
      <c r="X19" s="10"/>
      <c r="Y19" s="10"/>
      <c r="Z19" s="1"/>
      <c r="AA19" s="28"/>
      <c r="AB19" s="10"/>
      <c r="AC19" s="10"/>
      <c r="AD19" s="10"/>
      <c r="AE19" s="10"/>
      <c r="AF19" s="10"/>
      <c r="AG19" s="11"/>
      <c r="AI19" s="11"/>
      <c r="AJ19" s="10"/>
      <c r="AK19" s="10"/>
      <c r="AN19" s="23"/>
      <c r="AO19" s="23"/>
    </row>
    <row r="20" spans="1:41">
      <c r="C20" s="11"/>
      <c r="E20" s="11"/>
      <c r="T20" s="21"/>
      <c r="U20" s="29"/>
      <c r="V20" s="10"/>
      <c r="Y20" s="10"/>
      <c r="AB20" s="10"/>
      <c r="AC20" s="10"/>
      <c r="AD20" s="10"/>
      <c r="AE20" s="10"/>
      <c r="AF20" s="10"/>
      <c r="AG20" s="11"/>
      <c r="AK20" s="10"/>
    </row>
    <row r="22" spans="1:41">
      <c r="C22" s="11"/>
      <c r="E22" s="11"/>
      <c r="T22" s="21"/>
      <c r="AE22" s="10"/>
      <c r="AF22" s="10"/>
    </row>
    <row r="23" spans="1:41">
      <c r="C23" s="11"/>
      <c r="E23" s="11"/>
      <c r="T23" s="21"/>
      <c r="AE23" s="10"/>
      <c r="AF23" s="10"/>
    </row>
    <row r="24" spans="1:41">
      <c r="C24" s="11"/>
      <c r="E24" s="11"/>
      <c r="T24" s="21"/>
      <c r="AE24" s="10"/>
      <c r="AF24" s="10"/>
    </row>
    <row r="25" spans="1:41">
      <c r="C25" s="11"/>
      <c r="E25" s="11"/>
      <c r="T25" s="21"/>
      <c r="AE25" s="10"/>
      <c r="AF25" s="10"/>
    </row>
    <row r="26" spans="1:41">
      <c r="C26" s="11"/>
      <c r="E26" s="11"/>
      <c r="T26" s="21"/>
      <c r="AE26" s="10"/>
      <c r="AF26" s="10"/>
    </row>
    <row r="27" spans="1:41">
      <c r="C27" s="11"/>
      <c r="E27" s="11"/>
      <c r="T27" s="21"/>
    </row>
    <row r="28" spans="1:41">
      <c r="C28" s="11"/>
      <c r="E28" s="11"/>
      <c r="T28" s="21"/>
    </row>
    <row r="29" spans="1:41">
      <c r="C29" s="11"/>
      <c r="E29" s="11"/>
      <c r="T29" s="21"/>
    </row>
    <row r="30" spans="1:41">
      <c r="C30" s="11"/>
      <c r="E30" s="11"/>
      <c r="T30" s="21"/>
    </row>
    <row r="31" spans="1:41">
      <c r="C31" s="11"/>
      <c r="E31" s="11"/>
      <c r="T31" s="21"/>
    </row>
    <row r="32" spans="1:41">
      <c r="C32" s="11"/>
      <c r="E32" s="11"/>
      <c r="T32" s="21"/>
    </row>
    <row r="33" spans="3:20">
      <c r="C33" s="11"/>
      <c r="T33" s="21"/>
    </row>
    <row r="34" spans="3:20">
      <c r="C34" s="11"/>
      <c r="T34" s="21"/>
    </row>
  </sheetData>
  <dataValidations count="14">
    <dataValidation type="list" allowBlank="1" showInputMessage="1" showErrorMessage="1" sqref="U2:U20 U22:U34" xr:uid="{00000000-0002-0000-1600-000000000000}">
      <formula1>Underlying_Asset</formula1>
    </dataValidation>
    <dataValidation type="list" allowBlank="1" showInputMessage="1" showErrorMessage="1" sqref="AG22:AG1048576 AG2:AG20 AB2:AB20 AB22:AB1048576" xr:uid="{00000000-0002-0000-1600-000001000000}">
      <formula1>Reset_frequency</formula1>
    </dataValidation>
    <dataValidation type="list" allowBlank="1" showInputMessage="1" showErrorMessage="1" sqref="S2:S20 S22:S25" xr:uid="{00000000-0002-0000-1600-000002000000}">
      <formula1>israel_abroad</formula1>
    </dataValidation>
    <dataValidation type="list" allowBlank="1" showInputMessage="1" showErrorMessage="1" sqref="Y22:Y34 AD22:AD1048576 AD2:AD20 Y2:Y20 AL20 AL22:AL1048576" xr:uid="{00000000-0002-0000-1600-000003000000}">
      <formula1>Holding_interest</formula1>
    </dataValidation>
    <dataValidation type="list" allowBlank="1" showInputMessage="1" showErrorMessage="1" sqref="AC2:AC20 AC22:AC34" xr:uid="{00000000-0002-0000-1600-000004000000}">
      <formula1>Delivery</formula1>
    </dataValidation>
    <dataValidation type="list" allowBlank="1" showInputMessage="1" showErrorMessage="1" sqref="E23:E32" xr:uid="{00000000-0002-0000-1600-000005000000}">
      <formula1>Currency_Abbreviation</formula1>
    </dataValidation>
    <dataValidation type="list" allowBlank="1" showInputMessage="1" showErrorMessage="1" sqref="V2:V20" xr:uid="{00000000-0002-0000-1600-000006000000}">
      <formula1>Leading_factor</formula1>
    </dataValidation>
    <dataValidation type="list" allowBlank="1" showInputMessage="1" showErrorMessage="1" sqref="T2:T20 T22:T34" xr:uid="{00000000-0002-0000-1600-000007000000}">
      <formula1>Country_list</formula1>
    </dataValidation>
    <dataValidation type="list" allowBlank="1" showInputMessage="1" showErrorMessage="1" sqref="W2:W20" xr:uid="{00000000-0002-0000-1600-000008000000}">
      <formula1>Additional_Factor</formula1>
    </dataValidation>
    <dataValidation allowBlank="1" showInputMessage="1" showErrorMessage="1" sqref="Z2:Z19 M2:N19 P2:R19 I2:K19 D2:D19" xr:uid="{00000000-0002-0000-1600-000009000000}"/>
    <dataValidation type="list" allowBlank="1" showInputMessage="1" showErrorMessage="1" sqref="AF22:AF26" xr:uid="{00000000-0002-0000-1600-00000A000000}">
      <formula1>Underlying_Interest_Rates_Der</formula1>
    </dataValidation>
    <dataValidation type="list" allowBlank="1" showInputMessage="1" showErrorMessage="1" sqref="AF2:AF20" xr:uid="{00000000-0002-0000-1600-00000B000000}">
      <formula1>Underlying_Interest_Rates</formula1>
    </dataValidation>
    <dataValidation type="list" allowBlank="1" showInputMessage="1" showErrorMessage="1" sqref="AK2:AK20" xr:uid="{00000000-0002-0000-1600-00000C000000}">
      <formula1>Penalty</formula1>
    </dataValidation>
    <dataValidation type="list" allowBlank="1" showInputMessage="1" showErrorMessage="1" sqref="C22:C34 AE3:AE20 AE22:AE26" xr:uid="{00000000-0002-0000-1600-00000D000000}">
      <formula1>#REF!</formula1>
    </dataValidation>
  </dataValidations>
  <pageMargins left="0.7" right="0.7" top="0.75" bottom="0.75" header="0.3" footer="0.3"/>
  <pageSetup paperSize="9" orientation="portrait" verticalDpi="0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1600-000010000000}">
          <x14:formula1>
            <xm:f>'אפשרויות בחירה'!$C$690:$C$691</xm:f>
          </x14:formula1>
          <xm:sqref>AE2</xm:sqref>
        </x14:dataValidation>
        <x14:dataValidation type="list" allowBlank="1" showInputMessage="1" showErrorMessage="1" xr:uid="{00000000-0002-0000-1600-000011000000}">
          <x14:formula1>
            <xm:f>'אפשרויות בחירה'!$C$977:$C$985</xm:f>
          </x14:formula1>
          <xm:sqref>C2:C20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Sheet24"/>
  <dimension ref="A1:BA23"/>
  <sheetViews>
    <sheetView rightToLeft="1" workbookViewId="0">
      <selection activeCell="A2" sqref="A2"/>
    </sheetView>
  </sheetViews>
  <sheetFormatPr defaultColWidth="0" defaultRowHeight="14.25"/>
  <cols>
    <col min="1" max="27" width="11.625" style="3" customWidth="1"/>
    <col min="28" max="28" width="11.625" style="5" customWidth="1"/>
    <col min="29" max="49" width="11.625" style="3" customWidth="1"/>
    <col min="50" max="50" width="11.625" style="5" customWidth="1"/>
    <col min="51" max="53" width="11.625" style="3" customWidth="1"/>
    <col min="54" max="54" width="9" style="3" hidden="1" customWidth="1"/>
    <col min="55" max="16384" width="9" style="3" hidden="1"/>
  </cols>
  <sheetData>
    <row r="1" spans="1:53" ht="51">
      <c r="A1" s="22" t="s">
        <v>0</v>
      </c>
      <c r="B1" s="22" t="s">
        <v>1</v>
      </c>
      <c r="C1" s="22" t="s">
        <v>232</v>
      </c>
      <c r="D1" s="22" t="s">
        <v>233</v>
      </c>
      <c r="E1" s="22" t="s">
        <v>234</v>
      </c>
      <c r="F1" s="22" t="s">
        <v>235</v>
      </c>
      <c r="G1" s="22" t="s">
        <v>5</v>
      </c>
      <c r="H1" s="22" t="s">
        <v>236</v>
      </c>
      <c r="I1" s="22" t="s">
        <v>6</v>
      </c>
      <c r="J1" s="22" t="s">
        <v>7</v>
      </c>
      <c r="K1" s="22" t="s">
        <v>50</v>
      </c>
      <c r="L1" s="22" t="s">
        <v>51</v>
      </c>
      <c r="M1" s="22" t="s">
        <v>237</v>
      </c>
      <c r="N1" s="22" t="s">
        <v>238</v>
      </c>
      <c r="O1" s="22" t="s">
        <v>239</v>
      </c>
      <c r="P1" s="22" t="s">
        <v>9</v>
      </c>
      <c r="Q1" s="22" t="s">
        <v>10</v>
      </c>
      <c r="R1" s="22" t="s">
        <v>240</v>
      </c>
      <c r="S1" s="22" t="s">
        <v>11</v>
      </c>
      <c r="T1" s="22" t="s">
        <v>12</v>
      </c>
      <c r="U1" s="22" t="s">
        <v>241</v>
      </c>
      <c r="V1" s="22" t="s">
        <v>14</v>
      </c>
      <c r="W1" s="22" t="s">
        <v>82</v>
      </c>
      <c r="X1" s="22" t="s">
        <v>53</v>
      </c>
      <c r="Y1" s="22" t="s">
        <v>242</v>
      </c>
      <c r="Z1" s="22" t="s">
        <v>15</v>
      </c>
      <c r="AA1" s="22" t="s">
        <v>13</v>
      </c>
      <c r="AB1" s="22" t="s">
        <v>54</v>
      </c>
      <c r="AC1" s="22" t="s">
        <v>243</v>
      </c>
      <c r="AD1" s="22" t="s">
        <v>244</v>
      </c>
      <c r="AE1" s="22" t="s">
        <v>245</v>
      </c>
      <c r="AF1" s="22" t="s">
        <v>246</v>
      </c>
      <c r="AG1" s="22" t="s">
        <v>247</v>
      </c>
      <c r="AH1" s="22" t="s">
        <v>248</v>
      </c>
      <c r="AI1" s="22" t="s">
        <v>249</v>
      </c>
      <c r="AJ1" s="22" t="s">
        <v>250</v>
      </c>
      <c r="AK1" s="22" t="s">
        <v>87</v>
      </c>
      <c r="AL1" s="22" t="s">
        <v>89</v>
      </c>
      <c r="AM1" s="22" t="s">
        <v>88</v>
      </c>
      <c r="AN1" s="22" t="s">
        <v>90</v>
      </c>
      <c r="AO1" s="22" t="s">
        <v>91</v>
      </c>
      <c r="AP1" s="22" t="s">
        <v>251</v>
      </c>
      <c r="AQ1" s="22" t="s">
        <v>252</v>
      </c>
      <c r="AR1" s="22" t="s">
        <v>253</v>
      </c>
      <c r="AS1" s="22" t="s">
        <v>18</v>
      </c>
      <c r="AT1" s="22" t="s">
        <v>20</v>
      </c>
      <c r="AU1" s="22" t="s">
        <v>254</v>
      </c>
      <c r="AV1" s="22" t="s">
        <v>21</v>
      </c>
      <c r="AW1" s="22" t="s">
        <v>56</v>
      </c>
      <c r="AX1" s="22" t="s">
        <v>55</v>
      </c>
      <c r="AY1" s="22" t="s">
        <v>22</v>
      </c>
      <c r="AZ1" s="22" t="s">
        <v>24</v>
      </c>
      <c r="BA1" s="22" t="s">
        <v>25</v>
      </c>
    </row>
    <row r="2" spans="1:53">
      <c r="C2" s="24"/>
      <c r="D2" s="24"/>
      <c r="E2" s="24"/>
      <c r="F2" s="24"/>
      <c r="G2" s="23"/>
      <c r="H2" s="42"/>
      <c r="I2" s="21"/>
      <c r="J2" s="31"/>
      <c r="K2" s="23"/>
      <c r="L2" s="23"/>
      <c r="M2" s="24"/>
      <c r="N2" s="24"/>
      <c r="O2" s="24"/>
      <c r="P2" s="23"/>
      <c r="Q2" s="23"/>
      <c r="R2" s="23"/>
      <c r="S2" s="21"/>
      <c r="T2" s="23"/>
      <c r="U2" s="23"/>
      <c r="V2" s="23"/>
      <c r="W2" s="24"/>
      <c r="X2" s="24"/>
      <c r="Y2" s="24"/>
      <c r="Z2" s="23"/>
      <c r="AA2" s="23"/>
      <c r="AB2" s="21"/>
      <c r="AC2" s="24"/>
      <c r="AD2" s="24"/>
      <c r="AE2" s="24"/>
      <c r="AF2" s="23"/>
      <c r="AG2" s="24"/>
      <c r="AH2" s="24"/>
      <c r="AI2" s="42"/>
      <c r="AK2" s="23"/>
      <c r="AL2" s="24"/>
      <c r="AM2" s="23"/>
      <c r="AP2" s="42"/>
      <c r="AR2" s="24"/>
      <c r="AS2" s="23"/>
      <c r="AT2" s="23"/>
      <c r="AU2" s="40"/>
      <c r="AV2" s="30"/>
      <c r="AW2" s="40"/>
      <c r="AX2" s="31"/>
      <c r="AY2" s="23"/>
      <c r="AZ2" s="23"/>
      <c r="BA2" s="23"/>
    </row>
    <row r="3" spans="1:53">
      <c r="C3" s="23"/>
      <c r="D3" s="24"/>
      <c r="E3" s="23"/>
      <c r="F3" s="23"/>
      <c r="G3" s="23"/>
      <c r="I3" s="21"/>
      <c r="J3" s="21"/>
      <c r="K3" s="23"/>
      <c r="L3" s="23"/>
      <c r="M3" s="24"/>
      <c r="N3" s="24"/>
      <c r="O3" s="23"/>
      <c r="P3" s="23"/>
      <c r="Q3" s="23"/>
      <c r="R3" s="23"/>
      <c r="S3" s="21"/>
      <c r="T3" s="23"/>
      <c r="U3" s="23"/>
      <c r="V3" s="23"/>
      <c r="W3" s="23"/>
      <c r="X3" s="23"/>
      <c r="Y3" s="23"/>
      <c r="Z3" s="23"/>
      <c r="AA3" s="23"/>
      <c r="AB3" s="21"/>
      <c r="AC3" s="23"/>
      <c r="AD3" s="23"/>
      <c r="AE3" s="23"/>
      <c r="AF3" s="23"/>
      <c r="AG3" s="23"/>
      <c r="AH3" s="23"/>
      <c r="AI3" s="42"/>
      <c r="AK3" s="23"/>
      <c r="AL3" s="24"/>
      <c r="AM3" s="23"/>
      <c r="AR3" s="23"/>
      <c r="AS3" s="23"/>
      <c r="AT3" s="23"/>
      <c r="AU3" s="23"/>
      <c r="AV3" s="23"/>
      <c r="AW3" s="23"/>
      <c r="AX3" s="21"/>
      <c r="AY3" s="23"/>
      <c r="AZ3" s="23"/>
      <c r="BA3" s="23"/>
    </row>
    <row r="4" spans="1:53">
      <c r="C4" s="23"/>
      <c r="D4" s="24"/>
      <c r="E4" s="23"/>
      <c r="F4" s="23"/>
      <c r="G4" s="23"/>
      <c r="I4" s="21"/>
      <c r="J4" s="21"/>
      <c r="K4" s="23"/>
      <c r="L4" s="23"/>
      <c r="M4" s="24"/>
      <c r="N4" s="24"/>
      <c r="O4" s="23"/>
      <c r="P4" s="23"/>
      <c r="Q4" s="23"/>
      <c r="R4" s="23"/>
      <c r="S4" s="21"/>
      <c r="T4" s="23"/>
      <c r="U4" s="23"/>
      <c r="V4" s="23"/>
      <c r="W4" s="23"/>
      <c r="X4" s="23"/>
      <c r="Y4" s="23"/>
      <c r="Z4" s="23"/>
      <c r="AA4" s="23"/>
      <c r="AB4" s="21"/>
      <c r="AC4" s="23"/>
      <c r="AD4" s="23"/>
      <c r="AE4" s="23"/>
      <c r="AF4" s="23"/>
      <c r="AG4" s="23"/>
      <c r="AH4" s="23"/>
      <c r="AK4" s="23"/>
      <c r="AL4" s="23"/>
      <c r="AM4" s="23"/>
      <c r="AR4" s="23"/>
      <c r="AS4" s="23"/>
      <c r="AT4" s="23"/>
      <c r="AU4" s="30"/>
      <c r="AV4" s="30"/>
      <c r="AW4" s="30"/>
      <c r="AX4" s="21"/>
      <c r="AY4" s="23"/>
      <c r="AZ4" s="23"/>
      <c r="BA4" s="23"/>
    </row>
    <row r="5" spans="1:53">
      <c r="C5" s="23"/>
      <c r="D5" s="24"/>
      <c r="E5" s="23"/>
      <c r="F5" s="23"/>
      <c r="G5" s="23"/>
      <c r="I5" s="21"/>
      <c r="J5" s="21"/>
      <c r="K5" s="23"/>
      <c r="L5" s="23"/>
      <c r="M5" s="24"/>
      <c r="N5" s="24"/>
      <c r="O5" s="23"/>
      <c r="P5" s="23"/>
      <c r="Q5" s="23"/>
      <c r="R5" s="23"/>
      <c r="S5" s="21"/>
      <c r="T5" s="23"/>
      <c r="U5" s="23"/>
      <c r="V5" s="23"/>
      <c r="W5" s="23"/>
      <c r="X5" s="23"/>
      <c r="Y5" s="23"/>
      <c r="Z5" s="23"/>
      <c r="AA5" s="23"/>
      <c r="AB5" s="21"/>
      <c r="AC5" s="23"/>
      <c r="AD5" s="23"/>
      <c r="AE5" s="23"/>
      <c r="AF5" s="23"/>
      <c r="AG5" s="23"/>
      <c r="AH5" s="23"/>
      <c r="AK5" s="23"/>
      <c r="AL5" s="23"/>
      <c r="AM5" s="23"/>
      <c r="AR5" s="23"/>
      <c r="AS5" s="23"/>
      <c r="AT5" s="23"/>
      <c r="AU5" s="30"/>
      <c r="AV5" s="30"/>
      <c r="AW5" s="30"/>
      <c r="AX5" s="21"/>
      <c r="AY5" s="23"/>
      <c r="AZ5" s="23"/>
      <c r="BA5" s="23"/>
    </row>
    <row r="6" spans="1:53">
      <c r="C6" s="23"/>
      <c r="D6" s="24"/>
      <c r="E6" s="23"/>
      <c r="F6" s="23"/>
      <c r="G6" s="23"/>
      <c r="I6" s="21"/>
      <c r="J6" s="21"/>
      <c r="K6" s="23"/>
      <c r="L6" s="23"/>
      <c r="M6" s="24"/>
      <c r="N6" s="24"/>
      <c r="O6" s="23"/>
      <c r="P6" s="23"/>
      <c r="Q6" s="23"/>
      <c r="R6" s="23"/>
      <c r="S6" s="21"/>
      <c r="T6" s="23"/>
      <c r="U6" s="23"/>
      <c r="V6" s="23"/>
      <c r="W6" s="23"/>
      <c r="X6" s="23"/>
      <c r="Y6" s="23"/>
      <c r="Z6" s="23"/>
      <c r="AA6" s="23"/>
      <c r="AB6" s="21"/>
      <c r="AC6" s="23"/>
      <c r="AD6" s="23"/>
      <c r="AE6" s="23"/>
      <c r="AF6" s="23"/>
      <c r="AG6" s="23"/>
      <c r="AH6" s="23"/>
      <c r="AK6" s="23"/>
      <c r="AL6" s="23"/>
      <c r="AM6" s="23"/>
      <c r="AR6" s="23"/>
      <c r="AS6" s="23"/>
      <c r="AT6" s="23"/>
      <c r="AU6" s="30"/>
      <c r="AV6" s="30"/>
      <c r="AW6" s="30"/>
      <c r="AX6" s="21"/>
      <c r="AY6" s="23"/>
      <c r="AZ6" s="23"/>
      <c r="BA6" s="23"/>
    </row>
    <row r="7" spans="1:53">
      <c r="C7" s="23"/>
      <c r="D7" s="24"/>
      <c r="E7" s="23"/>
      <c r="F7" s="23"/>
      <c r="G7" s="23"/>
      <c r="I7" s="21"/>
      <c r="J7" s="21"/>
      <c r="K7" s="23"/>
      <c r="L7" s="23"/>
      <c r="M7" s="24"/>
      <c r="N7" s="24"/>
      <c r="O7" s="23"/>
      <c r="P7" s="23"/>
      <c r="Q7" s="23"/>
      <c r="R7" s="23"/>
      <c r="S7" s="21"/>
      <c r="T7" s="23"/>
      <c r="U7" s="23"/>
      <c r="V7" s="23"/>
      <c r="W7" s="23"/>
      <c r="X7" s="23"/>
      <c r="Y7" s="23"/>
      <c r="Z7" s="23"/>
      <c r="AA7" s="23"/>
      <c r="AB7" s="21"/>
      <c r="AC7" s="23"/>
      <c r="AD7" s="23"/>
      <c r="AE7" s="23"/>
      <c r="AF7" s="23"/>
      <c r="AG7" s="23"/>
      <c r="AH7" s="23"/>
      <c r="AK7" s="23"/>
      <c r="AL7" s="23"/>
      <c r="AM7" s="23"/>
      <c r="AR7" s="23"/>
      <c r="AS7" s="23"/>
      <c r="AT7" s="23"/>
      <c r="AU7" s="30"/>
      <c r="AV7" s="30"/>
      <c r="AW7" s="30"/>
      <c r="AX7" s="21"/>
      <c r="AY7" s="23"/>
      <c r="AZ7" s="23"/>
      <c r="BA7" s="23"/>
    </row>
    <row r="8" spans="1:53">
      <c r="C8" s="23"/>
      <c r="D8" s="24"/>
      <c r="E8" s="23"/>
      <c r="F8" s="23"/>
      <c r="G8" s="23"/>
      <c r="I8" s="21"/>
      <c r="J8" s="21"/>
      <c r="K8" s="23"/>
      <c r="L8" s="23"/>
      <c r="M8" s="24"/>
      <c r="N8" s="24"/>
      <c r="O8" s="23"/>
      <c r="P8" s="23"/>
      <c r="Q8" s="23"/>
      <c r="R8" s="23"/>
      <c r="S8" s="21"/>
      <c r="T8" s="23"/>
      <c r="U8" s="23"/>
      <c r="V8" s="23"/>
      <c r="W8" s="23"/>
      <c r="X8" s="23"/>
      <c r="Y8" s="23"/>
      <c r="Z8" s="23"/>
      <c r="AA8" s="23"/>
      <c r="AB8" s="21"/>
      <c r="AC8" s="23"/>
      <c r="AD8" s="23"/>
      <c r="AE8" s="23"/>
      <c r="AF8" s="23"/>
      <c r="AG8" s="23"/>
      <c r="AH8" s="23"/>
      <c r="AK8" s="23"/>
      <c r="AL8" s="23"/>
      <c r="AM8" s="23"/>
      <c r="AR8" s="23"/>
      <c r="AS8" s="23"/>
      <c r="AT8" s="23"/>
      <c r="AU8" s="23"/>
      <c r="AV8" s="23"/>
      <c r="AW8" s="23"/>
      <c r="AX8" s="21"/>
      <c r="AY8" s="23"/>
      <c r="AZ8" s="23"/>
      <c r="BA8" s="23"/>
    </row>
    <row r="9" spans="1:53">
      <c r="C9" s="23"/>
      <c r="D9" s="24"/>
      <c r="E9" s="23"/>
      <c r="F9" s="23"/>
      <c r="G9" s="23"/>
      <c r="I9" s="21"/>
      <c r="J9" s="21"/>
      <c r="K9" s="23"/>
      <c r="L9" s="23"/>
      <c r="M9" s="24"/>
      <c r="N9" s="24"/>
      <c r="O9" s="23"/>
      <c r="P9" s="23"/>
      <c r="Q9" s="23"/>
      <c r="R9" s="23"/>
      <c r="S9" s="21"/>
      <c r="T9" s="23"/>
      <c r="U9" s="23"/>
      <c r="V9" s="23"/>
      <c r="W9" s="23"/>
      <c r="X9" s="23"/>
      <c r="Y9" s="23"/>
      <c r="Z9" s="23"/>
      <c r="AA9" s="23"/>
      <c r="AB9" s="21"/>
      <c r="AC9" s="23"/>
      <c r="AD9" s="23"/>
      <c r="AE9" s="23"/>
      <c r="AF9" s="23"/>
      <c r="AG9" s="23"/>
      <c r="AH9" s="23"/>
      <c r="AK9" s="23"/>
      <c r="AL9" s="23"/>
      <c r="AM9" s="23"/>
      <c r="AR9" s="23"/>
      <c r="AS9" s="23"/>
      <c r="AT9" s="23"/>
      <c r="AU9" s="30"/>
      <c r="AV9" s="30"/>
      <c r="AW9" s="30"/>
      <c r="AX9" s="21"/>
      <c r="AY9" s="23"/>
      <c r="AZ9" s="23"/>
      <c r="BA9" s="23"/>
    </row>
    <row r="10" spans="1:53">
      <c r="C10" s="23"/>
      <c r="D10" s="24"/>
      <c r="E10" s="23"/>
      <c r="F10" s="23"/>
      <c r="G10" s="23"/>
      <c r="I10" s="21"/>
      <c r="J10" s="21"/>
      <c r="K10" s="23"/>
      <c r="L10" s="23"/>
      <c r="M10" s="24"/>
      <c r="N10" s="24"/>
      <c r="O10" s="23"/>
      <c r="P10" s="23"/>
      <c r="Q10" s="23"/>
      <c r="R10" s="23"/>
      <c r="S10" s="21"/>
      <c r="T10" s="23"/>
      <c r="U10" s="23"/>
      <c r="V10" s="23"/>
      <c r="W10" s="23"/>
      <c r="X10" s="23"/>
      <c r="Y10" s="23"/>
      <c r="Z10" s="23"/>
      <c r="AA10" s="23"/>
      <c r="AB10" s="21"/>
      <c r="AC10" s="23"/>
      <c r="AD10" s="23"/>
      <c r="AE10" s="23"/>
      <c r="AF10" s="23"/>
      <c r="AG10" s="23"/>
      <c r="AH10" s="23"/>
      <c r="AK10" s="23"/>
      <c r="AL10" s="23"/>
      <c r="AM10" s="23"/>
      <c r="AR10" s="23"/>
      <c r="AS10" s="23"/>
      <c r="AT10" s="23"/>
      <c r="AU10" s="23"/>
      <c r="AV10" s="23"/>
      <c r="AW10" s="23"/>
      <c r="AX10" s="21"/>
      <c r="AY10" s="23"/>
      <c r="AZ10" s="23"/>
      <c r="BA10" s="23"/>
    </row>
    <row r="11" spans="1:53">
      <c r="C11" s="23"/>
      <c r="D11" s="24"/>
      <c r="E11" s="23"/>
      <c r="F11" s="23"/>
      <c r="G11" s="23"/>
      <c r="I11" s="21"/>
      <c r="J11" s="21"/>
      <c r="K11" s="23"/>
      <c r="L11" s="23"/>
      <c r="M11" s="24"/>
      <c r="N11" s="24"/>
      <c r="O11" s="23"/>
      <c r="P11" s="23"/>
      <c r="Q11" s="23"/>
      <c r="R11" s="23"/>
      <c r="S11" s="21"/>
      <c r="T11" s="23"/>
      <c r="U11" s="23"/>
      <c r="V11" s="23"/>
      <c r="W11" s="23"/>
      <c r="X11" s="23"/>
      <c r="Y11" s="23"/>
      <c r="Z11" s="23"/>
      <c r="AA11" s="23"/>
      <c r="AB11" s="21"/>
      <c r="AC11" s="23"/>
      <c r="AD11" s="23"/>
      <c r="AE11" s="23"/>
      <c r="AF11" s="23"/>
      <c r="AG11" s="23"/>
      <c r="AH11" s="23"/>
      <c r="AK11" s="23"/>
      <c r="AL11" s="23"/>
      <c r="AM11" s="23"/>
      <c r="AR11" s="23"/>
      <c r="AS11" s="23"/>
      <c r="AT11" s="23"/>
      <c r="AU11" s="23"/>
      <c r="AV11" s="23"/>
      <c r="AW11" s="23"/>
      <c r="AX11" s="21"/>
      <c r="AY11" s="23"/>
      <c r="AZ11" s="23"/>
      <c r="BA11" s="23"/>
    </row>
    <row r="12" spans="1:53">
      <c r="C12" s="23"/>
      <c r="D12" s="24"/>
      <c r="E12" s="23"/>
      <c r="F12" s="23"/>
      <c r="G12" s="23"/>
      <c r="I12" s="21"/>
      <c r="J12" s="21"/>
      <c r="K12" s="23"/>
      <c r="L12" s="23"/>
      <c r="M12" s="24"/>
      <c r="N12" s="24"/>
      <c r="O12" s="23"/>
      <c r="P12" s="23"/>
      <c r="Q12" s="23"/>
      <c r="R12" s="23"/>
      <c r="S12" s="21"/>
      <c r="T12" s="23"/>
      <c r="U12" s="23"/>
      <c r="V12" s="23"/>
      <c r="W12" s="23"/>
      <c r="X12" s="23"/>
      <c r="Y12" s="23"/>
      <c r="Z12" s="23"/>
      <c r="AA12" s="23"/>
      <c r="AB12" s="21"/>
      <c r="AC12" s="23"/>
      <c r="AD12" s="23"/>
      <c r="AE12" s="23"/>
      <c r="AF12" s="23"/>
      <c r="AG12" s="23"/>
      <c r="AH12" s="23"/>
      <c r="AK12" s="23"/>
      <c r="AL12" s="23"/>
      <c r="AM12" s="23"/>
      <c r="AR12" s="23"/>
      <c r="AS12" s="23"/>
      <c r="AT12" s="23"/>
      <c r="AU12" s="23"/>
      <c r="AV12" s="23"/>
      <c r="AW12" s="23"/>
      <c r="AX12" s="21"/>
      <c r="AY12" s="23"/>
      <c r="AZ12" s="23"/>
      <c r="BA12" s="23"/>
    </row>
    <row r="13" spans="1:53">
      <c r="C13" s="23"/>
      <c r="D13" s="24"/>
      <c r="E13" s="23"/>
      <c r="F13" s="23"/>
      <c r="G13" s="23"/>
      <c r="I13" s="21"/>
      <c r="J13" s="21"/>
      <c r="K13" s="23"/>
      <c r="L13" s="23"/>
      <c r="M13" s="24"/>
      <c r="N13" s="24"/>
      <c r="O13" s="23"/>
      <c r="P13" s="23"/>
      <c r="Q13" s="23"/>
      <c r="R13" s="23"/>
      <c r="S13" s="21"/>
      <c r="T13" s="23"/>
      <c r="U13" s="23"/>
      <c r="V13" s="23"/>
      <c r="W13" s="23"/>
      <c r="X13" s="23"/>
      <c r="Y13" s="23"/>
      <c r="Z13" s="23"/>
      <c r="AA13" s="23"/>
      <c r="AB13" s="21"/>
      <c r="AC13" s="23"/>
      <c r="AD13" s="23"/>
      <c r="AE13" s="23"/>
      <c r="AF13" s="23"/>
      <c r="AG13" s="23"/>
      <c r="AH13" s="23"/>
      <c r="AK13" s="23"/>
      <c r="AL13" s="23"/>
      <c r="AM13" s="23"/>
      <c r="AR13" s="23"/>
      <c r="AS13" s="23"/>
      <c r="AT13" s="23"/>
      <c r="AU13" s="23"/>
      <c r="AV13" s="23"/>
      <c r="AW13" s="23"/>
      <c r="AX13" s="21"/>
      <c r="AY13" s="23"/>
      <c r="AZ13" s="23"/>
      <c r="BA13" s="23"/>
    </row>
    <row r="14" spans="1:53">
      <c r="C14" s="23"/>
      <c r="D14" s="24"/>
      <c r="E14" s="23"/>
      <c r="F14" s="23"/>
      <c r="G14" s="23"/>
      <c r="I14" s="21"/>
      <c r="J14" s="21"/>
      <c r="K14" s="23"/>
      <c r="L14" s="23"/>
      <c r="M14" s="24"/>
      <c r="N14" s="24"/>
      <c r="O14" s="23"/>
      <c r="P14" s="23"/>
      <c r="Q14" s="23"/>
      <c r="R14" s="23"/>
      <c r="S14" s="21"/>
      <c r="T14" s="23"/>
      <c r="U14" s="23"/>
      <c r="V14" s="23"/>
      <c r="W14" s="23"/>
      <c r="X14" s="23"/>
      <c r="Y14" s="23"/>
      <c r="Z14" s="23"/>
      <c r="AA14" s="23"/>
      <c r="AB14" s="21"/>
      <c r="AC14" s="23"/>
      <c r="AD14" s="23"/>
      <c r="AE14" s="23"/>
      <c r="AF14" s="23"/>
      <c r="AG14" s="23"/>
      <c r="AH14" s="23"/>
      <c r="AK14" s="23"/>
      <c r="AL14" s="23"/>
      <c r="AM14" s="23"/>
      <c r="AR14" s="23"/>
      <c r="AS14" s="23"/>
      <c r="AT14" s="23"/>
      <c r="AU14" s="23"/>
      <c r="AV14" s="23"/>
      <c r="AW14" s="23"/>
      <c r="AX14" s="21"/>
      <c r="AY14" s="23"/>
      <c r="AZ14" s="23"/>
      <c r="BA14" s="23"/>
    </row>
    <row r="15" spans="1:53">
      <c r="C15" s="23"/>
      <c r="D15" s="24"/>
      <c r="E15" s="23"/>
      <c r="F15" s="23"/>
      <c r="G15" s="23"/>
      <c r="I15" s="21"/>
      <c r="J15" s="21"/>
      <c r="K15" s="23"/>
      <c r="L15" s="23"/>
      <c r="M15" s="24"/>
      <c r="N15" s="24"/>
      <c r="O15" s="23"/>
      <c r="P15" s="23"/>
      <c r="Q15" s="23"/>
      <c r="R15" s="23"/>
      <c r="S15" s="21"/>
      <c r="T15" s="23"/>
      <c r="U15" s="23"/>
      <c r="V15" s="23"/>
      <c r="W15" s="23"/>
      <c r="X15" s="23"/>
      <c r="Y15" s="23"/>
      <c r="Z15" s="23"/>
      <c r="AA15" s="23"/>
      <c r="AB15" s="21"/>
      <c r="AC15" s="23"/>
      <c r="AD15" s="23"/>
      <c r="AE15" s="23"/>
      <c r="AF15" s="23"/>
      <c r="AG15" s="23"/>
      <c r="AH15" s="23"/>
      <c r="AK15" s="23"/>
      <c r="AL15" s="23"/>
      <c r="AM15" s="23"/>
      <c r="AR15" s="23"/>
      <c r="AS15" s="23"/>
      <c r="AT15" s="23"/>
      <c r="AU15" s="23"/>
      <c r="AV15" s="23"/>
      <c r="AW15" s="23"/>
      <c r="AX15" s="21"/>
      <c r="AY15" s="23"/>
      <c r="AZ15" s="23"/>
      <c r="BA15" s="23"/>
    </row>
    <row r="16" spans="1:53">
      <c r="C16" s="23"/>
      <c r="D16" s="24"/>
      <c r="E16" s="23"/>
      <c r="F16" s="23"/>
      <c r="G16" s="23"/>
      <c r="I16" s="21"/>
      <c r="J16" s="21"/>
      <c r="K16" s="23"/>
      <c r="L16" s="23"/>
      <c r="M16" s="24"/>
      <c r="N16" s="24"/>
      <c r="O16" s="23"/>
      <c r="P16" s="23"/>
      <c r="Q16" s="23"/>
      <c r="R16" s="23"/>
      <c r="S16" s="21"/>
      <c r="T16" s="23"/>
      <c r="U16" s="23"/>
      <c r="V16" s="23"/>
      <c r="W16" s="23"/>
      <c r="X16" s="23"/>
      <c r="Y16" s="23"/>
      <c r="Z16" s="23"/>
      <c r="AA16" s="23"/>
      <c r="AB16" s="21"/>
      <c r="AC16" s="23"/>
      <c r="AD16" s="23"/>
      <c r="AE16" s="23"/>
      <c r="AF16" s="23"/>
      <c r="AG16" s="23"/>
      <c r="AH16" s="23"/>
      <c r="AK16" s="23"/>
      <c r="AL16" s="23"/>
      <c r="AM16" s="23"/>
      <c r="AR16" s="23"/>
      <c r="AS16" s="23"/>
      <c r="AT16" s="23"/>
      <c r="AU16" s="23"/>
      <c r="AV16" s="23"/>
      <c r="AW16" s="23"/>
      <c r="AX16" s="21"/>
      <c r="AY16" s="23"/>
      <c r="AZ16" s="23"/>
      <c r="BA16" s="23"/>
    </row>
    <row r="17" spans="3:53">
      <c r="C17" s="23"/>
      <c r="D17" s="24"/>
      <c r="E17" s="23"/>
      <c r="F17" s="23"/>
      <c r="G17" s="23"/>
      <c r="I17" s="21"/>
      <c r="J17" s="21"/>
      <c r="K17" s="23"/>
      <c r="L17" s="23"/>
      <c r="M17" s="24"/>
      <c r="N17" s="24"/>
      <c r="O17" s="23"/>
      <c r="P17" s="23"/>
      <c r="Q17" s="23"/>
      <c r="R17" s="23"/>
      <c r="S17" s="21"/>
      <c r="T17" s="23"/>
      <c r="U17" s="23"/>
      <c r="V17" s="23"/>
      <c r="W17" s="23"/>
      <c r="X17" s="23"/>
      <c r="Y17" s="23"/>
      <c r="Z17" s="23"/>
      <c r="AA17" s="23"/>
      <c r="AB17" s="21"/>
      <c r="AC17" s="23"/>
      <c r="AD17" s="23"/>
      <c r="AE17" s="23"/>
      <c r="AF17" s="23"/>
      <c r="AG17" s="23"/>
      <c r="AH17" s="23"/>
      <c r="AK17" s="23"/>
      <c r="AL17" s="23"/>
      <c r="AM17" s="23"/>
      <c r="AR17" s="23"/>
      <c r="AS17" s="23"/>
      <c r="AT17" s="23"/>
      <c r="AU17" s="23"/>
      <c r="AV17" s="23"/>
      <c r="AW17" s="23"/>
      <c r="AX17" s="21"/>
      <c r="AY17" s="23"/>
      <c r="AZ17" s="23"/>
      <c r="BA17" s="23"/>
    </row>
    <row r="18" spans="3:53">
      <c r="C18" s="23"/>
      <c r="D18" s="24"/>
      <c r="E18" s="23"/>
      <c r="F18" s="23"/>
      <c r="G18" s="23"/>
      <c r="I18" s="21"/>
      <c r="J18" s="21"/>
      <c r="K18" s="23"/>
      <c r="L18" s="23"/>
      <c r="M18" s="24"/>
      <c r="N18" s="24"/>
      <c r="O18" s="23"/>
      <c r="P18" s="23"/>
      <c r="Q18" s="23"/>
      <c r="R18" s="23"/>
      <c r="S18" s="21"/>
      <c r="T18" s="23"/>
      <c r="U18" s="23"/>
      <c r="V18" s="23"/>
      <c r="W18" s="23"/>
      <c r="X18" s="23"/>
      <c r="Y18" s="23"/>
      <c r="Z18" s="23"/>
      <c r="AA18" s="23"/>
      <c r="AB18" s="21"/>
      <c r="AC18" s="23"/>
      <c r="AD18" s="23"/>
      <c r="AE18" s="23"/>
      <c r="AF18" s="23"/>
      <c r="AG18" s="23"/>
      <c r="AH18" s="23"/>
      <c r="AK18" s="23"/>
      <c r="AL18" s="23"/>
      <c r="AM18" s="23"/>
      <c r="AR18" s="23"/>
      <c r="AS18" s="23"/>
      <c r="AT18" s="23"/>
      <c r="AU18" s="23"/>
      <c r="AV18" s="23"/>
      <c r="AW18" s="23"/>
      <c r="AX18" s="21"/>
      <c r="AY18" s="23"/>
      <c r="AZ18" s="23"/>
      <c r="BA18" s="23"/>
    </row>
    <row r="19" spans="3:53">
      <c r="C19" s="23"/>
      <c r="D19" s="24"/>
      <c r="E19" s="23"/>
      <c r="F19" s="23"/>
      <c r="G19" s="23"/>
      <c r="I19" s="21"/>
      <c r="J19" s="21"/>
      <c r="K19" s="23"/>
      <c r="L19" s="23"/>
      <c r="M19" s="24"/>
      <c r="N19" s="24"/>
      <c r="O19" s="23"/>
      <c r="P19" s="23"/>
      <c r="Q19" s="23"/>
      <c r="R19" s="23"/>
      <c r="S19" s="21"/>
      <c r="T19" s="23"/>
      <c r="U19" s="23"/>
      <c r="V19" s="23"/>
      <c r="W19" s="23"/>
      <c r="X19" s="23"/>
      <c r="Y19" s="23"/>
      <c r="Z19" s="23"/>
      <c r="AA19" s="23"/>
      <c r="AB19" s="21"/>
      <c r="AC19" s="23"/>
      <c r="AD19" s="23"/>
      <c r="AE19" s="23"/>
      <c r="AF19" s="23"/>
      <c r="AG19" s="23"/>
      <c r="AH19" s="23"/>
      <c r="AK19" s="23"/>
      <c r="AL19" s="23"/>
      <c r="AM19" s="23"/>
      <c r="AR19" s="23"/>
      <c r="AS19" s="23"/>
      <c r="AT19" s="23"/>
      <c r="AU19" s="23"/>
      <c r="AV19" s="23"/>
      <c r="AW19" s="23"/>
      <c r="AX19" s="21"/>
      <c r="AY19" s="23"/>
      <c r="AZ19" s="23"/>
      <c r="BA19" s="23"/>
    </row>
    <row r="20" spans="3:53">
      <c r="D20" s="24"/>
      <c r="G20" s="23"/>
      <c r="I20" s="21"/>
      <c r="J20" s="21"/>
      <c r="K20" s="23"/>
      <c r="L20" s="23"/>
      <c r="M20" s="24"/>
      <c r="Q20" s="23"/>
      <c r="R20" s="23"/>
      <c r="S20" s="21"/>
      <c r="U20" s="23"/>
      <c r="W20" s="23"/>
      <c r="X20" s="23"/>
      <c r="AB20" s="21"/>
      <c r="AC20" s="23"/>
      <c r="AG20" s="23"/>
      <c r="AH20" s="23"/>
      <c r="AK20" s="23"/>
      <c r="AM20" s="23"/>
      <c r="AX20" s="21"/>
      <c r="AY20" s="23"/>
    </row>
    <row r="21" spans="3:53" s="42" customFormat="1">
      <c r="D21" s="45"/>
      <c r="S21" s="31"/>
      <c r="AB21" s="45"/>
      <c r="AQ21" s="41"/>
      <c r="AX21" s="45"/>
    </row>
    <row r="22" spans="3:53">
      <c r="D22" s="5"/>
      <c r="S22" s="21"/>
    </row>
    <row r="23" spans="3:53">
      <c r="D23" s="5"/>
    </row>
  </sheetData>
  <sheetProtection formatColumns="0"/>
  <customSheetViews>
    <customSheetView guid="{AE318230-F718-49FC-82EB-7CAC3DCD05F1}" showGridLines="0" topLeftCell="S1">
      <selection activeCell="AG2" sqref="AG2"/>
      <pageMargins left="0.7" right="0.7" top="0.75" bottom="0.75" header="0.3" footer="0.3"/>
    </customSheetView>
  </customSheetViews>
  <dataValidations count="21">
    <dataValidation type="list" allowBlank="1" showInputMessage="1" showErrorMessage="1" sqref="K2:K20" xr:uid="{00000000-0002-0000-1700-000000000000}">
      <formula1>Industry_sectors</formula1>
    </dataValidation>
    <dataValidation type="list" allowBlank="1" showInputMessage="1" showErrorMessage="1" sqref="L2:L20" xr:uid="{00000000-0002-0000-1700-000001000000}">
      <formula1>Holding_interest</formula1>
    </dataValidation>
    <dataValidation type="list" allowBlank="1" showInputMessage="1" showErrorMessage="1" sqref="Q2:Q20" xr:uid="{00000000-0002-0000-1700-000002000000}">
      <formula1>Rating_Agency</formula1>
    </dataValidation>
    <dataValidation type="list" allowBlank="1" showInputMessage="1" showErrorMessage="1" sqref="M2:M20" xr:uid="{00000000-0002-0000-1700-000003000000}">
      <formula1>Consortium</formula1>
    </dataValidation>
    <dataValidation type="list" allowBlank="1" showInputMessage="1" showErrorMessage="1" sqref="W2:W20" xr:uid="{00000000-0002-0000-1700-000004000000}">
      <formula1>Linked_Type</formula1>
    </dataValidation>
    <dataValidation type="list" allowBlank="1" showInputMessage="1" showErrorMessage="1" sqref="AC2:AC20" xr:uid="{00000000-0002-0000-1700-000005000000}">
      <formula1>Type_of_Security</formula1>
    </dataValidation>
    <dataValidation type="list" allowBlank="1" showInputMessage="1" showErrorMessage="1" sqref="AM2:AM20" xr:uid="{00000000-0002-0000-1700-000006000000}">
      <formula1>Dependence_Independence</formula1>
    </dataValidation>
    <dataValidation type="list" allowBlank="1" showInputMessage="1" showErrorMessage="1" sqref="J2:J20" xr:uid="{00000000-0002-0000-1700-000007000000}">
      <formula1>Country_list</formula1>
    </dataValidation>
    <dataValidation type="list" allowBlank="1" showInputMessage="1" showErrorMessage="1" sqref="AH2:AH20" xr:uid="{00000000-0002-0000-1700-000008000000}">
      <formula1>Amoritization</formula1>
    </dataValidation>
    <dataValidation type="list" allowBlank="1" showInputMessage="1" showErrorMessage="1" sqref="U2:U20" xr:uid="{00000000-0002-0000-1700-000009000000}">
      <formula1>Type_of_Interest_Rate</formula1>
    </dataValidation>
    <dataValidation type="list" allowBlank="1" showInputMessage="1" showErrorMessage="1" sqref="AK2:AK20" xr:uid="{00000000-0002-0000-1700-00000A000000}">
      <formula1>Valuation_Loans</formula1>
    </dataValidation>
    <dataValidation type="list" allowBlank="1" showInputMessage="1" showErrorMessage="1" sqref="X2:X20" xr:uid="{00000000-0002-0000-1700-00000B000000}">
      <formula1>Underlying_Interest_Rates</formula1>
    </dataValidation>
    <dataValidation type="list" allowBlank="1" showInputMessage="1" showErrorMessage="1" sqref="AB2:AB20" xr:uid="{00000000-0002-0000-1700-00000C000000}">
      <formula1>Subordination_Risk</formula1>
    </dataValidation>
    <dataValidation type="list" allowBlank="1" showInputMessage="1" showErrorMessage="1" sqref="AX2:AX20" xr:uid="{00000000-0002-0000-1700-00000D000000}">
      <formula1>Yes_No_Bad_Debt</formula1>
    </dataValidation>
    <dataValidation type="list" allowBlank="1" showInputMessage="1" showErrorMessage="1" sqref="AG2:AG20" xr:uid="{00000000-0002-0000-1700-00000E000000}">
      <formula1>Recourse_Nonrecourse</formula1>
    </dataValidation>
    <dataValidation type="list" allowBlank="1" showInputMessage="1" showErrorMessage="1" sqref="AJ2:AJ20" xr:uid="{00000000-0002-0000-1700-00000F000000}">
      <formula1>Repayment_Rights</formula1>
    </dataValidation>
    <dataValidation type="list" allowBlank="1" showInputMessage="1" showErrorMessage="1" sqref="D2:D20" xr:uid="{00000000-0002-0000-1700-000010000000}">
      <formula1>issuer_number_loan</formula1>
    </dataValidation>
    <dataValidation type="list" allowBlank="1" showInputMessage="1" showErrorMessage="1" sqref="H2:H20" xr:uid="{00000000-0002-0000-1700-000011000000}">
      <formula1>real_estate_loans</formula1>
    </dataValidation>
    <dataValidation type="list" allowBlank="1" showInputMessage="1" showErrorMessage="1" sqref="I2:I20" xr:uid="{00000000-0002-0000-1700-000012000000}">
      <formula1>israel_abroad</formula1>
    </dataValidation>
    <dataValidation type="list" allowBlank="1" showInputMessage="1" showErrorMessage="1" sqref="AY2:AY20" xr:uid="{00000000-0002-0000-1700-000013000000}">
      <formula1 xml:space="preserve"> In_the_books</formula1>
    </dataValidation>
    <dataValidation type="list" allowBlank="1" showInputMessage="1" showErrorMessage="1" sqref="R2:R20" xr:uid="{00000000-0002-0000-1700-000014000000}">
      <formula1>what_is_rated_loans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15000000}">
          <x14:formula1>
            <xm:f>'אפשרויות בחירה'!$C$970:$C$976</xm:f>
          </x14:formula1>
          <xm:sqref>G2:G20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Sheet25"/>
  <dimension ref="A1:AD20"/>
  <sheetViews>
    <sheetView rightToLeft="1" workbookViewId="0">
      <selection activeCell="A2" sqref="A2"/>
    </sheetView>
  </sheetViews>
  <sheetFormatPr defaultColWidth="0" defaultRowHeight="14.25"/>
  <cols>
    <col min="1" max="4" width="11.625" style="3" customWidth="1"/>
    <col min="5" max="5" width="11.625" style="5" customWidth="1"/>
    <col min="6" max="16" width="11.625" style="3" customWidth="1"/>
    <col min="17" max="17" width="13.375" style="3" customWidth="1"/>
    <col min="18" max="25" width="11.625" style="3" customWidth="1"/>
    <col min="26" max="26" width="8.625" style="3" bestFit="1" customWidth="1"/>
    <col min="27" max="27" width="11" style="3" bestFit="1" customWidth="1"/>
    <col min="28" max="30" width="11.625" style="3" customWidth="1"/>
    <col min="31" max="31" width="9" style="3" hidden="1" customWidth="1"/>
    <col min="32" max="16384" width="9" style="3" hidden="1"/>
  </cols>
  <sheetData>
    <row r="1" spans="1:30" ht="51">
      <c r="A1" s="22" t="s">
        <v>0</v>
      </c>
      <c r="B1" s="22" t="s">
        <v>1</v>
      </c>
      <c r="C1" s="22" t="s">
        <v>2</v>
      </c>
      <c r="D1" s="22" t="s">
        <v>47</v>
      </c>
      <c r="E1" s="22" t="s">
        <v>48</v>
      </c>
      <c r="F1" s="22" t="s">
        <v>3</v>
      </c>
      <c r="G1" s="22" t="s">
        <v>4</v>
      </c>
      <c r="H1" s="22" t="s">
        <v>49</v>
      </c>
      <c r="I1" s="22" t="s">
        <v>5</v>
      </c>
      <c r="J1" s="22" t="s">
        <v>6</v>
      </c>
      <c r="K1" s="22" t="s">
        <v>7</v>
      </c>
      <c r="L1" s="22" t="s">
        <v>51</v>
      </c>
      <c r="M1" s="22" t="s">
        <v>64</v>
      </c>
      <c r="N1" s="22" t="s">
        <v>81</v>
      </c>
      <c r="O1" s="22" t="s">
        <v>9</v>
      </c>
      <c r="P1" s="22" t="s">
        <v>10</v>
      </c>
      <c r="Q1" s="22" t="s">
        <v>52</v>
      </c>
      <c r="R1" s="22" t="s">
        <v>11</v>
      </c>
      <c r="S1" s="22" t="s">
        <v>12</v>
      </c>
      <c r="T1" s="22" t="s">
        <v>14</v>
      </c>
      <c r="U1" s="22" t="s">
        <v>15</v>
      </c>
      <c r="V1" s="22" t="s">
        <v>87</v>
      </c>
      <c r="W1" s="22" t="s">
        <v>88</v>
      </c>
      <c r="X1" s="22" t="s">
        <v>90</v>
      </c>
      <c r="Y1" s="22" t="s">
        <v>17</v>
      </c>
      <c r="Z1" s="22" t="s">
        <v>18</v>
      </c>
      <c r="AA1" s="22" t="s">
        <v>19</v>
      </c>
      <c r="AB1" s="22" t="s">
        <v>20</v>
      </c>
      <c r="AC1" s="22" t="s">
        <v>24</v>
      </c>
      <c r="AD1" s="22" t="s">
        <v>25</v>
      </c>
    </row>
    <row r="2" spans="1:30">
      <c r="A2" s="23"/>
      <c r="B2" s="23"/>
      <c r="C2" s="23"/>
      <c r="D2" s="23"/>
      <c r="E2" s="21"/>
      <c r="F2" s="23"/>
      <c r="G2" s="23"/>
      <c r="H2" s="23"/>
      <c r="I2" s="23"/>
      <c r="J2" s="21"/>
      <c r="K2" s="21"/>
      <c r="L2" s="23"/>
      <c r="M2" s="24"/>
      <c r="N2" s="23"/>
      <c r="O2" s="23"/>
      <c r="P2" s="23"/>
      <c r="Q2" s="23"/>
      <c r="R2" s="21"/>
      <c r="S2" s="23"/>
      <c r="T2" s="23"/>
      <c r="U2" s="23"/>
      <c r="V2" s="23"/>
      <c r="W2" s="23"/>
      <c r="Y2" s="23"/>
      <c r="Z2" s="23"/>
      <c r="AA2" s="23"/>
      <c r="AB2" s="23"/>
      <c r="AC2" s="23"/>
      <c r="AD2" s="23"/>
    </row>
    <row r="3" spans="1:30">
      <c r="A3" s="23"/>
      <c r="B3" s="23"/>
      <c r="C3" s="23"/>
      <c r="D3" s="23"/>
      <c r="E3" s="21"/>
      <c r="F3" s="23"/>
      <c r="G3" s="23"/>
      <c r="H3" s="23"/>
      <c r="I3" s="23"/>
      <c r="J3" s="21"/>
      <c r="K3" s="21"/>
      <c r="L3" s="23"/>
      <c r="M3" s="24"/>
      <c r="N3" s="23"/>
      <c r="O3" s="23"/>
      <c r="P3" s="23"/>
      <c r="Q3" s="23"/>
      <c r="R3" s="21"/>
      <c r="S3" s="23"/>
      <c r="T3" s="23"/>
      <c r="U3" s="23"/>
      <c r="V3" s="23"/>
      <c r="W3" s="23"/>
      <c r="Y3" s="23"/>
      <c r="Z3" s="23"/>
      <c r="AA3" s="23"/>
      <c r="AB3" s="23"/>
      <c r="AC3" s="23"/>
      <c r="AD3" s="23"/>
    </row>
    <row r="4" spans="1:30">
      <c r="A4" s="23"/>
      <c r="B4" s="23"/>
      <c r="C4" s="23"/>
      <c r="D4" s="23"/>
      <c r="E4" s="21"/>
      <c r="F4" s="23"/>
      <c r="G4" s="23"/>
      <c r="H4" s="23"/>
      <c r="I4" s="23"/>
      <c r="J4" s="21"/>
      <c r="K4" s="21"/>
      <c r="L4" s="23"/>
      <c r="M4" s="24"/>
      <c r="N4" s="23"/>
      <c r="O4" s="23"/>
      <c r="P4" s="23"/>
      <c r="Q4" s="23"/>
      <c r="R4" s="21"/>
      <c r="S4" s="23"/>
      <c r="T4" s="23"/>
      <c r="U4" s="23"/>
      <c r="V4" s="23"/>
      <c r="W4" s="23"/>
      <c r="Y4" s="23"/>
      <c r="Z4" s="23"/>
      <c r="AA4" s="23"/>
      <c r="AB4" s="23"/>
      <c r="AC4" s="23"/>
      <c r="AD4" s="23"/>
    </row>
    <row r="5" spans="1:30">
      <c r="A5" s="23"/>
      <c r="B5" s="23"/>
      <c r="C5" s="23"/>
      <c r="D5" s="23"/>
      <c r="E5" s="21"/>
      <c r="F5" s="23"/>
      <c r="G5" s="23"/>
      <c r="H5" s="23"/>
      <c r="I5" s="23"/>
      <c r="J5" s="21"/>
      <c r="K5" s="21"/>
      <c r="L5" s="23"/>
      <c r="M5" s="24"/>
      <c r="N5" s="23"/>
      <c r="O5" s="23"/>
      <c r="P5" s="23"/>
      <c r="Q5" s="23"/>
      <c r="R5" s="21"/>
      <c r="S5" s="23"/>
      <c r="T5" s="23"/>
      <c r="U5" s="23"/>
      <c r="V5" s="23"/>
      <c r="W5" s="23"/>
      <c r="Y5" s="23"/>
      <c r="Z5" s="23"/>
      <c r="AA5" s="23"/>
      <c r="AB5" s="23"/>
      <c r="AC5" s="23"/>
      <c r="AD5" s="23"/>
    </row>
    <row r="6" spans="1:30">
      <c r="A6" s="23"/>
      <c r="B6" s="23"/>
      <c r="C6" s="23"/>
      <c r="D6" s="23"/>
      <c r="E6" s="21"/>
      <c r="F6" s="23"/>
      <c r="G6" s="23"/>
      <c r="H6" s="23"/>
      <c r="I6" s="23"/>
      <c r="J6" s="21"/>
      <c r="K6" s="21"/>
      <c r="L6" s="23"/>
      <c r="M6" s="24"/>
      <c r="N6" s="23"/>
      <c r="O6" s="23"/>
      <c r="P6" s="23"/>
      <c r="Q6" s="23"/>
      <c r="R6" s="21"/>
      <c r="S6" s="23"/>
      <c r="T6" s="23"/>
      <c r="U6" s="23"/>
      <c r="V6" s="23"/>
      <c r="W6" s="23"/>
      <c r="Y6" s="23"/>
      <c r="Z6" s="23"/>
      <c r="AA6" s="23"/>
      <c r="AB6" s="23"/>
      <c r="AC6" s="23"/>
      <c r="AD6" s="23"/>
    </row>
    <row r="7" spans="1:30">
      <c r="A7" s="23"/>
      <c r="B7" s="23"/>
      <c r="C7" s="23"/>
      <c r="D7" s="23"/>
      <c r="E7" s="21"/>
      <c r="F7" s="23"/>
      <c r="G7" s="23"/>
      <c r="H7" s="23"/>
      <c r="I7" s="23"/>
      <c r="J7" s="21"/>
      <c r="K7" s="21"/>
      <c r="L7" s="23"/>
      <c r="M7" s="24"/>
      <c r="N7" s="23"/>
      <c r="O7" s="23"/>
      <c r="P7" s="23"/>
      <c r="Q7" s="23"/>
      <c r="R7" s="21"/>
      <c r="S7" s="23"/>
      <c r="T7" s="23"/>
      <c r="U7" s="23"/>
      <c r="V7" s="23"/>
      <c r="W7" s="23"/>
      <c r="Y7" s="23"/>
      <c r="Z7" s="23"/>
      <c r="AA7" s="23"/>
      <c r="AB7" s="23"/>
      <c r="AC7" s="23"/>
      <c r="AD7" s="23"/>
    </row>
    <row r="8" spans="1:30">
      <c r="A8" s="23"/>
      <c r="B8" s="23"/>
      <c r="C8" s="23"/>
      <c r="D8" s="23"/>
      <c r="E8" s="21"/>
      <c r="F8" s="23"/>
      <c r="G8" s="23"/>
      <c r="H8" s="23"/>
      <c r="I8" s="23"/>
      <c r="J8" s="21"/>
      <c r="K8" s="21"/>
      <c r="L8" s="23"/>
      <c r="M8" s="24"/>
      <c r="N8" s="23"/>
      <c r="O8" s="23"/>
      <c r="P8" s="23"/>
      <c r="Q8" s="23"/>
      <c r="R8" s="21"/>
      <c r="S8" s="23"/>
      <c r="T8" s="23"/>
      <c r="U8" s="23"/>
      <c r="V8" s="23"/>
      <c r="W8" s="23"/>
      <c r="Y8" s="23"/>
      <c r="Z8" s="23"/>
      <c r="AA8" s="23"/>
      <c r="AB8" s="23"/>
      <c r="AC8" s="23"/>
      <c r="AD8" s="23"/>
    </row>
    <row r="9" spans="1:30">
      <c r="A9" s="23"/>
      <c r="B9" s="23"/>
      <c r="C9" s="23"/>
      <c r="D9" s="23"/>
      <c r="E9" s="21"/>
      <c r="F9" s="23"/>
      <c r="G9" s="23"/>
      <c r="H9" s="23"/>
      <c r="I9" s="23"/>
      <c r="J9" s="21"/>
      <c r="K9" s="21"/>
      <c r="L9" s="23"/>
      <c r="M9" s="24"/>
      <c r="N9" s="23"/>
      <c r="O9" s="23"/>
      <c r="P9" s="23"/>
      <c r="Q9" s="23"/>
      <c r="R9" s="21"/>
      <c r="S9" s="23"/>
      <c r="T9" s="23"/>
      <c r="U9" s="23"/>
      <c r="V9" s="23"/>
      <c r="W9" s="23"/>
      <c r="Y9" s="23"/>
      <c r="Z9" s="23"/>
      <c r="AA9" s="23"/>
      <c r="AB9" s="23"/>
      <c r="AC9" s="23"/>
      <c r="AD9" s="23"/>
    </row>
    <row r="10" spans="1:30">
      <c r="A10" s="23"/>
      <c r="B10" s="23"/>
      <c r="C10" s="23"/>
      <c r="D10" s="23"/>
      <c r="E10" s="21"/>
      <c r="F10" s="23"/>
      <c r="G10" s="23"/>
      <c r="H10" s="23"/>
      <c r="I10" s="23"/>
      <c r="J10" s="21"/>
      <c r="K10" s="21"/>
      <c r="L10" s="23"/>
      <c r="M10" s="24"/>
      <c r="N10" s="23"/>
      <c r="O10" s="23"/>
      <c r="P10" s="23"/>
      <c r="Q10" s="23"/>
      <c r="R10" s="21"/>
      <c r="S10" s="23"/>
      <c r="T10" s="23"/>
      <c r="U10" s="23"/>
      <c r="V10" s="23"/>
      <c r="W10" s="23"/>
      <c r="Y10" s="23"/>
      <c r="Z10" s="23"/>
      <c r="AA10" s="23"/>
      <c r="AB10" s="23"/>
      <c r="AC10" s="23"/>
      <c r="AD10" s="23"/>
    </row>
    <row r="11" spans="1:30">
      <c r="A11" s="23"/>
      <c r="B11" s="23"/>
      <c r="C11" s="23"/>
      <c r="D11" s="23"/>
      <c r="E11" s="21"/>
      <c r="F11" s="23"/>
      <c r="G11" s="23"/>
      <c r="H11" s="23"/>
      <c r="I11" s="23"/>
      <c r="J11" s="21"/>
      <c r="K11" s="21"/>
      <c r="L11" s="23"/>
      <c r="M11" s="24"/>
      <c r="N11" s="23"/>
      <c r="O11" s="23"/>
      <c r="P11" s="23"/>
      <c r="Q11" s="23"/>
      <c r="R11" s="21"/>
      <c r="S11" s="23"/>
      <c r="T11" s="23"/>
      <c r="U11" s="23"/>
      <c r="V11" s="23"/>
      <c r="W11" s="23"/>
      <c r="Y11" s="23"/>
      <c r="Z11" s="23"/>
      <c r="AA11" s="23"/>
      <c r="AB11" s="23"/>
      <c r="AC11" s="23"/>
      <c r="AD11" s="23"/>
    </row>
    <row r="12" spans="1:30">
      <c r="A12" s="23"/>
      <c r="B12" s="23"/>
      <c r="C12" s="23"/>
      <c r="D12" s="23"/>
      <c r="E12" s="21"/>
      <c r="F12" s="23"/>
      <c r="G12" s="23"/>
      <c r="H12" s="23"/>
      <c r="I12" s="23"/>
      <c r="J12" s="21"/>
      <c r="K12" s="21"/>
      <c r="L12" s="23"/>
      <c r="M12" s="24"/>
      <c r="N12" s="23"/>
      <c r="O12" s="23"/>
      <c r="P12" s="23"/>
      <c r="Q12" s="23"/>
      <c r="R12" s="21"/>
      <c r="S12" s="23"/>
      <c r="T12" s="23"/>
      <c r="U12" s="23"/>
      <c r="V12" s="23"/>
      <c r="W12" s="23"/>
      <c r="Y12" s="23"/>
      <c r="Z12" s="23"/>
      <c r="AA12" s="23"/>
      <c r="AB12" s="23"/>
      <c r="AC12" s="23"/>
      <c r="AD12" s="23"/>
    </row>
    <row r="13" spans="1:30">
      <c r="A13" s="23"/>
      <c r="B13" s="23"/>
      <c r="C13" s="23"/>
      <c r="D13" s="23"/>
      <c r="E13" s="21"/>
      <c r="F13" s="23"/>
      <c r="G13" s="23"/>
      <c r="H13" s="23"/>
      <c r="I13" s="23"/>
      <c r="J13" s="21"/>
      <c r="K13" s="21"/>
      <c r="L13" s="23"/>
      <c r="M13" s="24"/>
      <c r="N13" s="23"/>
      <c r="O13" s="23"/>
      <c r="P13" s="23"/>
      <c r="Q13" s="23"/>
      <c r="R13" s="21"/>
      <c r="S13" s="23"/>
      <c r="T13" s="23"/>
      <c r="U13" s="23"/>
      <c r="V13" s="23"/>
      <c r="W13" s="23"/>
      <c r="Y13" s="23"/>
      <c r="Z13" s="23"/>
      <c r="AA13" s="23"/>
      <c r="AB13" s="23"/>
      <c r="AC13" s="23"/>
      <c r="AD13" s="23"/>
    </row>
    <row r="14" spans="1:30">
      <c r="A14" s="23"/>
      <c r="B14" s="23"/>
      <c r="C14" s="23"/>
      <c r="D14" s="23"/>
      <c r="E14" s="21"/>
      <c r="F14" s="23"/>
      <c r="G14" s="23"/>
      <c r="H14" s="23"/>
      <c r="I14" s="23"/>
      <c r="J14" s="21"/>
      <c r="K14" s="21"/>
      <c r="L14" s="23"/>
      <c r="M14" s="24"/>
      <c r="N14" s="23"/>
      <c r="O14" s="23"/>
      <c r="P14" s="23"/>
      <c r="Q14" s="23"/>
      <c r="R14" s="21"/>
      <c r="S14" s="23"/>
      <c r="T14" s="23"/>
      <c r="U14" s="23"/>
      <c r="V14" s="23"/>
      <c r="W14" s="23"/>
      <c r="Y14" s="23"/>
      <c r="Z14" s="23"/>
      <c r="AA14" s="23"/>
      <c r="AB14" s="23"/>
      <c r="AC14" s="23"/>
      <c r="AD14" s="23"/>
    </row>
    <row r="15" spans="1:30">
      <c r="A15" s="23"/>
      <c r="B15" s="23"/>
      <c r="C15" s="23"/>
      <c r="D15" s="23"/>
      <c r="E15" s="21"/>
      <c r="F15" s="23"/>
      <c r="G15" s="23"/>
      <c r="H15" s="23"/>
      <c r="I15" s="23"/>
      <c r="J15" s="21"/>
      <c r="K15" s="21"/>
      <c r="L15" s="23"/>
      <c r="M15" s="24"/>
      <c r="N15" s="23"/>
      <c r="O15" s="23"/>
      <c r="P15" s="23"/>
      <c r="Q15" s="23"/>
      <c r="R15" s="21"/>
      <c r="S15" s="23"/>
      <c r="T15" s="23"/>
      <c r="U15" s="23"/>
      <c r="V15" s="23"/>
      <c r="W15" s="23"/>
      <c r="Y15" s="23"/>
      <c r="Z15" s="23"/>
      <c r="AA15" s="23"/>
      <c r="AB15" s="23"/>
      <c r="AC15" s="23"/>
      <c r="AD15" s="23"/>
    </row>
    <row r="16" spans="1:30">
      <c r="A16" s="23"/>
      <c r="B16" s="23"/>
      <c r="C16" s="23"/>
      <c r="D16" s="23"/>
      <c r="E16" s="21"/>
      <c r="F16" s="23"/>
      <c r="G16" s="23"/>
      <c r="H16" s="23"/>
      <c r="I16" s="23"/>
      <c r="J16" s="21"/>
      <c r="K16" s="21"/>
      <c r="L16" s="23"/>
      <c r="M16" s="24"/>
      <c r="N16" s="23"/>
      <c r="O16" s="23"/>
      <c r="P16" s="23"/>
      <c r="Q16" s="23"/>
      <c r="R16" s="21"/>
      <c r="S16" s="23"/>
      <c r="T16" s="23"/>
      <c r="U16" s="23"/>
      <c r="V16" s="23"/>
      <c r="W16" s="23"/>
      <c r="Y16" s="23"/>
      <c r="Z16" s="23"/>
      <c r="AA16" s="23"/>
      <c r="AB16" s="23"/>
      <c r="AC16" s="23"/>
      <c r="AD16" s="23"/>
    </row>
    <row r="17" spans="1:30">
      <c r="A17" s="23"/>
      <c r="B17" s="23"/>
      <c r="C17" s="23"/>
      <c r="D17" s="23"/>
      <c r="E17" s="21"/>
      <c r="F17" s="23"/>
      <c r="G17" s="23"/>
      <c r="H17" s="23"/>
      <c r="I17" s="23"/>
      <c r="J17" s="21"/>
      <c r="K17" s="21"/>
      <c r="L17" s="23"/>
      <c r="M17" s="24"/>
      <c r="N17" s="23"/>
      <c r="O17" s="23"/>
      <c r="P17" s="23"/>
      <c r="Q17" s="23"/>
      <c r="R17" s="21"/>
      <c r="S17" s="23"/>
      <c r="T17" s="23"/>
      <c r="U17" s="23"/>
      <c r="V17" s="23"/>
      <c r="W17" s="23"/>
      <c r="Y17" s="23"/>
      <c r="Z17" s="23"/>
      <c r="AA17" s="23"/>
      <c r="AB17" s="23"/>
      <c r="AC17" s="23"/>
      <c r="AD17" s="23"/>
    </row>
    <row r="18" spans="1:30">
      <c r="A18" s="23"/>
      <c r="B18" s="23"/>
      <c r="C18" s="23"/>
      <c r="D18" s="23"/>
      <c r="E18" s="21"/>
      <c r="F18" s="23"/>
      <c r="G18" s="23"/>
      <c r="H18" s="23"/>
      <c r="I18" s="23"/>
      <c r="J18" s="21"/>
      <c r="K18" s="21"/>
      <c r="L18" s="23"/>
      <c r="M18" s="24"/>
      <c r="N18" s="23"/>
      <c r="O18" s="23"/>
      <c r="P18" s="23"/>
      <c r="Q18" s="23"/>
      <c r="R18" s="21"/>
      <c r="S18" s="23"/>
      <c r="T18" s="23"/>
      <c r="U18" s="23"/>
      <c r="V18" s="23"/>
      <c r="W18" s="23"/>
      <c r="Y18" s="23"/>
      <c r="Z18" s="23"/>
      <c r="AA18" s="23"/>
      <c r="AB18" s="23"/>
      <c r="AC18" s="23"/>
      <c r="AD18" s="23"/>
    </row>
    <row r="19" spans="1:30">
      <c r="A19" s="23"/>
      <c r="B19" s="23"/>
      <c r="C19" s="23"/>
      <c r="D19" s="23"/>
      <c r="E19" s="21"/>
      <c r="F19" s="23"/>
      <c r="G19" s="23"/>
      <c r="H19" s="23"/>
      <c r="I19" s="23"/>
      <c r="J19" s="21"/>
      <c r="K19" s="21"/>
      <c r="L19" s="23"/>
      <c r="M19" s="24"/>
      <c r="N19" s="23"/>
      <c r="O19" s="23"/>
      <c r="P19" s="23"/>
      <c r="Q19" s="23"/>
      <c r="R19" s="21"/>
      <c r="S19" s="23"/>
      <c r="T19" s="23"/>
      <c r="U19" s="23"/>
      <c r="V19" s="23"/>
      <c r="W19" s="23"/>
      <c r="Y19" s="23"/>
      <c r="Z19" s="23"/>
      <c r="AA19" s="23"/>
      <c r="AB19" s="23"/>
      <c r="AC19" s="23"/>
      <c r="AD19" s="23"/>
    </row>
    <row r="20" spans="1:30">
      <c r="E20" s="21"/>
      <c r="H20" s="23"/>
      <c r="I20" s="23"/>
      <c r="J20" s="21"/>
      <c r="K20" s="21"/>
      <c r="L20" s="23"/>
      <c r="M20" s="24"/>
      <c r="P20" s="23"/>
      <c r="Q20" s="23"/>
      <c r="V20" s="23"/>
      <c r="W20" s="23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2">
    <dataValidation type="list" allowBlank="1" showInputMessage="1" showErrorMessage="1" sqref="J2:J20" xr:uid="{00000000-0002-0000-1800-000000000000}">
      <formula1>israel_abroad</formula1>
    </dataValidation>
    <dataValidation type="list" allowBlank="1" showInputMessage="1" showErrorMessage="1" sqref="L2:L20" xr:uid="{00000000-0002-0000-1800-000001000000}">
      <formula1>Holding_interest</formula1>
    </dataValidation>
    <dataValidation type="list" allowBlank="1" showInputMessage="1" showErrorMessage="1" sqref="P2:P20" xr:uid="{00000000-0002-0000-1800-000002000000}">
      <formula1>Rating_Agency</formula1>
    </dataValidation>
    <dataValidation type="list" allowBlank="1" showInputMessage="1" showErrorMessage="1" sqref="Q2:Q20" xr:uid="{00000000-0002-0000-1800-000003000000}">
      <formula1>What_is_rated</formula1>
    </dataValidation>
    <dataValidation type="list" allowBlank="1" showInputMessage="1" showErrorMessage="1" sqref="V2:V20" xr:uid="{00000000-0002-0000-1800-000004000000}">
      <formula1>Valuation</formula1>
    </dataValidation>
    <dataValidation type="list" allowBlank="1" showInputMessage="1" showErrorMessage="1" sqref="W2:W20" xr:uid="{00000000-0002-0000-1800-000005000000}">
      <formula1>Dependence_Independence</formula1>
    </dataValidation>
    <dataValidation type="list" allowBlank="1" showInputMessage="1" showErrorMessage="1" sqref="K2:K20" xr:uid="{00000000-0002-0000-1800-000006000000}">
      <formula1>Country_list</formula1>
    </dataValidation>
    <dataValidation type="list" allowBlank="1" showInputMessage="1" showErrorMessage="1" sqref="H2:H20" xr:uid="{00000000-0002-0000-1800-000007000000}">
      <formula1>Type_of_Security_ID_Fund</formula1>
    </dataValidation>
    <dataValidation type="list" allowBlank="1" showInputMessage="1" showErrorMessage="1" sqref="M3:M20" xr:uid="{00000000-0002-0000-1800-000008000000}">
      <formula1>Underlying_Asset</formula1>
    </dataValidation>
    <dataValidation type="list" allowBlank="1" showInputMessage="1" showErrorMessage="1" sqref="E2" xr:uid="{00000000-0002-0000-1800-000009000000}">
      <formula1>Issuer_Number_Type_3</formula1>
    </dataValidation>
    <dataValidation type="list" allowBlank="1" showInputMessage="1" showErrorMessage="1" sqref="E3:E20" xr:uid="{00000000-0002-0000-1800-00000A000000}">
      <formula1>Issuer_Number_Type_2</formula1>
    </dataValidation>
    <dataValidation type="list" allowBlank="1" showInputMessage="1" showErrorMessage="1" sqref="M2" xr:uid="{00000000-0002-0000-1800-00000B000000}">
      <formula1>Underlying_Asset_Structured</formula1>
    </dataValidation>
  </dataValidations>
  <pageMargins left="0.7" right="0.7" top="0.75" bottom="0.75" header="0.3" footer="0.3"/>
  <pageSetup paperSize="0"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C000000}">
          <x14:formula1>
            <xm:f>'אפשרויות בחירה'!$C$986:$C$991</xm:f>
          </x14:formula1>
          <xm:sqref>I2:I20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Sheet26"/>
  <dimension ref="A1:V21"/>
  <sheetViews>
    <sheetView rightToLeft="1" workbookViewId="0">
      <selection activeCell="A2" sqref="A2"/>
    </sheetView>
  </sheetViews>
  <sheetFormatPr defaultColWidth="0" defaultRowHeight="14.25"/>
  <cols>
    <col min="1" max="2" width="11.625" style="3" customWidth="1"/>
    <col min="3" max="3" width="11.625" style="42" customWidth="1"/>
    <col min="4" max="4" width="11.625" style="3" customWidth="1"/>
    <col min="5" max="5" width="11.625" style="5" customWidth="1"/>
    <col min="6" max="22" width="11.625" style="3" customWidth="1"/>
    <col min="23" max="23" width="9" style="3" hidden="1" customWidth="1"/>
    <col min="24" max="16384" width="9" style="3" hidden="1"/>
  </cols>
  <sheetData>
    <row r="1" spans="1:22" ht="51">
      <c r="A1" s="22" t="s">
        <v>0</v>
      </c>
      <c r="B1" s="22" t="s">
        <v>1</v>
      </c>
      <c r="C1" s="22" t="s">
        <v>255</v>
      </c>
      <c r="D1" s="22" t="s">
        <v>256</v>
      </c>
      <c r="E1" s="22" t="s">
        <v>257</v>
      </c>
      <c r="F1" s="22" t="s">
        <v>5</v>
      </c>
      <c r="G1" s="22" t="s">
        <v>258</v>
      </c>
      <c r="H1" s="22" t="s">
        <v>6</v>
      </c>
      <c r="I1" s="22" t="s">
        <v>7</v>
      </c>
      <c r="J1" s="22" t="s">
        <v>51</v>
      </c>
      <c r="K1" s="22" t="s">
        <v>259</v>
      </c>
      <c r="L1" s="22" t="s">
        <v>10</v>
      </c>
      <c r="M1" s="22" t="s">
        <v>11</v>
      </c>
      <c r="N1" s="22" t="s">
        <v>12</v>
      </c>
      <c r="O1" s="22" t="s">
        <v>14</v>
      </c>
      <c r="P1" s="22" t="s">
        <v>15</v>
      </c>
      <c r="Q1" s="22" t="s">
        <v>260</v>
      </c>
      <c r="R1" s="22" t="s">
        <v>18</v>
      </c>
      <c r="S1" s="22" t="s">
        <v>261</v>
      </c>
      <c r="T1" s="22" t="s">
        <v>20</v>
      </c>
      <c r="U1" s="22" t="s">
        <v>24</v>
      </c>
      <c r="V1" s="22" t="s">
        <v>25</v>
      </c>
    </row>
    <row r="2" spans="1:22">
      <c r="A2" s="23"/>
      <c r="B2" s="23"/>
      <c r="C2" s="24"/>
      <c r="D2" s="42"/>
      <c r="E2" s="31"/>
      <c r="F2" s="23"/>
      <c r="G2" s="23"/>
      <c r="H2" s="31"/>
      <c r="I2" s="31"/>
      <c r="J2" s="23"/>
      <c r="K2" s="24"/>
      <c r="M2" s="21"/>
      <c r="N2" s="23"/>
      <c r="O2" s="24"/>
      <c r="P2" s="23"/>
      <c r="R2" s="23"/>
      <c r="S2" s="24"/>
      <c r="T2" s="23"/>
      <c r="U2" s="23"/>
      <c r="V2" s="23"/>
    </row>
    <row r="3" spans="1:22">
      <c r="A3" s="23"/>
      <c r="B3" s="23"/>
      <c r="C3" s="24"/>
      <c r="E3" s="21"/>
      <c r="F3" s="23"/>
      <c r="G3" s="23"/>
      <c r="H3" s="31"/>
      <c r="I3" s="31"/>
      <c r="J3" s="23"/>
      <c r="K3" s="23"/>
      <c r="M3" s="21"/>
      <c r="N3" s="23"/>
      <c r="O3" s="23"/>
      <c r="P3" s="23"/>
      <c r="R3" s="23"/>
      <c r="T3" s="23"/>
      <c r="U3" s="23"/>
      <c r="V3" s="23"/>
    </row>
    <row r="4" spans="1:22">
      <c r="A4" s="23"/>
      <c r="B4" s="23"/>
      <c r="C4" s="24"/>
      <c r="E4" s="21"/>
      <c r="F4" s="23"/>
      <c r="G4" s="23"/>
      <c r="H4" s="31"/>
      <c r="I4" s="31"/>
      <c r="J4" s="23"/>
      <c r="K4" s="23"/>
      <c r="M4" s="21"/>
      <c r="N4" s="23"/>
      <c r="O4" s="23"/>
      <c r="P4" s="23"/>
      <c r="R4" s="23"/>
      <c r="T4" s="23"/>
      <c r="U4" s="23"/>
      <c r="V4" s="23"/>
    </row>
    <row r="5" spans="1:22">
      <c r="A5" s="23"/>
      <c r="B5" s="23"/>
      <c r="C5" s="24"/>
      <c r="E5" s="21"/>
      <c r="F5" s="23"/>
      <c r="G5" s="23"/>
      <c r="H5" s="31"/>
      <c r="I5" s="31"/>
      <c r="J5" s="23"/>
      <c r="K5" s="23"/>
      <c r="M5" s="21"/>
      <c r="N5" s="23"/>
      <c r="O5" s="23"/>
      <c r="P5" s="23"/>
      <c r="R5" s="23"/>
      <c r="T5" s="23"/>
      <c r="U5" s="23"/>
      <c r="V5" s="23"/>
    </row>
    <row r="6" spans="1:22">
      <c r="A6" s="23"/>
      <c r="B6" s="23"/>
      <c r="C6" s="24"/>
      <c r="E6" s="21"/>
      <c r="F6" s="23"/>
      <c r="G6" s="23"/>
      <c r="H6" s="31"/>
      <c r="I6" s="31"/>
      <c r="J6" s="23"/>
      <c r="K6" s="23"/>
      <c r="M6" s="21"/>
      <c r="N6" s="23"/>
      <c r="O6" s="23"/>
      <c r="P6" s="23"/>
      <c r="R6" s="23"/>
      <c r="T6" s="23"/>
      <c r="U6" s="23"/>
      <c r="V6" s="23"/>
    </row>
    <row r="7" spans="1:22">
      <c r="A7" s="23"/>
      <c r="B7" s="23"/>
      <c r="C7" s="24"/>
      <c r="E7" s="21"/>
      <c r="F7" s="23"/>
      <c r="G7" s="23"/>
      <c r="H7" s="31"/>
      <c r="I7" s="31"/>
      <c r="J7" s="23"/>
      <c r="K7" s="23"/>
      <c r="M7" s="21"/>
      <c r="N7" s="23"/>
      <c r="O7" s="23"/>
      <c r="P7" s="23"/>
      <c r="R7" s="23"/>
      <c r="S7" s="23"/>
      <c r="T7" s="23"/>
      <c r="U7" s="23"/>
      <c r="V7" s="23"/>
    </row>
    <row r="8" spans="1:22">
      <c r="A8" s="23"/>
      <c r="B8" s="23"/>
      <c r="C8" s="24"/>
      <c r="E8" s="21"/>
      <c r="F8" s="23"/>
      <c r="G8" s="23"/>
      <c r="H8" s="31"/>
      <c r="I8" s="31"/>
      <c r="J8" s="23"/>
      <c r="K8" s="23"/>
      <c r="M8" s="21"/>
      <c r="N8" s="23"/>
      <c r="O8" s="23"/>
      <c r="P8" s="23"/>
      <c r="R8" s="23"/>
      <c r="S8" s="23"/>
      <c r="T8" s="23"/>
      <c r="U8" s="23"/>
      <c r="V8" s="23"/>
    </row>
    <row r="9" spans="1:22">
      <c r="A9" s="23"/>
      <c r="B9" s="23"/>
      <c r="C9" s="24"/>
      <c r="E9" s="21"/>
      <c r="F9" s="23"/>
      <c r="G9" s="23"/>
      <c r="H9" s="31"/>
      <c r="I9" s="31"/>
      <c r="J9" s="23"/>
      <c r="K9" s="23"/>
      <c r="M9" s="21"/>
      <c r="N9" s="23"/>
      <c r="O9" s="23"/>
      <c r="P9" s="23"/>
      <c r="R9" s="23"/>
      <c r="S9" s="23"/>
      <c r="T9" s="23"/>
      <c r="U9" s="23"/>
      <c r="V9" s="23"/>
    </row>
    <row r="10" spans="1:22">
      <c r="A10" s="23"/>
      <c r="B10" s="23"/>
      <c r="C10" s="24"/>
      <c r="E10" s="21"/>
      <c r="F10" s="23"/>
      <c r="G10" s="23"/>
      <c r="H10" s="31"/>
      <c r="I10" s="31"/>
      <c r="J10" s="23"/>
      <c r="K10" s="23"/>
      <c r="M10" s="21"/>
      <c r="N10" s="23"/>
      <c r="O10" s="23"/>
      <c r="P10" s="23"/>
      <c r="R10" s="23"/>
      <c r="S10" s="23"/>
      <c r="T10" s="23"/>
      <c r="U10" s="23"/>
      <c r="V10" s="23"/>
    </row>
    <row r="11" spans="1:22">
      <c r="A11" s="23"/>
      <c r="B11" s="23"/>
      <c r="C11" s="24"/>
      <c r="E11" s="21"/>
      <c r="F11" s="23"/>
      <c r="G11" s="23"/>
      <c r="H11" s="31"/>
      <c r="I11" s="31"/>
      <c r="J11" s="23"/>
      <c r="K11" s="23"/>
      <c r="M11" s="21"/>
      <c r="N11" s="23"/>
      <c r="O11" s="23"/>
      <c r="P11" s="23"/>
      <c r="R11" s="23"/>
      <c r="S11" s="23"/>
      <c r="T11" s="23"/>
      <c r="U11" s="23"/>
      <c r="V11" s="23"/>
    </row>
    <row r="12" spans="1:22">
      <c r="A12" s="23"/>
      <c r="B12" s="23"/>
      <c r="C12" s="24"/>
      <c r="E12" s="21"/>
      <c r="F12" s="23"/>
      <c r="G12" s="23"/>
      <c r="H12" s="31"/>
      <c r="I12" s="31"/>
      <c r="J12" s="23"/>
      <c r="K12" s="23"/>
      <c r="M12" s="21"/>
      <c r="N12" s="23"/>
      <c r="O12" s="23"/>
      <c r="P12" s="23"/>
      <c r="R12" s="23"/>
      <c r="S12" s="23"/>
      <c r="T12" s="23"/>
      <c r="U12" s="23"/>
      <c r="V12" s="23"/>
    </row>
    <row r="13" spans="1:22">
      <c r="A13" s="23"/>
      <c r="B13" s="23"/>
      <c r="C13" s="24"/>
      <c r="E13" s="21"/>
      <c r="F13" s="23"/>
      <c r="G13" s="23"/>
      <c r="H13" s="31"/>
      <c r="I13" s="31"/>
      <c r="J13" s="23"/>
      <c r="K13" s="23"/>
      <c r="M13" s="21"/>
      <c r="N13" s="23"/>
      <c r="O13" s="23"/>
      <c r="P13" s="23"/>
      <c r="R13" s="23"/>
      <c r="S13" s="23"/>
      <c r="T13" s="23"/>
      <c r="U13" s="23"/>
      <c r="V13" s="23"/>
    </row>
    <row r="14" spans="1:22">
      <c r="A14" s="23"/>
      <c r="B14" s="23"/>
      <c r="C14" s="24"/>
      <c r="E14" s="21"/>
      <c r="F14" s="23"/>
      <c r="G14" s="23"/>
      <c r="H14" s="31"/>
      <c r="I14" s="31"/>
      <c r="J14" s="23"/>
      <c r="K14" s="23"/>
      <c r="M14" s="21"/>
      <c r="N14" s="23"/>
      <c r="O14" s="23"/>
      <c r="P14" s="23"/>
      <c r="R14" s="23"/>
      <c r="S14" s="23"/>
      <c r="T14" s="23"/>
      <c r="U14" s="23"/>
      <c r="V14" s="23"/>
    </row>
    <row r="15" spans="1:22">
      <c r="A15" s="23"/>
      <c r="B15" s="23"/>
      <c r="C15" s="24"/>
      <c r="E15" s="21"/>
      <c r="F15" s="23"/>
      <c r="G15" s="23"/>
      <c r="H15" s="31"/>
      <c r="I15" s="31"/>
      <c r="J15" s="23"/>
      <c r="K15" s="23"/>
      <c r="M15" s="21"/>
      <c r="N15" s="23"/>
      <c r="O15" s="23"/>
      <c r="P15" s="23"/>
      <c r="R15" s="23"/>
      <c r="S15" s="23"/>
      <c r="T15" s="23"/>
      <c r="U15" s="23"/>
      <c r="V15" s="23"/>
    </row>
    <row r="16" spans="1:22">
      <c r="A16" s="23"/>
      <c r="B16" s="23"/>
      <c r="C16" s="24"/>
      <c r="E16" s="21"/>
      <c r="F16" s="23"/>
      <c r="G16" s="23"/>
      <c r="H16" s="31"/>
      <c r="I16" s="31"/>
      <c r="J16" s="23"/>
      <c r="K16" s="23"/>
      <c r="M16" s="21"/>
      <c r="N16" s="23"/>
      <c r="O16" s="23"/>
      <c r="P16" s="23"/>
      <c r="R16" s="23"/>
      <c r="S16" s="23"/>
      <c r="T16" s="23"/>
      <c r="U16" s="23"/>
      <c r="V16" s="23"/>
    </row>
    <row r="17" spans="1:22">
      <c r="A17" s="23"/>
      <c r="B17" s="23"/>
      <c r="C17" s="24"/>
      <c r="E17" s="21"/>
      <c r="F17" s="23"/>
      <c r="G17" s="23"/>
      <c r="H17" s="31"/>
      <c r="I17" s="31"/>
      <c r="J17" s="23"/>
      <c r="K17" s="23"/>
      <c r="M17" s="21"/>
      <c r="N17" s="23"/>
      <c r="O17" s="23"/>
      <c r="P17" s="23"/>
      <c r="R17" s="23"/>
      <c r="S17" s="23"/>
      <c r="T17" s="23"/>
      <c r="U17" s="23"/>
      <c r="V17" s="23"/>
    </row>
    <row r="18" spans="1:22">
      <c r="A18" s="23"/>
      <c r="B18" s="23"/>
      <c r="C18" s="24"/>
      <c r="E18" s="21"/>
      <c r="F18" s="23"/>
      <c r="G18" s="23"/>
      <c r="H18" s="31"/>
      <c r="I18" s="31"/>
      <c r="J18" s="23"/>
      <c r="K18" s="23"/>
      <c r="M18" s="21"/>
      <c r="N18" s="23"/>
      <c r="O18" s="23"/>
      <c r="P18" s="23"/>
      <c r="R18" s="23"/>
      <c r="S18" s="23"/>
      <c r="T18" s="23"/>
      <c r="U18" s="23"/>
      <c r="V18" s="23"/>
    </row>
    <row r="19" spans="1:22">
      <c r="A19" s="23"/>
      <c r="B19" s="23"/>
      <c r="C19" s="24"/>
      <c r="E19" s="21"/>
      <c r="F19" s="23"/>
      <c r="G19" s="23"/>
      <c r="H19" s="31"/>
      <c r="I19" s="31"/>
      <c r="J19" s="23"/>
      <c r="K19" s="23"/>
      <c r="M19" s="21"/>
      <c r="N19" s="23"/>
      <c r="O19" s="23"/>
      <c r="P19" s="23"/>
      <c r="R19" s="23"/>
      <c r="S19" s="23"/>
      <c r="T19" s="23"/>
      <c r="U19" s="23"/>
      <c r="V19" s="23"/>
    </row>
    <row r="20" spans="1:22">
      <c r="E20" s="21"/>
      <c r="F20" s="23"/>
      <c r="H20" s="31"/>
      <c r="I20" s="31"/>
      <c r="J20" s="23"/>
    </row>
    <row r="21" spans="1:22" s="42" customFormat="1">
      <c r="E21" s="45"/>
      <c r="L21" s="41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  <pageSetup orientation="portrait"/>
    </customSheetView>
  </customSheetViews>
  <dataValidations count="5">
    <dataValidation type="list" allowBlank="1" showInputMessage="1" showErrorMessage="1" sqref="H2:H20" xr:uid="{00000000-0002-0000-1900-000000000000}">
      <formula1>israel_abroad</formula1>
    </dataValidation>
    <dataValidation type="list" allowBlank="1" showInputMessage="1" showErrorMessage="1" sqref="J2:J20" xr:uid="{00000000-0002-0000-1900-000001000000}">
      <formula1>Holding_interest</formula1>
    </dataValidation>
    <dataValidation type="list" allowBlank="1" showInputMessage="1" showErrorMessage="1" sqref="I2:I20" xr:uid="{00000000-0002-0000-1900-000002000000}">
      <formula1>Country_list</formula1>
    </dataValidation>
    <dataValidation type="list" allowBlank="1" showInputMessage="1" showErrorMessage="1" sqref="E2:E20" xr:uid="{00000000-0002-0000-1900-000003000000}">
      <formula1>Issuer_Number_Banks</formula1>
    </dataValidation>
    <dataValidation type="list" allowBlank="1" showInputMessage="1" showErrorMessage="1" sqref="L2:L20" xr:uid="{00000000-0002-0000-1900-000004000000}">
      <formula1>Rating_Agency</formula1>
    </dataValidation>
  </dataValidations>
  <pageMargins left="0.7" right="0.7" top="0.75" bottom="0.75" header="0.3" footer="0.3"/>
  <pageSetup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5000000}">
          <x14:formula1>
            <xm:f>'אפשרויות בחירה'!$C$992:$C$997</xm:f>
          </x14:formula1>
          <xm:sqref>F2:F20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Sheet27"/>
  <dimension ref="A1:X21"/>
  <sheetViews>
    <sheetView rightToLeft="1" workbookViewId="0">
      <selection activeCell="A2" sqref="A2"/>
    </sheetView>
  </sheetViews>
  <sheetFormatPr defaultColWidth="0" defaultRowHeight="14.25"/>
  <cols>
    <col min="1" max="24" width="11.625" style="3" customWidth="1"/>
    <col min="25" max="25" width="9" style="3" hidden="1" customWidth="1"/>
    <col min="26" max="16384" width="9" style="3" hidden="1"/>
  </cols>
  <sheetData>
    <row r="1" spans="1:24" ht="51">
      <c r="A1" s="22" t="s">
        <v>0</v>
      </c>
      <c r="B1" s="22" t="s">
        <v>1</v>
      </c>
      <c r="C1" s="22" t="s">
        <v>262</v>
      </c>
      <c r="D1" s="22" t="s">
        <v>5</v>
      </c>
      <c r="E1" s="22" t="s">
        <v>263</v>
      </c>
      <c r="F1" s="22" t="s">
        <v>51</v>
      </c>
      <c r="G1" s="22" t="s">
        <v>81</v>
      </c>
      <c r="H1" s="22" t="s">
        <v>264</v>
      </c>
      <c r="I1" s="22" t="s">
        <v>265</v>
      </c>
      <c r="J1" s="22" t="s">
        <v>266</v>
      </c>
      <c r="K1" s="22" t="s">
        <v>267</v>
      </c>
      <c r="L1" s="22" t="s">
        <v>268</v>
      </c>
      <c r="M1" s="22" t="s">
        <v>87</v>
      </c>
      <c r="N1" s="22" t="s">
        <v>89</v>
      </c>
      <c r="O1" s="22" t="s">
        <v>88</v>
      </c>
      <c r="P1" s="22" t="s">
        <v>90</v>
      </c>
      <c r="Q1" s="22" t="s">
        <v>11</v>
      </c>
      <c r="R1" s="22" t="s">
        <v>254</v>
      </c>
      <c r="S1" s="22" t="s">
        <v>20</v>
      </c>
      <c r="T1" s="22" t="s">
        <v>21</v>
      </c>
      <c r="U1" s="22" t="s">
        <v>56</v>
      </c>
      <c r="V1" s="22" t="s">
        <v>22</v>
      </c>
      <c r="W1" s="22" t="s">
        <v>24</v>
      </c>
      <c r="X1" s="22" t="s">
        <v>25</v>
      </c>
    </row>
    <row r="2" spans="1:24">
      <c r="A2" s="23"/>
      <c r="B2" s="23"/>
      <c r="C2" s="23"/>
      <c r="D2" s="23"/>
      <c r="E2" s="23"/>
      <c r="F2" s="23"/>
      <c r="G2" s="23"/>
      <c r="H2" s="23"/>
      <c r="I2" s="23"/>
      <c r="J2" s="23"/>
      <c r="K2" s="23"/>
      <c r="L2" s="24"/>
      <c r="M2" s="24"/>
      <c r="N2" s="24"/>
      <c r="O2" s="24"/>
      <c r="P2" s="23"/>
      <c r="Q2" s="21"/>
      <c r="R2" s="23"/>
      <c r="S2" s="23"/>
      <c r="T2" s="24"/>
      <c r="U2" s="24"/>
      <c r="V2" s="23"/>
      <c r="W2" s="23"/>
      <c r="X2" s="23"/>
    </row>
    <row r="3" spans="1:24">
      <c r="A3" s="23"/>
      <c r="B3" s="23"/>
      <c r="C3" s="23"/>
      <c r="D3" s="23"/>
      <c r="E3" s="23"/>
      <c r="F3" s="23"/>
      <c r="G3" s="23"/>
      <c r="H3" s="23"/>
      <c r="I3" s="23"/>
      <c r="J3" s="23"/>
      <c r="K3" s="23"/>
      <c r="L3" s="24"/>
      <c r="M3" s="23"/>
      <c r="N3" s="24"/>
      <c r="O3" s="23"/>
      <c r="P3" s="23"/>
      <c r="Q3" s="21"/>
      <c r="R3" s="23"/>
      <c r="S3" s="23"/>
      <c r="T3" s="23"/>
      <c r="U3" s="23"/>
      <c r="V3" s="23"/>
      <c r="W3" s="23"/>
      <c r="X3" s="23"/>
    </row>
    <row r="4" spans="1:24">
      <c r="A4" s="23"/>
      <c r="B4" s="23"/>
      <c r="C4" s="23"/>
      <c r="D4" s="23"/>
      <c r="E4" s="23"/>
      <c r="F4" s="23"/>
      <c r="G4" s="23"/>
      <c r="H4" s="23"/>
      <c r="I4" s="23"/>
      <c r="J4" s="23"/>
      <c r="K4" s="23"/>
      <c r="L4" s="24"/>
      <c r="M4" s="23"/>
      <c r="N4" s="23"/>
      <c r="O4" s="23"/>
      <c r="P4" s="23"/>
      <c r="Q4" s="21"/>
      <c r="R4" s="23"/>
      <c r="S4" s="23"/>
      <c r="T4" s="23"/>
      <c r="U4" s="23"/>
      <c r="V4" s="23"/>
      <c r="W4" s="23"/>
      <c r="X4" s="23"/>
    </row>
    <row r="5" spans="1:24">
      <c r="A5" s="23"/>
      <c r="B5" s="23"/>
      <c r="C5" s="23"/>
      <c r="D5" s="23"/>
      <c r="E5" s="23"/>
      <c r="F5" s="23"/>
      <c r="G5" s="23"/>
      <c r="H5" s="23"/>
      <c r="I5" s="23"/>
      <c r="J5" s="23"/>
      <c r="K5" s="23"/>
      <c r="L5" s="24"/>
      <c r="M5" s="23"/>
      <c r="N5" s="23"/>
      <c r="O5" s="23"/>
      <c r="P5" s="23"/>
      <c r="Q5" s="21"/>
      <c r="R5" s="23"/>
      <c r="S5" s="23"/>
      <c r="T5" s="23"/>
      <c r="U5" s="23"/>
      <c r="V5" s="23"/>
      <c r="W5" s="23"/>
      <c r="X5" s="23"/>
    </row>
    <row r="6" spans="1:24">
      <c r="A6" s="23"/>
      <c r="B6" s="23"/>
      <c r="C6" s="23"/>
      <c r="D6" s="23"/>
      <c r="E6" s="23"/>
      <c r="F6" s="23"/>
      <c r="G6" s="23"/>
      <c r="H6" s="23"/>
      <c r="I6" s="23"/>
      <c r="J6" s="23"/>
      <c r="K6" s="23"/>
      <c r="L6" s="24"/>
      <c r="M6" s="23"/>
      <c r="N6" s="23"/>
      <c r="O6" s="23"/>
      <c r="P6" s="23"/>
      <c r="Q6" s="21"/>
      <c r="R6" s="23"/>
      <c r="S6" s="23"/>
      <c r="T6" s="23"/>
      <c r="U6" s="23"/>
      <c r="V6" s="23"/>
      <c r="W6" s="23"/>
      <c r="X6" s="23"/>
    </row>
    <row r="7" spans="1:24">
      <c r="A7" s="23"/>
      <c r="B7" s="23"/>
      <c r="C7" s="23"/>
      <c r="D7" s="23"/>
      <c r="E7" s="23"/>
      <c r="F7" s="23"/>
      <c r="G7" s="23"/>
      <c r="H7" s="23"/>
      <c r="I7" s="23"/>
      <c r="J7" s="23"/>
      <c r="K7" s="23"/>
      <c r="L7" s="24"/>
      <c r="M7" s="23"/>
      <c r="N7" s="23"/>
      <c r="O7" s="23"/>
      <c r="P7" s="23"/>
      <c r="Q7" s="21"/>
      <c r="R7" s="23"/>
      <c r="S7" s="23"/>
      <c r="T7" s="23"/>
      <c r="U7" s="23"/>
      <c r="V7" s="23"/>
      <c r="W7" s="23"/>
      <c r="X7" s="23"/>
    </row>
    <row r="8" spans="1:24">
      <c r="A8" s="23"/>
      <c r="B8" s="23"/>
      <c r="C8" s="23"/>
      <c r="D8" s="23"/>
      <c r="E8" s="23"/>
      <c r="F8" s="23"/>
      <c r="G8" s="23"/>
      <c r="H8" s="23"/>
      <c r="I8" s="23"/>
      <c r="J8" s="23"/>
      <c r="K8" s="23"/>
      <c r="L8" s="24"/>
      <c r="M8" s="23"/>
      <c r="N8" s="23"/>
      <c r="O8" s="23"/>
      <c r="P8" s="23"/>
      <c r="Q8" s="21"/>
      <c r="R8" s="23"/>
      <c r="S8" s="23"/>
      <c r="T8" s="23"/>
      <c r="U8" s="23"/>
      <c r="V8" s="23"/>
      <c r="W8" s="23"/>
      <c r="X8" s="23"/>
    </row>
    <row r="9" spans="1:24">
      <c r="A9" s="23"/>
      <c r="B9" s="23"/>
      <c r="C9" s="23"/>
      <c r="D9" s="23"/>
      <c r="E9" s="23"/>
      <c r="F9" s="23"/>
      <c r="G9" s="23"/>
      <c r="H9" s="23"/>
      <c r="I9" s="23"/>
      <c r="J9" s="23"/>
      <c r="K9" s="23"/>
      <c r="L9" s="24"/>
      <c r="M9" s="23"/>
      <c r="N9" s="23"/>
      <c r="O9" s="23"/>
      <c r="P9" s="23"/>
      <c r="Q9" s="21"/>
      <c r="R9" s="23"/>
      <c r="S9" s="23"/>
      <c r="T9" s="23"/>
      <c r="U9" s="23"/>
      <c r="V9" s="23"/>
      <c r="W9" s="23"/>
      <c r="X9" s="23"/>
    </row>
    <row r="10" spans="1:24">
      <c r="A10" s="23"/>
      <c r="B10" s="23"/>
      <c r="C10" s="23"/>
      <c r="D10" s="23"/>
      <c r="E10" s="23"/>
      <c r="F10" s="23"/>
      <c r="G10" s="23"/>
      <c r="H10" s="23"/>
      <c r="I10" s="23"/>
      <c r="J10" s="23"/>
      <c r="K10" s="23"/>
      <c r="L10" s="24"/>
      <c r="M10" s="23"/>
      <c r="N10" s="23"/>
      <c r="O10" s="23"/>
      <c r="P10" s="23"/>
      <c r="Q10" s="21"/>
      <c r="R10" s="23"/>
      <c r="S10" s="23"/>
      <c r="T10" s="23"/>
      <c r="U10" s="23"/>
      <c r="V10" s="23"/>
      <c r="W10" s="23"/>
      <c r="X10" s="23"/>
    </row>
    <row r="11" spans="1:24">
      <c r="A11" s="23"/>
      <c r="B11" s="23"/>
      <c r="C11" s="23"/>
      <c r="D11" s="23"/>
      <c r="E11" s="23"/>
      <c r="F11" s="23"/>
      <c r="G11" s="23"/>
      <c r="H11" s="23"/>
      <c r="I11" s="23"/>
      <c r="J11" s="23"/>
      <c r="K11" s="23"/>
      <c r="L11" s="24"/>
      <c r="M11" s="23"/>
      <c r="N11" s="23"/>
      <c r="O11" s="23"/>
      <c r="P11" s="23"/>
      <c r="Q11" s="21"/>
      <c r="R11" s="23"/>
      <c r="S11" s="23"/>
      <c r="T11" s="23"/>
      <c r="U11" s="23"/>
      <c r="V11" s="23"/>
      <c r="W11" s="23"/>
      <c r="X11" s="23"/>
    </row>
    <row r="12" spans="1:24">
      <c r="A12" s="23"/>
      <c r="B12" s="23"/>
      <c r="C12" s="23"/>
      <c r="D12" s="23"/>
      <c r="E12" s="23"/>
      <c r="F12" s="23"/>
      <c r="G12" s="23"/>
      <c r="H12" s="23"/>
      <c r="I12" s="23"/>
      <c r="J12" s="23"/>
      <c r="K12" s="23"/>
      <c r="L12" s="24"/>
      <c r="M12" s="23"/>
      <c r="N12" s="23"/>
      <c r="O12" s="23"/>
      <c r="P12" s="23"/>
      <c r="Q12" s="21"/>
      <c r="R12" s="23"/>
      <c r="S12" s="23"/>
      <c r="T12" s="23"/>
      <c r="U12" s="23"/>
      <c r="V12" s="23"/>
      <c r="W12" s="23"/>
      <c r="X12" s="23"/>
    </row>
    <row r="13" spans="1:24">
      <c r="A13" s="23"/>
      <c r="B13" s="23"/>
      <c r="C13" s="23"/>
      <c r="D13" s="23"/>
      <c r="E13" s="23"/>
      <c r="F13" s="23"/>
      <c r="G13" s="23"/>
      <c r="H13" s="23"/>
      <c r="I13" s="23"/>
      <c r="J13" s="23"/>
      <c r="K13" s="23"/>
      <c r="L13" s="24"/>
      <c r="M13" s="23"/>
      <c r="N13" s="23"/>
      <c r="O13" s="23"/>
      <c r="P13" s="23"/>
      <c r="Q13" s="21"/>
      <c r="R13" s="23"/>
      <c r="S13" s="23"/>
      <c r="T13" s="23"/>
      <c r="U13" s="23"/>
      <c r="V13" s="23"/>
      <c r="W13" s="23"/>
      <c r="X13" s="23"/>
    </row>
    <row r="14" spans="1:24">
      <c r="A14" s="23"/>
      <c r="B14" s="23"/>
      <c r="C14" s="23"/>
      <c r="D14" s="23"/>
      <c r="E14" s="23"/>
      <c r="F14" s="23"/>
      <c r="G14" s="23"/>
      <c r="H14" s="23"/>
      <c r="I14" s="23"/>
      <c r="J14" s="23"/>
      <c r="K14" s="23"/>
      <c r="L14" s="24"/>
      <c r="M14" s="23"/>
      <c r="N14" s="23"/>
      <c r="O14" s="23"/>
      <c r="P14" s="23"/>
      <c r="Q14" s="21"/>
      <c r="R14" s="23"/>
      <c r="S14" s="23"/>
      <c r="T14" s="23"/>
      <c r="U14" s="23"/>
      <c r="V14" s="23"/>
      <c r="W14" s="23"/>
      <c r="X14" s="23"/>
    </row>
    <row r="15" spans="1:24">
      <c r="A15" s="23"/>
      <c r="B15" s="23"/>
      <c r="C15" s="23"/>
      <c r="D15" s="23"/>
      <c r="E15" s="23"/>
      <c r="F15" s="23"/>
      <c r="G15" s="23"/>
      <c r="H15" s="23"/>
      <c r="I15" s="23"/>
      <c r="J15" s="23"/>
      <c r="K15" s="23"/>
      <c r="L15" s="24"/>
      <c r="M15" s="23"/>
      <c r="N15" s="23"/>
      <c r="O15" s="23"/>
      <c r="P15" s="23"/>
      <c r="Q15" s="21"/>
      <c r="R15" s="23"/>
      <c r="S15" s="23"/>
      <c r="T15" s="23"/>
      <c r="U15" s="23"/>
      <c r="V15" s="23"/>
      <c r="W15" s="23"/>
      <c r="X15" s="23"/>
    </row>
    <row r="16" spans="1:24">
      <c r="A16" s="23"/>
      <c r="B16" s="23"/>
      <c r="C16" s="23"/>
      <c r="D16" s="23"/>
      <c r="E16" s="23"/>
      <c r="F16" s="23"/>
      <c r="G16" s="23"/>
      <c r="H16" s="23"/>
      <c r="I16" s="23"/>
      <c r="J16" s="23"/>
      <c r="K16" s="23"/>
      <c r="L16" s="24"/>
      <c r="M16" s="23"/>
      <c r="N16" s="23"/>
      <c r="O16" s="23"/>
      <c r="P16" s="23"/>
      <c r="Q16" s="21"/>
      <c r="R16" s="23"/>
      <c r="S16" s="23"/>
      <c r="T16" s="23"/>
      <c r="U16" s="23"/>
      <c r="V16" s="23"/>
      <c r="W16" s="23"/>
      <c r="X16" s="23"/>
    </row>
    <row r="17" spans="1:24">
      <c r="A17" s="23"/>
      <c r="B17" s="23"/>
      <c r="C17" s="23"/>
      <c r="D17" s="23"/>
      <c r="E17" s="23"/>
      <c r="F17" s="23"/>
      <c r="G17" s="23"/>
      <c r="H17" s="23"/>
      <c r="I17" s="23"/>
      <c r="J17" s="23"/>
      <c r="K17" s="23"/>
      <c r="L17" s="24"/>
      <c r="M17" s="23"/>
      <c r="N17" s="23"/>
      <c r="O17" s="23"/>
      <c r="P17" s="23"/>
      <c r="Q17" s="21"/>
      <c r="R17" s="23"/>
      <c r="S17" s="23"/>
      <c r="T17" s="23"/>
      <c r="U17" s="23"/>
      <c r="V17" s="23"/>
      <c r="W17" s="23"/>
      <c r="X17" s="23"/>
    </row>
    <row r="18" spans="1:24">
      <c r="A18" s="23"/>
      <c r="B18" s="23"/>
      <c r="C18" s="23"/>
      <c r="D18" s="23"/>
      <c r="E18" s="23"/>
      <c r="F18" s="23"/>
      <c r="G18" s="23"/>
      <c r="H18" s="23"/>
      <c r="I18" s="23"/>
      <c r="J18" s="23"/>
      <c r="K18" s="23"/>
      <c r="L18" s="24"/>
      <c r="M18" s="23"/>
      <c r="N18" s="23"/>
      <c r="O18" s="23"/>
      <c r="P18" s="23"/>
      <c r="Q18" s="21"/>
      <c r="R18" s="23"/>
      <c r="S18" s="23"/>
      <c r="T18" s="23"/>
      <c r="U18" s="23"/>
      <c r="V18" s="23"/>
      <c r="W18" s="23"/>
      <c r="X18" s="23"/>
    </row>
    <row r="19" spans="1:24">
      <c r="A19" s="23"/>
      <c r="B19" s="23"/>
      <c r="C19" s="23"/>
      <c r="D19" s="23"/>
      <c r="E19" s="23"/>
      <c r="F19" s="23"/>
      <c r="G19" s="23"/>
      <c r="H19" s="23"/>
      <c r="I19" s="23"/>
      <c r="J19" s="23"/>
      <c r="K19" s="23"/>
      <c r="L19" s="24"/>
      <c r="M19" s="23"/>
      <c r="N19" s="23"/>
      <c r="O19" s="23"/>
      <c r="P19" s="23"/>
      <c r="Q19" s="21"/>
      <c r="R19" s="23"/>
      <c r="S19" s="23"/>
      <c r="T19" s="23"/>
      <c r="U19" s="23"/>
      <c r="V19" s="23"/>
      <c r="W19" s="23"/>
      <c r="X19" s="23"/>
    </row>
    <row r="20" spans="1:24">
      <c r="D20" s="23"/>
      <c r="E20" s="23"/>
      <c r="F20" s="23"/>
      <c r="H20" s="23"/>
      <c r="I20" s="23"/>
      <c r="L20" s="24"/>
      <c r="M20" s="23"/>
      <c r="O20" s="23"/>
      <c r="V20" s="23"/>
    </row>
    <row r="21" spans="1:24" s="42" customFormat="1">
      <c r="D21" s="23"/>
      <c r="E21" s="24"/>
    </row>
  </sheetData>
  <sheetProtection formatColumns="0"/>
  <customSheetViews>
    <customSheetView guid="{AE318230-F718-49FC-82EB-7CAC3DCD05F1}" showGridLines="0" hiddenRows="1">
      <selection activeCell="A3" sqref="A3:XFD3"/>
      <pageMargins left="0.7" right="0.7" top="0.75" bottom="0.75" header="0.3" footer="0.3"/>
      <pageSetup orientation="portrait"/>
    </customSheetView>
  </customSheetViews>
  <dataValidations count="8">
    <dataValidation type="list" allowBlank="1" showInputMessage="1" showErrorMessage="1" sqref="F2:F20" xr:uid="{00000000-0002-0000-1A00-000000000000}">
      <formula1>Holding_interest</formula1>
    </dataValidation>
    <dataValidation type="list" allowBlank="1" showInputMessage="1" showErrorMessage="1" sqref="V2:V20" xr:uid="{00000000-0002-0000-1A00-000001000000}">
      <formula1>In_the_books</formula1>
    </dataValidation>
    <dataValidation type="list" allowBlank="1" showInputMessage="1" showErrorMessage="1" sqref="L2:L20" xr:uid="{00000000-0002-0000-1A00-000002000000}">
      <formula1>Valuation_Method</formula1>
    </dataValidation>
    <dataValidation type="list" allowBlank="1" showInputMessage="1" showErrorMessage="1" sqref="O2:O20" xr:uid="{00000000-0002-0000-1A00-000003000000}">
      <formula1>Dependence_Independence</formula1>
    </dataValidation>
    <dataValidation type="list" allowBlank="1" showInputMessage="1" showErrorMessage="1" sqref="E2:E21" xr:uid="{00000000-0002-0000-1A00-000004000000}">
      <formula1>Country_list</formula1>
    </dataValidation>
    <dataValidation type="list" allowBlank="1" showInputMessage="1" showErrorMessage="1" sqref="I2:I20" xr:uid="{00000000-0002-0000-1A00-000005000000}">
      <formula1>real_estate_lifestage</formula1>
    </dataValidation>
    <dataValidation type="list" allowBlank="1" showInputMessage="1" showErrorMessage="1" sqref="M2:M20" xr:uid="{00000000-0002-0000-1A00-000006000000}">
      <formula1>Valuation_Realestate</formula1>
    </dataValidation>
    <dataValidation type="list" allowBlank="1" showInputMessage="1" showErrorMessage="1" sqref="H2:H20" xr:uid="{00000000-0002-0000-1A00-000007000000}">
      <formula1>Real_Estate_Main_Use</formula1>
    </dataValidation>
  </dataValidations>
  <pageMargins left="0.7" right="0.7" top="0.75" bottom="0.75" header="0.3" footer="0.3"/>
  <pageSetup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8000000}">
          <x14:formula1>
            <xm:f>'אפשרויות בחירה'!$C$998:$C$999</xm:f>
          </x14:formula1>
          <xm:sqref>D2:D21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codeName="Sheet28"/>
  <dimension ref="A1:W22"/>
  <sheetViews>
    <sheetView rightToLeft="1" workbookViewId="0">
      <selection activeCell="A2" sqref="A2"/>
    </sheetView>
  </sheetViews>
  <sheetFormatPr defaultColWidth="0" defaultRowHeight="14.25"/>
  <cols>
    <col min="1" max="4" width="11.625" style="3" customWidth="1"/>
    <col min="5" max="5" width="11.625" style="5" customWidth="1"/>
    <col min="6" max="23" width="11.625" style="3" customWidth="1"/>
    <col min="24" max="24" width="9" style="3" hidden="1" customWidth="1"/>
    <col min="25" max="16384" width="9" style="3" hidden="1"/>
  </cols>
  <sheetData>
    <row r="1" spans="1:23" ht="51">
      <c r="A1" s="22" t="s">
        <v>0</v>
      </c>
      <c r="B1" s="22" t="s">
        <v>1</v>
      </c>
      <c r="C1" s="22" t="s">
        <v>2</v>
      </c>
      <c r="D1" s="22" t="s">
        <v>47</v>
      </c>
      <c r="E1" s="22" t="s">
        <v>48</v>
      </c>
      <c r="F1" s="22" t="s">
        <v>3</v>
      </c>
      <c r="G1" s="22" t="s">
        <v>4</v>
      </c>
      <c r="H1" s="22" t="s">
        <v>49</v>
      </c>
      <c r="I1" s="22" t="s">
        <v>5</v>
      </c>
      <c r="J1" s="22" t="s">
        <v>6</v>
      </c>
      <c r="K1" s="22" t="s">
        <v>7</v>
      </c>
      <c r="L1" s="22" t="s">
        <v>50</v>
      </c>
      <c r="M1" s="22" t="s">
        <v>51</v>
      </c>
      <c r="N1" s="22" t="s">
        <v>11</v>
      </c>
      <c r="O1" s="22" t="s">
        <v>87</v>
      </c>
      <c r="P1" s="22" t="s">
        <v>88</v>
      </c>
      <c r="Q1" s="22" t="s">
        <v>90</v>
      </c>
      <c r="R1" s="22" t="s">
        <v>91</v>
      </c>
      <c r="S1" s="22" t="s">
        <v>269</v>
      </c>
      <c r="T1" s="22" t="s">
        <v>270</v>
      </c>
      <c r="U1" s="22" t="s">
        <v>20</v>
      </c>
      <c r="V1" s="22" t="s">
        <v>24</v>
      </c>
      <c r="W1" s="22" t="s">
        <v>25</v>
      </c>
    </row>
    <row r="2" spans="1:23">
      <c r="A2" s="23"/>
      <c r="B2" s="23"/>
      <c r="C2" s="23"/>
      <c r="D2" s="23"/>
      <c r="E2" s="21"/>
      <c r="F2" s="23"/>
      <c r="G2" s="23"/>
      <c r="H2" s="23"/>
      <c r="I2" s="23"/>
      <c r="J2" s="21"/>
      <c r="K2" s="21"/>
      <c r="L2" s="24"/>
      <c r="M2" s="23"/>
      <c r="N2" s="21"/>
      <c r="O2" s="23"/>
      <c r="P2" s="23"/>
      <c r="Q2" s="23"/>
      <c r="R2" s="23"/>
      <c r="S2" s="23"/>
      <c r="T2" s="24"/>
      <c r="U2" s="23"/>
      <c r="V2" s="23"/>
      <c r="W2" s="23"/>
    </row>
    <row r="3" spans="1:23">
      <c r="A3" s="23"/>
      <c r="B3" s="23"/>
      <c r="C3" s="23"/>
      <c r="D3" s="23"/>
      <c r="E3" s="21"/>
      <c r="F3" s="23"/>
      <c r="G3" s="23"/>
      <c r="H3" s="23"/>
      <c r="I3" s="23"/>
      <c r="J3" s="21"/>
      <c r="K3" s="21"/>
      <c r="L3" s="24"/>
      <c r="M3" s="23"/>
      <c r="N3" s="21"/>
      <c r="O3" s="23"/>
      <c r="P3" s="23"/>
      <c r="Q3" s="23"/>
      <c r="R3" s="23"/>
      <c r="S3" s="23"/>
      <c r="T3" s="23"/>
      <c r="U3" s="23"/>
      <c r="V3" s="23"/>
      <c r="W3" s="23"/>
    </row>
    <row r="4" spans="1:23">
      <c r="A4" s="23"/>
      <c r="B4" s="23"/>
      <c r="C4" s="23"/>
      <c r="D4" s="23"/>
      <c r="E4" s="21"/>
      <c r="F4" s="23"/>
      <c r="G4" s="23"/>
      <c r="H4" s="23"/>
      <c r="I4" s="23"/>
      <c r="J4" s="21"/>
      <c r="K4" s="21"/>
      <c r="L4" s="24"/>
      <c r="M4" s="23"/>
      <c r="N4" s="21"/>
      <c r="O4" s="23"/>
      <c r="P4" s="23"/>
      <c r="Q4" s="23"/>
      <c r="R4" s="23"/>
      <c r="S4" s="23"/>
      <c r="T4" s="23"/>
      <c r="U4" s="23"/>
      <c r="V4" s="23"/>
      <c r="W4" s="23"/>
    </row>
    <row r="5" spans="1:23">
      <c r="A5" s="23"/>
      <c r="B5" s="23"/>
      <c r="C5" s="23"/>
      <c r="D5" s="23"/>
      <c r="E5" s="21"/>
      <c r="F5" s="23"/>
      <c r="G5" s="23"/>
      <c r="H5" s="23"/>
      <c r="I5" s="23"/>
      <c r="J5" s="21"/>
      <c r="K5" s="21"/>
      <c r="L5" s="24"/>
      <c r="M5" s="23"/>
      <c r="N5" s="21"/>
      <c r="O5" s="23"/>
      <c r="P5" s="23"/>
      <c r="Q5" s="23"/>
      <c r="R5" s="23"/>
      <c r="S5" s="23"/>
      <c r="T5" s="23"/>
      <c r="U5" s="23"/>
      <c r="V5" s="23"/>
      <c r="W5" s="23"/>
    </row>
    <row r="6" spans="1:23">
      <c r="A6" s="23"/>
      <c r="B6" s="23"/>
      <c r="C6" s="23"/>
      <c r="D6" s="23"/>
      <c r="E6" s="21"/>
      <c r="F6" s="23"/>
      <c r="G6" s="23"/>
      <c r="H6" s="23"/>
      <c r="I6" s="23"/>
      <c r="J6" s="21"/>
      <c r="K6" s="21"/>
      <c r="L6" s="24"/>
      <c r="M6" s="23"/>
      <c r="N6" s="21"/>
      <c r="O6" s="23"/>
      <c r="P6" s="23"/>
      <c r="Q6" s="23"/>
      <c r="R6" s="23"/>
      <c r="S6" s="23"/>
      <c r="T6" s="23"/>
      <c r="U6" s="23"/>
      <c r="V6" s="23"/>
      <c r="W6" s="23"/>
    </row>
    <row r="7" spans="1:23">
      <c r="A7" s="23"/>
      <c r="B7" s="23"/>
      <c r="C7" s="23"/>
      <c r="D7" s="23"/>
      <c r="E7" s="21"/>
      <c r="F7" s="23"/>
      <c r="G7" s="23"/>
      <c r="H7" s="23"/>
      <c r="I7" s="23"/>
      <c r="J7" s="21"/>
      <c r="K7" s="21"/>
      <c r="L7" s="24"/>
      <c r="M7" s="23"/>
      <c r="N7" s="21"/>
      <c r="O7" s="23"/>
      <c r="P7" s="23"/>
      <c r="Q7" s="23"/>
      <c r="R7" s="23"/>
      <c r="S7" s="23"/>
      <c r="T7" s="23"/>
      <c r="U7" s="23"/>
      <c r="V7" s="23"/>
      <c r="W7" s="23"/>
    </row>
    <row r="8" spans="1:23">
      <c r="A8" s="23"/>
      <c r="B8" s="23"/>
      <c r="C8" s="23"/>
      <c r="D8" s="23"/>
      <c r="E8" s="21"/>
      <c r="F8" s="23"/>
      <c r="G8" s="23"/>
      <c r="H8" s="23"/>
      <c r="I8" s="23"/>
      <c r="J8" s="21"/>
      <c r="K8" s="21"/>
      <c r="L8" s="24"/>
      <c r="M8" s="23"/>
      <c r="N8" s="21"/>
      <c r="O8" s="23"/>
      <c r="P8" s="23"/>
      <c r="Q8" s="23"/>
      <c r="R8" s="23"/>
      <c r="S8" s="23"/>
      <c r="T8" s="23"/>
      <c r="U8" s="23"/>
      <c r="V8" s="23"/>
      <c r="W8" s="23"/>
    </row>
    <row r="9" spans="1:23">
      <c r="A9" s="23"/>
      <c r="B9" s="23"/>
      <c r="C9" s="23"/>
      <c r="D9" s="23"/>
      <c r="E9" s="21"/>
      <c r="F9" s="23"/>
      <c r="G9" s="23"/>
      <c r="H9" s="23"/>
      <c r="I9" s="23"/>
      <c r="J9" s="21"/>
      <c r="K9" s="21"/>
      <c r="L9" s="24"/>
      <c r="M9" s="23"/>
      <c r="N9" s="21"/>
      <c r="O9" s="23"/>
      <c r="P9" s="23"/>
      <c r="Q9" s="23"/>
      <c r="R9" s="23"/>
      <c r="S9" s="23"/>
      <c r="T9" s="23"/>
      <c r="U9" s="23"/>
      <c r="V9" s="23"/>
      <c r="W9" s="23"/>
    </row>
    <row r="10" spans="1:23">
      <c r="A10" s="23"/>
      <c r="B10" s="23"/>
      <c r="C10" s="23"/>
      <c r="D10" s="23"/>
      <c r="E10" s="21"/>
      <c r="F10" s="23"/>
      <c r="G10" s="23"/>
      <c r="H10" s="23"/>
      <c r="I10" s="23"/>
      <c r="J10" s="21"/>
      <c r="K10" s="21"/>
      <c r="L10" s="24"/>
      <c r="M10" s="23"/>
      <c r="N10" s="21"/>
      <c r="O10" s="23"/>
      <c r="P10" s="23"/>
      <c r="Q10" s="23"/>
      <c r="R10" s="23"/>
      <c r="S10" s="23"/>
      <c r="T10" s="23"/>
      <c r="U10" s="23"/>
      <c r="V10" s="23"/>
      <c r="W10" s="23"/>
    </row>
    <row r="11" spans="1:23">
      <c r="A11" s="23"/>
      <c r="B11" s="23"/>
      <c r="C11" s="23"/>
      <c r="D11" s="23"/>
      <c r="E11" s="21"/>
      <c r="F11" s="23"/>
      <c r="G11" s="23"/>
      <c r="H11" s="23"/>
      <c r="I11" s="23"/>
      <c r="J11" s="21"/>
      <c r="K11" s="21"/>
      <c r="L11" s="24"/>
      <c r="M11" s="23"/>
      <c r="N11" s="21"/>
      <c r="O11" s="23"/>
      <c r="P11" s="23"/>
      <c r="Q11" s="23"/>
      <c r="R11" s="23"/>
      <c r="S11" s="23"/>
      <c r="T11" s="23"/>
      <c r="U11" s="23"/>
      <c r="V11" s="23"/>
      <c r="W11" s="23"/>
    </row>
    <row r="12" spans="1:23">
      <c r="A12" s="23"/>
      <c r="B12" s="23"/>
      <c r="C12" s="23"/>
      <c r="D12" s="23"/>
      <c r="E12" s="21"/>
      <c r="F12" s="23"/>
      <c r="G12" s="23"/>
      <c r="H12" s="23"/>
      <c r="I12" s="23"/>
      <c r="J12" s="21"/>
      <c r="K12" s="21"/>
      <c r="L12" s="24"/>
      <c r="M12" s="23"/>
      <c r="N12" s="21"/>
      <c r="O12" s="23"/>
      <c r="P12" s="23"/>
      <c r="Q12" s="23"/>
      <c r="R12" s="23"/>
      <c r="S12" s="23"/>
      <c r="T12" s="23"/>
      <c r="U12" s="23"/>
      <c r="V12" s="23"/>
      <c r="W12" s="23"/>
    </row>
    <row r="13" spans="1:23">
      <c r="A13" s="23"/>
      <c r="B13" s="23"/>
      <c r="C13" s="23"/>
      <c r="D13" s="23"/>
      <c r="E13" s="21"/>
      <c r="F13" s="23"/>
      <c r="G13" s="23"/>
      <c r="H13" s="23"/>
      <c r="I13" s="23"/>
      <c r="J13" s="21"/>
      <c r="K13" s="21"/>
      <c r="L13" s="24"/>
      <c r="M13" s="23"/>
      <c r="N13" s="21"/>
      <c r="O13" s="23"/>
      <c r="P13" s="23"/>
      <c r="Q13" s="23"/>
      <c r="R13" s="23"/>
      <c r="S13" s="23"/>
      <c r="T13" s="23"/>
      <c r="U13" s="23"/>
      <c r="V13" s="23"/>
      <c r="W13" s="23"/>
    </row>
    <row r="14" spans="1:23">
      <c r="A14" s="23"/>
      <c r="B14" s="23"/>
      <c r="C14" s="23"/>
      <c r="D14" s="23"/>
      <c r="E14" s="21"/>
      <c r="F14" s="23"/>
      <c r="G14" s="23"/>
      <c r="H14" s="23"/>
      <c r="I14" s="23"/>
      <c r="J14" s="21"/>
      <c r="K14" s="21"/>
      <c r="L14" s="24"/>
      <c r="M14" s="23"/>
      <c r="N14" s="21"/>
      <c r="O14" s="23"/>
      <c r="P14" s="23"/>
      <c r="Q14" s="23"/>
      <c r="R14" s="23"/>
      <c r="S14" s="23"/>
      <c r="T14" s="23"/>
      <c r="U14" s="23"/>
      <c r="V14" s="23"/>
      <c r="W14" s="23"/>
    </row>
    <row r="15" spans="1:23">
      <c r="A15" s="23"/>
      <c r="B15" s="23"/>
      <c r="C15" s="23"/>
      <c r="D15" s="23"/>
      <c r="E15" s="21"/>
      <c r="F15" s="23"/>
      <c r="G15" s="23"/>
      <c r="H15" s="23"/>
      <c r="I15" s="23"/>
      <c r="J15" s="21"/>
      <c r="K15" s="21"/>
      <c r="L15" s="24"/>
      <c r="M15" s="23"/>
      <c r="N15" s="21"/>
      <c r="O15" s="23"/>
      <c r="P15" s="23"/>
      <c r="Q15" s="23"/>
      <c r="R15" s="23"/>
      <c r="S15" s="23"/>
      <c r="T15" s="23"/>
      <c r="U15" s="23"/>
      <c r="V15" s="23"/>
      <c r="W15" s="23"/>
    </row>
    <row r="16" spans="1:23" ht="15">
      <c r="A16" s="32"/>
      <c r="B16" s="23"/>
      <c r="C16" s="23"/>
      <c r="D16" s="23"/>
      <c r="E16" s="21"/>
      <c r="F16" s="23"/>
      <c r="G16" s="23"/>
      <c r="H16" s="23"/>
      <c r="I16" s="23"/>
      <c r="J16" s="21"/>
      <c r="K16" s="21"/>
      <c r="L16" s="24"/>
      <c r="M16" s="23"/>
      <c r="N16" s="21"/>
      <c r="O16" s="23"/>
      <c r="P16" s="23"/>
      <c r="Q16" s="23"/>
      <c r="R16" s="23"/>
      <c r="S16" s="23"/>
      <c r="T16" s="23"/>
      <c r="U16" s="23"/>
      <c r="V16" s="23"/>
      <c r="W16" s="23"/>
    </row>
    <row r="17" spans="1:23">
      <c r="A17" s="23"/>
      <c r="B17" s="23"/>
      <c r="C17" s="23"/>
      <c r="D17" s="23"/>
      <c r="E17" s="21"/>
      <c r="F17" s="23"/>
      <c r="G17" s="23"/>
      <c r="H17" s="23"/>
      <c r="I17" s="23"/>
      <c r="J17" s="21"/>
      <c r="K17" s="21"/>
      <c r="L17" s="24"/>
      <c r="M17" s="23"/>
      <c r="N17" s="21"/>
      <c r="O17" s="23"/>
      <c r="P17" s="23"/>
      <c r="Q17" s="23"/>
      <c r="R17" s="23"/>
      <c r="S17" s="23"/>
      <c r="T17" s="23"/>
      <c r="U17" s="23"/>
      <c r="V17" s="23"/>
      <c r="W17" s="23"/>
    </row>
    <row r="18" spans="1:23">
      <c r="A18" s="23"/>
      <c r="B18" s="23"/>
      <c r="C18" s="23"/>
      <c r="D18" s="23"/>
      <c r="E18" s="21"/>
      <c r="F18" s="23"/>
      <c r="G18" s="23"/>
      <c r="H18" s="23"/>
      <c r="I18" s="23"/>
      <c r="J18" s="21"/>
      <c r="K18" s="21"/>
      <c r="L18" s="24"/>
      <c r="M18" s="23"/>
      <c r="N18" s="21"/>
      <c r="O18" s="23"/>
      <c r="P18" s="23"/>
      <c r="Q18" s="23"/>
      <c r="R18" s="23"/>
      <c r="S18" s="23"/>
      <c r="T18" s="23"/>
      <c r="U18" s="23"/>
      <c r="V18" s="23"/>
      <c r="W18" s="23"/>
    </row>
    <row r="19" spans="1:23">
      <c r="A19" s="30"/>
      <c r="B19" s="23"/>
      <c r="C19" s="23"/>
      <c r="D19" s="23"/>
      <c r="E19" s="21"/>
      <c r="F19" s="23"/>
      <c r="G19" s="23"/>
      <c r="H19" s="23"/>
      <c r="J19" s="21"/>
      <c r="K19" s="21"/>
      <c r="L19" s="24"/>
      <c r="M19" s="23"/>
      <c r="N19" s="21"/>
      <c r="O19" s="23"/>
      <c r="P19" s="23"/>
      <c r="Q19" s="23"/>
      <c r="R19" s="23"/>
      <c r="S19" s="23"/>
      <c r="T19" s="23"/>
      <c r="U19" s="23"/>
      <c r="V19" s="23"/>
      <c r="W19" s="23"/>
    </row>
    <row r="20" spans="1:23">
      <c r="A20" s="9"/>
      <c r="E20" s="21"/>
      <c r="H20" s="23"/>
      <c r="I20" s="23"/>
      <c r="J20" s="21"/>
      <c r="K20" s="21"/>
      <c r="L20" s="24"/>
      <c r="M20" s="23"/>
      <c r="O20" s="23"/>
      <c r="P20" s="23"/>
    </row>
    <row r="22" spans="1:23">
      <c r="A22" s="9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0">
    <dataValidation type="list" allowBlank="1" showInputMessage="1" showErrorMessage="1" sqref="J2:J20" xr:uid="{00000000-0002-0000-1B00-000000000000}">
      <formula1>israel_abroad</formula1>
    </dataValidation>
    <dataValidation type="list" allowBlank="1" showInputMessage="1" showErrorMessage="1" sqref="M2:M20" xr:uid="{00000000-0002-0000-1B00-000001000000}">
      <formula1>Holding_interest</formula1>
    </dataValidation>
    <dataValidation type="list" allowBlank="1" showInputMessage="1" showErrorMessage="1" sqref="O2:O20" xr:uid="{00000000-0002-0000-1B00-000002000000}">
      <formula1>Valuation</formula1>
    </dataValidation>
    <dataValidation type="list" allowBlank="1" showInputMessage="1" showErrorMessage="1" sqref="P2:P20" xr:uid="{00000000-0002-0000-1B00-000003000000}">
      <formula1>Dependence_Independence</formula1>
    </dataValidation>
    <dataValidation type="list" allowBlank="1" showInputMessage="1" showErrorMessage="1" sqref="K2:K20" xr:uid="{00000000-0002-0000-1B00-000004000000}">
      <formula1>Country_list</formula1>
    </dataValidation>
    <dataValidation type="list" allowBlank="1" showInputMessage="1" showErrorMessage="1" sqref="E3:E20" xr:uid="{00000000-0002-0000-1B00-000005000000}">
      <formula1>Issuer_Number_Type_2</formula1>
    </dataValidation>
    <dataValidation type="list" allowBlank="1" showInputMessage="1" showErrorMessage="1" sqref="E2" xr:uid="{00000000-0002-0000-1B00-000006000000}">
      <formula1>Issuer_Number_Type_3</formula1>
    </dataValidation>
    <dataValidation type="list" allowBlank="1" showInputMessage="1" showErrorMessage="1" sqref="H2:H20" xr:uid="{00000000-0002-0000-1B00-000007000000}">
      <formula1>Type_of_Security_ID_Fund</formula1>
    </dataValidation>
    <dataValidation type="list" allowBlank="1" showInputMessage="1" showErrorMessage="1" sqref="L2:L20" xr:uid="{00000000-0002-0000-1B00-000008000000}">
      <formula1>Industry_Sector</formula1>
    </dataValidation>
    <dataValidation type="list" allowBlank="1" showInputMessage="1" showErrorMessage="1" sqref="I20" xr:uid="{00000000-0002-0000-1B00-000009000000}">
      <formula1>#REF!</formula1>
    </dataValidation>
  </dataValidations>
  <pageMargins left="0.7" right="0.7" top="0.75" bottom="0.75" header="0.3" footer="0.3"/>
  <pageSetup paperSize="9" orientation="portrait" verticalDpi="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A000000}">
          <x14:formula1>
            <xm:f>'אפשרויות בחירה'!$C$1034:$C$1036</xm:f>
          </x14:formula1>
          <xm:sqref>I2:I18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 codeName="Sheet29"/>
  <dimension ref="A1:R21"/>
  <sheetViews>
    <sheetView rightToLeft="1" workbookViewId="0">
      <selection activeCell="A2" sqref="A2"/>
    </sheetView>
  </sheetViews>
  <sheetFormatPr defaultColWidth="0" defaultRowHeight="14.25"/>
  <cols>
    <col min="1" max="18" width="11.625" style="3" customWidth="1"/>
    <col min="19" max="19" width="9" style="3" hidden="1" customWidth="1"/>
    <col min="20" max="16384" width="9" style="3" hidden="1"/>
  </cols>
  <sheetData>
    <row r="1" spans="1:18" ht="51">
      <c r="A1" s="22" t="s">
        <v>0</v>
      </c>
      <c r="B1" s="22" t="s">
        <v>1</v>
      </c>
      <c r="C1" s="22" t="s">
        <v>271</v>
      </c>
      <c r="D1" s="22" t="s">
        <v>272</v>
      </c>
      <c r="E1" s="22" t="s">
        <v>5</v>
      </c>
      <c r="F1" s="22" t="s">
        <v>6</v>
      </c>
      <c r="G1" s="22" t="s">
        <v>7</v>
      </c>
      <c r="H1" s="22" t="s">
        <v>51</v>
      </c>
      <c r="I1" s="176" t="s">
        <v>273</v>
      </c>
      <c r="J1" s="22" t="s">
        <v>11</v>
      </c>
      <c r="K1" s="176" t="s">
        <v>90</v>
      </c>
      <c r="L1" s="22" t="s">
        <v>260</v>
      </c>
      <c r="M1" s="167" t="s">
        <v>18</v>
      </c>
      <c r="N1" s="22" t="s">
        <v>20</v>
      </c>
      <c r="O1" s="22" t="s">
        <v>21</v>
      </c>
      <c r="P1" s="22" t="s">
        <v>22</v>
      </c>
      <c r="Q1" s="169" t="s">
        <v>24</v>
      </c>
      <c r="R1" s="169" t="s">
        <v>25</v>
      </c>
    </row>
    <row r="2" spans="1:18">
      <c r="A2" s="23">
        <v>1192</v>
      </c>
      <c r="B2" s="23">
        <v>1192</v>
      </c>
      <c r="C2" s="40" t="s">
        <v>274</v>
      </c>
      <c r="D2" s="40" t="s">
        <v>275</v>
      </c>
      <c r="E2" s="40" t="s">
        <v>276</v>
      </c>
      <c r="F2" s="21" t="s">
        <v>30</v>
      </c>
      <c r="G2" s="21" t="s">
        <v>30</v>
      </c>
      <c r="H2" s="23" t="s">
        <v>74</v>
      </c>
      <c r="I2" s="166"/>
      <c r="J2" s="21" t="s">
        <v>34</v>
      </c>
      <c r="K2" s="177" t="s">
        <v>105</v>
      </c>
      <c r="L2" s="162">
        <v>9.0790000000000006</v>
      </c>
      <c r="M2" s="178">
        <v>1</v>
      </c>
      <c r="N2" s="165">
        <v>9.0790000000000006</v>
      </c>
      <c r="O2" s="23"/>
      <c r="P2" s="21" t="s">
        <v>36</v>
      </c>
      <c r="Q2" s="179">
        <v>1</v>
      </c>
      <c r="R2" s="179">
        <v>1.2397415099792001E-4</v>
      </c>
    </row>
    <row r="3" spans="1:18">
      <c r="A3" s="23"/>
      <c r="B3" s="23"/>
      <c r="C3" s="30"/>
      <c r="D3" s="23"/>
      <c r="E3" s="40"/>
      <c r="F3" s="21"/>
      <c r="G3" s="21"/>
      <c r="H3" s="23"/>
      <c r="I3" s="23"/>
      <c r="J3" s="21"/>
      <c r="K3" s="23"/>
      <c r="M3" s="23"/>
      <c r="N3" s="23"/>
      <c r="O3" s="23"/>
      <c r="P3" s="21"/>
      <c r="Q3" s="23"/>
      <c r="R3" s="23"/>
    </row>
    <row r="4" spans="1:18">
      <c r="A4" s="23"/>
      <c r="B4" s="23"/>
      <c r="C4" s="30"/>
      <c r="D4" s="23"/>
      <c r="E4" s="40"/>
      <c r="F4" s="21"/>
      <c r="G4" s="21"/>
      <c r="H4" s="23"/>
      <c r="I4" s="23"/>
      <c r="J4" s="21"/>
      <c r="K4" s="23"/>
      <c r="M4" s="23"/>
      <c r="N4" s="23"/>
      <c r="O4" s="23"/>
      <c r="P4" s="21"/>
      <c r="Q4" s="23"/>
      <c r="R4" s="23"/>
    </row>
    <row r="5" spans="1:18">
      <c r="A5" s="23"/>
      <c r="B5" s="23"/>
      <c r="C5" s="30"/>
      <c r="D5" s="23"/>
      <c r="E5" s="40"/>
      <c r="F5" s="21"/>
      <c r="G5" s="21"/>
      <c r="H5" s="23"/>
      <c r="I5" s="23"/>
      <c r="J5" s="21"/>
      <c r="K5" s="23"/>
      <c r="M5" s="23"/>
      <c r="N5" s="23"/>
      <c r="O5" s="23"/>
      <c r="P5" s="21"/>
      <c r="Q5" s="23"/>
      <c r="R5" s="23"/>
    </row>
    <row r="6" spans="1:18">
      <c r="A6" s="23"/>
      <c r="B6" s="23"/>
      <c r="C6" s="30"/>
      <c r="D6" s="23"/>
      <c r="E6" s="40"/>
      <c r="F6" s="21"/>
      <c r="G6" s="21"/>
      <c r="H6" s="23"/>
      <c r="I6" s="23"/>
      <c r="J6" s="21"/>
      <c r="K6" s="23"/>
      <c r="M6" s="23"/>
      <c r="N6" s="23"/>
      <c r="O6" s="23"/>
      <c r="P6" s="21"/>
      <c r="Q6" s="23"/>
      <c r="R6" s="23"/>
    </row>
    <row r="7" spans="1:18">
      <c r="A7" s="23"/>
      <c r="B7" s="23"/>
      <c r="C7" s="30"/>
      <c r="D7" s="23"/>
      <c r="E7" s="40"/>
      <c r="F7" s="21"/>
      <c r="G7" s="21"/>
      <c r="H7" s="23"/>
      <c r="I7" s="23"/>
      <c r="J7" s="21"/>
      <c r="K7" s="23"/>
      <c r="M7" s="23"/>
      <c r="N7" s="23"/>
      <c r="O7" s="23"/>
      <c r="P7" s="21"/>
      <c r="Q7" s="23"/>
      <c r="R7" s="23"/>
    </row>
    <row r="8" spans="1:18">
      <c r="A8" s="23"/>
      <c r="B8" s="23"/>
      <c r="C8" s="30"/>
      <c r="D8" s="23"/>
      <c r="E8" s="40"/>
      <c r="F8" s="21"/>
      <c r="G8" s="21"/>
      <c r="H8" s="23"/>
      <c r="I8" s="23"/>
      <c r="J8" s="21"/>
      <c r="K8" s="23"/>
      <c r="M8" s="23"/>
      <c r="N8" s="23"/>
      <c r="O8" s="23"/>
      <c r="P8" s="21"/>
      <c r="Q8" s="23"/>
      <c r="R8" s="23"/>
    </row>
    <row r="9" spans="1:18">
      <c r="A9" s="23"/>
      <c r="B9" s="23"/>
      <c r="C9" s="30"/>
      <c r="D9" s="23"/>
      <c r="E9" s="40"/>
      <c r="F9" s="21"/>
      <c r="G9" s="21"/>
      <c r="H9" s="23"/>
      <c r="I9" s="23"/>
      <c r="J9" s="21"/>
      <c r="K9" s="23"/>
      <c r="M9" s="23"/>
      <c r="N9" s="23"/>
      <c r="O9" s="23"/>
      <c r="P9" s="21"/>
      <c r="Q9" s="23"/>
      <c r="R9" s="23"/>
    </row>
    <row r="10" spans="1:18">
      <c r="A10" s="23"/>
      <c r="B10" s="23"/>
      <c r="C10" s="30"/>
      <c r="D10" s="23"/>
      <c r="E10" s="40"/>
      <c r="F10" s="21"/>
      <c r="G10" s="21"/>
      <c r="H10" s="23"/>
      <c r="I10" s="23"/>
      <c r="J10" s="21"/>
      <c r="K10" s="23"/>
      <c r="M10" s="23"/>
      <c r="N10" s="23"/>
      <c r="O10" s="23"/>
      <c r="P10" s="21"/>
      <c r="Q10" s="23"/>
      <c r="R10" s="23"/>
    </row>
    <row r="11" spans="1:18">
      <c r="A11" s="23"/>
      <c r="B11" s="23"/>
      <c r="C11" s="30"/>
      <c r="D11" s="23"/>
      <c r="E11" s="40"/>
      <c r="F11" s="21"/>
      <c r="G11" s="21"/>
      <c r="H11" s="23"/>
      <c r="I11" s="23"/>
      <c r="J11" s="21"/>
      <c r="K11" s="23"/>
      <c r="M11" s="23"/>
      <c r="N11" s="23"/>
      <c r="O11" s="23"/>
      <c r="P11" s="21"/>
      <c r="Q11" s="23"/>
      <c r="R11" s="23"/>
    </row>
    <row r="12" spans="1:18">
      <c r="A12" s="23"/>
      <c r="B12" s="23"/>
      <c r="C12" s="30"/>
      <c r="D12" s="23"/>
      <c r="E12" s="40"/>
      <c r="F12" s="21"/>
      <c r="G12" s="21"/>
      <c r="H12" s="23"/>
      <c r="I12" s="23"/>
      <c r="J12" s="21"/>
      <c r="K12" s="23"/>
      <c r="M12" s="23"/>
      <c r="N12" s="23"/>
      <c r="O12" s="23"/>
      <c r="P12" s="21"/>
      <c r="Q12" s="23"/>
      <c r="R12" s="23"/>
    </row>
    <row r="13" spans="1:18">
      <c r="A13" s="23"/>
      <c r="B13" s="23"/>
      <c r="C13" s="30"/>
      <c r="D13" s="23"/>
      <c r="E13" s="40"/>
      <c r="F13" s="21"/>
      <c r="G13" s="21"/>
      <c r="H13" s="23"/>
      <c r="I13" s="23"/>
      <c r="J13" s="21"/>
      <c r="K13" s="23"/>
      <c r="M13" s="23"/>
      <c r="N13" s="23"/>
      <c r="O13" s="23"/>
      <c r="P13" s="21"/>
      <c r="Q13" s="23"/>
      <c r="R13" s="23"/>
    </row>
    <row r="14" spans="1:18">
      <c r="A14" s="23"/>
      <c r="B14" s="23"/>
      <c r="C14" s="30"/>
      <c r="D14" s="23"/>
      <c r="E14" s="40"/>
      <c r="F14" s="21"/>
      <c r="G14" s="21"/>
      <c r="H14" s="23"/>
      <c r="I14" s="23"/>
      <c r="J14" s="21"/>
      <c r="K14" s="23"/>
      <c r="M14" s="23"/>
      <c r="N14" s="23"/>
      <c r="O14" s="23"/>
      <c r="P14" s="21"/>
      <c r="Q14" s="23"/>
      <c r="R14" s="23"/>
    </row>
    <row r="15" spans="1:18">
      <c r="A15" s="23"/>
      <c r="B15" s="23"/>
      <c r="C15" s="30"/>
      <c r="D15" s="23"/>
      <c r="E15" s="40"/>
      <c r="F15" s="21"/>
      <c r="G15" s="21"/>
      <c r="H15" s="23"/>
      <c r="I15" s="23"/>
      <c r="J15" s="21"/>
      <c r="K15" s="23"/>
      <c r="M15" s="23"/>
      <c r="N15" s="23"/>
      <c r="O15" s="23"/>
      <c r="P15" s="21"/>
      <c r="Q15" s="23"/>
      <c r="R15" s="23"/>
    </row>
    <row r="16" spans="1:18">
      <c r="A16" s="23"/>
      <c r="B16" s="23"/>
      <c r="C16" s="30"/>
      <c r="D16" s="23"/>
      <c r="E16" s="40"/>
      <c r="F16" s="21"/>
      <c r="G16" s="21"/>
      <c r="H16" s="23"/>
      <c r="I16" s="23"/>
      <c r="J16" s="21"/>
      <c r="K16" s="23"/>
      <c r="M16" s="23"/>
      <c r="N16" s="23"/>
      <c r="O16" s="23"/>
      <c r="P16" s="21"/>
      <c r="Q16" s="23"/>
      <c r="R16" s="23"/>
    </row>
    <row r="17" spans="1:18">
      <c r="A17" s="23"/>
      <c r="B17" s="23"/>
      <c r="C17" s="30"/>
      <c r="D17" s="23"/>
      <c r="E17" s="40"/>
      <c r="F17" s="21"/>
      <c r="G17" s="21"/>
      <c r="H17" s="23"/>
      <c r="I17" s="23"/>
      <c r="J17" s="21"/>
      <c r="K17" s="23"/>
      <c r="M17" s="23"/>
      <c r="N17" s="23"/>
      <c r="O17" s="23"/>
      <c r="P17" s="21"/>
      <c r="Q17" s="23"/>
      <c r="R17" s="23"/>
    </row>
    <row r="18" spans="1:18">
      <c r="A18" s="23"/>
      <c r="B18" s="23"/>
      <c r="C18" s="30"/>
      <c r="D18" s="23"/>
      <c r="E18" s="40"/>
      <c r="F18" s="21"/>
      <c r="G18" s="21"/>
      <c r="H18" s="23"/>
      <c r="I18" s="23"/>
      <c r="J18" s="21"/>
      <c r="K18" s="23"/>
      <c r="M18" s="23"/>
      <c r="N18" s="23"/>
      <c r="O18" s="23"/>
      <c r="P18" s="21"/>
      <c r="Q18" s="23"/>
      <c r="R18" s="23"/>
    </row>
    <row r="19" spans="1:18">
      <c r="A19" s="23"/>
      <c r="B19" s="23"/>
      <c r="C19" s="30"/>
      <c r="D19" s="23"/>
      <c r="E19" s="40"/>
      <c r="F19" s="21"/>
      <c r="G19" s="21"/>
      <c r="H19" s="23"/>
      <c r="I19" s="23"/>
      <c r="J19" s="21"/>
      <c r="K19" s="23"/>
      <c r="M19" s="23"/>
      <c r="N19" s="23"/>
      <c r="O19" s="23"/>
      <c r="P19" s="21"/>
      <c r="Q19" s="23"/>
      <c r="R19" s="23"/>
    </row>
    <row r="20" spans="1:18">
      <c r="E20" s="40"/>
      <c r="F20" s="21"/>
      <c r="G20" s="21"/>
      <c r="H20" s="23"/>
      <c r="P20" s="21"/>
    </row>
    <row r="21" spans="1:18" s="42" customFormat="1"/>
  </sheetData>
  <sheetProtection formatColumns="0"/>
  <customSheetViews>
    <customSheetView guid="{AE318230-F718-49FC-82EB-7CAC3DCD05F1}" showGridLines="0" hiddenRows="1">
      <selection activeCell="K2" sqref="K2"/>
      <pageMargins left="0.7" right="0.7" top="0.75" bottom="0.75" header="0.3" footer="0.3"/>
      <pageSetup orientation="portrait"/>
    </customSheetView>
  </customSheetViews>
  <dataValidations count="5">
    <dataValidation type="list" allowBlank="1" showInputMessage="1" showErrorMessage="1" sqref="F2:F20" xr:uid="{00000000-0002-0000-1C00-000000000000}">
      <formula1>israel_abroad</formula1>
    </dataValidation>
    <dataValidation type="list" allowBlank="1" showInputMessage="1" showErrorMessage="1" sqref="H2:H20" xr:uid="{00000000-0002-0000-1C00-000001000000}">
      <formula1>Holding_interest</formula1>
    </dataValidation>
    <dataValidation type="list" allowBlank="1" showInputMessage="1" showErrorMessage="1" sqref="P2:P20" xr:uid="{00000000-0002-0000-1C00-000002000000}">
      <formula1>In_the_books</formula1>
    </dataValidation>
    <dataValidation type="list" allowBlank="1" showInputMessage="1" showErrorMessage="1" sqref="G2:G20" xr:uid="{00000000-0002-0000-1C00-000003000000}">
      <formula1>Country_list</formula1>
    </dataValidation>
    <dataValidation type="list" allowBlank="1" showInputMessage="1" showErrorMessage="1" sqref="E2:E20" xr:uid="{00000000-0002-0000-1C00-000004000000}">
      <formula1>other_investments</formula1>
    </dataValidation>
  </dataValidations>
  <pageMargins left="0.7" right="0.7" top="0.75" bottom="0.75" header="0.3" footer="0.3"/>
  <pageSetup orientation="portrait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 codeName="Sheet30"/>
  <dimension ref="A1:T22"/>
  <sheetViews>
    <sheetView rightToLeft="1" workbookViewId="0">
      <selection activeCell="A2" sqref="A2"/>
    </sheetView>
  </sheetViews>
  <sheetFormatPr defaultColWidth="0" defaultRowHeight="14.1" customHeight="1"/>
  <cols>
    <col min="1" max="20" width="11.625" style="3" customWidth="1"/>
    <col min="21" max="21" width="11.625" style="3" hidden="1" customWidth="1"/>
    <col min="22" max="16384" width="11.625" style="3" hidden="1"/>
  </cols>
  <sheetData>
    <row r="1" spans="1:20" ht="63.75">
      <c r="A1" s="22" t="s">
        <v>0</v>
      </c>
      <c r="B1" s="22" t="s">
        <v>1</v>
      </c>
      <c r="C1" s="22" t="s">
        <v>232</v>
      </c>
      <c r="D1" s="22" t="s">
        <v>233</v>
      </c>
      <c r="E1" s="22" t="s">
        <v>234</v>
      </c>
      <c r="F1" s="22" t="s">
        <v>235</v>
      </c>
      <c r="G1" s="22" t="s">
        <v>277</v>
      </c>
      <c r="H1" s="22" t="s">
        <v>6</v>
      </c>
      <c r="I1" s="22" t="s">
        <v>7</v>
      </c>
      <c r="J1" s="22" t="s">
        <v>51</v>
      </c>
      <c r="K1" s="22" t="s">
        <v>9</v>
      </c>
      <c r="L1" s="22" t="s">
        <v>10</v>
      </c>
      <c r="M1" s="22" t="s">
        <v>240</v>
      </c>
      <c r="N1" s="22" t="s">
        <v>11</v>
      </c>
      <c r="O1" s="22" t="s">
        <v>18</v>
      </c>
      <c r="P1" s="22" t="s">
        <v>14</v>
      </c>
      <c r="Q1" s="22" t="s">
        <v>241</v>
      </c>
      <c r="R1" s="22" t="s">
        <v>278</v>
      </c>
      <c r="S1" s="22" t="s">
        <v>279</v>
      </c>
      <c r="T1" s="22" t="s">
        <v>280</v>
      </c>
    </row>
    <row r="2" spans="1:20" ht="14.1" customHeight="1">
      <c r="A2" s="6"/>
      <c r="B2" s="6"/>
      <c r="C2" s="44"/>
      <c r="D2" s="24"/>
      <c r="E2" s="44"/>
      <c r="F2" s="44"/>
      <c r="G2" s="31"/>
      <c r="H2" s="21"/>
      <c r="I2" s="31"/>
      <c r="J2" s="23"/>
      <c r="K2" s="23"/>
      <c r="L2" s="23"/>
      <c r="M2" s="23"/>
      <c r="N2" s="6"/>
      <c r="O2" s="6"/>
      <c r="Q2" s="24"/>
      <c r="R2" s="31"/>
      <c r="S2" s="31"/>
      <c r="T2" s="31"/>
    </row>
    <row r="3" spans="1:20" ht="14.1" customHeight="1">
      <c r="A3" s="6"/>
      <c r="B3" s="6"/>
      <c r="C3" s="6"/>
      <c r="D3" s="24"/>
      <c r="E3" s="6"/>
      <c r="F3" s="6"/>
      <c r="H3" s="21"/>
      <c r="I3" s="21"/>
      <c r="J3" s="23"/>
      <c r="K3" s="23"/>
      <c r="L3" s="23"/>
      <c r="M3" s="23"/>
      <c r="N3" s="6"/>
      <c r="O3" s="6"/>
      <c r="P3" s="6"/>
      <c r="Q3" s="23"/>
      <c r="R3" s="6"/>
      <c r="S3" s="6"/>
      <c r="T3" s="6"/>
    </row>
    <row r="4" spans="1:20" ht="14.1" customHeight="1">
      <c r="A4" s="6"/>
      <c r="B4" s="6"/>
      <c r="C4" s="6"/>
      <c r="D4" s="24"/>
      <c r="E4" s="6"/>
      <c r="F4" s="6"/>
      <c r="H4" s="21"/>
      <c r="I4" s="21"/>
      <c r="J4" s="23"/>
      <c r="K4" s="23"/>
      <c r="L4" s="23"/>
      <c r="M4" s="23"/>
      <c r="N4" s="6"/>
      <c r="O4" s="6"/>
      <c r="P4" s="6"/>
      <c r="Q4" s="23"/>
      <c r="R4" s="6"/>
      <c r="S4" s="6"/>
      <c r="T4" s="6"/>
    </row>
    <row r="5" spans="1:20" ht="14.1" customHeight="1">
      <c r="A5" s="6"/>
      <c r="B5" s="6"/>
      <c r="C5" s="6"/>
      <c r="D5" s="24"/>
      <c r="E5" s="6"/>
      <c r="F5" s="6"/>
      <c r="H5" s="21"/>
      <c r="I5" s="21"/>
      <c r="J5" s="23"/>
      <c r="K5" s="23"/>
      <c r="L5" s="23"/>
      <c r="M5" s="23"/>
      <c r="N5" s="6"/>
      <c r="O5" s="43"/>
      <c r="P5" s="6"/>
      <c r="Q5" s="23"/>
      <c r="R5" s="6"/>
      <c r="S5" s="6"/>
      <c r="T5" s="6"/>
    </row>
    <row r="6" spans="1:20" ht="14.1" customHeight="1">
      <c r="A6" s="6"/>
      <c r="B6" s="6"/>
      <c r="C6" s="6"/>
      <c r="D6" s="24"/>
      <c r="E6" s="6"/>
      <c r="F6" s="6"/>
      <c r="H6" s="21"/>
      <c r="I6" s="21"/>
      <c r="J6" s="23"/>
      <c r="K6" s="23"/>
      <c r="L6" s="23"/>
      <c r="M6" s="23"/>
      <c r="N6" s="6"/>
      <c r="O6" s="43"/>
      <c r="P6" s="6"/>
      <c r="Q6" s="23"/>
      <c r="R6" s="6"/>
      <c r="S6" s="6"/>
      <c r="T6" s="6"/>
    </row>
    <row r="7" spans="1:20" ht="14.1" customHeight="1">
      <c r="A7" s="6"/>
      <c r="B7" s="6"/>
      <c r="C7" s="6"/>
      <c r="D7" s="24"/>
      <c r="E7" s="6"/>
      <c r="F7" s="6"/>
      <c r="H7" s="21"/>
      <c r="I7" s="21"/>
      <c r="J7" s="23"/>
      <c r="K7" s="23"/>
      <c r="L7" s="23"/>
      <c r="M7" s="23"/>
      <c r="N7" s="6"/>
      <c r="O7" s="6"/>
      <c r="P7" s="6"/>
      <c r="Q7" s="23"/>
      <c r="R7" s="6"/>
      <c r="S7" s="6"/>
      <c r="T7" s="6"/>
    </row>
    <row r="8" spans="1:20" ht="14.1" customHeight="1">
      <c r="A8" s="6"/>
      <c r="B8" s="6"/>
      <c r="C8" s="6"/>
      <c r="D8" s="24"/>
      <c r="E8" s="6"/>
      <c r="F8" s="6"/>
      <c r="H8" s="21"/>
      <c r="I8" s="21"/>
      <c r="J8" s="23"/>
      <c r="K8" s="23"/>
      <c r="L8" s="23"/>
      <c r="M8" s="23"/>
      <c r="N8" s="43"/>
      <c r="O8" s="6"/>
      <c r="P8" s="6"/>
      <c r="Q8" s="23"/>
      <c r="R8" s="6"/>
      <c r="S8" s="6"/>
      <c r="T8" s="6"/>
    </row>
    <row r="9" spans="1:20" ht="14.1" customHeight="1">
      <c r="A9" s="6"/>
      <c r="B9" s="6"/>
      <c r="C9" s="6"/>
      <c r="D9" s="24"/>
      <c r="E9" s="6"/>
      <c r="F9" s="6"/>
      <c r="H9" s="21"/>
      <c r="I9" s="21"/>
      <c r="J9" s="23"/>
      <c r="K9" s="23"/>
      <c r="L9" s="23"/>
      <c r="M9" s="23"/>
      <c r="N9" s="6"/>
      <c r="O9" s="6"/>
      <c r="P9" s="6"/>
      <c r="Q9" s="23"/>
      <c r="R9" s="6"/>
      <c r="S9" s="6"/>
      <c r="T9" s="6"/>
    </row>
    <row r="10" spans="1:20" ht="13.7" customHeight="1">
      <c r="A10" s="6"/>
      <c r="B10" s="6"/>
      <c r="C10" s="6"/>
      <c r="D10" s="24"/>
      <c r="E10" s="6"/>
      <c r="F10" s="6"/>
      <c r="H10" s="21"/>
      <c r="I10" s="21"/>
      <c r="J10" s="23"/>
      <c r="K10" s="23"/>
      <c r="L10" s="23"/>
      <c r="M10" s="23"/>
      <c r="N10" s="6"/>
      <c r="O10" s="6"/>
      <c r="P10" s="6"/>
      <c r="Q10" s="23"/>
      <c r="R10" s="6"/>
      <c r="S10" s="6"/>
      <c r="T10" s="6"/>
    </row>
    <row r="11" spans="1:20" ht="13.7" customHeight="1">
      <c r="A11" s="6"/>
      <c r="B11" s="6"/>
      <c r="C11" s="6"/>
      <c r="D11" s="24"/>
      <c r="E11" s="6"/>
      <c r="F11" s="6"/>
      <c r="H11" s="21"/>
      <c r="I11" s="21"/>
      <c r="J11" s="23"/>
      <c r="K11" s="23"/>
      <c r="L11" s="23"/>
      <c r="M11" s="23"/>
      <c r="N11" s="6"/>
      <c r="O11" s="6"/>
      <c r="P11" s="6"/>
      <c r="Q11" s="23"/>
      <c r="R11" s="6"/>
      <c r="S11" s="6"/>
      <c r="T11" s="6"/>
    </row>
    <row r="12" spans="1:20" ht="14.1" customHeight="1">
      <c r="A12" s="6"/>
      <c r="B12" s="6"/>
      <c r="C12" s="6"/>
      <c r="D12" s="24"/>
      <c r="E12" s="6"/>
      <c r="F12" s="6"/>
      <c r="H12" s="21"/>
      <c r="I12" s="21"/>
      <c r="J12" s="23"/>
      <c r="K12" s="23"/>
      <c r="L12" s="23"/>
      <c r="M12" s="23"/>
      <c r="N12" s="6"/>
      <c r="O12" s="6"/>
      <c r="P12" s="6"/>
      <c r="Q12" s="23"/>
      <c r="R12" s="6"/>
      <c r="S12" s="6"/>
      <c r="T12" s="6"/>
    </row>
    <row r="13" spans="1:20" ht="14.1" customHeight="1">
      <c r="A13" s="6"/>
      <c r="B13" s="6"/>
      <c r="C13" s="6"/>
      <c r="D13" s="24"/>
      <c r="E13" s="6"/>
      <c r="F13" s="6"/>
      <c r="H13" s="21"/>
      <c r="I13" s="21"/>
      <c r="J13" s="23"/>
      <c r="K13" s="23"/>
      <c r="L13" s="23"/>
      <c r="M13" s="23"/>
      <c r="N13" s="6"/>
      <c r="O13" s="6"/>
      <c r="P13" s="6"/>
      <c r="Q13" s="23"/>
      <c r="R13" s="6"/>
      <c r="S13" s="6"/>
      <c r="T13" s="6"/>
    </row>
    <row r="14" spans="1:20" ht="14.1" customHeight="1">
      <c r="A14" s="6"/>
      <c r="B14" s="6"/>
      <c r="C14" s="6"/>
      <c r="D14" s="24"/>
      <c r="E14" s="6"/>
      <c r="F14" s="6"/>
      <c r="H14" s="21"/>
      <c r="I14" s="21"/>
      <c r="J14" s="23"/>
      <c r="K14" s="23"/>
      <c r="L14" s="23"/>
      <c r="M14" s="23"/>
      <c r="N14" s="6"/>
      <c r="O14" s="6"/>
      <c r="P14" s="6"/>
      <c r="Q14" s="23"/>
      <c r="R14" s="6"/>
      <c r="S14" s="6"/>
      <c r="T14" s="6"/>
    </row>
    <row r="15" spans="1:20" ht="14.1" customHeight="1">
      <c r="A15" s="6"/>
      <c r="B15" s="6"/>
      <c r="C15" s="6"/>
      <c r="D15" s="24"/>
      <c r="E15" s="6"/>
      <c r="F15" s="6"/>
      <c r="H15" s="21"/>
      <c r="I15" s="21"/>
      <c r="J15" s="23"/>
      <c r="K15" s="23"/>
      <c r="L15" s="23"/>
      <c r="M15" s="23"/>
      <c r="N15" s="6"/>
      <c r="O15" s="6"/>
      <c r="P15" s="6"/>
      <c r="Q15" s="23"/>
      <c r="R15" s="6"/>
      <c r="S15" s="6"/>
      <c r="T15" s="6"/>
    </row>
    <row r="16" spans="1:20" ht="14.1" customHeight="1">
      <c r="A16" s="6"/>
      <c r="B16" s="6"/>
      <c r="C16" s="6"/>
      <c r="D16" s="24"/>
      <c r="E16" s="6"/>
      <c r="F16" s="6"/>
      <c r="H16" s="21"/>
      <c r="I16" s="21"/>
      <c r="J16" s="23"/>
      <c r="K16" s="23"/>
      <c r="L16" s="23"/>
      <c r="M16" s="23"/>
      <c r="N16" s="6"/>
      <c r="O16" s="6"/>
      <c r="P16" s="6"/>
      <c r="Q16" s="23"/>
      <c r="R16" s="6"/>
      <c r="S16" s="6"/>
      <c r="T16" s="6"/>
    </row>
    <row r="17" spans="1:20" ht="14.1" customHeight="1">
      <c r="A17" s="6"/>
      <c r="B17" s="6"/>
      <c r="C17" s="6"/>
      <c r="D17" s="24"/>
      <c r="E17" s="6"/>
      <c r="F17" s="6"/>
      <c r="H17" s="21"/>
      <c r="I17" s="21"/>
      <c r="J17" s="23"/>
      <c r="K17" s="23"/>
      <c r="L17" s="23"/>
      <c r="M17" s="23"/>
      <c r="N17" s="6"/>
      <c r="O17" s="6"/>
      <c r="P17" s="6"/>
      <c r="Q17" s="23"/>
      <c r="R17" s="6"/>
      <c r="S17" s="6"/>
      <c r="T17" s="6"/>
    </row>
    <row r="18" spans="1:20" ht="14.1" customHeight="1">
      <c r="D18" s="24"/>
      <c r="H18" s="21"/>
      <c r="I18" s="21"/>
      <c r="J18" s="23"/>
      <c r="K18" s="23"/>
      <c r="L18" s="23"/>
      <c r="M18" s="23"/>
      <c r="Q18" s="23"/>
    </row>
    <row r="19" spans="1:20" ht="14.1" customHeight="1">
      <c r="D19" s="24"/>
      <c r="H19" s="21"/>
      <c r="I19" s="21"/>
      <c r="J19" s="23"/>
      <c r="K19" s="23"/>
      <c r="L19" s="23"/>
      <c r="M19" s="23"/>
      <c r="Q19" s="23"/>
    </row>
    <row r="20" spans="1:20" ht="14.1" customHeight="1">
      <c r="D20" s="24"/>
      <c r="H20" s="21"/>
      <c r="I20" s="21"/>
      <c r="J20" s="23"/>
      <c r="L20" s="23"/>
      <c r="M20" s="23"/>
      <c r="Q20" s="23"/>
    </row>
    <row r="21" spans="1:20" s="42" customFormat="1" ht="14.1" customHeight="1">
      <c r="D21" s="45"/>
    </row>
    <row r="22" spans="1:20" ht="14.1" customHeight="1">
      <c r="D22" s="5"/>
    </row>
  </sheetData>
  <sheetProtection formatColumns="0"/>
  <dataConsolidate/>
  <customSheetViews>
    <customSheetView guid="{AE318230-F718-49FC-82EB-7CAC3DCD05F1}" showGridLines="0" hiddenRows="1">
      <selection activeCell="F2" sqref="F2"/>
      <pageMargins left="0.7" right="0.7" top="0.75" bottom="0.75" header="0.3" footer="0.3"/>
    </customSheetView>
  </customSheetViews>
  <dataValidations count="8">
    <dataValidation type="list" allowBlank="1" showInputMessage="1" showErrorMessage="1" sqref="H2:H20" xr:uid="{00000000-0002-0000-1D00-000000000000}">
      <formula1>israel_abroad</formula1>
    </dataValidation>
    <dataValidation type="list" allowBlank="1" showInputMessage="1" showErrorMessage="1" sqref="I2:I20" xr:uid="{00000000-0002-0000-1D00-000001000000}">
      <formula1>Country_list</formula1>
    </dataValidation>
    <dataValidation type="list" allowBlank="1" showInputMessage="1" showErrorMessage="1" sqref="C8" xr:uid="{00000000-0002-0000-1D00-000002000000}">
      <formula1>#REF!</formula1>
    </dataValidation>
    <dataValidation type="list" allowBlank="1" showInputMessage="1" showErrorMessage="1" sqref="D2:D20" xr:uid="{00000000-0002-0000-1D00-000003000000}">
      <formula1>issuer_number_loan</formula1>
    </dataValidation>
    <dataValidation type="list" allowBlank="1" showInputMessage="1" showErrorMessage="1" sqref="L2:L20" xr:uid="{00000000-0002-0000-1D00-000004000000}">
      <formula1>Rating_Agency</formula1>
    </dataValidation>
    <dataValidation type="list" allowBlank="1" showInputMessage="1" showErrorMessage="1" sqref="Q2:Q20" xr:uid="{00000000-0002-0000-1D00-000005000000}">
      <formula1>Type_of_Interest_Rate</formula1>
    </dataValidation>
    <dataValidation type="list" allowBlank="1" showInputMessage="1" showErrorMessage="1" sqref="J2:J20" xr:uid="{00000000-0002-0000-1D00-000006000000}">
      <formula1>Holding_interest</formula1>
    </dataValidation>
    <dataValidation type="list" allowBlank="1" showInputMessage="1" showErrorMessage="1" sqref="M2:M20" xr:uid="{00000000-0002-0000-1D00-000007000000}">
      <formula1>what_is_rated_loans</formula1>
    </dataValidation>
  </dataValidations>
  <pageMargins left="0.7" right="0.7" top="0.75" bottom="0.75" header="0.3" footer="0.3"/>
  <pageSetup paperSize="9" orientation="portrait" verticalDpi="0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 codeName="Sheet34"/>
  <dimension ref="A1:Q28"/>
  <sheetViews>
    <sheetView rightToLeft="1" workbookViewId="0">
      <selection activeCell="A2" sqref="A2"/>
    </sheetView>
  </sheetViews>
  <sheetFormatPr defaultColWidth="0" defaultRowHeight="14.1" customHeight="1"/>
  <cols>
    <col min="1" max="8" width="11.625" style="3" customWidth="1"/>
    <col min="9" max="9" width="12.625" style="3" customWidth="1"/>
    <col min="10" max="17" width="11.625" style="3" customWidth="1"/>
    <col min="18" max="18" width="11.625" style="3" hidden="1" customWidth="1"/>
    <col min="19" max="16384" width="11.625" style="3" hidden="1"/>
  </cols>
  <sheetData>
    <row r="1" spans="1:17" ht="76.5">
      <c r="A1" s="22" t="s">
        <v>0</v>
      </c>
      <c r="B1" s="22" t="s">
        <v>1</v>
      </c>
      <c r="C1" s="22" t="s">
        <v>5</v>
      </c>
      <c r="D1" s="22" t="s">
        <v>124</v>
      </c>
      <c r="E1" s="22" t="s">
        <v>125</v>
      </c>
      <c r="F1" s="22" t="s">
        <v>126</v>
      </c>
      <c r="G1" s="22" t="s">
        <v>127</v>
      </c>
      <c r="H1" s="22" t="s">
        <v>128</v>
      </c>
      <c r="I1" s="22" t="s">
        <v>129</v>
      </c>
      <c r="J1" s="22" t="s">
        <v>11</v>
      </c>
      <c r="K1" s="176" t="s">
        <v>281</v>
      </c>
      <c r="L1" s="22" t="s">
        <v>282</v>
      </c>
      <c r="M1" s="22" t="s">
        <v>283</v>
      </c>
      <c r="N1" s="22" t="s">
        <v>284</v>
      </c>
      <c r="O1" s="22" t="s">
        <v>285</v>
      </c>
      <c r="P1" s="22" t="s">
        <v>286</v>
      </c>
      <c r="Q1" s="176" t="s">
        <v>287</v>
      </c>
    </row>
    <row r="2" spans="1:17" ht="14.1" customHeight="1">
      <c r="A2" s="6">
        <v>1192</v>
      </c>
      <c r="B2" s="6">
        <v>1192</v>
      </c>
      <c r="C2" s="6" t="s">
        <v>288</v>
      </c>
      <c r="D2" s="6" t="s">
        <v>135</v>
      </c>
      <c r="E2" s="44" t="s">
        <v>136</v>
      </c>
      <c r="F2" s="24" t="s">
        <v>137</v>
      </c>
      <c r="G2" s="6" t="s">
        <v>289</v>
      </c>
      <c r="H2" s="44" t="s">
        <v>290</v>
      </c>
      <c r="I2" s="24" t="s">
        <v>33</v>
      </c>
      <c r="J2" s="3" t="s">
        <v>144</v>
      </c>
      <c r="K2" s="185">
        <v>42317</v>
      </c>
      <c r="L2" s="162">
        <v>8000000</v>
      </c>
      <c r="M2" s="162">
        <v>25520</v>
      </c>
      <c r="N2" s="162">
        <v>1997511.59</v>
      </c>
      <c r="O2" s="162">
        <v>6372.06</v>
      </c>
      <c r="P2" s="165">
        <v>0.24</v>
      </c>
      <c r="Q2" s="182">
        <v>44890</v>
      </c>
    </row>
    <row r="3" spans="1:17" ht="14.1" customHeight="1">
      <c r="A3" s="6">
        <v>1192</v>
      </c>
      <c r="B3" s="6">
        <v>1192</v>
      </c>
      <c r="C3" s="6" t="s">
        <v>288</v>
      </c>
      <c r="D3" s="6" t="s">
        <v>291</v>
      </c>
      <c r="E3" s="6" t="s">
        <v>292</v>
      </c>
      <c r="F3" s="166" t="s">
        <v>293</v>
      </c>
      <c r="G3" s="6" t="s">
        <v>294</v>
      </c>
      <c r="H3" s="3" t="s">
        <v>295</v>
      </c>
      <c r="I3" s="24" t="s">
        <v>33</v>
      </c>
      <c r="J3" s="3" t="s">
        <v>144</v>
      </c>
      <c r="K3" s="177">
        <v>42033</v>
      </c>
      <c r="L3" s="162">
        <v>4000000</v>
      </c>
      <c r="M3" s="162">
        <v>12760</v>
      </c>
      <c r="N3" s="162">
        <v>144582</v>
      </c>
      <c r="O3" s="162">
        <v>461.21</v>
      </c>
      <c r="P3" s="165">
        <v>0.03</v>
      </c>
      <c r="Q3" s="182">
        <v>45903</v>
      </c>
    </row>
    <row r="4" spans="1:17" ht="13.7" customHeight="1">
      <c r="A4" s="6">
        <v>1192</v>
      </c>
      <c r="B4" s="6">
        <v>1192</v>
      </c>
      <c r="C4" s="6" t="s">
        <v>288</v>
      </c>
      <c r="D4" s="6" t="s">
        <v>296</v>
      </c>
      <c r="E4" s="6" t="s">
        <v>297</v>
      </c>
      <c r="F4" s="166" t="s">
        <v>293</v>
      </c>
      <c r="G4" s="6" t="s">
        <v>164</v>
      </c>
      <c r="H4" s="3" t="s">
        <v>298</v>
      </c>
      <c r="I4" s="24" t="s">
        <v>33</v>
      </c>
      <c r="J4" s="3" t="s">
        <v>144</v>
      </c>
      <c r="K4" s="177">
        <v>41638</v>
      </c>
      <c r="L4" s="162">
        <v>3000000</v>
      </c>
      <c r="M4" s="162">
        <v>9570</v>
      </c>
      <c r="N4" s="162">
        <v>259662</v>
      </c>
      <c r="O4" s="162">
        <v>828.32</v>
      </c>
      <c r="P4" s="165">
        <v>0.08</v>
      </c>
      <c r="Q4" s="182">
        <v>44927</v>
      </c>
    </row>
    <row r="5" spans="1:17" ht="13.7" customHeight="1">
      <c r="A5" s="6">
        <v>1192</v>
      </c>
      <c r="B5" s="6">
        <v>1192</v>
      </c>
      <c r="C5" s="6" t="s">
        <v>288</v>
      </c>
      <c r="D5" s="6" t="s">
        <v>148</v>
      </c>
      <c r="E5" s="6" t="s">
        <v>149</v>
      </c>
      <c r="F5" s="166" t="s">
        <v>293</v>
      </c>
      <c r="G5" s="6" t="s">
        <v>299</v>
      </c>
      <c r="H5" s="3" t="s">
        <v>300</v>
      </c>
      <c r="I5" s="24" t="s">
        <v>33</v>
      </c>
      <c r="J5" s="3" t="s">
        <v>301</v>
      </c>
      <c r="K5" s="177">
        <v>42187</v>
      </c>
      <c r="L5" s="162">
        <v>14896741</v>
      </c>
      <c r="M5" s="162">
        <v>14896.74</v>
      </c>
      <c r="N5" s="162">
        <v>1326286</v>
      </c>
      <c r="O5" s="162">
        <v>1326.28</v>
      </c>
      <c r="P5" s="165">
        <v>0.08</v>
      </c>
      <c r="Q5" s="182">
        <v>46631</v>
      </c>
    </row>
    <row r="6" spans="1:17" ht="14.1" customHeight="1">
      <c r="A6" s="6"/>
      <c r="B6" s="6"/>
      <c r="C6" s="6"/>
      <c r="D6" s="6"/>
      <c r="E6" s="6"/>
      <c r="F6" s="24"/>
      <c r="G6" s="6"/>
      <c r="I6" s="24"/>
      <c r="K6" s="23"/>
      <c r="P6" s="23"/>
    </row>
    <row r="7" spans="1:17" ht="14.1" customHeight="1">
      <c r="A7" s="6"/>
      <c r="B7" s="6"/>
      <c r="C7" s="6"/>
      <c r="D7" s="6"/>
      <c r="E7" s="6"/>
      <c r="F7" s="24"/>
      <c r="G7" s="6"/>
      <c r="I7" s="24"/>
      <c r="K7" s="23"/>
      <c r="P7" s="23"/>
    </row>
    <row r="8" spans="1:17" ht="14.1" customHeight="1">
      <c r="A8" s="6"/>
      <c r="B8" s="6"/>
      <c r="C8" s="6"/>
      <c r="D8" s="6"/>
      <c r="E8" s="6"/>
      <c r="F8" s="24"/>
      <c r="G8" s="6"/>
      <c r="I8" s="24"/>
      <c r="K8" s="23"/>
      <c r="P8" s="23"/>
    </row>
    <row r="9" spans="1:17" ht="14.1" customHeight="1">
      <c r="A9" s="6"/>
      <c r="B9" s="6"/>
      <c r="C9" s="6"/>
      <c r="D9" s="6"/>
      <c r="E9" s="6"/>
      <c r="F9" s="24"/>
      <c r="G9" s="6"/>
      <c r="I9" s="24"/>
      <c r="K9" s="23"/>
      <c r="P9" s="23"/>
    </row>
    <row r="10" spans="1:17" ht="14.1" customHeight="1">
      <c r="A10" s="6"/>
      <c r="B10" s="6"/>
      <c r="C10" s="6"/>
      <c r="D10" s="6"/>
      <c r="E10" s="6"/>
      <c r="F10" s="24"/>
      <c r="G10" s="6"/>
      <c r="I10" s="24"/>
      <c r="K10" s="23"/>
      <c r="P10" s="23"/>
    </row>
    <row r="11" spans="1:17" ht="14.1" customHeight="1">
      <c r="C11" s="6"/>
      <c r="F11" s="24"/>
      <c r="I11" s="24"/>
      <c r="K11" s="23"/>
    </row>
    <row r="12" spans="1:17" ht="14.1" customHeight="1">
      <c r="C12" s="6"/>
      <c r="F12" s="24"/>
      <c r="I12" s="24"/>
      <c r="K12" s="23"/>
    </row>
    <row r="13" spans="1:17" ht="14.1" customHeight="1">
      <c r="C13" s="6"/>
      <c r="F13" s="24"/>
      <c r="I13" s="24"/>
      <c r="K13" s="23"/>
    </row>
    <row r="14" spans="1:17" ht="14.1" customHeight="1">
      <c r="C14" s="6"/>
      <c r="F14" s="24"/>
      <c r="I14" s="24"/>
      <c r="K14" s="23"/>
    </row>
    <row r="15" spans="1:17" ht="14.1" customHeight="1">
      <c r="C15" s="6"/>
      <c r="F15" s="24"/>
      <c r="I15" s="24"/>
      <c r="K15" s="23"/>
    </row>
    <row r="16" spans="1:17" ht="14.1" customHeight="1">
      <c r="C16" s="6"/>
      <c r="F16" s="24"/>
      <c r="I16" s="24"/>
      <c r="K16" s="23"/>
    </row>
    <row r="17" spans="3:11" ht="14.1" customHeight="1">
      <c r="C17" s="6"/>
      <c r="F17" s="24"/>
      <c r="I17" s="24"/>
      <c r="K17" s="23"/>
    </row>
    <row r="18" spans="3:11" ht="14.1" customHeight="1">
      <c r="C18" s="6"/>
      <c r="F18" s="24"/>
      <c r="I18" s="24"/>
      <c r="K18" s="23"/>
    </row>
    <row r="19" spans="3:11" ht="14.1" customHeight="1">
      <c r="C19" s="6"/>
      <c r="F19" s="24"/>
      <c r="I19" s="24"/>
      <c r="K19" s="23"/>
    </row>
    <row r="20" spans="3:11" ht="14.1" customHeight="1">
      <c r="F20" s="24"/>
      <c r="I20" s="24"/>
    </row>
    <row r="24" spans="3:11" ht="14.1" customHeight="1">
      <c r="K24" s="9"/>
    </row>
    <row r="25" spans="3:11" ht="14.1" customHeight="1">
      <c r="K25" s="9"/>
    </row>
    <row r="26" spans="3:11" ht="14.1" customHeight="1">
      <c r="K26" s="9"/>
    </row>
    <row r="28" spans="3:11" ht="14.1" customHeight="1">
      <c r="K28" s="9"/>
    </row>
  </sheetData>
  <sheetProtection formatColumns="0"/>
  <dataConsolidate/>
  <dataValidations count="2">
    <dataValidation type="list" allowBlank="1" showInputMessage="1" showErrorMessage="1" sqref="F2:F20" xr:uid="{00000000-0002-0000-1E00-000000000000}">
      <formula1>Issuer_Number_Fund</formula1>
    </dataValidation>
    <dataValidation type="list" allowBlank="1" showInputMessage="1" showErrorMessage="1" sqref="I2:I20" xr:uid="{00000000-0002-0000-1E00-000001000000}">
      <formula1>Type_of_Security_ID_Fund</formula1>
    </dataValidation>
  </dataValidations>
  <pageMargins left="0.7" right="0.7" top="0.75" bottom="0.75" header="0.3" footer="0.3"/>
  <pageSetup paperSize="9" orientation="portrait" verticalDpi="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2000000}">
          <x14:formula1>
            <xm:f>'אפשרויות בחירה'!$C$1037:$C$1040</xm:f>
          </x14:formula1>
          <xm:sqref>C2:C19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 codeName="Sheet36">
    <tabColor theme="7" tint="-0.499984740745262"/>
  </sheetPr>
  <dimension ref="A1:E1315"/>
  <sheetViews>
    <sheetView showGridLines="0" rightToLeft="1" zoomScale="85" zoomScaleNormal="85" workbookViewId="0">
      <pane ySplit="1" topLeftCell="A140" activePane="bottomLeft" state="frozen"/>
      <selection activeCell="A2" sqref="A2"/>
      <selection pane="bottomLeft" activeCell="A2" sqref="A2"/>
    </sheetView>
  </sheetViews>
  <sheetFormatPr defaultColWidth="0" defaultRowHeight="14.25"/>
  <cols>
    <col min="1" max="1" width="29.5" style="9" customWidth="1"/>
    <col min="2" max="2" width="30.375" style="18" customWidth="1"/>
    <col min="3" max="3" width="90.875" style="64" customWidth="1"/>
    <col min="4" max="4" width="68.875" style="9" customWidth="1"/>
    <col min="5" max="5" width="29.75" style="18" bestFit="1" customWidth="1"/>
    <col min="6" max="6" width="9" style="18" hidden="1" customWidth="1"/>
    <col min="7" max="16384" width="9" style="18" hidden="1"/>
  </cols>
  <sheetData>
    <row r="1" spans="1:5" s="61" customFormat="1" ht="45">
      <c r="A1" s="60" t="s">
        <v>302</v>
      </c>
      <c r="B1" s="60" t="s">
        <v>303</v>
      </c>
      <c r="C1" s="60" t="s">
        <v>304</v>
      </c>
      <c r="D1" s="60" t="s">
        <v>305</v>
      </c>
      <c r="E1" s="18"/>
    </row>
    <row r="2" spans="1:5">
      <c r="A2" s="96"/>
      <c r="B2" s="96" t="s">
        <v>306</v>
      </c>
      <c r="C2" s="25" t="s">
        <v>30</v>
      </c>
      <c r="D2" s="25"/>
    </row>
    <row r="3" spans="1:5">
      <c r="A3" s="97"/>
      <c r="B3" s="97"/>
      <c r="C3" s="25" t="s">
        <v>141</v>
      </c>
      <c r="D3" s="25"/>
    </row>
    <row r="4" spans="1:5" ht="42.75">
      <c r="A4" s="89"/>
      <c r="B4" s="118" t="s">
        <v>307</v>
      </c>
      <c r="C4" s="26" t="s">
        <v>30</v>
      </c>
      <c r="D4" s="26"/>
    </row>
    <row r="5" spans="1:5">
      <c r="A5" s="90"/>
      <c r="B5" s="119"/>
      <c r="C5" s="26" t="s">
        <v>308</v>
      </c>
      <c r="D5" s="26"/>
    </row>
    <row r="6" spans="1:5">
      <c r="A6" s="90"/>
      <c r="B6" s="119"/>
      <c r="C6" s="26" t="s">
        <v>309</v>
      </c>
      <c r="D6" s="26"/>
    </row>
    <row r="7" spans="1:5">
      <c r="A7" s="90"/>
      <c r="B7" s="119"/>
      <c r="C7" s="26" t="s">
        <v>310</v>
      </c>
      <c r="D7" s="26"/>
    </row>
    <row r="8" spans="1:5">
      <c r="A8" s="90"/>
      <c r="B8" s="119"/>
      <c r="C8" s="26" t="s">
        <v>311</v>
      </c>
      <c r="D8" s="26"/>
    </row>
    <row r="9" spans="1:5">
      <c r="A9" s="90"/>
      <c r="B9" s="119"/>
      <c r="C9" s="26" t="s">
        <v>312</v>
      </c>
      <c r="D9" s="26"/>
    </row>
    <row r="10" spans="1:5">
      <c r="A10" s="90"/>
      <c r="B10" s="119"/>
      <c r="C10" s="26" t="s">
        <v>313</v>
      </c>
      <c r="D10" s="26"/>
    </row>
    <row r="11" spans="1:5">
      <c r="A11" s="90"/>
      <c r="B11" s="119"/>
      <c r="C11" s="26" t="s">
        <v>314</v>
      </c>
      <c r="D11" s="26"/>
      <c r="E11" s="18" t="s">
        <v>315</v>
      </c>
    </row>
    <row r="12" spans="1:5">
      <c r="A12" s="90"/>
      <c r="B12" s="119"/>
      <c r="C12" s="26" t="s">
        <v>316</v>
      </c>
      <c r="D12" s="26"/>
      <c r="E12" s="18" t="s">
        <v>315</v>
      </c>
    </row>
    <row r="13" spans="1:5">
      <c r="A13" s="90"/>
      <c r="B13" s="119"/>
      <c r="C13" s="26" t="s">
        <v>317</v>
      </c>
      <c r="D13" s="26"/>
    </row>
    <row r="14" spans="1:5">
      <c r="A14" s="90"/>
      <c r="B14" s="119"/>
      <c r="C14" s="26" t="s">
        <v>159</v>
      </c>
      <c r="D14" s="26"/>
    </row>
    <row r="15" spans="1:5">
      <c r="A15" s="90"/>
      <c r="B15" s="119"/>
      <c r="C15" s="26" t="s">
        <v>318</v>
      </c>
      <c r="D15" s="26"/>
    </row>
    <row r="16" spans="1:5">
      <c r="A16" s="90"/>
      <c r="B16" s="119"/>
      <c r="C16" s="26" t="s">
        <v>319</v>
      </c>
      <c r="D16" s="26"/>
    </row>
    <row r="17" spans="1:4">
      <c r="A17" s="90"/>
      <c r="B17" s="119"/>
      <c r="C17" s="26" t="s">
        <v>320</v>
      </c>
      <c r="D17" s="26"/>
    </row>
    <row r="18" spans="1:4">
      <c r="A18" s="90"/>
      <c r="B18" s="119"/>
      <c r="C18" s="26" t="s">
        <v>321</v>
      </c>
      <c r="D18" s="26"/>
    </row>
    <row r="19" spans="1:4">
      <c r="A19" s="90"/>
      <c r="B19" s="119"/>
      <c r="C19" s="26" t="s">
        <v>322</v>
      </c>
      <c r="D19" s="26"/>
    </row>
    <row r="20" spans="1:4">
      <c r="A20" s="90"/>
      <c r="B20" s="119"/>
      <c r="C20" s="26" t="s">
        <v>323</v>
      </c>
      <c r="D20" s="26"/>
    </row>
    <row r="21" spans="1:4">
      <c r="A21" s="90"/>
      <c r="B21" s="119"/>
      <c r="C21" s="26" t="s">
        <v>179</v>
      </c>
      <c r="D21" s="26"/>
    </row>
    <row r="22" spans="1:4">
      <c r="A22" s="90"/>
      <c r="B22" s="119"/>
      <c r="C22" s="26" t="s">
        <v>324</v>
      </c>
      <c r="D22" s="26"/>
    </row>
    <row r="23" spans="1:4">
      <c r="A23" s="90"/>
      <c r="B23" s="119"/>
      <c r="C23" s="26" t="s">
        <v>325</v>
      </c>
      <c r="D23" s="26"/>
    </row>
    <row r="24" spans="1:4">
      <c r="A24" s="90"/>
      <c r="B24" s="119"/>
      <c r="C24" s="26" t="s">
        <v>326</v>
      </c>
      <c r="D24" s="26"/>
    </row>
    <row r="25" spans="1:4">
      <c r="A25" s="90"/>
      <c r="B25" s="119"/>
      <c r="C25" s="26" t="s">
        <v>327</v>
      </c>
      <c r="D25" s="26"/>
    </row>
    <row r="26" spans="1:4">
      <c r="A26" s="90"/>
      <c r="B26" s="119"/>
      <c r="C26" s="26" t="s">
        <v>328</v>
      </c>
      <c r="D26" s="26"/>
    </row>
    <row r="27" spans="1:4">
      <c r="A27" s="90"/>
      <c r="B27" s="119"/>
      <c r="C27" s="26" t="s">
        <v>329</v>
      </c>
      <c r="D27" s="26"/>
    </row>
    <row r="28" spans="1:4">
      <c r="A28" s="90"/>
      <c r="B28" s="119"/>
      <c r="C28" s="26" t="s">
        <v>330</v>
      </c>
      <c r="D28" s="26"/>
    </row>
    <row r="29" spans="1:4">
      <c r="A29" s="90"/>
      <c r="B29" s="119"/>
      <c r="C29" s="26" t="s">
        <v>331</v>
      </c>
      <c r="D29" s="26"/>
    </row>
    <row r="30" spans="1:4">
      <c r="A30" s="90"/>
      <c r="B30" s="119"/>
      <c r="C30" s="26" t="s">
        <v>142</v>
      </c>
      <c r="D30" s="26"/>
    </row>
    <row r="31" spans="1:4">
      <c r="A31" s="90"/>
      <c r="B31" s="119"/>
      <c r="C31" s="26" t="s">
        <v>332</v>
      </c>
      <c r="D31" s="26"/>
    </row>
    <row r="32" spans="1:4">
      <c r="A32" s="90"/>
      <c r="B32" s="119"/>
      <c r="C32" s="26" t="s">
        <v>333</v>
      </c>
      <c r="D32" s="26"/>
    </row>
    <row r="33" spans="1:5">
      <c r="A33" s="90"/>
      <c r="B33" s="119"/>
      <c r="C33" s="26" t="s">
        <v>334</v>
      </c>
      <c r="D33" s="26"/>
    </row>
    <row r="34" spans="1:5">
      <c r="A34" s="90"/>
      <c r="B34" s="119"/>
      <c r="C34" s="26" t="s">
        <v>335</v>
      </c>
      <c r="D34" s="26"/>
    </row>
    <row r="35" spans="1:5">
      <c r="A35" s="90"/>
      <c r="B35" s="119"/>
      <c r="C35" s="26" t="s">
        <v>336</v>
      </c>
      <c r="D35" s="26"/>
    </row>
    <row r="36" spans="1:5">
      <c r="A36" s="90"/>
      <c r="B36" s="119"/>
      <c r="C36" s="26" t="s">
        <v>337</v>
      </c>
      <c r="D36" s="26"/>
      <c r="E36" s="18" t="s">
        <v>315</v>
      </c>
    </row>
    <row r="37" spans="1:5">
      <c r="A37" s="90"/>
      <c r="B37" s="119"/>
      <c r="C37" s="9" t="s">
        <v>338</v>
      </c>
      <c r="D37" s="26"/>
      <c r="E37" s="18" t="s">
        <v>315</v>
      </c>
    </row>
    <row r="38" spans="1:5">
      <c r="A38" s="90"/>
      <c r="B38" s="119"/>
      <c r="C38" s="26" t="s">
        <v>339</v>
      </c>
      <c r="D38" s="26"/>
    </row>
    <row r="39" spans="1:5">
      <c r="A39" s="90"/>
      <c r="B39" s="119"/>
      <c r="C39" s="26" t="s">
        <v>340</v>
      </c>
      <c r="D39" s="26"/>
    </row>
    <row r="40" spans="1:5">
      <c r="A40" s="90"/>
      <c r="B40" s="119"/>
      <c r="C40" s="26" t="s">
        <v>341</v>
      </c>
      <c r="D40" s="26"/>
      <c r="E40" s="18" t="s">
        <v>315</v>
      </c>
    </row>
    <row r="41" spans="1:5">
      <c r="A41" s="90"/>
      <c r="B41" s="119"/>
      <c r="C41" s="26" t="s">
        <v>342</v>
      </c>
      <c r="D41" s="26"/>
    </row>
    <row r="42" spans="1:5">
      <c r="A42" s="90"/>
      <c r="B42" s="119"/>
      <c r="C42" s="26" t="s">
        <v>343</v>
      </c>
      <c r="D42" s="26"/>
    </row>
    <row r="43" spans="1:5">
      <c r="A43" s="90"/>
      <c r="B43" s="119"/>
      <c r="C43" s="26" t="s">
        <v>344</v>
      </c>
      <c r="D43" s="26"/>
    </row>
    <row r="44" spans="1:5">
      <c r="A44" s="90"/>
      <c r="B44" s="119"/>
      <c r="C44" s="26" t="s">
        <v>345</v>
      </c>
      <c r="D44" s="26"/>
    </row>
    <row r="45" spans="1:5">
      <c r="A45" s="90"/>
      <c r="B45" s="119"/>
      <c r="C45" s="26" t="s">
        <v>346</v>
      </c>
      <c r="D45" s="26"/>
    </row>
    <row r="46" spans="1:5">
      <c r="A46" s="90"/>
      <c r="B46" s="119"/>
      <c r="C46" s="26" t="s">
        <v>347</v>
      </c>
      <c r="D46" s="26"/>
      <c r="E46" s="18" t="s">
        <v>315</v>
      </c>
    </row>
    <row r="47" spans="1:5">
      <c r="A47" s="90"/>
      <c r="B47" s="119"/>
      <c r="C47" s="26" t="s">
        <v>348</v>
      </c>
      <c r="D47" s="26"/>
    </row>
    <row r="48" spans="1:5">
      <c r="A48" s="90"/>
      <c r="B48" s="119"/>
      <c r="C48" s="26" t="s">
        <v>349</v>
      </c>
      <c r="D48" s="26"/>
    </row>
    <row r="49" spans="1:5">
      <c r="A49" s="90"/>
      <c r="B49" s="119"/>
      <c r="C49" s="26" t="s">
        <v>350</v>
      </c>
      <c r="D49" s="26"/>
    </row>
    <row r="50" spans="1:5">
      <c r="A50" s="90"/>
      <c r="B50" s="119"/>
      <c r="C50" s="26" t="s">
        <v>185</v>
      </c>
      <c r="D50" s="26"/>
    </row>
    <row r="51" spans="1:5">
      <c r="A51" s="90"/>
      <c r="B51" s="119"/>
      <c r="C51" s="26" t="s">
        <v>351</v>
      </c>
      <c r="D51" s="26"/>
    </row>
    <row r="52" spans="1:5">
      <c r="A52" s="90"/>
      <c r="B52" s="119"/>
      <c r="C52" s="26" t="s">
        <v>352</v>
      </c>
      <c r="D52" s="26"/>
    </row>
    <row r="53" spans="1:5">
      <c r="A53" s="90"/>
      <c r="B53" s="119"/>
      <c r="C53" s="26" t="s">
        <v>353</v>
      </c>
      <c r="D53" s="26"/>
    </row>
    <row r="54" spans="1:5">
      <c r="A54" s="90"/>
      <c r="B54" s="119"/>
      <c r="C54" s="26" t="s">
        <v>354</v>
      </c>
      <c r="D54" s="26"/>
    </row>
    <row r="55" spans="1:5">
      <c r="A55" s="90"/>
      <c r="B55" s="119"/>
      <c r="C55" s="26" t="s">
        <v>355</v>
      </c>
      <c r="D55" s="26"/>
    </row>
    <row r="56" spans="1:5">
      <c r="A56" s="90"/>
      <c r="B56" s="119"/>
      <c r="C56" s="26" t="s">
        <v>356</v>
      </c>
      <c r="D56" s="26"/>
    </row>
    <row r="57" spans="1:5">
      <c r="A57" s="90"/>
      <c r="B57" s="119"/>
      <c r="C57" s="26" t="s">
        <v>357</v>
      </c>
      <c r="D57" s="26"/>
    </row>
    <row r="58" spans="1:5">
      <c r="A58" s="90"/>
      <c r="B58" s="119"/>
      <c r="C58" s="26" t="s">
        <v>358</v>
      </c>
      <c r="D58" s="26"/>
    </row>
    <row r="59" spans="1:5">
      <c r="A59" s="90"/>
      <c r="B59" s="119"/>
      <c r="C59" s="26" t="s">
        <v>359</v>
      </c>
      <c r="D59" s="26"/>
    </row>
    <row r="60" spans="1:5">
      <c r="A60" s="90"/>
      <c r="B60" s="119"/>
      <c r="C60" s="26" t="s">
        <v>360</v>
      </c>
      <c r="D60" s="26"/>
    </row>
    <row r="61" spans="1:5">
      <c r="A61" s="90"/>
      <c r="B61" s="119"/>
      <c r="C61" s="26" t="s">
        <v>361</v>
      </c>
      <c r="D61" s="26"/>
    </row>
    <row r="62" spans="1:5">
      <c r="A62" s="90"/>
      <c r="B62" s="119"/>
      <c r="C62" s="26" t="s">
        <v>362</v>
      </c>
      <c r="D62" s="26"/>
    </row>
    <row r="63" spans="1:5">
      <c r="A63" s="90"/>
      <c r="B63" s="119"/>
      <c r="C63" s="26" t="s">
        <v>363</v>
      </c>
      <c r="D63" s="26"/>
      <c r="E63" s="18" t="s">
        <v>315</v>
      </c>
    </row>
    <row r="64" spans="1:5">
      <c r="A64" s="90"/>
      <c r="B64" s="119"/>
      <c r="C64" s="26" t="s">
        <v>364</v>
      </c>
      <c r="D64" s="26"/>
    </row>
    <row r="65" spans="1:4">
      <c r="A65" s="90"/>
      <c r="B65" s="119"/>
      <c r="C65" s="26" t="s">
        <v>365</v>
      </c>
      <c r="D65" s="26"/>
    </row>
    <row r="66" spans="1:4">
      <c r="A66" s="90"/>
      <c r="B66" s="119"/>
      <c r="C66" s="26" t="s">
        <v>366</v>
      </c>
      <c r="D66" s="26"/>
    </row>
    <row r="67" spans="1:4">
      <c r="A67" s="90"/>
      <c r="B67" s="119"/>
      <c r="C67" s="26" t="s">
        <v>367</v>
      </c>
      <c r="D67" s="26"/>
    </row>
    <row r="68" spans="1:4">
      <c r="A68" s="90"/>
      <c r="B68" s="119"/>
      <c r="C68" s="26" t="s">
        <v>368</v>
      </c>
      <c r="D68" s="26"/>
    </row>
    <row r="69" spans="1:4">
      <c r="A69" s="90"/>
      <c r="B69" s="119"/>
      <c r="C69" s="26" t="s">
        <v>369</v>
      </c>
      <c r="D69" s="26"/>
    </row>
    <row r="70" spans="1:4">
      <c r="A70" s="90"/>
      <c r="B70" s="119"/>
      <c r="C70" s="26" t="s">
        <v>370</v>
      </c>
      <c r="D70" s="26"/>
    </row>
    <row r="71" spans="1:4">
      <c r="A71" s="90"/>
      <c r="B71" s="119"/>
      <c r="C71" s="26" t="s">
        <v>371</v>
      </c>
      <c r="D71" s="26"/>
    </row>
    <row r="72" spans="1:4">
      <c r="A72" s="90"/>
      <c r="B72" s="119"/>
      <c r="C72" s="26" t="s">
        <v>372</v>
      </c>
      <c r="D72" s="26"/>
    </row>
    <row r="73" spans="1:4">
      <c r="A73" s="90"/>
      <c r="B73" s="119"/>
      <c r="C73" s="26" t="s">
        <v>373</v>
      </c>
      <c r="D73" s="26"/>
    </row>
    <row r="74" spans="1:4">
      <c r="A74" s="90"/>
      <c r="B74" s="119"/>
      <c r="C74" s="26" t="s">
        <v>374</v>
      </c>
      <c r="D74" s="26"/>
    </row>
    <row r="75" spans="1:4">
      <c r="A75" s="90"/>
      <c r="B75" s="119"/>
      <c r="C75" s="26" t="s">
        <v>375</v>
      </c>
      <c r="D75" s="26"/>
    </row>
    <row r="76" spans="1:4">
      <c r="A76" s="90"/>
      <c r="B76" s="119"/>
      <c r="C76" s="26" t="s">
        <v>376</v>
      </c>
      <c r="D76" s="26"/>
    </row>
    <row r="77" spans="1:4">
      <c r="A77" s="90"/>
      <c r="B77" s="119"/>
      <c r="C77" s="26" t="s">
        <v>377</v>
      </c>
      <c r="D77" s="26"/>
    </row>
    <row r="78" spans="1:4">
      <c r="A78" s="90"/>
      <c r="B78" s="119"/>
      <c r="C78" s="26" t="s">
        <v>378</v>
      </c>
      <c r="D78" s="26"/>
    </row>
    <row r="79" spans="1:4">
      <c r="A79" s="90"/>
      <c r="B79" s="119"/>
      <c r="C79" s="26" t="s">
        <v>379</v>
      </c>
      <c r="D79" s="26"/>
    </row>
    <row r="80" spans="1:4">
      <c r="A80" s="90"/>
      <c r="B80" s="119"/>
      <c r="C80" s="26" t="s">
        <v>380</v>
      </c>
      <c r="D80" s="26"/>
    </row>
    <row r="81" spans="1:5">
      <c r="A81" s="90"/>
      <c r="B81" s="119"/>
      <c r="C81" s="26" t="s">
        <v>381</v>
      </c>
      <c r="D81" s="26"/>
    </row>
    <row r="82" spans="1:5">
      <c r="A82" s="90"/>
      <c r="B82" s="119"/>
      <c r="C82" s="26" t="s">
        <v>382</v>
      </c>
      <c r="D82" s="26"/>
    </row>
    <row r="83" spans="1:5">
      <c r="A83" s="90"/>
      <c r="B83" s="119"/>
      <c r="C83" s="26" t="s">
        <v>383</v>
      </c>
      <c r="D83" s="26"/>
    </row>
    <row r="84" spans="1:5">
      <c r="A84" s="90"/>
      <c r="B84" s="119"/>
      <c r="C84" s="26" t="s">
        <v>384</v>
      </c>
      <c r="D84" s="26"/>
    </row>
    <row r="85" spans="1:5">
      <c r="A85" s="90"/>
      <c r="B85" s="119"/>
      <c r="C85" s="26" t="s">
        <v>385</v>
      </c>
      <c r="D85" s="26"/>
    </row>
    <row r="86" spans="1:5">
      <c r="A86" s="90"/>
      <c r="B86" s="119"/>
      <c r="C86" s="26" t="s">
        <v>386</v>
      </c>
      <c r="D86" s="26"/>
    </row>
    <row r="87" spans="1:5">
      <c r="A87" s="90"/>
      <c r="B87" s="119"/>
      <c r="C87" s="26" t="s">
        <v>387</v>
      </c>
      <c r="D87" s="26"/>
    </row>
    <row r="88" spans="1:5">
      <c r="A88" s="90"/>
      <c r="B88" s="119"/>
      <c r="C88" s="26" t="s">
        <v>388</v>
      </c>
      <c r="D88" s="26"/>
    </row>
    <row r="89" spans="1:5">
      <c r="A89" s="90"/>
      <c r="B89" s="119"/>
      <c r="C89" s="26" t="s">
        <v>389</v>
      </c>
      <c r="D89" s="26"/>
    </row>
    <row r="90" spans="1:5">
      <c r="A90" s="90"/>
      <c r="B90" s="119"/>
      <c r="C90" s="26" t="s">
        <v>186</v>
      </c>
      <c r="D90" s="26"/>
    </row>
    <row r="91" spans="1:5">
      <c r="A91" s="90"/>
      <c r="B91" s="119"/>
      <c r="C91" s="26" t="s">
        <v>390</v>
      </c>
      <c r="D91" s="26"/>
    </row>
    <row r="92" spans="1:5">
      <c r="A92" s="90"/>
      <c r="B92" s="119"/>
      <c r="C92" s="26" t="s">
        <v>391</v>
      </c>
      <c r="D92" s="26"/>
    </row>
    <row r="93" spans="1:5">
      <c r="A93" s="90"/>
      <c r="B93" s="119"/>
      <c r="C93" s="26" t="s">
        <v>155</v>
      </c>
      <c r="D93" s="26"/>
    </row>
    <row r="94" spans="1:5">
      <c r="A94" s="90"/>
      <c r="B94" s="119"/>
      <c r="C94" s="26" t="s">
        <v>392</v>
      </c>
      <c r="D94" s="26" t="s">
        <v>393</v>
      </c>
      <c r="E94" s="18" t="s">
        <v>315</v>
      </c>
    </row>
    <row r="95" spans="1:5">
      <c r="A95" s="90"/>
      <c r="B95" s="119"/>
      <c r="C95" s="26" t="s">
        <v>394</v>
      </c>
      <c r="D95" s="26" t="s">
        <v>395</v>
      </c>
      <c r="E95" s="18" t="s">
        <v>315</v>
      </c>
    </row>
    <row r="96" spans="1:5">
      <c r="A96" s="90"/>
      <c r="B96" s="119"/>
      <c r="C96" s="26" t="s">
        <v>396</v>
      </c>
      <c r="D96" s="26" t="s">
        <v>395</v>
      </c>
      <c r="E96" s="18" t="s">
        <v>315</v>
      </c>
    </row>
    <row r="97" spans="1:5">
      <c r="A97" s="90"/>
      <c r="B97" s="119"/>
      <c r="C97" s="26" t="s">
        <v>397</v>
      </c>
      <c r="D97" s="26" t="s">
        <v>395</v>
      </c>
      <c r="E97" s="18" t="s">
        <v>315</v>
      </c>
    </row>
    <row r="98" spans="1:5">
      <c r="A98" s="90"/>
      <c r="B98" s="119"/>
      <c r="C98" s="26" t="s">
        <v>398</v>
      </c>
      <c r="D98" s="26" t="s">
        <v>395</v>
      </c>
      <c r="E98" s="18" t="s">
        <v>315</v>
      </c>
    </row>
    <row r="99" spans="1:5">
      <c r="A99" s="90"/>
      <c r="B99" s="119"/>
      <c r="C99" s="26" t="s">
        <v>399</v>
      </c>
      <c r="D99" s="26" t="s">
        <v>395</v>
      </c>
      <c r="E99" s="18" t="s">
        <v>315</v>
      </c>
    </row>
    <row r="100" spans="1:5">
      <c r="A100" s="90"/>
      <c r="B100" s="119"/>
      <c r="C100" s="26" t="s">
        <v>400</v>
      </c>
      <c r="D100" s="26" t="s">
        <v>395</v>
      </c>
      <c r="E100" s="18" t="s">
        <v>315</v>
      </c>
    </row>
    <row r="101" spans="1:5">
      <c r="A101" s="90"/>
      <c r="B101" s="119"/>
      <c r="C101" s="26" t="s">
        <v>401</v>
      </c>
      <c r="D101" s="26" t="s">
        <v>395</v>
      </c>
      <c r="E101" s="18" t="s">
        <v>315</v>
      </c>
    </row>
    <row r="102" spans="1:5">
      <c r="A102" s="90"/>
      <c r="B102" s="119"/>
      <c r="C102" s="26" t="s">
        <v>402</v>
      </c>
      <c r="D102" s="26" t="s">
        <v>395</v>
      </c>
      <c r="E102" s="18" t="s">
        <v>315</v>
      </c>
    </row>
    <row r="103" spans="1:5">
      <c r="A103" s="90"/>
      <c r="B103" s="119"/>
      <c r="C103" s="26" t="s">
        <v>403</v>
      </c>
      <c r="D103" s="26" t="s">
        <v>395</v>
      </c>
      <c r="E103" s="18" t="s">
        <v>315</v>
      </c>
    </row>
    <row r="104" spans="1:5">
      <c r="A104" s="85"/>
      <c r="B104" s="85" t="s">
        <v>48</v>
      </c>
      <c r="C104" s="25" t="s">
        <v>67</v>
      </c>
      <c r="D104" s="25"/>
    </row>
    <row r="105" spans="1:5">
      <c r="A105" s="86"/>
      <c r="B105" s="86"/>
      <c r="C105" s="25" t="s">
        <v>47</v>
      </c>
      <c r="D105" s="25"/>
    </row>
    <row r="106" spans="1:5">
      <c r="A106" s="86"/>
      <c r="B106" s="86"/>
      <c r="C106" s="25" t="s">
        <v>150</v>
      </c>
      <c r="D106" s="25"/>
    </row>
    <row r="107" spans="1:5">
      <c r="A107" s="86"/>
      <c r="B107" s="86"/>
      <c r="C107" s="25" t="s">
        <v>137</v>
      </c>
      <c r="D107" s="25"/>
    </row>
    <row r="108" spans="1:5">
      <c r="A108" s="86"/>
      <c r="B108" s="86"/>
      <c r="C108" s="25" t="s">
        <v>33</v>
      </c>
      <c r="D108" s="25"/>
    </row>
    <row r="109" spans="1:5">
      <c r="A109" s="86"/>
      <c r="B109" s="86"/>
      <c r="C109" s="25" t="s">
        <v>404</v>
      </c>
      <c r="D109" s="25"/>
    </row>
    <row r="110" spans="1:5">
      <c r="A110" s="87"/>
      <c r="B110" s="87"/>
      <c r="C110" s="25" t="s">
        <v>72</v>
      </c>
      <c r="D110" s="25"/>
    </row>
    <row r="111" spans="1:5">
      <c r="A111" s="90"/>
      <c r="B111" s="76" t="s">
        <v>257</v>
      </c>
      <c r="C111" s="26" t="s">
        <v>67</v>
      </c>
      <c r="D111" s="26"/>
    </row>
    <row r="112" spans="1:5">
      <c r="A112" s="90"/>
      <c r="B112" s="77"/>
      <c r="C112" s="26" t="s">
        <v>405</v>
      </c>
      <c r="D112" s="26"/>
    </row>
    <row r="113" spans="1:4">
      <c r="A113" s="90"/>
      <c r="B113" s="78"/>
      <c r="C113" s="26" t="s">
        <v>406</v>
      </c>
      <c r="D113" s="26"/>
    </row>
    <row r="114" spans="1:4">
      <c r="A114" s="103"/>
      <c r="B114" s="103" t="s">
        <v>407</v>
      </c>
      <c r="C114" s="25" t="s">
        <v>67</v>
      </c>
      <c r="D114" s="25"/>
    </row>
    <row r="115" spans="1:4">
      <c r="A115" s="103"/>
      <c r="B115" s="103"/>
      <c r="C115" s="25" t="s">
        <v>150</v>
      </c>
      <c r="D115" s="25"/>
    </row>
    <row r="116" spans="1:4">
      <c r="A116" s="103"/>
      <c r="B116" s="103"/>
      <c r="C116" s="25" t="s">
        <v>137</v>
      </c>
      <c r="D116" s="25"/>
    </row>
    <row r="117" spans="1:4">
      <c r="A117" s="103"/>
      <c r="B117" s="103"/>
      <c r="C117" s="25" t="s">
        <v>404</v>
      </c>
      <c r="D117" s="25"/>
    </row>
    <row r="118" spans="1:4">
      <c r="A118" s="89"/>
      <c r="B118" s="104" t="s">
        <v>233</v>
      </c>
      <c r="C118" s="26" t="s">
        <v>67</v>
      </c>
      <c r="D118" s="26"/>
    </row>
    <row r="119" spans="1:4">
      <c r="A119" s="129"/>
      <c r="B119" s="128"/>
      <c r="C119" s="26" t="s">
        <v>408</v>
      </c>
      <c r="D119" s="26"/>
    </row>
    <row r="120" spans="1:4">
      <c r="A120" s="129"/>
      <c r="B120" s="128"/>
      <c r="C120" s="26" t="s">
        <v>137</v>
      </c>
      <c r="D120" s="26"/>
    </row>
    <row r="121" spans="1:4">
      <c r="A121" s="129"/>
      <c r="B121" s="128"/>
      <c r="C121" s="26" t="s">
        <v>33</v>
      </c>
      <c r="D121" s="26"/>
    </row>
    <row r="122" spans="1:4">
      <c r="A122" s="129"/>
      <c r="B122" s="128"/>
      <c r="C122" s="26" t="s">
        <v>150</v>
      </c>
      <c r="D122" s="26"/>
    </row>
    <row r="123" spans="1:4">
      <c r="A123" s="129"/>
      <c r="B123" s="128"/>
      <c r="C123" s="26" t="s">
        <v>409</v>
      </c>
      <c r="D123" s="26"/>
    </row>
    <row r="124" spans="1:4">
      <c r="A124" s="129"/>
      <c r="B124" s="128"/>
      <c r="C124" s="26" t="s">
        <v>410</v>
      </c>
      <c r="D124" s="26"/>
    </row>
    <row r="125" spans="1:4">
      <c r="A125" s="129"/>
      <c r="B125" s="128"/>
      <c r="C125" s="26" t="s">
        <v>404</v>
      </c>
      <c r="D125" s="26"/>
    </row>
    <row r="126" spans="1:4">
      <c r="A126" s="90"/>
      <c r="B126" s="105"/>
      <c r="C126" s="26" t="s">
        <v>72</v>
      </c>
      <c r="D126" s="26"/>
    </row>
    <row r="127" spans="1:4">
      <c r="A127" s="85"/>
      <c r="B127" s="85" t="s">
        <v>49</v>
      </c>
      <c r="C127" s="25" t="s">
        <v>70</v>
      </c>
      <c r="D127" s="25"/>
    </row>
    <row r="128" spans="1:4">
      <c r="A128" s="86"/>
      <c r="B128" s="86"/>
      <c r="C128" s="25" t="s">
        <v>411</v>
      </c>
      <c r="D128" s="25"/>
    </row>
    <row r="129" spans="1:5">
      <c r="A129" s="86"/>
      <c r="B129" s="86"/>
      <c r="C129" s="25" t="s">
        <v>412</v>
      </c>
      <c r="D129" s="25"/>
    </row>
    <row r="130" spans="1:5">
      <c r="A130" s="86"/>
      <c r="B130" s="86"/>
      <c r="C130" s="25" t="s">
        <v>218</v>
      </c>
      <c r="D130" s="25"/>
    </row>
    <row r="131" spans="1:5">
      <c r="A131" s="86"/>
      <c r="B131" s="86"/>
      <c r="C131" s="25" t="s">
        <v>33</v>
      </c>
      <c r="D131" s="25"/>
    </row>
    <row r="132" spans="1:5">
      <c r="A132" s="90"/>
      <c r="B132" s="77" t="s">
        <v>413</v>
      </c>
      <c r="C132" s="26" t="s">
        <v>70</v>
      </c>
      <c r="D132" s="26"/>
    </row>
    <row r="133" spans="1:5">
      <c r="A133" s="90"/>
      <c r="B133" s="77"/>
      <c r="C133" s="26" t="s">
        <v>33</v>
      </c>
      <c r="D133" s="26"/>
    </row>
    <row r="134" spans="1:5">
      <c r="A134" s="91"/>
      <c r="B134" s="78"/>
      <c r="C134" s="26" t="s">
        <v>72</v>
      </c>
      <c r="D134" s="26"/>
    </row>
    <row r="135" spans="1:5">
      <c r="A135" s="92"/>
      <c r="B135" s="92" t="s">
        <v>57</v>
      </c>
      <c r="C135" s="25" t="s">
        <v>414</v>
      </c>
      <c r="D135" s="25"/>
    </row>
    <row r="136" spans="1:5">
      <c r="A136" s="93"/>
      <c r="B136" s="93"/>
      <c r="C136" s="25" t="s">
        <v>415</v>
      </c>
      <c r="D136" s="25"/>
      <c r="E136" s="18" t="s">
        <v>315</v>
      </c>
    </row>
    <row r="137" spans="1:5">
      <c r="A137" s="93"/>
      <c r="B137" s="93"/>
      <c r="C137" s="25" t="s">
        <v>416</v>
      </c>
      <c r="D137" s="25" t="s">
        <v>417</v>
      </c>
    </row>
    <row r="138" spans="1:5">
      <c r="A138" s="93"/>
      <c r="B138" s="93"/>
      <c r="C138" s="25" t="s">
        <v>418</v>
      </c>
      <c r="D138" s="25" t="s">
        <v>419</v>
      </c>
    </row>
    <row r="139" spans="1:5">
      <c r="A139" s="93"/>
      <c r="B139" s="93"/>
      <c r="C139" s="25" t="s">
        <v>420</v>
      </c>
      <c r="D139" s="25"/>
    </row>
    <row r="140" spans="1:5">
      <c r="A140" s="93"/>
      <c r="B140" s="93"/>
      <c r="C140" s="25" t="s">
        <v>421</v>
      </c>
      <c r="D140" s="25"/>
    </row>
    <row r="141" spans="1:5">
      <c r="A141" s="93"/>
      <c r="B141" s="93"/>
      <c r="C141" s="25" t="s">
        <v>422</v>
      </c>
      <c r="D141" s="25"/>
    </row>
    <row r="142" spans="1:5">
      <c r="A142" s="93"/>
      <c r="B142" s="93"/>
      <c r="C142" s="25" t="s">
        <v>423</v>
      </c>
      <c r="D142" s="25"/>
    </row>
    <row r="143" spans="1:5">
      <c r="A143" s="93"/>
      <c r="B143" s="93"/>
      <c r="C143" s="25" t="s">
        <v>424</v>
      </c>
      <c r="D143" s="25"/>
    </row>
    <row r="144" spans="1:5">
      <c r="A144" s="93"/>
      <c r="B144" s="93"/>
      <c r="C144" s="25" t="s">
        <v>425</v>
      </c>
      <c r="D144" s="25"/>
    </row>
    <row r="145" spans="1:4">
      <c r="A145" s="93"/>
      <c r="B145" s="93"/>
      <c r="C145" s="25" t="s">
        <v>72</v>
      </c>
      <c r="D145" s="25"/>
    </row>
    <row r="146" spans="1:4">
      <c r="A146" s="89"/>
      <c r="B146" s="82" t="s">
        <v>426</v>
      </c>
      <c r="C146" s="26" t="s">
        <v>102</v>
      </c>
      <c r="D146" s="26"/>
    </row>
    <row r="147" spans="1:4">
      <c r="A147" s="91"/>
      <c r="B147" s="84"/>
      <c r="C147" s="26" t="s">
        <v>74</v>
      </c>
      <c r="D147" s="26"/>
    </row>
    <row r="148" spans="1:4">
      <c r="A148" s="71"/>
      <c r="B148" s="127" t="s">
        <v>8</v>
      </c>
      <c r="C148" s="25" t="s">
        <v>31</v>
      </c>
      <c r="D148" s="25" t="s">
        <v>427</v>
      </c>
    </row>
    <row r="149" spans="1:4">
      <c r="A149" s="72"/>
      <c r="B149" s="72"/>
      <c r="C149" s="25" t="s">
        <v>428</v>
      </c>
      <c r="D149" s="25" t="s">
        <v>429</v>
      </c>
    </row>
    <row r="150" spans="1:4">
      <c r="A150" s="72"/>
      <c r="B150" s="72"/>
      <c r="C150" s="25" t="s">
        <v>430</v>
      </c>
      <c r="D150" s="25" t="s">
        <v>431</v>
      </c>
    </row>
    <row r="151" spans="1:4">
      <c r="A151" s="72"/>
      <c r="B151" s="72"/>
      <c r="C151" s="25" t="s">
        <v>432</v>
      </c>
      <c r="D151" s="25" t="s">
        <v>433</v>
      </c>
    </row>
    <row r="152" spans="1:4">
      <c r="A152" s="72"/>
      <c r="B152" s="72"/>
      <c r="C152" s="25" t="s">
        <v>434</v>
      </c>
      <c r="D152" s="25" t="s">
        <v>435</v>
      </c>
    </row>
    <row r="153" spans="1:4">
      <c r="A153" s="72"/>
      <c r="B153" s="72"/>
      <c r="C153" s="25" t="s">
        <v>436</v>
      </c>
      <c r="D153" s="25" t="s">
        <v>437</v>
      </c>
    </row>
    <row r="154" spans="1:4">
      <c r="A154" s="72"/>
      <c r="B154" s="72"/>
      <c r="C154" s="25" t="s">
        <v>438</v>
      </c>
      <c r="D154" s="25" t="s">
        <v>439</v>
      </c>
    </row>
    <row r="155" spans="1:4">
      <c r="A155" s="72"/>
      <c r="B155" s="72"/>
      <c r="C155" s="25" t="s">
        <v>440</v>
      </c>
      <c r="D155" s="25" t="s">
        <v>441</v>
      </c>
    </row>
    <row r="156" spans="1:4">
      <c r="A156" s="72"/>
      <c r="B156" s="72"/>
      <c r="C156" s="25" t="s">
        <v>442</v>
      </c>
      <c r="D156" s="25" t="s">
        <v>443</v>
      </c>
    </row>
    <row r="157" spans="1:4">
      <c r="A157" s="72"/>
      <c r="B157" s="72"/>
      <c r="C157" s="25" t="s">
        <v>444</v>
      </c>
      <c r="D157" s="25" t="s">
        <v>445</v>
      </c>
    </row>
    <row r="158" spans="1:4">
      <c r="A158" s="72"/>
      <c r="B158" s="72"/>
      <c r="C158" s="25" t="s">
        <v>446</v>
      </c>
      <c r="D158" s="25" t="s">
        <v>447</v>
      </c>
    </row>
    <row r="159" spans="1:4">
      <c r="A159" s="72"/>
      <c r="B159" s="72"/>
      <c r="C159" s="25" t="s">
        <v>448</v>
      </c>
      <c r="D159" s="25" t="s">
        <v>449</v>
      </c>
    </row>
    <row r="160" spans="1:4">
      <c r="A160" s="72"/>
      <c r="B160" s="72"/>
      <c r="C160" s="25" t="s">
        <v>450</v>
      </c>
      <c r="D160" s="25" t="s">
        <v>451</v>
      </c>
    </row>
    <row r="161" spans="1:4">
      <c r="A161" s="72"/>
      <c r="B161" s="72"/>
      <c r="C161" s="25" t="s">
        <v>452</v>
      </c>
      <c r="D161" s="25" t="s">
        <v>453</v>
      </c>
    </row>
    <row r="162" spans="1:4">
      <c r="A162" s="72"/>
      <c r="B162" s="72"/>
      <c r="C162" s="25" t="s">
        <v>454</v>
      </c>
      <c r="D162" s="25" t="s">
        <v>455</v>
      </c>
    </row>
    <row r="163" spans="1:4">
      <c r="A163" s="72"/>
      <c r="B163" s="72"/>
      <c r="C163" s="25" t="s">
        <v>456</v>
      </c>
      <c r="D163" s="25" t="s">
        <v>457</v>
      </c>
    </row>
    <row r="164" spans="1:4">
      <c r="A164" s="72"/>
      <c r="B164" s="72"/>
      <c r="C164" s="25" t="s">
        <v>458</v>
      </c>
      <c r="D164" s="25" t="s">
        <v>459</v>
      </c>
    </row>
    <row r="165" spans="1:4">
      <c r="A165" s="72"/>
      <c r="B165" s="72"/>
      <c r="C165" s="25" t="s">
        <v>460</v>
      </c>
      <c r="D165" s="25" t="s">
        <v>461</v>
      </c>
    </row>
    <row r="166" spans="1:4">
      <c r="A166" s="72"/>
      <c r="B166" s="72"/>
      <c r="C166" s="25" t="s">
        <v>462</v>
      </c>
      <c r="D166" s="25" t="s">
        <v>463</v>
      </c>
    </row>
    <row r="167" spans="1:4">
      <c r="A167" s="72"/>
      <c r="B167" s="72"/>
      <c r="C167" s="25" t="s">
        <v>464</v>
      </c>
      <c r="D167" s="25" t="s">
        <v>465</v>
      </c>
    </row>
    <row r="168" spans="1:4">
      <c r="A168" s="72"/>
      <c r="B168" s="72"/>
      <c r="C168" s="25" t="s">
        <v>466</v>
      </c>
      <c r="D168" s="25" t="s">
        <v>467</v>
      </c>
    </row>
    <row r="169" spans="1:4">
      <c r="A169" s="72"/>
      <c r="B169" s="72"/>
      <c r="C169" s="25" t="s">
        <v>468</v>
      </c>
      <c r="D169" s="25" t="s">
        <v>469</v>
      </c>
    </row>
    <row r="170" spans="1:4">
      <c r="A170" s="72"/>
      <c r="B170" s="72"/>
      <c r="C170" s="25" t="s">
        <v>470</v>
      </c>
      <c r="D170" s="25" t="s">
        <v>471</v>
      </c>
    </row>
    <row r="171" spans="1:4">
      <c r="A171" s="72"/>
      <c r="B171" s="72"/>
      <c r="C171" s="25" t="s">
        <v>472</v>
      </c>
      <c r="D171" s="25" t="s">
        <v>473</v>
      </c>
    </row>
    <row r="172" spans="1:4">
      <c r="A172" s="72"/>
      <c r="B172" s="72"/>
      <c r="C172" s="25" t="s">
        <v>474</v>
      </c>
      <c r="D172" s="25" t="s">
        <v>475</v>
      </c>
    </row>
    <row r="173" spans="1:4">
      <c r="A173" s="72"/>
      <c r="B173" s="72"/>
      <c r="C173" s="25" t="s">
        <v>476</v>
      </c>
      <c r="D173" s="25" t="s">
        <v>477</v>
      </c>
    </row>
    <row r="174" spans="1:4">
      <c r="A174" s="72"/>
      <c r="B174" s="72"/>
      <c r="C174" s="25" t="s">
        <v>478</v>
      </c>
      <c r="D174" s="25" t="s">
        <v>479</v>
      </c>
    </row>
    <row r="175" spans="1:4">
      <c r="A175" s="72"/>
      <c r="B175" s="72"/>
      <c r="C175" s="25" t="s">
        <v>480</v>
      </c>
      <c r="D175" s="25" t="s">
        <v>481</v>
      </c>
    </row>
    <row r="176" spans="1:4">
      <c r="A176" s="72"/>
      <c r="B176" s="72"/>
      <c r="C176" s="25" t="s">
        <v>482</v>
      </c>
      <c r="D176" s="25" t="s">
        <v>483</v>
      </c>
    </row>
    <row r="177" spans="1:5">
      <c r="A177" s="72"/>
      <c r="B177" s="72"/>
      <c r="C177" s="25" t="s">
        <v>484</v>
      </c>
      <c r="D177" s="25" t="s">
        <v>485</v>
      </c>
    </row>
    <row r="178" spans="1:5">
      <c r="A178" s="72"/>
      <c r="B178" s="72"/>
      <c r="C178" s="25" t="s">
        <v>486</v>
      </c>
      <c r="D178" s="25" t="s">
        <v>487</v>
      </c>
    </row>
    <row r="179" spans="1:5">
      <c r="A179" s="72"/>
      <c r="B179" s="72"/>
      <c r="C179" s="25" t="s">
        <v>488</v>
      </c>
      <c r="D179" s="25" t="s">
        <v>489</v>
      </c>
    </row>
    <row r="180" spans="1:5">
      <c r="A180" s="72"/>
      <c r="B180" s="72"/>
      <c r="C180" s="25" t="s">
        <v>490</v>
      </c>
      <c r="D180" s="25" t="s">
        <v>491</v>
      </c>
      <c r="E180" s="18" t="s">
        <v>315</v>
      </c>
    </row>
    <row r="181" spans="1:5">
      <c r="A181" s="72"/>
      <c r="B181" s="72"/>
      <c r="C181" s="25" t="s">
        <v>72</v>
      </c>
      <c r="D181" s="25" t="s">
        <v>72</v>
      </c>
    </row>
    <row r="182" spans="1:5">
      <c r="A182" s="89"/>
      <c r="B182" s="82" t="s">
        <v>492</v>
      </c>
      <c r="C182" s="63" t="s">
        <v>493</v>
      </c>
      <c r="D182" s="63"/>
    </row>
    <row r="183" spans="1:5">
      <c r="A183" s="90"/>
      <c r="B183" s="83"/>
      <c r="C183" s="63" t="s">
        <v>494</v>
      </c>
      <c r="D183" s="63"/>
    </row>
    <row r="184" spans="1:5">
      <c r="A184" s="90"/>
      <c r="B184" s="83"/>
      <c r="C184" s="63" t="s">
        <v>495</v>
      </c>
      <c r="D184" s="63"/>
    </row>
    <row r="185" spans="1:5">
      <c r="A185" s="91"/>
      <c r="B185" s="84"/>
      <c r="C185" s="65" t="s">
        <v>99</v>
      </c>
      <c r="D185" s="65"/>
    </row>
    <row r="186" spans="1:5">
      <c r="A186" s="85"/>
      <c r="B186" s="85" t="s">
        <v>54</v>
      </c>
      <c r="C186" s="62" t="s">
        <v>113</v>
      </c>
      <c r="D186" s="62"/>
    </row>
    <row r="187" spans="1:5">
      <c r="A187" s="86"/>
      <c r="B187" s="86"/>
      <c r="C187" s="62" t="s">
        <v>101</v>
      </c>
      <c r="D187" s="62"/>
    </row>
    <row r="188" spans="1:5">
      <c r="A188" s="89"/>
      <c r="B188" s="82" t="s">
        <v>10</v>
      </c>
      <c r="C188" s="65" t="s">
        <v>496</v>
      </c>
      <c r="D188" s="65" t="s">
        <v>497</v>
      </c>
    </row>
    <row r="189" spans="1:5">
      <c r="A189" s="90"/>
      <c r="B189" s="83"/>
      <c r="C189" s="65" t="s">
        <v>498</v>
      </c>
      <c r="D189" s="65" t="s">
        <v>499</v>
      </c>
    </row>
    <row r="190" spans="1:5">
      <c r="A190" s="90"/>
      <c r="B190" s="83"/>
      <c r="C190" s="65" t="s">
        <v>33</v>
      </c>
      <c r="D190" s="65" t="s">
        <v>33</v>
      </c>
    </row>
    <row r="191" spans="1:5">
      <c r="A191" s="90"/>
      <c r="B191" s="83"/>
      <c r="C191" s="65" t="s">
        <v>500</v>
      </c>
      <c r="D191" s="65" t="s">
        <v>501</v>
      </c>
    </row>
    <row r="192" spans="1:5">
      <c r="A192" s="90"/>
      <c r="B192" s="83"/>
      <c r="C192" s="65" t="s">
        <v>502</v>
      </c>
      <c r="D192" s="65" t="s">
        <v>503</v>
      </c>
    </row>
    <row r="193" spans="1:4">
      <c r="A193" s="90"/>
      <c r="B193" s="83"/>
      <c r="C193" s="65" t="s">
        <v>504</v>
      </c>
      <c r="D193" s="65" t="s">
        <v>505</v>
      </c>
    </row>
    <row r="194" spans="1:4">
      <c r="A194" s="90"/>
      <c r="B194" s="83"/>
      <c r="C194" s="65" t="s">
        <v>506</v>
      </c>
      <c r="D194" s="65" t="s">
        <v>507</v>
      </c>
    </row>
    <row r="195" spans="1:4">
      <c r="A195" s="90"/>
      <c r="B195" s="83"/>
      <c r="C195" s="65" t="s">
        <v>508</v>
      </c>
      <c r="D195" s="65" t="s">
        <v>509</v>
      </c>
    </row>
    <row r="196" spans="1:4">
      <c r="A196" s="90"/>
      <c r="B196" s="83"/>
      <c r="C196" s="65" t="s">
        <v>510</v>
      </c>
      <c r="D196" s="65" t="s">
        <v>511</v>
      </c>
    </row>
    <row r="197" spans="1:4">
      <c r="A197" s="90"/>
      <c r="B197" s="83"/>
      <c r="C197" s="65" t="s">
        <v>512</v>
      </c>
      <c r="D197" s="65" t="s">
        <v>513</v>
      </c>
    </row>
    <row r="198" spans="1:4">
      <c r="A198" s="90"/>
      <c r="B198" s="83"/>
      <c r="C198" s="65" t="s">
        <v>514</v>
      </c>
      <c r="D198" s="65" t="s">
        <v>515</v>
      </c>
    </row>
    <row r="199" spans="1:4">
      <c r="A199" s="90"/>
      <c r="B199" s="83"/>
      <c r="C199" s="65" t="s">
        <v>516</v>
      </c>
      <c r="D199" s="65" t="s">
        <v>517</v>
      </c>
    </row>
    <row r="200" spans="1:4">
      <c r="A200" s="90"/>
      <c r="B200" s="83"/>
      <c r="C200" s="65" t="s">
        <v>72</v>
      </c>
      <c r="D200" s="65" t="s">
        <v>72</v>
      </c>
    </row>
    <row r="201" spans="1:4">
      <c r="A201" s="91"/>
      <c r="B201" s="84"/>
      <c r="C201" s="65" t="s">
        <v>99</v>
      </c>
      <c r="D201" s="65" t="s">
        <v>518</v>
      </c>
    </row>
    <row r="202" spans="1:4">
      <c r="A202" s="127"/>
      <c r="B202" s="127" t="s">
        <v>50</v>
      </c>
      <c r="C202" s="25" t="s">
        <v>519</v>
      </c>
      <c r="D202" s="25"/>
    </row>
    <row r="203" spans="1:4">
      <c r="A203" s="72"/>
      <c r="B203" s="72"/>
      <c r="C203" s="25" t="s">
        <v>520</v>
      </c>
      <c r="D203" s="25"/>
    </row>
    <row r="204" spans="1:4">
      <c r="A204" s="72"/>
      <c r="B204" s="72"/>
      <c r="C204" s="25" t="s">
        <v>521</v>
      </c>
      <c r="D204" s="25"/>
    </row>
    <row r="205" spans="1:4">
      <c r="A205" s="72"/>
      <c r="B205" s="72"/>
      <c r="C205" s="25" t="s">
        <v>522</v>
      </c>
      <c r="D205" s="25"/>
    </row>
    <row r="206" spans="1:4">
      <c r="A206" s="72"/>
      <c r="B206" s="72"/>
      <c r="C206" s="25" t="s">
        <v>523</v>
      </c>
      <c r="D206" s="25"/>
    </row>
    <row r="207" spans="1:4">
      <c r="A207" s="72"/>
      <c r="B207" s="72"/>
      <c r="C207" s="25" t="s">
        <v>524</v>
      </c>
      <c r="D207" s="25"/>
    </row>
    <row r="208" spans="1:4">
      <c r="A208" s="72"/>
      <c r="B208" s="72"/>
      <c r="C208" s="25" t="s">
        <v>525</v>
      </c>
      <c r="D208" s="25"/>
    </row>
    <row r="209" spans="1:5">
      <c r="A209" s="72"/>
      <c r="B209" s="72"/>
      <c r="C209" s="25" t="s">
        <v>526</v>
      </c>
      <c r="D209" s="25"/>
    </row>
    <row r="210" spans="1:5">
      <c r="A210" s="72"/>
      <c r="B210" s="72"/>
      <c r="C210" s="25" t="s">
        <v>527</v>
      </c>
      <c r="D210" s="25"/>
    </row>
    <row r="211" spans="1:5">
      <c r="A211" s="72"/>
      <c r="B211" s="72"/>
      <c r="C211" s="25" t="s">
        <v>528</v>
      </c>
      <c r="D211" s="25"/>
    </row>
    <row r="212" spans="1:5">
      <c r="A212" s="72"/>
      <c r="B212" s="72"/>
      <c r="C212" s="25" t="s">
        <v>529</v>
      </c>
      <c r="D212" s="25"/>
    </row>
    <row r="213" spans="1:5">
      <c r="A213" s="72"/>
      <c r="B213" s="72"/>
      <c r="C213" s="25" t="s">
        <v>530</v>
      </c>
      <c r="D213" s="25"/>
    </row>
    <row r="214" spans="1:5">
      <c r="A214" s="72"/>
      <c r="B214" s="72"/>
      <c r="C214" s="25" t="s">
        <v>531</v>
      </c>
      <c r="D214" s="25"/>
    </row>
    <row r="215" spans="1:5">
      <c r="A215" s="72"/>
      <c r="B215" s="72"/>
      <c r="C215" s="25" t="s">
        <v>532</v>
      </c>
      <c r="D215" s="25"/>
    </row>
    <row r="216" spans="1:5">
      <c r="A216" s="72"/>
      <c r="B216" s="72"/>
      <c r="C216" s="25" t="s">
        <v>533</v>
      </c>
      <c r="D216" s="25"/>
    </row>
    <row r="217" spans="1:5">
      <c r="A217" s="72"/>
      <c r="B217" s="72"/>
      <c r="C217" s="25" t="s">
        <v>534</v>
      </c>
      <c r="D217" s="25"/>
    </row>
    <row r="218" spans="1:5">
      <c r="A218" s="72"/>
      <c r="B218" s="72"/>
      <c r="C218" s="25" t="s">
        <v>535</v>
      </c>
      <c r="D218" s="25" t="s">
        <v>536</v>
      </c>
      <c r="E218" s="18" t="s">
        <v>315</v>
      </c>
    </row>
    <row r="219" spans="1:5">
      <c r="A219" s="72"/>
      <c r="B219" s="72"/>
      <c r="C219" s="25" t="s">
        <v>123</v>
      </c>
      <c r="D219" s="25"/>
    </row>
    <row r="220" spans="1:5">
      <c r="A220" s="72"/>
      <c r="B220" s="72"/>
      <c r="C220" s="25" t="s">
        <v>537</v>
      </c>
      <c r="D220" s="25"/>
    </row>
    <row r="221" spans="1:5">
      <c r="A221" s="72"/>
      <c r="B221" s="72"/>
      <c r="C221" s="25" t="s">
        <v>97</v>
      </c>
      <c r="D221" s="25"/>
    </row>
    <row r="222" spans="1:5">
      <c r="A222" s="72"/>
      <c r="B222" s="72"/>
      <c r="C222" s="25" t="s">
        <v>538</v>
      </c>
      <c r="D222" s="25"/>
    </row>
    <row r="223" spans="1:5">
      <c r="A223" s="72"/>
      <c r="B223" s="72"/>
      <c r="C223" s="25" t="s">
        <v>539</v>
      </c>
      <c r="D223" s="25"/>
    </row>
    <row r="224" spans="1:5">
      <c r="A224" s="72"/>
      <c r="B224" s="72"/>
      <c r="C224" s="25" t="s">
        <v>540</v>
      </c>
      <c r="D224" s="25"/>
    </row>
    <row r="225" spans="1:4">
      <c r="A225" s="72"/>
      <c r="B225" s="72"/>
      <c r="C225" s="25" t="s">
        <v>541</v>
      </c>
      <c r="D225" s="25"/>
    </row>
    <row r="226" spans="1:4">
      <c r="A226" s="72"/>
      <c r="B226" s="72"/>
      <c r="C226" s="25" t="s">
        <v>542</v>
      </c>
      <c r="D226" s="25"/>
    </row>
    <row r="227" spans="1:4">
      <c r="A227" s="72"/>
      <c r="B227" s="72"/>
      <c r="C227" s="25" t="s">
        <v>543</v>
      </c>
      <c r="D227" s="25"/>
    </row>
    <row r="228" spans="1:4">
      <c r="A228" s="72"/>
      <c r="B228" s="72"/>
      <c r="C228" s="25" t="s">
        <v>111</v>
      </c>
      <c r="D228" s="25"/>
    </row>
    <row r="229" spans="1:4">
      <c r="A229" s="72"/>
      <c r="B229" s="72"/>
      <c r="C229" s="25" t="s">
        <v>544</v>
      </c>
      <c r="D229" s="25"/>
    </row>
    <row r="230" spans="1:4">
      <c r="A230" s="72"/>
      <c r="B230" s="72"/>
      <c r="C230" s="25" t="s">
        <v>545</v>
      </c>
      <c r="D230" s="25"/>
    </row>
    <row r="231" spans="1:4">
      <c r="A231" s="72"/>
      <c r="B231" s="72"/>
      <c r="C231" s="25" t="s">
        <v>546</v>
      </c>
      <c r="D231" s="25"/>
    </row>
    <row r="232" spans="1:4">
      <c r="A232" s="72"/>
      <c r="B232" s="72"/>
      <c r="C232" s="25" t="s">
        <v>547</v>
      </c>
      <c r="D232" s="25"/>
    </row>
    <row r="233" spans="1:4">
      <c r="A233" s="72"/>
      <c r="B233" s="72"/>
      <c r="C233" s="25" t="s">
        <v>548</v>
      </c>
      <c r="D233" s="25"/>
    </row>
    <row r="234" spans="1:4">
      <c r="A234" s="72"/>
      <c r="B234" s="72"/>
      <c r="C234" s="25" t="s">
        <v>549</v>
      </c>
      <c r="D234" s="25"/>
    </row>
    <row r="235" spans="1:4">
      <c r="A235" s="72"/>
      <c r="B235" s="72"/>
      <c r="C235" s="25" t="s">
        <v>550</v>
      </c>
      <c r="D235" s="25"/>
    </row>
    <row r="236" spans="1:4">
      <c r="A236" s="72"/>
      <c r="B236" s="72"/>
      <c r="C236" s="25" t="s">
        <v>551</v>
      </c>
      <c r="D236" s="25"/>
    </row>
    <row r="237" spans="1:4">
      <c r="A237" s="72"/>
      <c r="B237" s="72"/>
      <c r="C237" s="25" t="s">
        <v>552</v>
      </c>
      <c r="D237" s="25"/>
    </row>
    <row r="238" spans="1:4">
      <c r="A238" s="72"/>
      <c r="B238" s="72"/>
      <c r="C238" s="25" t="s">
        <v>553</v>
      </c>
      <c r="D238" s="25"/>
    </row>
    <row r="239" spans="1:4">
      <c r="A239" s="72"/>
      <c r="B239" s="72"/>
      <c r="C239" s="25" t="s">
        <v>554</v>
      </c>
      <c r="D239" s="25"/>
    </row>
    <row r="240" spans="1:4">
      <c r="A240" s="72"/>
      <c r="B240" s="72"/>
      <c r="C240" s="25" t="s">
        <v>555</v>
      </c>
      <c r="D240" s="25"/>
    </row>
    <row r="241" spans="1:4">
      <c r="A241" s="72"/>
      <c r="B241" s="72"/>
      <c r="C241" s="25" t="s">
        <v>556</v>
      </c>
      <c r="D241" s="25"/>
    </row>
    <row r="242" spans="1:4">
      <c r="A242" s="72"/>
      <c r="B242" s="72"/>
      <c r="C242" s="25" t="s">
        <v>557</v>
      </c>
      <c r="D242" s="25"/>
    </row>
    <row r="243" spans="1:4">
      <c r="A243" s="72"/>
      <c r="B243" s="72"/>
      <c r="C243" s="25" t="s">
        <v>558</v>
      </c>
      <c r="D243" s="25"/>
    </row>
    <row r="244" spans="1:4">
      <c r="A244" s="72"/>
      <c r="B244" s="72"/>
      <c r="C244" s="25" t="s">
        <v>559</v>
      </c>
      <c r="D244" s="25"/>
    </row>
    <row r="245" spans="1:4">
      <c r="A245" s="72"/>
      <c r="B245" s="72"/>
      <c r="C245" s="25" t="s">
        <v>560</v>
      </c>
      <c r="D245" s="25"/>
    </row>
    <row r="246" spans="1:4">
      <c r="A246" s="72"/>
      <c r="B246" s="72"/>
      <c r="C246" s="25" t="s">
        <v>561</v>
      </c>
      <c r="D246" s="25"/>
    </row>
    <row r="247" spans="1:4">
      <c r="A247" s="72"/>
      <c r="B247" s="72"/>
      <c r="C247" s="25" t="s">
        <v>562</v>
      </c>
      <c r="D247" s="25"/>
    </row>
    <row r="248" spans="1:4">
      <c r="A248" s="72"/>
      <c r="B248" s="72"/>
      <c r="C248" s="25" t="s">
        <v>563</v>
      </c>
      <c r="D248" s="25"/>
    </row>
    <row r="249" spans="1:4">
      <c r="A249" s="72"/>
      <c r="B249" s="72"/>
      <c r="C249" s="25" t="s">
        <v>564</v>
      </c>
      <c r="D249" s="25"/>
    </row>
    <row r="250" spans="1:4">
      <c r="A250" s="72"/>
      <c r="B250" s="72"/>
      <c r="C250" s="25" t="s">
        <v>565</v>
      </c>
      <c r="D250" s="25"/>
    </row>
    <row r="251" spans="1:4">
      <c r="A251" s="72"/>
      <c r="B251" s="72"/>
      <c r="C251" s="25" t="s">
        <v>566</v>
      </c>
      <c r="D251" s="25"/>
    </row>
    <row r="252" spans="1:4">
      <c r="A252" s="72"/>
      <c r="B252" s="72"/>
      <c r="C252" s="25" t="s">
        <v>72</v>
      </c>
      <c r="D252" s="25"/>
    </row>
    <row r="253" spans="1:4">
      <c r="A253" s="72"/>
      <c r="B253" s="72"/>
      <c r="C253" s="25" t="s">
        <v>567</v>
      </c>
      <c r="D253" s="25"/>
    </row>
    <row r="254" spans="1:4">
      <c r="A254" s="72"/>
      <c r="B254" s="72"/>
      <c r="C254" s="25" t="s">
        <v>568</v>
      </c>
      <c r="D254" s="25"/>
    </row>
    <row r="255" spans="1:4">
      <c r="A255" s="72"/>
      <c r="B255" s="72"/>
      <c r="C255" s="25" t="s">
        <v>569</v>
      </c>
      <c r="D255" s="25"/>
    </row>
    <row r="256" spans="1:4">
      <c r="A256" s="72"/>
      <c r="B256" s="72"/>
      <c r="C256" s="25" t="s">
        <v>570</v>
      </c>
      <c r="D256" s="25"/>
    </row>
    <row r="257" spans="1:5">
      <c r="A257" s="72"/>
      <c r="B257" s="72"/>
      <c r="C257" s="25" t="s">
        <v>571</v>
      </c>
      <c r="D257" s="25"/>
    </row>
    <row r="258" spans="1:5">
      <c r="A258" s="72"/>
      <c r="B258" s="72"/>
      <c r="C258" s="25" t="s">
        <v>572</v>
      </c>
      <c r="D258" s="25"/>
    </row>
    <row r="259" spans="1:5">
      <c r="A259" s="72"/>
      <c r="B259" s="72"/>
      <c r="C259" s="25" t="s">
        <v>573</v>
      </c>
      <c r="D259" s="25"/>
    </row>
    <row r="260" spans="1:5">
      <c r="A260" s="72"/>
      <c r="B260" s="72"/>
      <c r="C260" s="25" t="s">
        <v>574</v>
      </c>
      <c r="D260" s="25"/>
    </row>
    <row r="261" spans="1:5">
      <c r="A261" s="72"/>
      <c r="B261" s="72"/>
      <c r="C261" s="25" t="s">
        <v>575</v>
      </c>
      <c r="D261" s="25"/>
    </row>
    <row r="262" spans="1:5">
      <c r="A262" s="72"/>
      <c r="B262" s="72"/>
      <c r="C262" s="25" t="s">
        <v>576</v>
      </c>
      <c r="D262" s="25"/>
    </row>
    <row r="263" spans="1:5">
      <c r="A263" s="72"/>
      <c r="B263" s="72"/>
      <c r="C263" s="25" t="s">
        <v>577</v>
      </c>
      <c r="D263" s="25"/>
    </row>
    <row r="264" spans="1:5">
      <c r="A264" s="72"/>
      <c r="B264" s="72"/>
      <c r="C264" s="25" t="s">
        <v>578</v>
      </c>
      <c r="D264" s="25"/>
    </row>
    <row r="265" spans="1:5">
      <c r="A265" s="72"/>
      <c r="B265" s="72"/>
      <c r="C265" s="25" t="s">
        <v>579</v>
      </c>
      <c r="D265" s="25"/>
    </row>
    <row r="266" spans="1:5">
      <c r="A266" s="72"/>
      <c r="B266" s="72"/>
      <c r="C266" s="25" t="s">
        <v>580</v>
      </c>
      <c r="D266" s="25"/>
    </row>
    <row r="267" spans="1:5">
      <c r="A267" s="72"/>
      <c r="B267" s="72"/>
      <c r="C267" s="25" t="s">
        <v>581</v>
      </c>
      <c r="D267" s="25"/>
    </row>
    <row r="268" spans="1:5">
      <c r="A268" s="72"/>
      <c r="B268" s="72"/>
      <c r="C268" s="25" t="s">
        <v>582</v>
      </c>
      <c r="D268" s="25"/>
    </row>
    <row r="269" spans="1:5">
      <c r="A269" s="72"/>
      <c r="B269" s="72"/>
      <c r="C269" s="25" t="s">
        <v>583</v>
      </c>
      <c r="D269" s="25"/>
    </row>
    <row r="270" spans="1:5">
      <c r="A270" s="72"/>
      <c r="B270" s="72"/>
      <c r="C270" s="25" t="s">
        <v>584</v>
      </c>
      <c r="D270" s="25" t="s">
        <v>585</v>
      </c>
      <c r="E270" s="18" t="s">
        <v>315</v>
      </c>
    </row>
    <row r="271" spans="1:5">
      <c r="A271" s="72"/>
      <c r="B271" s="72"/>
      <c r="C271" s="25" t="s">
        <v>586</v>
      </c>
      <c r="D271" s="25" t="s">
        <v>587</v>
      </c>
      <c r="E271" s="18" t="s">
        <v>315</v>
      </c>
    </row>
    <row r="272" spans="1:5">
      <c r="A272" s="72"/>
      <c r="B272" s="72"/>
      <c r="C272" s="25" t="s">
        <v>588</v>
      </c>
      <c r="D272" s="25" t="s">
        <v>589</v>
      </c>
      <c r="E272" s="18" t="s">
        <v>315</v>
      </c>
    </row>
    <row r="273" spans="1:5">
      <c r="A273" s="72"/>
      <c r="B273" s="72"/>
      <c r="C273" s="25" t="s">
        <v>590</v>
      </c>
      <c r="D273" s="25"/>
    </row>
    <row r="274" spans="1:5">
      <c r="A274" s="72"/>
      <c r="B274" s="72"/>
      <c r="C274" s="25" t="s">
        <v>591</v>
      </c>
      <c r="D274" s="25" t="s">
        <v>592</v>
      </c>
      <c r="E274" s="18" t="s">
        <v>315</v>
      </c>
    </row>
    <row r="275" spans="1:5">
      <c r="A275" s="72"/>
      <c r="B275" s="72"/>
      <c r="C275" s="25" t="s">
        <v>593</v>
      </c>
      <c r="D275" s="25"/>
    </row>
    <row r="276" spans="1:5">
      <c r="A276" s="72"/>
      <c r="B276" s="72"/>
      <c r="C276" s="25" t="s">
        <v>594</v>
      </c>
      <c r="D276" s="25"/>
    </row>
    <row r="277" spans="1:5">
      <c r="A277" s="72"/>
      <c r="B277" s="72"/>
      <c r="C277" s="25" t="s">
        <v>595</v>
      </c>
      <c r="D277" s="25"/>
    </row>
    <row r="278" spans="1:5">
      <c r="A278" s="72"/>
      <c r="B278" s="72"/>
      <c r="C278" s="25" t="s">
        <v>596</v>
      </c>
      <c r="D278" s="25"/>
    </row>
    <row r="279" spans="1:5">
      <c r="A279" s="72"/>
      <c r="B279" s="72"/>
      <c r="C279" s="25" t="s">
        <v>597</v>
      </c>
      <c r="D279" s="25"/>
    </row>
    <row r="280" spans="1:5">
      <c r="A280" s="72"/>
      <c r="B280" s="72"/>
      <c r="C280" s="25" t="s">
        <v>598</v>
      </c>
      <c r="D280" s="25"/>
    </row>
    <row r="281" spans="1:5">
      <c r="A281" s="72"/>
      <c r="B281" s="72"/>
      <c r="C281" s="25" t="s">
        <v>599</v>
      </c>
      <c r="D281" s="25"/>
    </row>
    <row r="282" spans="1:5">
      <c r="A282" s="72"/>
      <c r="B282" s="72"/>
      <c r="C282" s="25" t="s">
        <v>600</v>
      </c>
      <c r="D282" s="25" t="s">
        <v>601</v>
      </c>
      <c r="E282" s="18" t="s">
        <v>315</v>
      </c>
    </row>
    <row r="283" spans="1:5">
      <c r="A283" s="72"/>
      <c r="B283" s="72"/>
      <c r="C283" s="25" t="s">
        <v>602</v>
      </c>
      <c r="D283" s="25"/>
    </row>
    <row r="284" spans="1:5">
      <c r="A284" s="72"/>
      <c r="B284" s="72"/>
      <c r="C284" s="25" t="s">
        <v>603</v>
      </c>
      <c r="D284" s="25" t="s">
        <v>604</v>
      </c>
      <c r="E284" s="18" t="s">
        <v>315</v>
      </c>
    </row>
    <row r="285" spans="1:5">
      <c r="A285" s="72"/>
      <c r="B285" s="72"/>
      <c r="C285" s="25" t="s">
        <v>605</v>
      </c>
      <c r="D285" s="25"/>
    </row>
    <row r="286" spans="1:5">
      <c r="A286" s="72"/>
      <c r="B286" s="72"/>
      <c r="C286" s="25" t="s">
        <v>606</v>
      </c>
      <c r="D286" s="25"/>
    </row>
    <row r="287" spans="1:5">
      <c r="A287" s="72"/>
      <c r="B287" s="72"/>
      <c r="C287" s="25" t="s">
        <v>607</v>
      </c>
      <c r="D287" s="25"/>
    </row>
    <row r="288" spans="1:5">
      <c r="A288" s="72"/>
      <c r="B288" s="72"/>
      <c r="C288" s="25" t="s">
        <v>608</v>
      </c>
      <c r="D288" s="25"/>
    </row>
    <row r="289" spans="1:5">
      <c r="A289" s="72"/>
      <c r="B289" s="72"/>
      <c r="C289" s="25" t="s">
        <v>609</v>
      </c>
      <c r="D289" s="25" t="s">
        <v>610</v>
      </c>
      <c r="E289" s="18" t="s">
        <v>315</v>
      </c>
    </row>
    <row r="290" spans="1:5">
      <c r="A290" s="72"/>
      <c r="B290" s="72"/>
      <c r="C290" s="25" t="s">
        <v>611</v>
      </c>
      <c r="D290" s="25"/>
    </row>
    <row r="291" spans="1:5">
      <c r="A291" s="72"/>
      <c r="B291" s="72"/>
      <c r="C291" s="25" t="s">
        <v>612</v>
      </c>
      <c r="D291" s="25"/>
    </row>
    <row r="292" spans="1:5">
      <c r="A292" s="72"/>
      <c r="B292" s="72"/>
      <c r="C292" s="25" t="s">
        <v>613</v>
      </c>
      <c r="D292" s="25"/>
    </row>
    <row r="293" spans="1:5">
      <c r="A293" s="72"/>
      <c r="B293" s="72"/>
      <c r="C293" s="25" t="s">
        <v>614</v>
      </c>
      <c r="D293" s="25"/>
    </row>
    <row r="294" spans="1:5">
      <c r="A294" s="72"/>
      <c r="B294" s="72"/>
      <c r="C294" s="25" t="s">
        <v>615</v>
      </c>
      <c r="D294" s="25"/>
    </row>
    <row r="295" spans="1:5">
      <c r="A295" s="72"/>
      <c r="B295" s="72"/>
      <c r="C295" s="25" t="s">
        <v>616</v>
      </c>
      <c r="D295" s="25"/>
    </row>
    <row r="296" spans="1:5">
      <c r="A296" s="72"/>
      <c r="B296" s="72"/>
      <c r="C296" s="25" t="s">
        <v>617</v>
      </c>
      <c r="D296" s="25"/>
    </row>
    <row r="297" spans="1:5">
      <c r="A297" s="72"/>
      <c r="B297" s="72"/>
      <c r="C297" s="25" t="s">
        <v>618</v>
      </c>
      <c r="D297" s="25" t="s">
        <v>619</v>
      </c>
      <c r="E297" s="18" t="s">
        <v>315</v>
      </c>
    </row>
    <row r="298" spans="1:5">
      <c r="A298" s="72"/>
      <c r="B298" s="72"/>
      <c r="C298" s="25" t="s">
        <v>620</v>
      </c>
      <c r="D298" s="25"/>
    </row>
    <row r="299" spans="1:5">
      <c r="A299" s="72"/>
      <c r="B299" s="72"/>
      <c r="C299" s="25" t="s">
        <v>621</v>
      </c>
      <c r="D299" s="25"/>
    </row>
    <row r="300" spans="1:5">
      <c r="A300" s="72"/>
      <c r="B300" s="72"/>
      <c r="C300" s="25" t="s">
        <v>622</v>
      </c>
      <c r="D300" s="25"/>
      <c r="E300" s="18" t="s">
        <v>315</v>
      </c>
    </row>
    <row r="301" spans="1:5">
      <c r="A301" s="72"/>
      <c r="B301" s="72"/>
      <c r="C301" s="25" t="s">
        <v>623</v>
      </c>
      <c r="D301" s="25"/>
    </row>
    <row r="302" spans="1:5">
      <c r="A302" s="72"/>
      <c r="B302" s="72"/>
      <c r="C302" s="25" t="s">
        <v>624</v>
      </c>
      <c r="D302" s="25"/>
    </row>
    <row r="303" spans="1:5">
      <c r="A303" s="72"/>
      <c r="B303" s="72"/>
      <c r="C303" s="25" t="s">
        <v>625</v>
      </c>
      <c r="D303" s="25"/>
    </row>
    <row r="304" spans="1:5">
      <c r="A304" s="72"/>
      <c r="B304" s="72"/>
      <c r="C304" s="25" t="s">
        <v>626</v>
      </c>
      <c r="D304" s="25"/>
    </row>
    <row r="305" spans="1:5">
      <c r="A305" s="72"/>
      <c r="B305" s="72"/>
      <c r="C305" s="25" t="s">
        <v>627</v>
      </c>
      <c r="D305" s="25"/>
    </row>
    <row r="306" spans="1:5">
      <c r="A306" s="72"/>
      <c r="B306" s="72"/>
      <c r="C306" s="25" t="s">
        <v>628</v>
      </c>
      <c r="D306" s="25"/>
    </row>
    <row r="307" spans="1:5">
      <c r="A307" s="72"/>
      <c r="B307" s="72"/>
      <c r="C307" s="25" t="s">
        <v>629</v>
      </c>
      <c r="D307" s="25"/>
    </row>
    <row r="308" spans="1:5">
      <c r="A308" s="72"/>
      <c r="B308" s="72"/>
      <c r="C308" s="25" t="s">
        <v>630</v>
      </c>
      <c r="D308" s="25"/>
    </row>
    <row r="309" spans="1:5">
      <c r="A309" s="72"/>
      <c r="B309" s="72"/>
      <c r="C309" s="25" t="s">
        <v>631</v>
      </c>
      <c r="D309" s="25"/>
    </row>
    <row r="310" spans="1:5">
      <c r="A310" s="72"/>
      <c r="B310" s="72"/>
      <c r="C310" s="25" t="s">
        <v>632</v>
      </c>
      <c r="D310" s="25"/>
      <c r="E310" s="18" t="s">
        <v>315</v>
      </c>
    </row>
    <row r="311" spans="1:5">
      <c r="A311" s="72"/>
      <c r="B311" s="72"/>
      <c r="C311" s="25" t="s">
        <v>633</v>
      </c>
      <c r="D311" s="25"/>
      <c r="E311" s="18" t="s">
        <v>315</v>
      </c>
    </row>
    <row r="312" spans="1:5">
      <c r="A312" s="72"/>
      <c r="B312" s="72"/>
      <c r="C312" s="25" t="s">
        <v>634</v>
      </c>
      <c r="D312" s="25"/>
      <c r="E312" s="18" t="s">
        <v>315</v>
      </c>
    </row>
    <row r="313" spans="1:5">
      <c r="A313" s="72"/>
      <c r="B313" s="72"/>
      <c r="C313" s="25" t="s">
        <v>635</v>
      </c>
      <c r="D313" s="25"/>
    </row>
    <row r="314" spans="1:5">
      <c r="A314" s="72"/>
      <c r="B314" s="72"/>
      <c r="C314" s="25" t="s">
        <v>636</v>
      </c>
      <c r="D314" s="25"/>
    </row>
    <row r="315" spans="1:5">
      <c r="A315" s="72"/>
      <c r="B315" s="72"/>
      <c r="C315" s="25" t="s">
        <v>637</v>
      </c>
      <c r="D315" s="25"/>
    </row>
    <row r="316" spans="1:5">
      <c r="A316" s="72"/>
      <c r="B316" s="72"/>
      <c r="C316" s="25" t="s">
        <v>638</v>
      </c>
      <c r="D316" s="25"/>
    </row>
    <row r="317" spans="1:5">
      <c r="A317" s="72"/>
      <c r="B317" s="72"/>
      <c r="C317" s="25" t="s">
        <v>639</v>
      </c>
      <c r="D317" s="25"/>
    </row>
    <row r="318" spans="1:5">
      <c r="A318" s="72"/>
      <c r="B318" s="72"/>
      <c r="C318" s="25" t="s">
        <v>640</v>
      </c>
      <c r="D318" s="143" t="s">
        <v>641</v>
      </c>
      <c r="E318" s="18" t="s">
        <v>315</v>
      </c>
    </row>
    <row r="319" spans="1:5">
      <c r="A319" s="72"/>
      <c r="B319" s="72"/>
      <c r="C319" s="25" t="s">
        <v>642</v>
      </c>
      <c r="D319" s="25"/>
    </row>
    <row r="320" spans="1:5">
      <c r="A320" s="72"/>
      <c r="B320" s="72"/>
      <c r="C320" s="25" t="s">
        <v>643</v>
      </c>
      <c r="D320" s="25"/>
    </row>
    <row r="321" spans="1:5">
      <c r="A321" s="72"/>
      <c r="B321" s="72"/>
      <c r="C321" s="25" t="s">
        <v>644</v>
      </c>
      <c r="D321" s="25"/>
    </row>
    <row r="322" spans="1:5">
      <c r="A322" s="72"/>
      <c r="B322" s="72"/>
      <c r="C322" s="25" t="s">
        <v>645</v>
      </c>
      <c r="D322" s="25"/>
    </row>
    <row r="323" spans="1:5">
      <c r="A323" s="72"/>
      <c r="B323" s="72"/>
      <c r="C323" s="25" t="s">
        <v>646</v>
      </c>
      <c r="D323" s="25"/>
    </row>
    <row r="324" spans="1:5">
      <c r="A324" s="72"/>
      <c r="B324" s="72"/>
      <c r="C324" s="25" t="s">
        <v>647</v>
      </c>
      <c r="D324" s="25"/>
    </row>
    <row r="325" spans="1:5">
      <c r="A325" s="72"/>
      <c r="B325" s="72"/>
      <c r="C325" s="25" t="s">
        <v>648</v>
      </c>
      <c r="D325" s="25"/>
    </row>
    <row r="326" spans="1:5">
      <c r="A326" s="72"/>
      <c r="B326" s="72"/>
      <c r="C326" s="25" t="s">
        <v>649</v>
      </c>
      <c r="D326" s="25"/>
    </row>
    <row r="327" spans="1:5">
      <c r="A327" s="72"/>
      <c r="B327" s="72"/>
      <c r="C327" s="25" t="s">
        <v>79</v>
      </c>
      <c r="D327" s="25"/>
    </row>
    <row r="328" spans="1:5">
      <c r="A328" s="89"/>
      <c r="B328" s="79" t="s">
        <v>58</v>
      </c>
      <c r="C328" s="65" t="s">
        <v>650</v>
      </c>
      <c r="D328" s="65"/>
      <c r="E328" s="18" t="s">
        <v>315</v>
      </c>
    </row>
    <row r="329" spans="1:5">
      <c r="A329" s="90"/>
      <c r="B329" s="80"/>
      <c r="C329" s="65" t="s">
        <v>651</v>
      </c>
      <c r="D329" s="65"/>
      <c r="E329" s="18" t="s">
        <v>315</v>
      </c>
    </row>
    <row r="330" spans="1:5">
      <c r="A330" s="90"/>
      <c r="B330" s="80"/>
      <c r="C330" s="145" t="s">
        <v>652</v>
      </c>
      <c r="D330" s="65"/>
      <c r="E330" s="18" t="s">
        <v>315</v>
      </c>
    </row>
    <row r="331" spans="1:5">
      <c r="A331" s="90"/>
      <c r="B331" s="80"/>
      <c r="C331" s="144" t="s">
        <v>653</v>
      </c>
      <c r="D331" s="65"/>
      <c r="E331" s="18" t="s">
        <v>315</v>
      </c>
    </row>
    <row r="332" spans="1:5">
      <c r="A332" s="90"/>
      <c r="B332" s="80"/>
      <c r="C332" s="144" t="s">
        <v>654</v>
      </c>
      <c r="D332" s="65"/>
      <c r="E332" s="18" t="s">
        <v>315</v>
      </c>
    </row>
    <row r="333" spans="1:5">
      <c r="A333" s="90"/>
      <c r="B333" s="80"/>
      <c r="C333" s="144" t="s">
        <v>655</v>
      </c>
      <c r="D333" s="65"/>
      <c r="E333" s="18" t="s">
        <v>315</v>
      </c>
    </row>
    <row r="334" spans="1:5">
      <c r="A334" s="90"/>
      <c r="B334" s="80"/>
      <c r="C334" s="144" t="s">
        <v>656</v>
      </c>
      <c r="D334" s="65"/>
      <c r="E334" s="18" t="s">
        <v>315</v>
      </c>
    </row>
    <row r="335" spans="1:5">
      <c r="A335" s="90"/>
      <c r="B335" s="80"/>
      <c r="C335" s="65" t="s">
        <v>657</v>
      </c>
      <c r="D335" s="65"/>
      <c r="E335" s="18" t="s">
        <v>315</v>
      </c>
    </row>
    <row r="336" spans="1:5">
      <c r="A336" s="90"/>
      <c r="B336" s="80"/>
      <c r="C336" s="65" t="s">
        <v>658</v>
      </c>
      <c r="D336" s="65"/>
      <c r="E336" s="18" t="s">
        <v>315</v>
      </c>
    </row>
    <row r="337" spans="1:5">
      <c r="A337" s="90"/>
      <c r="B337" s="80"/>
      <c r="C337" s="65" t="s">
        <v>659</v>
      </c>
      <c r="D337" s="65"/>
      <c r="E337" s="18" t="s">
        <v>315</v>
      </c>
    </row>
    <row r="338" spans="1:5">
      <c r="A338" s="90"/>
      <c r="B338" s="80"/>
      <c r="C338" s="65" t="s">
        <v>660</v>
      </c>
      <c r="D338" s="65"/>
      <c r="E338" s="18" t="s">
        <v>315</v>
      </c>
    </row>
    <row r="339" spans="1:5">
      <c r="A339" s="90"/>
      <c r="B339" s="80"/>
      <c r="C339" s="65" t="s">
        <v>661</v>
      </c>
      <c r="D339" s="65"/>
      <c r="E339" s="18" t="s">
        <v>315</v>
      </c>
    </row>
    <row r="340" spans="1:5">
      <c r="A340" s="90"/>
      <c r="B340" s="80"/>
      <c r="C340" s="65" t="s">
        <v>662</v>
      </c>
      <c r="D340" s="65"/>
      <c r="E340" s="18" t="s">
        <v>315</v>
      </c>
    </row>
    <row r="341" spans="1:5">
      <c r="A341" s="90"/>
      <c r="B341" s="80"/>
      <c r="C341" s="65" t="s">
        <v>663</v>
      </c>
      <c r="D341" s="65"/>
      <c r="E341" s="18" t="s">
        <v>315</v>
      </c>
    </row>
    <row r="342" spans="1:5">
      <c r="A342" s="90"/>
      <c r="B342" s="80"/>
      <c r="C342" s="65" t="s">
        <v>664</v>
      </c>
      <c r="D342" s="65"/>
      <c r="E342" s="18" t="s">
        <v>315</v>
      </c>
    </row>
    <row r="343" spans="1:5">
      <c r="A343" s="90"/>
      <c r="B343" s="80"/>
      <c r="C343" s="65" t="s">
        <v>665</v>
      </c>
      <c r="D343" s="65"/>
      <c r="E343" s="18" t="s">
        <v>315</v>
      </c>
    </row>
    <row r="344" spans="1:5">
      <c r="A344" s="90"/>
      <c r="B344" s="80"/>
      <c r="C344" s="65" t="s">
        <v>666</v>
      </c>
      <c r="D344" s="65"/>
      <c r="E344" s="18" t="s">
        <v>315</v>
      </c>
    </row>
    <row r="345" spans="1:5">
      <c r="A345" s="90"/>
      <c r="B345" s="80"/>
      <c r="C345" s="65" t="s">
        <v>667</v>
      </c>
      <c r="D345" s="65"/>
      <c r="E345" s="18" t="s">
        <v>315</v>
      </c>
    </row>
    <row r="346" spans="1:5">
      <c r="A346" s="90"/>
      <c r="B346" s="80"/>
      <c r="C346" s="65" t="s">
        <v>668</v>
      </c>
      <c r="D346" s="65"/>
      <c r="E346" s="18" t="s">
        <v>315</v>
      </c>
    </row>
    <row r="347" spans="1:5">
      <c r="A347" s="90"/>
      <c r="B347" s="80"/>
      <c r="C347" s="65" t="s">
        <v>669</v>
      </c>
      <c r="D347" s="65"/>
      <c r="E347" s="18" t="s">
        <v>315</v>
      </c>
    </row>
    <row r="348" spans="1:5">
      <c r="A348" s="90"/>
      <c r="B348" s="80"/>
      <c r="C348" s="65" t="s">
        <v>670</v>
      </c>
      <c r="D348" s="65"/>
      <c r="E348" s="18" t="s">
        <v>315</v>
      </c>
    </row>
    <row r="349" spans="1:5">
      <c r="A349" s="90"/>
      <c r="B349" s="80"/>
      <c r="C349" s="65" t="s">
        <v>671</v>
      </c>
      <c r="D349" s="65"/>
      <c r="E349" s="18" t="s">
        <v>315</v>
      </c>
    </row>
    <row r="350" spans="1:5">
      <c r="A350" s="90"/>
      <c r="B350" s="80"/>
      <c r="C350" s="65" t="s">
        <v>672</v>
      </c>
      <c r="D350" s="65"/>
      <c r="E350" s="18" t="s">
        <v>315</v>
      </c>
    </row>
    <row r="351" spans="1:5">
      <c r="A351" s="90"/>
      <c r="B351" s="80"/>
      <c r="C351" s="65" t="s">
        <v>673</v>
      </c>
      <c r="D351" s="65"/>
      <c r="E351" s="18" t="s">
        <v>315</v>
      </c>
    </row>
    <row r="352" spans="1:5">
      <c r="A352" s="90"/>
      <c r="B352" s="80"/>
      <c r="C352" s="65" t="s">
        <v>674</v>
      </c>
      <c r="D352" s="65"/>
      <c r="E352" s="18" t="s">
        <v>315</v>
      </c>
    </row>
    <row r="353" spans="1:5">
      <c r="A353" s="90"/>
      <c r="B353" s="80"/>
      <c r="C353" s="65" t="s">
        <v>675</v>
      </c>
      <c r="D353" s="65"/>
      <c r="E353" s="18" t="s">
        <v>315</v>
      </c>
    </row>
    <row r="354" spans="1:5">
      <c r="A354" s="90"/>
      <c r="B354" s="80"/>
      <c r="C354" s="65" t="s">
        <v>676</v>
      </c>
      <c r="D354" s="65"/>
      <c r="E354" s="18" t="s">
        <v>315</v>
      </c>
    </row>
    <row r="355" spans="1:5">
      <c r="A355" s="90"/>
      <c r="B355" s="80"/>
      <c r="C355" s="65" t="s">
        <v>677</v>
      </c>
      <c r="D355" s="65"/>
      <c r="E355" s="18" t="s">
        <v>315</v>
      </c>
    </row>
    <row r="356" spans="1:5">
      <c r="A356" s="90"/>
      <c r="B356" s="80"/>
      <c r="C356" s="65" t="s">
        <v>678</v>
      </c>
      <c r="D356" s="65"/>
      <c r="E356" s="18" t="s">
        <v>315</v>
      </c>
    </row>
    <row r="357" spans="1:5">
      <c r="A357" s="90"/>
      <c r="B357" s="80"/>
      <c r="C357" s="65" t="s">
        <v>679</v>
      </c>
      <c r="D357" s="65"/>
      <c r="E357" s="18" t="s">
        <v>315</v>
      </c>
    </row>
    <row r="358" spans="1:5">
      <c r="A358" s="90"/>
      <c r="B358" s="80"/>
      <c r="C358" s="65" t="s">
        <v>680</v>
      </c>
      <c r="D358" s="65"/>
      <c r="E358" s="18" t="s">
        <v>315</v>
      </c>
    </row>
    <row r="359" spans="1:5">
      <c r="A359" s="90"/>
      <c r="B359" s="80"/>
      <c r="C359" s="65" t="s">
        <v>681</v>
      </c>
      <c r="D359" s="65"/>
      <c r="E359" s="18" t="s">
        <v>315</v>
      </c>
    </row>
    <row r="360" spans="1:5">
      <c r="A360" s="90"/>
      <c r="B360" s="80"/>
      <c r="C360" s="65" t="s">
        <v>682</v>
      </c>
      <c r="D360" s="65"/>
      <c r="E360" s="18" t="s">
        <v>315</v>
      </c>
    </row>
    <row r="361" spans="1:5">
      <c r="A361" s="90"/>
      <c r="B361" s="80"/>
      <c r="C361" s="65" t="s">
        <v>683</v>
      </c>
      <c r="D361" s="65"/>
      <c r="E361" s="18" t="s">
        <v>315</v>
      </c>
    </row>
    <row r="362" spans="1:5">
      <c r="A362" s="90"/>
      <c r="B362" s="80"/>
      <c r="C362" s="65" t="s">
        <v>684</v>
      </c>
      <c r="D362" s="65"/>
      <c r="E362" s="18" t="s">
        <v>315</v>
      </c>
    </row>
    <row r="363" spans="1:5">
      <c r="A363" s="90"/>
      <c r="B363" s="80"/>
      <c r="C363" s="65" t="s">
        <v>685</v>
      </c>
      <c r="D363" s="65"/>
      <c r="E363" s="18" t="s">
        <v>315</v>
      </c>
    </row>
    <row r="364" spans="1:5">
      <c r="A364" s="90"/>
      <c r="B364" s="80"/>
      <c r="C364" s="65" t="s">
        <v>686</v>
      </c>
      <c r="D364" s="65"/>
      <c r="E364" s="18" t="s">
        <v>315</v>
      </c>
    </row>
    <row r="365" spans="1:5">
      <c r="A365" s="90"/>
      <c r="B365" s="80"/>
      <c r="C365" s="65" t="s">
        <v>687</v>
      </c>
      <c r="D365" s="65"/>
      <c r="E365" s="18" t="s">
        <v>315</v>
      </c>
    </row>
    <row r="366" spans="1:5">
      <c r="A366" s="90"/>
      <c r="B366" s="80"/>
      <c r="C366" s="65" t="s">
        <v>688</v>
      </c>
      <c r="D366" s="65"/>
      <c r="E366" s="18" t="s">
        <v>315</v>
      </c>
    </row>
    <row r="367" spans="1:5">
      <c r="A367" s="90"/>
      <c r="B367" s="80"/>
      <c r="C367" s="65" t="s">
        <v>689</v>
      </c>
      <c r="D367" s="65"/>
      <c r="E367" s="18" t="s">
        <v>315</v>
      </c>
    </row>
    <row r="368" spans="1:5">
      <c r="A368" s="90"/>
      <c r="B368" s="80"/>
      <c r="C368" s="65" t="s">
        <v>690</v>
      </c>
      <c r="D368" s="65"/>
      <c r="E368" s="18" t="s">
        <v>315</v>
      </c>
    </row>
    <row r="369" spans="1:5">
      <c r="A369" s="90"/>
      <c r="B369" s="80"/>
      <c r="C369" s="65" t="s">
        <v>691</v>
      </c>
      <c r="D369" s="65"/>
      <c r="E369" s="18" t="s">
        <v>315</v>
      </c>
    </row>
    <row r="370" spans="1:5">
      <c r="A370" s="90"/>
      <c r="B370" s="80"/>
      <c r="C370" s="65" t="s">
        <v>692</v>
      </c>
      <c r="D370" s="65"/>
      <c r="E370" s="18" t="s">
        <v>315</v>
      </c>
    </row>
    <row r="371" spans="1:5">
      <c r="A371" s="90"/>
      <c r="B371" s="80"/>
      <c r="C371" s="65" t="s">
        <v>693</v>
      </c>
      <c r="D371" s="65"/>
      <c r="E371" s="18" t="s">
        <v>315</v>
      </c>
    </row>
    <row r="372" spans="1:5">
      <c r="A372" s="90"/>
      <c r="B372" s="80"/>
      <c r="C372" s="65" t="s">
        <v>694</v>
      </c>
      <c r="D372" s="65"/>
      <c r="E372" s="18" t="s">
        <v>315</v>
      </c>
    </row>
    <row r="373" spans="1:5">
      <c r="A373" s="90"/>
      <c r="B373" s="80"/>
      <c r="C373" s="65" t="s">
        <v>695</v>
      </c>
      <c r="D373" s="65"/>
      <c r="E373" s="18" t="s">
        <v>315</v>
      </c>
    </row>
    <row r="374" spans="1:5">
      <c r="A374" s="90"/>
      <c r="B374" s="80"/>
      <c r="C374" s="65" t="s">
        <v>696</v>
      </c>
      <c r="D374" s="65"/>
      <c r="E374" s="18" t="s">
        <v>315</v>
      </c>
    </row>
    <row r="375" spans="1:5">
      <c r="A375" s="90"/>
      <c r="B375" s="80"/>
      <c r="C375" s="65" t="s">
        <v>697</v>
      </c>
      <c r="D375" s="65"/>
      <c r="E375" s="18" t="s">
        <v>315</v>
      </c>
    </row>
    <row r="376" spans="1:5">
      <c r="A376" s="90"/>
      <c r="B376" s="80"/>
      <c r="C376" s="65" t="s">
        <v>698</v>
      </c>
      <c r="D376" s="65"/>
      <c r="E376" s="18" t="s">
        <v>315</v>
      </c>
    </row>
    <row r="377" spans="1:5">
      <c r="A377" s="90"/>
      <c r="B377" s="80"/>
      <c r="C377" s="65" t="s">
        <v>699</v>
      </c>
      <c r="D377" s="65"/>
      <c r="E377" s="18" t="s">
        <v>315</v>
      </c>
    </row>
    <row r="378" spans="1:5">
      <c r="A378" s="90"/>
      <c r="B378" s="80"/>
      <c r="C378" s="65" t="s">
        <v>700</v>
      </c>
      <c r="D378" s="65"/>
      <c r="E378" s="18" t="s">
        <v>315</v>
      </c>
    </row>
    <row r="379" spans="1:5">
      <c r="A379" s="90"/>
      <c r="B379" s="80"/>
      <c r="C379" s="65" t="s">
        <v>701</v>
      </c>
      <c r="D379" s="65"/>
      <c r="E379" s="18" t="s">
        <v>315</v>
      </c>
    </row>
    <row r="380" spans="1:5">
      <c r="A380" s="90"/>
      <c r="B380" s="80"/>
      <c r="C380" s="65" t="s">
        <v>702</v>
      </c>
      <c r="D380" s="65"/>
      <c r="E380" s="18" t="s">
        <v>315</v>
      </c>
    </row>
    <row r="381" spans="1:5">
      <c r="A381" s="90"/>
      <c r="B381" s="80"/>
      <c r="C381" s="65" t="s">
        <v>703</v>
      </c>
      <c r="D381" s="65"/>
      <c r="E381" s="18" t="s">
        <v>315</v>
      </c>
    </row>
    <row r="382" spans="1:5">
      <c r="A382" s="90"/>
      <c r="B382" s="80"/>
      <c r="C382" s="65" t="s">
        <v>704</v>
      </c>
      <c r="D382" s="65"/>
      <c r="E382" s="18" t="s">
        <v>315</v>
      </c>
    </row>
    <row r="383" spans="1:5">
      <c r="A383" s="90"/>
      <c r="B383" s="80"/>
      <c r="C383" s="65" t="s">
        <v>705</v>
      </c>
      <c r="D383" s="65"/>
      <c r="E383" s="18" t="s">
        <v>315</v>
      </c>
    </row>
    <row r="384" spans="1:5">
      <c r="A384" s="90"/>
      <c r="B384" s="80"/>
      <c r="C384" s="65" t="s">
        <v>706</v>
      </c>
      <c r="D384" s="65"/>
      <c r="E384" s="18" t="s">
        <v>315</v>
      </c>
    </row>
    <row r="385" spans="1:5">
      <c r="A385" s="90"/>
      <c r="B385" s="80"/>
      <c r="C385" s="65" t="s">
        <v>707</v>
      </c>
      <c r="D385" s="65"/>
      <c r="E385" s="18" t="s">
        <v>315</v>
      </c>
    </row>
    <row r="386" spans="1:5">
      <c r="A386" s="90"/>
      <c r="B386" s="80"/>
      <c r="C386" s="65" t="s">
        <v>708</v>
      </c>
      <c r="D386" s="65"/>
      <c r="E386" s="18" t="s">
        <v>315</v>
      </c>
    </row>
    <row r="387" spans="1:5">
      <c r="A387" s="90"/>
      <c r="B387" s="80"/>
      <c r="C387" s="65" t="s">
        <v>709</v>
      </c>
      <c r="D387" s="65"/>
      <c r="E387" s="18" t="s">
        <v>315</v>
      </c>
    </row>
    <row r="388" spans="1:5">
      <c r="A388" s="90"/>
      <c r="B388" s="80"/>
      <c r="C388" s="65" t="s">
        <v>710</v>
      </c>
      <c r="D388" s="65"/>
      <c r="E388" s="18" t="s">
        <v>315</v>
      </c>
    </row>
    <row r="389" spans="1:5">
      <c r="A389" s="90"/>
      <c r="B389" s="80"/>
      <c r="C389" s="65" t="s">
        <v>711</v>
      </c>
      <c r="D389" s="65"/>
      <c r="E389" s="18" t="s">
        <v>315</v>
      </c>
    </row>
    <row r="390" spans="1:5">
      <c r="A390" s="90"/>
      <c r="B390" s="80"/>
      <c r="C390" s="65" t="s">
        <v>712</v>
      </c>
      <c r="D390" s="65"/>
      <c r="E390" s="18" t="s">
        <v>315</v>
      </c>
    </row>
    <row r="391" spans="1:5">
      <c r="A391" s="90"/>
      <c r="B391" s="80"/>
      <c r="C391" s="65" t="s">
        <v>713</v>
      </c>
      <c r="D391" s="65"/>
      <c r="E391" s="18" t="s">
        <v>315</v>
      </c>
    </row>
    <row r="392" spans="1:5">
      <c r="A392" s="90"/>
      <c r="B392" s="80"/>
      <c r="C392" s="65" t="s">
        <v>714</v>
      </c>
      <c r="D392" s="65"/>
      <c r="E392" s="18" t="s">
        <v>315</v>
      </c>
    </row>
    <row r="393" spans="1:5">
      <c r="A393" s="90"/>
      <c r="B393" s="80"/>
      <c r="C393" s="65" t="s">
        <v>715</v>
      </c>
      <c r="D393" s="65"/>
      <c r="E393" s="18" t="s">
        <v>315</v>
      </c>
    </row>
    <row r="394" spans="1:5">
      <c r="A394" s="90"/>
      <c r="B394" s="80"/>
      <c r="C394" s="65" t="s">
        <v>716</v>
      </c>
      <c r="D394" s="65"/>
      <c r="E394" s="18" t="s">
        <v>315</v>
      </c>
    </row>
    <row r="395" spans="1:5">
      <c r="A395" s="90"/>
      <c r="B395" s="80"/>
      <c r="C395" s="65" t="s">
        <v>717</v>
      </c>
      <c r="D395" s="65"/>
      <c r="E395" s="18" t="s">
        <v>315</v>
      </c>
    </row>
    <row r="396" spans="1:5">
      <c r="A396" s="90"/>
      <c r="B396" s="80"/>
      <c r="C396" s="65" t="s">
        <v>718</v>
      </c>
      <c r="D396" s="65"/>
      <c r="E396" s="18" t="s">
        <v>315</v>
      </c>
    </row>
    <row r="397" spans="1:5">
      <c r="A397" s="90"/>
      <c r="B397" s="80"/>
      <c r="C397" s="65" t="s">
        <v>719</v>
      </c>
      <c r="D397" s="65"/>
      <c r="E397" s="18" t="s">
        <v>315</v>
      </c>
    </row>
    <row r="398" spans="1:5">
      <c r="A398" s="90"/>
      <c r="B398" s="80"/>
      <c r="C398" s="65" t="s">
        <v>720</v>
      </c>
      <c r="D398" s="65"/>
      <c r="E398" s="18" t="s">
        <v>315</v>
      </c>
    </row>
    <row r="399" spans="1:5">
      <c r="A399" s="90"/>
      <c r="B399" s="80"/>
      <c r="C399" s="65" t="s">
        <v>721</v>
      </c>
      <c r="D399" s="65"/>
      <c r="E399" s="18" t="s">
        <v>315</v>
      </c>
    </row>
    <row r="400" spans="1:5">
      <c r="A400" s="90"/>
      <c r="B400" s="80"/>
      <c r="C400" s="65" t="s">
        <v>722</v>
      </c>
      <c r="D400" s="65"/>
      <c r="E400" s="18" t="s">
        <v>315</v>
      </c>
    </row>
    <row r="401" spans="1:5">
      <c r="A401" s="90"/>
      <c r="B401" s="80"/>
      <c r="C401" s="65" t="s">
        <v>723</v>
      </c>
      <c r="D401" s="65"/>
      <c r="E401" s="18" t="s">
        <v>315</v>
      </c>
    </row>
    <row r="402" spans="1:5">
      <c r="A402" s="90"/>
      <c r="B402" s="80"/>
      <c r="C402" s="65" t="s">
        <v>724</v>
      </c>
      <c r="D402" s="65"/>
      <c r="E402" s="18" t="s">
        <v>315</v>
      </c>
    </row>
    <row r="403" spans="1:5">
      <c r="A403" s="90"/>
      <c r="B403" s="80"/>
      <c r="C403" s="65" t="s">
        <v>725</v>
      </c>
      <c r="D403" s="65"/>
      <c r="E403" s="18" t="s">
        <v>315</v>
      </c>
    </row>
    <row r="404" spans="1:5">
      <c r="A404" s="90"/>
      <c r="B404" s="80"/>
      <c r="C404" s="65" t="s">
        <v>726</v>
      </c>
      <c r="D404" s="65"/>
      <c r="E404" s="18" t="s">
        <v>315</v>
      </c>
    </row>
    <row r="405" spans="1:5">
      <c r="A405" s="90"/>
      <c r="B405" s="80"/>
      <c r="C405" s="65" t="s">
        <v>727</v>
      </c>
      <c r="D405" s="65"/>
      <c r="E405" s="18" t="s">
        <v>315</v>
      </c>
    </row>
    <row r="406" spans="1:5">
      <c r="A406" s="90"/>
      <c r="B406" s="80"/>
      <c r="C406" s="65" t="s">
        <v>728</v>
      </c>
      <c r="D406" s="65"/>
      <c r="E406" s="18" t="s">
        <v>315</v>
      </c>
    </row>
    <row r="407" spans="1:5">
      <c r="A407" s="90"/>
      <c r="B407" s="80"/>
      <c r="C407" s="65" t="s">
        <v>729</v>
      </c>
      <c r="D407" s="65"/>
      <c r="E407" s="18" t="s">
        <v>315</v>
      </c>
    </row>
    <row r="408" spans="1:5">
      <c r="A408" s="90"/>
      <c r="B408" s="80"/>
      <c r="C408" s="65" t="s">
        <v>730</v>
      </c>
      <c r="D408" s="65"/>
      <c r="E408" s="18" t="s">
        <v>315</v>
      </c>
    </row>
    <row r="409" spans="1:5">
      <c r="A409" s="90"/>
      <c r="B409" s="80"/>
      <c r="C409" s="65" t="s">
        <v>731</v>
      </c>
      <c r="D409" s="65"/>
      <c r="E409" s="18" t="s">
        <v>315</v>
      </c>
    </row>
    <row r="410" spans="1:5">
      <c r="A410" s="90"/>
      <c r="B410" s="80"/>
      <c r="C410" s="65" t="s">
        <v>732</v>
      </c>
      <c r="D410" s="65"/>
      <c r="E410" s="18" t="s">
        <v>315</v>
      </c>
    </row>
    <row r="411" spans="1:5">
      <c r="A411" s="90"/>
      <c r="B411" s="80"/>
      <c r="C411" s="65" t="s">
        <v>733</v>
      </c>
      <c r="D411" s="65"/>
      <c r="E411" s="18" t="s">
        <v>315</v>
      </c>
    </row>
    <row r="412" spans="1:5">
      <c r="A412" s="90"/>
      <c r="B412" s="80"/>
      <c r="C412" s="65" t="s">
        <v>734</v>
      </c>
      <c r="D412" s="65"/>
      <c r="E412" s="18" t="s">
        <v>315</v>
      </c>
    </row>
    <row r="413" spans="1:5">
      <c r="A413" s="90"/>
      <c r="B413" s="80"/>
      <c r="C413" s="65" t="s">
        <v>735</v>
      </c>
      <c r="D413" s="65"/>
      <c r="E413" s="18" t="s">
        <v>315</v>
      </c>
    </row>
    <row r="414" spans="1:5">
      <c r="A414" s="90"/>
      <c r="B414" s="80"/>
      <c r="C414" s="65" t="s">
        <v>736</v>
      </c>
      <c r="D414" s="65"/>
      <c r="E414" s="18" t="s">
        <v>315</v>
      </c>
    </row>
    <row r="415" spans="1:5">
      <c r="A415" s="90"/>
      <c r="B415" s="80"/>
      <c r="C415" s="65" t="s">
        <v>737</v>
      </c>
      <c r="D415" s="65"/>
      <c r="E415" s="18" t="s">
        <v>315</v>
      </c>
    </row>
    <row r="416" spans="1:5">
      <c r="A416" s="90"/>
      <c r="B416" s="80"/>
      <c r="C416" s="65" t="s">
        <v>738</v>
      </c>
      <c r="D416" s="65"/>
      <c r="E416" s="18" t="s">
        <v>315</v>
      </c>
    </row>
    <row r="417" spans="1:5">
      <c r="A417" s="90"/>
      <c r="B417" s="80"/>
      <c r="C417" s="65" t="s">
        <v>739</v>
      </c>
      <c r="D417" s="65"/>
      <c r="E417" s="18" t="s">
        <v>315</v>
      </c>
    </row>
    <row r="418" spans="1:5">
      <c r="A418" s="90"/>
      <c r="B418" s="80"/>
      <c r="C418" s="65" t="s">
        <v>740</v>
      </c>
      <c r="D418" s="65"/>
      <c r="E418" s="18" t="s">
        <v>315</v>
      </c>
    </row>
    <row r="419" spans="1:5">
      <c r="A419" s="90"/>
      <c r="B419" s="80"/>
      <c r="C419" s="65" t="s">
        <v>741</v>
      </c>
      <c r="D419" s="65"/>
      <c r="E419" s="18" t="s">
        <v>315</v>
      </c>
    </row>
    <row r="420" spans="1:5">
      <c r="A420" s="90"/>
      <c r="B420" s="80"/>
      <c r="C420" s="65" t="s">
        <v>742</v>
      </c>
      <c r="D420" s="65"/>
      <c r="E420" s="18" t="s">
        <v>315</v>
      </c>
    </row>
    <row r="421" spans="1:5">
      <c r="A421" s="90"/>
      <c r="B421" s="80"/>
      <c r="C421" s="65" t="s">
        <v>743</v>
      </c>
      <c r="D421" s="65"/>
      <c r="E421" s="18" t="s">
        <v>315</v>
      </c>
    </row>
    <row r="422" spans="1:5">
      <c r="A422" s="90"/>
      <c r="B422" s="80"/>
      <c r="C422" s="65" t="s">
        <v>744</v>
      </c>
      <c r="D422" s="65"/>
      <c r="E422" s="18" t="s">
        <v>315</v>
      </c>
    </row>
    <row r="423" spans="1:5">
      <c r="A423" s="90"/>
      <c r="B423" s="80"/>
      <c r="C423" s="65" t="s">
        <v>745</v>
      </c>
      <c r="D423" s="65"/>
      <c r="E423" s="18" t="s">
        <v>315</v>
      </c>
    </row>
    <row r="424" spans="1:5">
      <c r="A424" s="90"/>
      <c r="B424" s="80"/>
      <c r="C424" s="65" t="s">
        <v>746</v>
      </c>
      <c r="D424" s="65"/>
      <c r="E424" s="18" t="s">
        <v>315</v>
      </c>
    </row>
    <row r="425" spans="1:5">
      <c r="A425" s="90"/>
      <c r="B425" s="80"/>
      <c r="C425" s="65" t="s">
        <v>747</v>
      </c>
      <c r="D425" s="65"/>
      <c r="E425" s="18" t="s">
        <v>315</v>
      </c>
    </row>
    <row r="426" spans="1:5">
      <c r="A426" s="90"/>
      <c r="B426" s="80"/>
      <c r="C426" s="65" t="s">
        <v>748</v>
      </c>
      <c r="D426" s="65"/>
      <c r="E426" s="18" t="s">
        <v>315</v>
      </c>
    </row>
    <row r="427" spans="1:5">
      <c r="A427" s="90"/>
      <c r="B427" s="80"/>
      <c r="C427" s="65" t="s">
        <v>749</v>
      </c>
      <c r="D427" s="65"/>
      <c r="E427" s="18" t="s">
        <v>315</v>
      </c>
    </row>
    <row r="428" spans="1:5">
      <c r="A428" s="90"/>
      <c r="B428" s="80"/>
      <c r="C428" s="65" t="s">
        <v>750</v>
      </c>
      <c r="D428" s="65"/>
      <c r="E428" s="18" t="s">
        <v>315</v>
      </c>
    </row>
    <row r="429" spans="1:5">
      <c r="A429" s="90"/>
      <c r="B429" s="80"/>
      <c r="C429" s="65" t="s">
        <v>751</v>
      </c>
      <c r="D429" s="65"/>
      <c r="E429" s="18" t="s">
        <v>315</v>
      </c>
    </row>
    <row r="430" spans="1:5">
      <c r="A430" s="90"/>
      <c r="B430" s="80"/>
      <c r="C430" s="65" t="s">
        <v>752</v>
      </c>
      <c r="D430" s="65"/>
      <c r="E430" s="18" t="s">
        <v>315</v>
      </c>
    </row>
    <row r="431" spans="1:5">
      <c r="A431" s="90"/>
      <c r="B431" s="80"/>
      <c r="C431" s="65" t="s">
        <v>753</v>
      </c>
      <c r="D431" s="65"/>
      <c r="E431" s="18" t="s">
        <v>315</v>
      </c>
    </row>
    <row r="432" spans="1:5">
      <c r="A432" s="90"/>
      <c r="B432" s="80"/>
      <c r="C432" s="65" t="s">
        <v>754</v>
      </c>
      <c r="D432" s="65"/>
      <c r="E432" s="18" t="s">
        <v>315</v>
      </c>
    </row>
    <row r="433" spans="1:5">
      <c r="A433" s="90"/>
      <c r="B433" s="80"/>
      <c r="C433" s="65" t="s">
        <v>755</v>
      </c>
      <c r="D433" s="65"/>
      <c r="E433" s="18" t="s">
        <v>315</v>
      </c>
    </row>
    <row r="434" spans="1:5">
      <c r="A434" s="90"/>
      <c r="B434" s="80"/>
      <c r="C434" s="65" t="s">
        <v>756</v>
      </c>
      <c r="D434" s="65"/>
      <c r="E434" s="18" t="s">
        <v>315</v>
      </c>
    </row>
    <row r="435" spans="1:5">
      <c r="A435" s="90"/>
      <c r="B435" s="80"/>
      <c r="C435" s="65" t="s">
        <v>757</v>
      </c>
      <c r="D435" s="65"/>
      <c r="E435" s="18" t="s">
        <v>315</v>
      </c>
    </row>
    <row r="436" spans="1:5">
      <c r="A436" s="90"/>
      <c r="B436" s="80"/>
      <c r="C436" s="65" t="s">
        <v>758</v>
      </c>
      <c r="D436" s="65"/>
      <c r="E436" s="18" t="s">
        <v>315</v>
      </c>
    </row>
    <row r="437" spans="1:5">
      <c r="A437" s="90"/>
      <c r="B437" s="80"/>
      <c r="C437" s="65" t="s">
        <v>759</v>
      </c>
      <c r="D437" s="65"/>
      <c r="E437" s="18" t="s">
        <v>315</v>
      </c>
    </row>
    <row r="438" spans="1:5">
      <c r="A438" s="90"/>
      <c r="B438" s="80"/>
      <c r="C438" s="65" t="s">
        <v>760</v>
      </c>
      <c r="D438" s="65"/>
      <c r="E438" s="18" t="s">
        <v>315</v>
      </c>
    </row>
    <row r="439" spans="1:5">
      <c r="A439" s="90"/>
      <c r="B439" s="80"/>
      <c r="C439" s="65" t="s">
        <v>761</v>
      </c>
      <c r="D439" s="65"/>
      <c r="E439" s="18" t="s">
        <v>315</v>
      </c>
    </row>
    <row r="440" spans="1:5">
      <c r="A440" s="90"/>
      <c r="B440" s="80"/>
      <c r="C440" s="65" t="s">
        <v>762</v>
      </c>
      <c r="D440" s="65"/>
      <c r="E440" s="18" t="s">
        <v>315</v>
      </c>
    </row>
    <row r="441" spans="1:5">
      <c r="A441" s="90"/>
      <c r="B441" s="80"/>
      <c r="C441" s="65" t="s">
        <v>763</v>
      </c>
      <c r="D441" s="65"/>
      <c r="E441" s="18" t="s">
        <v>315</v>
      </c>
    </row>
    <row r="442" spans="1:5">
      <c r="A442" s="90"/>
      <c r="B442" s="80"/>
      <c r="C442" s="65" t="s">
        <v>764</v>
      </c>
      <c r="D442" s="65"/>
      <c r="E442" s="18" t="s">
        <v>315</v>
      </c>
    </row>
    <row r="443" spans="1:5">
      <c r="A443" s="90"/>
      <c r="B443" s="80"/>
      <c r="C443" s="65" t="s">
        <v>765</v>
      </c>
      <c r="D443" s="65"/>
      <c r="E443" s="18" t="s">
        <v>315</v>
      </c>
    </row>
    <row r="444" spans="1:5">
      <c r="A444" s="90"/>
      <c r="B444" s="80"/>
      <c r="C444" s="65" t="s">
        <v>766</v>
      </c>
      <c r="D444" s="65"/>
      <c r="E444" s="18" t="s">
        <v>315</v>
      </c>
    </row>
    <row r="445" spans="1:5">
      <c r="A445" s="90"/>
      <c r="B445" s="80"/>
      <c r="C445" s="65" t="s">
        <v>767</v>
      </c>
      <c r="D445" s="65"/>
      <c r="E445" s="18" t="s">
        <v>315</v>
      </c>
    </row>
    <row r="446" spans="1:5">
      <c r="A446" s="90"/>
      <c r="B446" s="80"/>
      <c r="C446" s="65" t="s">
        <v>768</v>
      </c>
      <c r="D446" s="65"/>
      <c r="E446" s="18" t="s">
        <v>315</v>
      </c>
    </row>
    <row r="447" spans="1:5">
      <c r="A447" s="90"/>
      <c r="B447" s="80"/>
      <c r="C447" s="65" t="s">
        <v>769</v>
      </c>
      <c r="D447" s="65"/>
      <c r="E447" s="18" t="s">
        <v>315</v>
      </c>
    </row>
    <row r="448" spans="1:5">
      <c r="A448" s="90"/>
      <c r="B448" s="80"/>
      <c r="C448" s="65" t="s">
        <v>770</v>
      </c>
      <c r="D448" s="65"/>
      <c r="E448" s="18" t="s">
        <v>315</v>
      </c>
    </row>
    <row r="449" spans="1:5">
      <c r="A449" s="90"/>
      <c r="B449" s="80"/>
      <c r="C449" s="65" t="s">
        <v>771</v>
      </c>
      <c r="D449" s="65"/>
      <c r="E449" s="18" t="s">
        <v>315</v>
      </c>
    </row>
    <row r="450" spans="1:5">
      <c r="A450" s="90"/>
      <c r="B450" s="80"/>
      <c r="C450" s="65" t="s">
        <v>772</v>
      </c>
      <c r="D450" s="65"/>
      <c r="E450" s="18" t="s">
        <v>315</v>
      </c>
    </row>
    <row r="451" spans="1:5">
      <c r="A451" s="90"/>
      <c r="B451" s="80"/>
      <c r="C451" s="65" t="s">
        <v>773</v>
      </c>
      <c r="D451" s="65"/>
      <c r="E451" s="18" t="s">
        <v>315</v>
      </c>
    </row>
    <row r="452" spans="1:5">
      <c r="A452" s="90"/>
      <c r="B452" s="80"/>
      <c r="C452" s="65" t="s">
        <v>774</v>
      </c>
      <c r="D452" s="65"/>
      <c r="E452" s="18" t="s">
        <v>315</v>
      </c>
    </row>
    <row r="453" spans="1:5">
      <c r="A453" s="90"/>
      <c r="B453" s="80"/>
      <c r="C453" s="65" t="s">
        <v>775</v>
      </c>
      <c r="D453" s="65"/>
      <c r="E453" s="18" t="s">
        <v>315</v>
      </c>
    </row>
    <row r="454" spans="1:5">
      <c r="A454" s="90"/>
      <c r="B454" s="80"/>
      <c r="C454" s="65" t="s">
        <v>776</v>
      </c>
      <c r="D454" s="65"/>
      <c r="E454" s="18" t="s">
        <v>315</v>
      </c>
    </row>
    <row r="455" spans="1:5">
      <c r="A455" s="90"/>
      <c r="B455" s="80"/>
      <c r="C455" s="65" t="s">
        <v>777</v>
      </c>
      <c r="D455" s="65"/>
      <c r="E455" s="18" t="s">
        <v>315</v>
      </c>
    </row>
    <row r="456" spans="1:5">
      <c r="A456" s="90"/>
      <c r="B456" s="80"/>
      <c r="C456" s="65" t="s">
        <v>778</v>
      </c>
      <c r="D456" s="65"/>
      <c r="E456" s="18" t="s">
        <v>315</v>
      </c>
    </row>
    <row r="457" spans="1:5">
      <c r="A457" s="90"/>
      <c r="B457" s="80"/>
      <c r="C457" s="65" t="s">
        <v>779</v>
      </c>
      <c r="D457" s="65"/>
      <c r="E457" s="18" t="s">
        <v>315</v>
      </c>
    </row>
    <row r="458" spans="1:5">
      <c r="A458" s="90"/>
      <c r="B458" s="80"/>
      <c r="C458" s="65" t="s">
        <v>780</v>
      </c>
      <c r="D458" s="65"/>
      <c r="E458" s="18" t="s">
        <v>315</v>
      </c>
    </row>
    <row r="459" spans="1:5">
      <c r="A459" s="90"/>
      <c r="B459" s="80"/>
      <c r="C459" s="65" t="s">
        <v>781</v>
      </c>
      <c r="D459" s="65"/>
      <c r="E459" s="18" t="s">
        <v>315</v>
      </c>
    </row>
    <row r="460" spans="1:5">
      <c r="A460" s="90"/>
      <c r="B460" s="80"/>
      <c r="C460" s="65" t="s">
        <v>782</v>
      </c>
      <c r="D460" s="65"/>
      <c r="E460" s="18" t="s">
        <v>315</v>
      </c>
    </row>
    <row r="461" spans="1:5">
      <c r="A461" s="90"/>
      <c r="B461" s="80"/>
      <c r="C461" s="65" t="s">
        <v>783</v>
      </c>
      <c r="D461" s="65"/>
      <c r="E461" s="18" t="s">
        <v>315</v>
      </c>
    </row>
    <row r="462" spans="1:5">
      <c r="A462" s="90"/>
      <c r="B462" s="80"/>
      <c r="C462" s="65" t="s">
        <v>784</v>
      </c>
      <c r="D462" s="65"/>
      <c r="E462" s="18" t="s">
        <v>315</v>
      </c>
    </row>
    <row r="463" spans="1:5">
      <c r="A463" s="90"/>
      <c r="B463" s="80"/>
      <c r="C463" s="65" t="s">
        <v>785</v>
      </c>
      <c r="D463" s="65"/>
      <c r="E463" s="18" t="s">
        <v>315</v>
      </c>
    </row>
    <row r="464" spans="1:5">
      <c r="A464" s="90"/>
      <c r="B464" s="80"/>
      <c r="C464" s="65" t="s">
        <v>786</v>
      </c>
      <c r="D464" s="65"/>
      <c r="E464" s="18" t="s">
        <v>315</v>
      </c>
    </row>
    <row r="465" spans="1:5">
      <c r="A465" s="90"/>
      <c r="B465" s="80"/>
      <c r="C465" s="65" t="s">
        <v>787</v>
      </c>
      <c r="D465" s="65"/>
      <c r="E465" s="18" t="s">
        <v>315</v>
      </c>
    </row>
    <row r="466" spans="1:5">
      <c r="A466" s="90"/>
      <c r="B466" s="80"/>
      <c r="C466" s="65" t="s">
        <v>788</v>
      </c>
      <c r="D466" s="65"/>
      <c r="E466" s="18" t="s">
        <v>315</v>
      </c>
    </row>
    <row r="467" spans="1:5">
      <c r="A467" s="90"/>
      <c r="B467" s="80"/>
      <c r="C467" s="65" t="s">
        <v>789</v>
      </c>
      <c r="D467" s="65"/>
      <c r="E467" s="18" t="s">
        <v>315</v>
      </c>
    </row>
    <row r="468" spans="1:5">
      <c r="A468" s="90"/>
      <c r="B468" s="80"/>
      <c r="C468" s="65" t="s">
        <v>790</v>
      </c>
      <c r="D468" s="65"/>
      <c r="E468" s="18" t="s">
        <v>315</v>
      </c>
    </row>
    <row r="469" spans="1:5">
      <c r="A469" s="90"/>
      <c r="B469" s="80"/>
      <c r="C469" s="65" t="s">
        <v>791</v>
      </c>
      <c r="D469" s="65"/>
      <c r="E469" s="18" t="s">
        <v>315</v>
      </c>
    </row>
    <row r="470" spans="1:5">
      <c r="A470" s="90"/>
      <c r="B470" s="80"/>
      <c r="C470" s="65" t="s">
        <v>792</v>
      </c>
      <c r="D470" s="65"/>
      <c r="E470" s="18" t="s">
        <v>315</v>
      </c>
    </row>
    <row r="471" spans="1:5">
      <c r="A471" s="90"/>
      <c r="B471" s="80"/>
      <c r="C471" s="65" t="s">
        <v>793</v>
      </c>
      <c r="D471" s="65"/>
      <c r="E471" s="18" t="s">
        <v>315</v>
      </c>
    </row>
    <row r="472" spans="1:5">
      <c r="A472" s="90"/>
      <c r="B472" s="80"/>
      <c r="C472" s="65" t="s">
        <v>794</v>
      </c>
      <c r="D472" s="65"/>
      <c r="E472" s="18" t="s">
        <v>315</v>
      </c>
    </row>
    <row r="473" spans="1:5">
      <c r="A473" s="90"/>
      <c r="B473" s="80"/>
      <c r="C473" s="65" t="s">
        <v>795</v>
      </c>
      <c r="D473" s="65"/>
      <c r="E473" s="18" t="s">
        <v>315</v>
      </c>
    </row>
    <row r="474" spans="1:5">
      <c r="A474" s="90"/>
      <c r="B474" s="80"/>
      <c r="C474" s="65" t="s">
        <v>796</v>
      </c>
      <c r="D474" s="65"/>
      <c r="E474" s="18" t="s">
        <v>315</v>
      </c>
    </row>
    <row r="475" spans="1:5">
      <c r="A475" s="90"/>
      <c r="B475" s="80"/>
      <c r="C475" s="65" t="s">
        <v>797</v>
      </c>
      <c r="D475" s="65"/>
      <c r="E475" s="18" t="s">
        <v>315</v>
      </c>
    </row>
    <row r="476" spans="1:5">
      <c r="A476" s="90"/>
      <c r="B476" s="80"/>
      <c r="C476" s="65" t="s">
        <v>798</v>
      </c>
      <c r="D476" s="65"/>
      <c r="E476" s="18" t="s">
        <v>315</v>
      </c>
    </row>
    <row r="477" spans="1:5">
      <c r="A477" s="90"/>
      <c r="B477" s="80"/>
      <c r="C477" s="65" t="s">
        <v>799</v>
      </c>
      <c r="D477" s="65"/>
      <c r="E477" s="18" t="s">
        <v>315</v>
      </c>
    </row>
    <row r="478" spans="1:5">
      <c r="A478" s="90"/>
      <c r="B478" s="80"/>
      <c r="C478" s="65" t="s">
        <v>800</v>
      </c>
      <c r="D478" s="65"/>
      <c r="E478" s="18" t="s">
        <v>315</v>
      </c>
    </row>
    <row r="479" spans="1:5">
      <c r="A479" s="90"/>
      <c r="B479" s="80"/>
      <c r="C479" s="65" t="s">
        <v>801</v>
      </c>
      <c r="D479" s="65"/>
      <c r="E479" s="18" t="s">
        <v>315</v>
      </c>
    </row>
    <row r="480" spans="1:5">
      <c r="A480" s="90"/>
      <c r="B480" s="80"/>
      <c r="C480" s="65" t="s">
        <v>802</v>
      </c>
      <c r="D480" s="65"/>
      <c r="E480" s="18" t="s">
        <v>315</v>
      </c>
    </row>
    <row r="481" spans="1:5">
      <c r="A481" s="90"/>
      <c r="B481" s="80"/>
      <c r="C481" s="65" t="s">
        <v>803</v>
      </c>
      <c r="D481" s="65"/>
      <c r="E481" s="18" t="s">
        <v>315</v>
      </c>
    </row>
    <row r="482" spans="1:5">
      <c r="A482" s="90"/>
      <c r="B482" s="80"/>
      <c r="C482" s="65" t="s">
        <v>804</v>
      </c>
      <c r="D482" s="65"/>
      <c r="E482" s="18" t="s">
        <v>315</v>
      </c>
    </row>
    <row r="483" spans="1:5">
      <c r="A483" s="90"/>
      <c r="B483" s="80"/>
      <c r="C483" s="65" t="s">
        <v>805</v>
      </c>
      <c r="D483" s="65"/>
      <c r="E483" s="18" t="s">
        <v>315</v>
      </c>
    </row>
    <row r="484" spans="1:5">
      <c r="A484" s="90"/>
      <c r="B484" s="80"/>
      <c r="C484" s="65" t="s">
        <v>806</v>
      </c>
      <c r="D484" s="65"/>
      <c r="E484" s="18" t="s">
        <v>315</v>
      </c>
    </row>
    <row r="485" spans="1:5">
      <c r="A485" s="90"/>
      <c r="B485" s="80"/>
      <c r="C485" s="65" t="s">
        <v>807</v>
      </c>
      <c r="D485" s="65"/>
      <c r="E485" s="18" t="s">
        <v>315</v>
      </c>
    </row>
    <row r="486" spans="1:5">
      <c r="A486" s="90"/>
      <c r="B486" s="80"/>
      <c r="C486" s="65" t="s">
        <v>808</v>
      </c>
      <c r="D486" s="65"/>
      <c r="E486" s="18" t="s">
        <v>315</v>
      </c>
    </row>
    <row r="487" spans="1:5">
      <c r="A487" s="90"/>
      <c r="B487" s="80"/>
      <c r="C487" s="65" t="s">
        <v>809</v>
      </c>
      <c r="D487" s="65"/>
      <c r="E487" s="18" t="s">
        <v>315</v>
      </c>
    </row>
    <row r="488" spans="1:5">
      <c r="A488" s="90"/>
      <c r="B488" s="80"/>
      <c r="C488" s="65" t="s">
        <v>810</v>
      </c>
      <c r="D488" s="65"/>
      <c r="E488" s="18" t="s">
        <v>315</v>
      </c>
    </row>
    <row r="489" spans="1:5">
      <c r="A489" s="90"/>
      <c r="B489" s="80"/>
      <c r="C489" s="65" t="s">
        <v>72</v>
      </c>
      <c r="D489" s="65"/>
    </row>
    <row r="490" spans="1:5">
      <c r="A490" s="90"/>
      <c r="B490" s="80"/>
      <c r="C490" s="65" t="s">
        <v>811</v>
      </c>
      <c r="D490" s="65"/>
    </row>
    <row r="491" spans="1:5">
      <c r="A491" s="90"/>
      <c r="B491" s="80"/>
      <c r="C491" s="65" t="s">
        <v>812</v>
      </c>
      <c r="D491" s="65"/>
    </row>
    <row r="492" spans="1:5">
      <c r="A492" s="90"/>
      <c r="B492" s="80"/>
      <c r="C492" s="65" t="s">
        <v>813</v>
      </c>
      <c r="D492" s="65"/>
    </row>
    <row r="493" spans="1:5">
      <c r="A493" s="90"/>
      <c r="B493" s="80"/>
      <c r="C493" s="65" t="s">
        <v>814</v>
      </c>
      <c r="D493" s="65"/>
    </row>
    <row r="494" spans="1:5">
      <c r="A494" s="90"/>
      <c r="B494" s="80"/>
      <c r="C494" s="65" t="s">
        <v>815</v>
      </c>
      <c r="D494" s="65"/>
    </row>
    <row r="495" spans="1:5">
      <c r="A495" s="90"/>
      <c r="B495" s="80"/>
      <c r="C495" s="65" t="s">
        <v>816</v>
      </c>
      <c r="D495" s="65"/>
    </row>
    <row r="496" spans="1:5">
      <c r="A496" s="90"/>
      <c r="B496" s="80"/>
      <c r="C496" s="65" t="s">
        <v>817</v>
      </c>
      <c r="D496" s="65"/>
    </row>
    <row r="497" spans="1:4">
      <c r="A497" s="90"/>
      <c r="B497" s="80"/>
      <c r="C497" s="65" t="s">
        <v>818</v>
      </c>
      <c r="D497" s="65"/>
    </row>
    <row r="498" spans="1:4">
      <c r="A498" s="91"/>
      <c r="B498" s="81"/>
      <c r="C498" s="65" t="s">
        <v>79</v>
      </c>
      <c r="D498" s="65"/>
    </row>
    <row r="499" spans="1:4">
      <c r="A499" s="127"/>
      <c r="B499" s="132" t="s">
        <v>819</v>
      </c>
      <c r="C499" s="62" t="s">
        <v>523</v>
      </c>
      <c r="D499" s="62"/>
    </row>
    <row r="500" spans="1:4">
      <c r="A500" s="72"/>
      <c r="B500" s="132"/>
      <c r="C500" s="62" t="s">
        <v>820</v>
      </c>
      <c r="D500" s="62"/>
    </row>
    <row r="501" spans="1:4">
      <c r="A501" s="72"/>
      <c r="B501" s="132"/>
      <c r="C501" s="62" t="s">
        <v>821</v>
      </c>
      <c r="D501" s="62"/>
    </row>
    <row r="502" spans="1:4">
      <c r="A502" s="72"/>
      <c r="B502" s="132"/>
      <c r="C502" s="62" t="s">
        <v>822</v>
      </c>
      <c r="D502" s="62"/>
    </row>
    <row r="503" spans="1:4">
      <c r="A503" s="72"/>
      <c r="B503" s="132"/>
      <c r="C503" s="62" t="s">
        <v>823</v>
      </c>
      <c r="D503" s="62"/>
    </row>
    <row r="504" spans="1:4">
      <c r="A504" s="72"/>
      <c r="B504" s="132"/>
      <c r="C504" s="62" t="s">
        <v>824</v>
      </c>
      <c r="D504" s="62"/>
    </row>
    <row r="505" spans="1:4">
      <c r="A505" s="72"/>
      <c r="B505" s="132"/>
      <c r="C505" s="62" t="s">
        <v>825</v>
      </c>
      <c r="D505" s="62"/>
    </row>
    <row r="506" spans="1:4">
      <c r="A506" s="72"/>
      <c r="B506" s="132"/>
      <c r="C506" s="62" t="s">
        <v>71</v>
      </c>
      <c r="D506" s="62"/>
    </row>
    <row r="507" spans="1:4">
      <c r="A507" s="72"/>
      <c r="B507" s="132"/>
      <c r="C507" s="62" t="s">
        <v>826</v>
      </c>
      <c r="D507" s="62"/>
    </row>
    <row r="508" spans="1:4">
      <c r="A508" s="72"/>
      <c r="B508" s="132"/>
      <c r="C508" s="62" t="s">
        <v>827</v>
      </c>
      <c r="D508" s="62"/>
    </row>
    <row r="509" spans="1:4">
      <c r="A509" s="72"/>
      <c r="B509" s="132"/>
      <c r="C509" s="62" t="s">
        <v>828</v>
      </c>
      <c r="D509" s="62"/>
    </row>
    <row r="510" spans="1:4">
      <c r="A510" s="72"/>
      <c r="B510" s="132"/>
      <c r="C510" s="62" t="s">
        <v>829</v>
      </c>
      <c r="D510" s="62"/>
    </row>
    <row r="511" spans="1:4">
      <c r="A511" s="72"/>
      <c r="B511" s="132"/>
      <c r="C511" s="62" t="s">
        <v>830</v>
      </c>
      <c r="D511" s="62"/>
    </row>
    <row r="512" spans="1:4">
      <c r="A512" s="72"/>
      <c r="B512" s="132"/>
      <c r="C512" s="62" t="s">
        <v>566</v>
      </c>
      <c r="D512" s="62"/>
    </row>
    <row r="513" spans="1:4">
      <c r="A513" s="72"/>
      <c r="B513" s="132"/>
      <c r="C513" s="62" t="s">
        <v>72</v>
      </c>
      <c r="D513" s="62"/>
    </row>
    <row r="514" spans="1:4">
      <c r="A514" s="90"/>
      <c r="B514" s="76" t="s">
        <v>831</v>
      </c>
      <c r="C514" s="65" t="s">
        <v>102</v>
      </c>
      <c r="D514" s="65"/>
    </row>
    <row r="515" spans="1:4">
      <c r="A515" s="91"/>
      <c r="B515" s="78"/>
      <c r="C515" s="65" t="s">
        <v>74</v>
      </c>
      <c r="D515" s="65"/>
    </row>
    <row r="516" spans="1:4">
      <c r="A516" s="72"/>
      <c r="B516" s="132" t="s">
        <v>82</v>
      </c>
      <c r="C516" s="62" t="s">
        <v>832</v>
      </c>
      <c r="D516" s="62"/>
    </row>
    <row r="517" spans="1:4">
      <c r="A517" s="72"/>
      <c r="B517" s="132"/>
      <c r="C517" s="62" t="s">
        <v>96</v>
      </c>
      <c r="D517" s="62"/>
    </row>
    <row r="518" spans="1:4">
      <c r="A518" s="72"/>
      <c r="B518" s="132"/>
      <c r="C518" s="62" t="s">
        <v>833</v>
      </c>
      <c r="D518" s="62"/>
    </row>
    <row r="519" spans="1:4">
      <c r="A519" s="72"/>
      <c r="B519" s="132"/>
      <c r="C519" s="62" t="s">
        <v>834</v>
      </c>
      <c r="D519" s="62"/>
    </row>
    <row r="520" spans="1:4">
      <c r="A520" s="130"/>
      <c r="B520" s="76" t="s">
        <v>243</v>
      </c>
      <c r="C520" s="65" t="s">
        <v>835</v>
      </c>
      <c r="D520" s="65"/>
    </row>
    <row r="521" spans="1:4">
      <c r="A521" s="88"/>
      <c r="B521" s="77"/>
      <c r="C521" s="65" t="s">
        <v>836</v>
      </c>
      <c r="D521" s="65"/>
    </row>
    <row r="522" spans="1:4">
      <c r="A522" s="88"/>
      <c r="B522" s="77"/>
      <c r="C522" s="65" t="s">
        <v>837</v>
      </c>
      <c r="D522" s="65"/>
    </row>
    <row r="523" spans="1:4">
      <c r="A523" s="88"/>
      <c r="B523" s="77"/>
      <c r="C523" s="65" t="s">
        <v>838</v>
      </c>
      <c r="D523" s="65"/>
    </row>
    <row r="524" spans="1:4">
      <c r="A524" s="88"/>
      <c r="B524" s="77"/>
      <c r="C524" s="65" t="s">
        <v>839</v>
      </c>
      <c r="D524" s="65"/>
    </row>
    <row r="525" spans="1:4">
      <c r="A525" s="88"/>
      <c r="B525" s="77"/>
      <c r="C525" s="65" t="s">
        <v>840</v>
      </c>
      <c r="D525" s="65"/>
    </row>
    <row r="526" spans="1:4">
      <c r="A526" s="88"/>
      <c r="B526" s="77"/>
      <c r="C526" s="65" t="s">
        <v>841</v>
      </c>
      <c r="D526" s="65"/>
    </row>
    <row r="527" spans="1:4">
      <c r="A527" s="88"/>
      <c r="B527" s="77"/>
      <c r="C527" s="65" t="s">
        <v>842</v>
      </c>
      <c r="D527" s="65"/>
    </row>
    <row r="528" spans="1:4">
      <c r="A528" s="88"/>
      <c r="B528" s="77"/>
      <c r="C528" s="65" t="s">
        <v>118</v>
      </c>
      <c r="D528" s="65"/>
    </row>
    <row r="529" spans="1:4">
      <c r="A529" s="88"/>
      <c r="B529" s="77"/>
      <c r="C529" s="65" t="s">
        <v>827</v>
      </c>
      <c r="D529" s="65"/>
    </row>
    <row r="530" spans="1:4">
      <c r="B530" s="77"/>
      <c r="C530" s="65" t="s">
        <v>843</v>
      </c>
      <c r="D530" s="65"/>
    </row>
    <row r="531" spans="1:4" ht="15">
      <c r="A531" s="88"/>
      <c r="B531" s="77"/>
      <c r="C531" s="65" t="s">
        <v>844</v>
      </c>
      <c r="D531" s="65" t="s">
        <v>845</v>
      </c>
    </row>
    <row r="532" spans="1:4" ht="15">
      <c r="A532" s="88"/>
      <c r="B532" s="77"/>
      <c r="C532" s="65" t="s">
        <v>846</v>
      </c>
      <c r="D532" s="65" t="s">
        <v>845</v>
      </c>
    </row>
    <row r="533" spans="1:4" ht="15">
      <c r="A533" s="88"/>
      <c r="B533" s="77"/>
      <c r="C533" s="65" t="s">
        <v>847</v>
      </c>
      <c r="D533" s="65" t="s">
        <v>845</v>
      </c>
    </row>
    <row r="534" spans="1:4">
      <c r="A534" s="88"/>
      <c r="B534" s="77"/>
      <c r="C534" s="65" t="s">
        <v>848</v>
      </c>
      <c r="D534" s="65"/>
    </row>
    <row r="535" spans="1:4">
      <c r="A535" s="88"/>
      <c r="B535" s="77"/>
      <c r="C535" s="65" t="s">
        <v>849</v>
      </c>
      <c r="D535" s="65"/>
    </row>
    <row r="536" spans="1:4">
      <c r="A536" s="88"/>
      <c r="B536" s="77"/>
      <c r="C536" s="65" t="s">
        <v>850</v>
      </c>
      <c r="D536" s="65"/>
    </row>
    <row r="537" spans="1:4">
      <c r="A537" s="88"/>
      <c r="B537" s="77"/>
      <c r="C537" s="65" t="s">
        <v>851</v>
      </c>
      <c r="D537" s="65"/>
    </row>
    <row r="538" spans="1:4">
      <c r="A538" s="88"/>
      <c r="B538" s="77"/>
      <c r="C538" s="65" t="s">
        <v>852</v>
      </c>
      <c r="D538" s="65"/>
    </row>
    <row r="539" spans="1:4">
      <c r="A539" s="88"/>
      <c r="B539" s="77"/>
      <c r="C539" s="65" t="s">
        <v>853</v>
      </c>
      <c r="D539" s="65"/>
    </row>
    <row r="540" spans="1:4">
      <c r="A540" s="88"/>
      <c r="B540" s="77"/>
      <c r="C540" s="65" t="s">
        <v>854</v>
      </c>
      <c r="D540" s="65"/>
    </row>
    <row r="541" spans="1:4">
      <c r="A541" s="88"/>
      <c r="B541" s="77"/>
      <c r="C541" s="65" t="s">
        <v>855</v>
      </c>
      <c r="D541" s="65"/>
    </row>
    <row r="542" spans="1:4">
      <c r="A542" s="88"/>
      <c r="B542" s="77"/>
      <c r="C542" s="65" t="s">
        <v>566</v>
      </c>
      <c r="D542" s="65"/>
    </row>
    <row r="543" spans="1:4">
      <c r="A543" s="88"/>
      <c r="B543" s="77"/>
      <c r="C543" s="65" t="s">
        <v>72</v>
      </c>
      <c r="D543" s="66"/>
    </row>
    <row r="544" spans="1:4">
      <c r="A544" s="94"/>
      <c r="B544" s="67" t="s">
        <v>247</v>
      </c>
      <c r="C544" s="62" t="s">
        <v>102</v>
      </c>
      <c r="D544" s="62"/>
    </row>
    <row r="545" spans="1:4">
      <c r="A545" s="95"/>
      <c r="B545" s="131"/>
      <c r="C545" s="62" t="s">
        <v>74</v>
      </c>
      <c r="D545" s="62"/>
    </row>
    <row r="546" spans="1:4">
      <c r="A546" s="88"/>
      <c r="B546" s="76" t="s">
        <v>248</v>
      </c>
      <c r="C546" s="65" t="s">
        <v>856</v>
      </c>
      <c r="D546" s="65"/>
    </row>
    <row r="547" spans="1:4">
      <c r="A547" s="88"/>
      <c r="B547" s="77"/>
      <c r="C547" s="65" t="s">
        <v>857</v>
      </c>
      <c r="D547" s="65"/>
    </row>
    <row r="548" spans="1:4">
      <c r="A548" s="88"/>
      <c r="B548" s="77"/>
      <c r="C548" s="65" t="s">
        <v>858</v>
      </c>
      <c r="D548" s="65"/>
    </row>
    <row r="549" spans="1:4">
      <c r="A549" s="88"/>
      <c r="B549" s="77"/>
      <c r="C549" s="65" t="s">
        <v>859</v>
      </c>
      <c r="D549" s="65"/>
    </row>
    <row r="550" spans="1:4">
      <c r="A550" s="88"/>
      <c r="B550" s="77"/>
      <c r="C550" s="65" t="s">
        <v>860</v>
      </c>
      <c r="D550" s="65"/>
    </row>
    <row r="551" spans="1:4">
      <c r="A551" s="94"/>
      <c r="B551" s="67" t="s">
        <v>250</v>
      </c>
      <c r="C551" s="62" t="s">
        <v>102</v>
      </c>
      <c r="D551" s="62"/>
    </row>
    <row r="552" spans="1:4">
      <c r="A552" s="95"/>
      <c r="B552" s="131"/>
      <c r="C552" s="62" t="s">
        <v>74</v>
      </c>
      <c r="D552" s="62"/>
    </row>
    <row r="553" spans="1:4">
      <c r="A553" s="73"/>
      <c r="B553" s="76" t="s">
        <v>861</v>
      </c>
      <c r="C553" s="65" t="s">
        <v>862</v>
      </c>
      <c r="D553" s="65"/>
    </row>
    <row r="554" spans="1:4">
      <c r="A554" s="74"/>
      <c r="B554" s="74"/>
      <c r="C554" s="65" t="s">
        <v>863</v>
      </c>
      <c r="D554" s="65"/>
    </row>
    <row r="555" spans="1:4">
      <c r="A555" s="74"/>
      <c r="B555" s="74"/>
      <c r="C555" s="65" t="s">
        <v>864</v>
      </c>
      <c r="D555" s="65"/>
    </row>
    <row r="556" spans="1:4">
      <c r="A556" s="74"/>
      <c r="B556" s="74"/>
      <c r="C556" s="65" t="s">
        <v>865</v>
      </c>
      <c r="D556" s="65"/>
    </row>
    <row r="557" spans="1:4">
      <c r="A557" s="74"/>
      <c r="B557" s="74"/>
      <c r="C557" s="65" t="s">
        <v>866</v>
      </c>
      <c r="D557" s="65"/>
    </row>
    <row r="558" spans="1:4">
      <c r="A558" s="74"/>
      <c r="B558" s="74"/>
      <c r="C558" s="65" t="s">
        <v>867</v>
      </c>
      <c r="D558" s="65"/>
    </row>
    <row r="559" spans="1:4">
      <c r="A559" s="74"/>
      <c r="B559" s="74"/>
      <c r="C559" s="65" t="s">
        <v>868</v>
      </c>
      <c r="D559" s="65"/>
    </row>
    <row r="560" spans="1:4">
      <c r="A560" s="74"/>
      <c r="B560" s="74"/>
      <c r="C560" s="65" t="s">
        <v>869</v>
      </c>
      <c r="D560" s="65"/>
    </row>
    <row r="561" spans="1:4">
      <c r="A561" s="74"/>
      <c r="B561" s="74"/>
      <c r="C561" s="65" t="s">
        <v>870</v>
      </c>
      <c r="D561" s="65"/>
    </row>
    <row r="562" spans="1:4">
      <c r="A562" s="74"/>
      <c r="B562" s="74"/>
      <c r="C562" s="65" t="s">
        <v>871</v>
      </c>
      <c r="D562" s="65"/>
    </row>
    <row r="563" spans="1:4">
      <c r="A563" s="74"/>
      <c r="B563" s="74"/>
      <c r="C563" s="65" t="s">
        <v>872</v>
      </c>
      <c r="D563" s="65"/>
    </row>
    <row r="564" spans="1:4">
      <c r="A564" s="74"/>
      <c r="B564" s="74"/>
      <c r="C564" s="65" t="s">
        <v>873</v>
      </c>
      <c r="D564" s="65"/>
    </row>
    <row r="565" spans="1:4">
      <c r="A565" s="74"/>
      <c r="B565" s="74"/>
      <c r="C565" s="65" t="s">
        <v>874</v>
      </c>
      <c r="D565" s="65"/>
    </row>
    <row r="566" spans="1:4">
      <c r="A566" s="74"/>
      <c r="B566" s="74"/>
      <c r="C566" s="65" t="s">
        <v>875</v>
      </c>
      <c r="D566" s="65"/>
    </row>
    <row r="567" spans="1:4">
      <c r="A567" s="74"/>
      <c r="B567" s="74"/>
      <c r="C567" s="65" t="s">
        <v>876</v>
      </c>
      <c r="D567" s="65"/>
    </row>
    <row r="568" spans="1:4">
      <c r="A568" s="74"/>
      <c r="B568" s="74"/>
      <c r="C568" s="65" t="s">
        <v>877</v>
      </c>
      <c r="D568" s="65"/>
    </row>
    <row r="569" spans="1:4">
      <c r="A569" s="74"/>
      <c r="B569" s="74"/>
      <c r="C569" s="65" t="s">
        <v>878</v>
      </c>
      <c r="D569" s="65"/>
    </row>
    <row r="570" spans="1:4">
      <c r="A570" s="74"/>
      <c r="B570" s="74"/>
      <c r="C570" s="65" t="s">
        <v>879</v>
      </c>
      <c r="D570" s="65"/>
    </row>
    <row r="571" spans="1:4">
      <c r="A571" s="74"/>
      <c r="B571" s="74"/>
      <c r="C571" s="65" t="s">
        <v>880</v>
      </c>
      <c r="D571" s="65"/>
    </row>
    <row r="572" spans="1:4">
      <c r="A572" s="74"/>
      <c r="B572" s="74"/>
      <c r="C572" s="65" t="s">
        <v>881</v>
      </c>
      <c r="D572" s="65"/>
    </row>
    <row r="573" spans="1:4">
      <c r="A573" s="74"/>
      <c r="B573" s="74"/>
      <c r="C573" s="65" t="s">
        <v>882</v>
      </c>
      <c r="D573" s="65"/>
    </row>
    <row r="574" spans="1:4">
      <c r="A574" s="74"/>
      <c r="B574" s="74"/>
      <c r="C574" s="65" t="s">
        <v>883</v>
      </c>
      <c r="D574" s="65"/>
    </row>
    <row r="575" spans="1:4">
      <c r="A575" s="74"/>
      <c r="B575" s="74"/>
      <c r="C575" s="65" t="s">
        <v>884</v>
      </c>
      <c r="D575" s="65"/>
    </row>
    <row r="576" spans="1:4">
      <c r="A576" s="74"/>
      <c r="B576" s="74"/>
      <c r="C576" s="65" t="s">
        <v>885</v>
      </c>
      <c r="D576" s="65"/>
    </row>
    <row r="577" spans="1:5">
      <c r="A577" s="74"/>
      <c r="B577" s="74"/>
      <c r="C577" s="65" t="s">
        <v>886</v>
      </c>
      <c r="D577" s="65"/>
    </row>
    <row r="578" spans="1:5">
      <c r="A578" s="74"/>
      <c r="B578" s="74"/>
      <c r="C578" s="65" t="s">
        <v>887</v>
      </c>
      <c r="D578" s="65"/>
    </row>
    <row r="579" spans="1:5">
      <c r="A579" s="74"/>
      <c r="B579" s="74"/>
      <c r="C579" s="65" t="s">
        <v>888</v>
      </c>
      <c r="D579" s="65"/>
    </row>
    <row r="580" spans="1:5">
      <c r="A580" s="74"/>
      <c r="B580" s="74"/>
      <c r="C580" s="65" t="s">
        <v>889</v>
      </c>
      <c r="D580" s="65"/>
      <c r="E580" s="18" t="s">
        <v>315</v>
      </c>
    </row>
    <row r="581" spans="1:5">
      <c r="A581" s="74"/>
      <c r="B581" s="74"/>
      <c r="C581" s="65" t="s">
        <v>890</v>
      </c>
      <c r="D581" s="65"/>
      <c r="E581" s="18" t="s">
        <v>315</v>
      </c>
    </row>
    <row r="582" spans="1:5">
      <c r="A582" s="74"/>
      <c r="B582" s="74"/>
      <c r="C582" s="65" t="s">
        <v>891</v>
      </c>
      <c r="D582" s="65"/>
    </row>
    <row r="583" spans="1:5">
      <c r="A583" s="74"/>
      <c r="B583" s="74"/>
      <c r="C583" s="65" t="s">
        <v>892</v>
      </c>
      <c r="D583" s="65"/>
    </row>
    <row r="584" spans="1:5">
      <c r="A584" s="74"/>
      <c r="B584" s="74"/>
      <c r="C584" s="65" t="s">
        <v>893</v>
      </c>
      <c r="D584" s="65"/>
    </row>
    <row r="585" spans="1:5">
      <c r="A585" s="74"/>
      <c r="B585" s="74"/>
      <c r="C585" s="65" t="s">
        <v>894</v>
      </c>
      <c r="D585" s="65"/>
    </row>
    <row r="586" spans="1:5">
      <c r="A586" s="74"/>
      <c r="B586" s="74"/>
      <c r="C586" s="65" t="s">
        <v>895</v>
      </c>
      <c r="D586" s="65"/>
    </row>
    <row r="587" spans="1:5">
      <c r="A587" s="74"/>
      <c r="B587" s="74"/>
      <c r="C587" s="65" t="s">
        <v>896</v>
      </c>
      <c r="D587" s="65"/>
    </row>
    <row r="588" spans="1:5">
      <c r="A588" s="74"/>
      <c r="B588" s="74"/>
      <c r="C588" s="65" t="s">
        <v>897</v>
      </c>
      <c r="D588" s="65"/>
    </row>
    <row r="589" spans="1:5">
      <c r="A589" s="74"/>
      <c r="B589" s="74"/>
      <c r="C589" s="65" t="s">
        <v>898</v>
      </c>
      <c r="D589" s="65"/>
    </row>
    <row r="590" spans="1:5">
      <c r="A590" s="74"/>
      <c r="B590" s="74"/>
      <c r="C590" s="65" t="s">
        <v>899</v>
      </c>
      <c r="D590" s="65"/>
    </row>
    <row r="591" spans="1:5">
      <c r="A591" s="75"/>
      <c r="B591" s="75"/>
      <c r="C591" s="65" t="s">
        <v>900</v>
      </c>
      <c r="D591" s="65"/>
    </row>
    <row r="592" spans="1:5">
      <c r="A592" s="72"/>
      <c r="B592" s="132" t="s">
        <v>241</v>
      </c>
      <c r="C592" s="62" t="s">
        <v>901</v>
      </c>
      <c r="D592" s="62"/>
    </row>
    <row r="593" spans="1:5">
      <c r="A593" s="72"/>
      <c r="B593" s="132"/>
      <c r="C593" s="62" t="s">
        <v>902</v>
      </c>
      <c r="D593" s="62"/>
    </row>
    <row r="594" spans="1:5">
      <c r="A594" s="72"/>
      <c r="B594" s="132"/>
      <c r="C594" s="62" t="s">
        <v>72</v>
      </c>
      <c r="D594" s="62"/>
    </row>
    <row r="595" spans="1:5">
      <c r="A595" s="76"/>
      <c r="B595" s="82" t="s">
        <v>55</v>
      </c>
      <c r="C595" s="65" t="s">
        <v>102</v>
      </c>
      <c r="D595" s="65"/>
      <c r="E595" s="139"/>
    </row>
    <row r="596" spans="1:5">
      <c r="A596" s="133"/>
      <c r="B596" s="135"/>
      <c r="C596" s="134" t="s">
        <v>74</v>
      </c>
      <c r="D596" s="65"/>
    </row>
    <row r="597" spans="1:5">
      <c r="A597" s="127"/>
      <c r="B597" s="127" t="s">
        <v>130</v>
      </c>
      <c r="C597" s="62" t="s">
        <v>903</v>
      </c>
      <c r="D597" s="62"/>
    </row>
    <row r="598" spans="1:5">
      <c r="A598" s="72"/>
      <c r="B598" s="72"/>
      <c r="C598" s="62" t="s">
        <v>904</v>
      </c>
      <c r="D598" s="62"/>
    </row>
    <row r="599" spans="1:5">
      <c r="A599" s="72"/>
      <c r="B599" s="72"/>
      <c r="C599" s="62" t="s">
        <v>153</v>
      </c>
      <c r="D599" s="62"/>
    </row>
    <row r="600" spans="1:5">
      <c r="A600" s="72"/>
      <c r="B600" s="72"/>
      <c r="C600" s="62" t="s">
        <v>905</v>
      </c>
      <c r="D600" s="62"/>
    </row>
    <row r="601" spans="1:5">
      <c r="A601" s="72"/>
      <c r="B601" s="72"/>
      <c r="C601" s="62" t="s">
        <v>906</v>
      </c>
      <c r="D601" s="62"/>
    </row>
    <row r="602" spans="1:5">
      <c r="A602" s="72"/>
      <c r="B602" s="72"/>
      <c r="C602" s="62" t="s">
        <v>193</v>
      </c>
      <c r="D602" s="62"/>
    </row>
    <row r="603" spans="1:5">
      <c r="A603" s="72"/>
      <c r="B603" s="72"/>
      <c r="C603" s="62" t="s">
        <v>907</v>
      </c>
      <c r="D603" s="62"/>
    </row>
    <row r="604" spans="1:5">
      <c r="A604" s="72"/>
      <c r="B604" s="72"/>
      <c r="C604" s="62" t="s">
        <v>184</v>
      </c>
      <c r="D604" s="62"/>
    </row>
    <row r="605" spans="1:5">
      <c r="A605" s="72"/>
      <c r="B605" s="72"/>
      <c r="C605" s="62" t="s">
        <v>908</v>
      </c>
      <c r="D605" s="62"/>
    </row>
    <row r="606" spans="1:5">
      <c r="A606" s="72"/>
      <c r="B606" s="72"/>
      <c r="C606" s="62" t="s">
        <v>909</v>
      </c>
      <c r="D606" s="62"/>
    </row>
    <row r="607" spans="1:5">
      <c r="A607" s="72"/>
      <c r="B607" s="72"/>
      <c r="C607" s="62" t="s">
        <v>910</v>
      </c>
      <c r="D607" s="62"/>
    </row>
    <row r="608" spans="1:5">
      <c r="A608" s="72"/>
      <c r="B608" s="72"/>
      <c r="C608" s="62" t="s">
        <v>911</v>
      </c>
      <c r="D608" s="62"/>
    </row>
    <row r="609" spans="1:5">
      <c r="A609" s="72"/>
      <c r="B609" s="72"/>
      <c r="C609" s="62" t="s">
        <v>912</v>
      </c>
      <c r="D609" s="62"/>
    </row>
    <row r="610" spans="1:5">
      <c r="A610" s="72"/>
      <c r="B610" s="72"/>
      <c r="C610" s="62" t="s">
        <v>913</v>
      </c>
      <c r="D610" s="62"/>
    </row>
    <row r="611" spans="1:5">
      <c r="A611" s="72"/>
      <c r="B611" s="72"/>
      <c r="C611" s="62" t="s">
        <v>914</v>
      </c>
      <c r="D611" s="62"/>
    </row>
    <row r="612" spans="1:5">
      <c r="A612" s="72"/>
      <c r="B612" s="72"/>
      <c r="C612" s="62" t="s">
        <v>176</v>
      </c>
      <c r="D612" s="62"/>
    </row>
    <row r="613" spans="1:5">
      <c r="A613" s="72"/>
      <c r="B613" s="72"/>
      <c r="C613" s="62" t="s">
        <v>915</v>
      </c>
      <c r="D613" s="62"/>
    </row>
    <row r="614" spans="1:5">
      <c r="A614" s="72"/>
      <c r="B614" s="72"/>
      <c r="C614" s="62" t="s">
        <v>140</v>
      </c>
      <c r="D614" s="62"/>
    </row>
    <row r="615" spans="1:5">
      <c r="A615" s="72"/>
      <c r="B615" s="72"/>
      <c r="C615" s="62" t="s">
        <v>916</v>
      </c>
      <c r="D615" s="62"/>
    </row>
    <row r="616" spans="1:5">
      <c r="A616" s="72"/>
      <c r="B616" s="72"/>
      <c r="C616" s="62" t="s">
        <v>917</v>
      </c>
      <c r="D616" s="62"/>
    </row>
    <row r="617" spans="1:5">
      <c r="A617" s="72"/>
      <c r="B617" s="72"/>
      <c r="C617" s="62" t="s">
        <v>918</v>
      </c>
      <c r="D617" s="62"/>
    </row>
    <row r="618" spans="1:5">
      <c r="A618" s="72"/>
      <c r="B618" s="72"/>
      <c r="C618" s="62" t="s">
        <v>919</v>
      </c>
      <c r="D618" s="62"/>
    </row>
    <row r="619" spans="1:5">
      <c r="A619" s="72"/>
      <c r="B619" s="72"/>
      <c r="C619" s="62" t="s">
        <v>920</v>
      </c>
      <c r="D619" s="62"/>
    </row>
    <row r="620" spans="1:5">
      <c r="A620" s="72"/>
      <c r="B620" s="72"/>
      <c r="C620" s="62" t="s">
        <v>79</v>
      </c>
      <c r="D620" s="62"/>
    </row>
    <row r="621" spans="1:5">
      <c r="A621" s="72"/>
      <c r="B621" s="72"/>
      <c r="C621" s="62" t="s">
        <v>921</v>
      </c>
      <c r="D621" s="62"/>
      <c r="E621" s="18" t="s">
        <v>315</v>
      </c>
    </row>
    <row r="622" spans="1:5">
      <c r="A622" s="76"/>
      <c r="B622" s="76" t="s">
        <v>264</v>
      </c>
      <c r="C622" s="65" t="s">
        <v>922</v>
      </c>
      <c r="D622" s="65"/>
    </row>
    <row r="623" spans="1:5">
      <c r="A623" s="77"/>
      <c r="B623" s="77"/>
      <c r="C623" s="65" t="s">
        <v>923</v>
      </c>
      <c r="D623" s="65"/>
    </row>
    <row r="624" spans="1:5">
      <c r="A624" s="77"/>
      <c r="B624" s="77"/>
      <c r="C624" s="65" t="s">
        <v>924</v>
      </c>
      <c r="D624" s="65"/>
    </row>
    <row r="625" spans="1:5">
      <c r="A625" s="77"/>
      <c r="B625" s="77"/>
      <c r="C625" s="65" t="s">
        <v>925</v>
      </c>
      <c r="D625" s="65"/>
    </row>
    <row r="626" spans="1:5">
      <c r="A626" s="77"/>
      <c r="B626" s="77"/>
      <c r="C626" s="65" t="s">
        <v>926</v>
      </c>
      <c r="D626" s="65"/>
      <c r="E626" s="18" t="s">
        <v>315</v>
      </c>
    </row>
    <row r="627" spans="1:5">
      <c r="A627" s="77"/>
      <c r="B627" s="77"/>
      <c r="C627" s="65" t="s">
        <v>927</v>
      </c>
      <c r="D627" s="65"/>
    </row>
    <row r="628" spans="1:5">
      <c r="A628" s="77"/>
      <c r="B628" s="77"/>
      <c r="C628" s="65" t="s">
        <v>928</v>
      </c>
      <c r="D628" s="65"/>
    </row>
    <row r="629" spans="1:5">
      <c r="A629" s="77"/>
      <c r="B629" s="77"/>
      <c r="C629" s="65" t="s">
        <v>543</v>
      </c>
      <c r="D629" s="65"/>
    </row>
    <row r="630" spans="1:5">
      <c r="A630" s="77"/>
      <c r="B630" s="77"/>
      <c r="C630" s="65" t="s">
        <v>929</v>
      </c>
      <c r="D630" s="65"/>
    </row>
    <row r="631" spans="1:5">
      <c r="A631" s="77"/>
      <c r="B631" s="77"/>
      <c r="C631" s="65" t="s">
        <v>930</v>
      </c>
      <c r="D631" s="65"/>
    </row>
    <row r="632" spans="1:5">
      <c r="A632" s="77"/>
      <c r="B632" s="77"/>
      <c r="C632" s="65" t="s">
        <v>931</v>
      </c>
      <c r="D632" s="65"/>
    </row>
    <row r="633" spans="1:5">
      <c r="A633" s="78"/>
      <c r="B633" s="78"/>
      <c r="C633" s="65" t="s">
        <v>72</v>
      </c>
      <c r="D633" s="65"/>
    </row>
    <row r="634" spans="1:5">
      <c r="A634" s="72"/>
      <c r="B634" s="132" t="s">
        <v>265</v>
      </c>
      <c r="C634" s="62" t="s">
        <v>932</v>
      </c>
      <c r="D634" s="62" t="s">
        <v>933</v>
      </c>
    </row>
    <row r="635" spans="1:5">
      <c r="A635" s="72"/>
      <c r="B635" s="132"/>
      <c r="C635" s="62" t="s">
        <v>934</v>
      </c>
      <c r="D635" s="62" t="s">
        <v>935</v>
      </c>
    </row>
    <row r="636" spans="1:5">
      <c r="A636" s="72"/>
      <c r="B636" s="132"/>
      <c r="C636" s="62" t="s">
        <v>936</v>
      </c>
      <c r="D636" s="62" t="s">
        <v>937</v>
      </c>
    </row>
    <row r="637" spans="1:5">
      <c r="A637" s="72"/>
      <c r="B637" s="132"/>
      <c r="C637" s="62" t="s">
        <v>938</v>
      </c>
      <c r="D637" s="62" t="s">
        <v>939</v>
      </c>
    </row>
    <row r="638" spans="1:5">
      <c r="A638" s="72"/>
      <c r="B638" s="132"/>
      <c r="C638" s="62" t="s">
        <v>940</v>
      </c>
      <c r="D638" s="62" t="s">
        <v>941</v>
      </c>
    </row>
    <row r="639" spans="1:5">
      <c r="A639" s="72"/>
      <c r="B639" s="132"/>
      <c r="C639" s="62" t="s">
        <v>942</v>
      </c>
      <c r="D639" s="62" t="s">
        <v>943</v>
      </c>
    </row>
    <row r="640" spans="1:5">
      <c r="A640" s="72"/>
      <c r="B640" s="132"/>
      <c r="C640" s="62" t="s">
        <v>944</v>
      </c>
      <c r="D640" s="62" t="s">
        <v>945</v>
      </c>
    </row>
    <row r="641" spans="1:4">
      <c r="A641" s="72"/>
      <c r="B641" s="132"/>
      <c r="C641" s="62" t="s">
        <v>946</v>
      </c>
      <c r="D641" s="62" t="s">
        <v>946</v>
      </c>
    </row>
    <row r="642" spans="1:4">
      <c r="A642" s="72"/>
      <c r="B642" s="132"/>
      <c r="C642" s="62" t="s">
        <v>72</v>
      </c>
      <c r="D642" s="62"/>
    </row>
    <row r="643" spans="1:4">
      <c r="A643" s="79"/>
      <c r="B643" s="79" t="s">
        <v>947</v>
      </c>
      <c r="C643" s="65" t="s">
        <v>948</v>
      </c>
      <c r="D643" s="65" t="s">
        <v>949</v>
      </c>
    </row>
    <row r="644" spans="1:4">
      <c r="A644" s="80"/>
      <c r="B644" s="80"/>
      <c r="C644" s="65" t="s">
        <v>950</v>
      </c>
      <c r="D644" s="65" t="s">
        <v>951</v>
      </c>
    </row>
    <row r="645" spans="1:4">
      <c r="A645" s="80"/>
      <c r="B645" s="80"/>
      <c r="C645" s="65" t="s">
        <v>952</v>
      </c>
      <c r="D645" s="65" t="s">
        <v>953</v>
      </c>
    </row>
    <row r="646" spans="1:4">
      <c r="A646" s="80"/>
      <c r="B646" s="80"/>
      <c r="C646" s="65" t="s">
        <v>954</v>
      </c>
      <c r="D646" s="65" t="s">
        <v>955</v>
      </c>
    </row>
    <row r="647" spans="1:4">
      <c r="A647" s="80"/>
      <c r="B647" s="80"/>
      <c r="C647" s="65" t="s">
        <v>956</v>
      </c>
      <c r="D647" s="65"/>
    </row>
    <row r="648" spans="1:4">
      <c r="A648" s="81"/>
      <c r="B648" s="81"/>
      <c r="C648" s="65" t="s">
        <v>72</v>
      </c>
      <c r="D648" s="65"/>
    </row>
    <row r="649" spans="1:4">
      <c r="A649" s="72"/>
      <c r="B649" s="132" t="s">
        <v>87</v>
      </c>
      <c r="C649" s="62" t="s">
        <v>103</v>
      </c>
      <c r="D649" s="62"/>
    </row>
    <row r="650" spans="1:4">
      <c r="A650" s="72"/>
      <c r="B650" s="132"/>
      <c r="C650" s="62" t="s">
        <v>145</v>
      </c>
      <c r="D650" s="62"/>
    </row>
    <row r="651" spans="1:4">
      <c r="A651" s="72"/>
      <c r="B651" s="132"/>
      <c r="C651" s="62" t="s">
        <v>957</v>
      </c>
      <c r="D651" s="62"/>
    </row>
    <row r="652" spans="1:4">
      <c r="A652" s="72"/>
      <c r="B652" s="132"/>
      <c r="C652" s="62" t="s">
        <v>958</v>
      </c>
      <c r="D652" s="62"/>
    </row>
    <row r="653" spans="1:4">
      <c r="A653" s="72"/>
      <c r="B653" s="132"/>
      <c r="C653" s="62" t="s">
        <v>72</v>
      </c>
      <c r="D653" s="62"/>
    </row>
    <row r="654" spans="1:4">
      <c r="A654" s="79"/>
      <c r="B654" s="79" t="s">
        <v>88</v>
      </c>
      <c r="C654" s="65" t="s">
        <v>104</v>
      </c>
      <c r="D654" s="65"/>
    </row>
    <row r="655" spans="1:4">
      <c r="A655" s="80"/>
      <c r="B655" s="80"/>
      <c r="C655" s="65" t="s">
        <v>146</v>
      </c>
      <c r="D655" s="65"/>
    </row>
    <row r="656" spans="1:4">
      <c r="A656" s="72"/>
      <c r="B656" s="132" t="s">
        <v>22</v>
      </c>
      <c r="C656" s="62" t="s">
        <v>36</v>
      </c>
      <c r="D656" s="62"/>
    </row>
    <row r="657" spans="1:4">
      <c r="A657" s="72"/>
      <c r="B657" s="132"/>
      <c r="C657" s="62" t="s">
        <v>959</v>
      </c>
      <c r="D657" s="62"/>
    </row>
    <row r="658" spans="1:4">
      <c r="A658" s="79"/>
      <c r="B658" s="79" t="s">
        <v>221</v>
      </c>
      <c r="C658" s="65" t="s">
        <v>960</v>
      </c>
      <c r="D658" s="65"/>
    </row>
    <row r="659" spans="1:4">
      <c r="A659" s="80"/>
      <c r="B659" s="80"/>
      <c r="C659" s="65" t="s">
        <v>961</v>
      </c>
      <c r="D659" s="65"/>
    </row>
    <row r="660" spans="1:4">
      <c r="A660" s="80"/>
      <c r="B660" s="80"/>
      <c r="C660" s="65" t="s">
        <v>962</v>
      </c>
      <c r="D660" s="65"/>
    </row>
    <row r="661" spans="1:4">
      <c r="A661" s="80"/>
      <c r="B661" s="80"/>
      <c r="C661" s="65" t="s">
        <v>963</v>
      </c>
      <c r="D661" s="65"/>
    </row>
    <row r="662" spans="1:4">
      <c r="A662" s="80"/>
      <c r="B662" s="80"/>
      <c r="C662" s="65" t="s">
        <v>964</v>
      </c>
      <c r="D662" s="65"/>
    </row>
    <row r="663" spans="1:4">
      <c r="A663" s="80"/>
      <c r="B663" s="80"/>
      <c r="C663" s="65" t="s">
        <v>965</v>
      </c>
      <c r="D663" s="65"/>
    </row>
    <row r="664" spans="1:4">
      <c r="A664" s="80"/>
      <c r="B664" s="80"/>
      <c r="C664" s="65" t="s">
        <v>72</v>
      </c>
      <c r="D664" s="65"/>
    </row>
    <row r="665" spans="1:4">
      <c r="A665" s="81"/>
      <c r="B665" s="81"/>
      <c r="C665" s="65" t="s">
        <v>966</v>
      </c>
      <c r="D665" s="65"/>
    </row>
    <row r="666" spans="1:4">
      <c r="A666" s="72"/>
      <c r="B666" s="132" t="s">
        <v>222</v>
      </c>
      <c r="C666" s="62" t="s">
        <v>967</v>
      </c>
      <c r="D666" s="62"/>
    </row>
    <row r="667" spans="1:4">
      <c r="A667" s="72"/>
      <c r="B667" s="132"/>
      <c r="C667" s="62" t="s">
        <v>968</v>
      </c>
      <c r="D667" s="62"/>
    </row>
    <row r="668" spans="1:4">
      <c r="A668" s="79"/>
      <c r="B668" s="79" t="s">
        <v>53</v>
      </c>
      <c r="C668" s="65" t="s">
        <v>969</v>
      </c>
      <c r="D668" s="65"/>
    </row>
    <row r="669" spans="1:4">
      <c r="A669" s="80"/>
      <c r="B669" s="80"/>
      <c r="C669" s="65" t="s">
        <v>970</v>
      </c>
      <c r="D669" s="65"/>
    </row>
    <row r="670" spans="1:4">
      <c r="A670" s="80"/>
      <c r="B670" s="80"/>
      <c r="C670" s="65" t="s">
        <v>971</v>
      </c>
      <c r="D670" s="65"/>
    </row>
    <row r="671" spans="1:4">
      <c r="A671" s="80"/>
      <c r="B671" s="80"/>
      <c r="C671" s="65" t="s">
        <v>972</v>
      </c>
      <c r="D671" s="65"/>
    </row>
    <row r="672" spans="1:4">
      <c r="A672" s="80"/>
      <c r="B672" s="80"/>
      <c r="C672" s="65" t="s">
        <v>973</v>
      </c>
      <c r="D672" s="65"/>
    </row>
    <row r="673" spans="1:4">
      <c r="A673" s="80"/>
      <c r="B673" s="80"/>
      <c r="C673" s="65" t="s">
        <v>974</v>
      </c>
      <c r="D673" s="65"/>
    </row>
    <row r="674" spans="1:4">
      <c r="A674" s="80"/>
      <c r="B674" s="80"/>
      <c r="C674" s="65" t="s">
        <v>975</v>
      </c>
      <c r="D674" s="65"/>
    </row>
    <row r="675" spans="1:4">
      <c r="A675" s="80"/>
      <c r="B675" s="80"/>
      <c r="C675" s="65" t="s">
        <v>976</v>
      </c>
      <c r="D675" s="65"/>
    </row>
    <row r="676" spans="1:4">
      <c r="A676" s="80"/>
      <c r="B676" s="80"/>
      <c r="C676" s="65" t="s">
        <v>977</v>
      </c>
      <c r="D676" s="65"/>
    </row>
    <row r="677" spans="1:4">
      <c r="A677" s="80"/>
      <c r="B677" s="80"/>
      <c r="C677" s="65" t="s">
        <v>978</v>
      </c>
      <c r="D677" s="65"/>
    </row>
    <row r="678" spans="1:4">
      <c r="A678" s="80"/>
      <c r="B678" s="80"/>
      <c r="C678" s="65" t="s">
        <v>79</v>
      </c>
      <c r="D678" s="65"/>
    </row>
    <row r="679" spans="1:4">
      <c r="A679" s="81"/>
      <c r="B679" s="81"/>
      <c r="C679" s="65" t="s">
        <v>966</v>
      </c>
      <c r="D679" s="65"/>
    </row>
    <row r="680" spans="1:4">
      <c r="A680" s="101"/>
      <c r="B680" s="101" t="s">
        <v>225</v>
      </c>
      <c r="C680" s="62" t="s">
        <v>960</v>
      </c>
      <c r="D680" s="62"/>
    </row>
    <row r="681" spans="1:4">
      <c r="A681" s="103"/>
      <c r="B681" s="103"/>
      <c r="C681" s="62" t="s">
        <v>961</v>
      </c>
      <c r="D681" s="62"/>
    </row>
    <row r="682" spans="1:4">
      <c r="A682" s="103"/>
      <c r="B682" s="103"/>
      <c r="C682" s="62" t="s">
        <v>962</v>
      </c>
      <c r="D682" s="62"/>
    </row>
    <row r="683" spans="1:4">
      <c r="A683" s="103"/>
      <c r="B683" s="103"/>
      <c r="C683" s="62" t="s">
        <v>963</v>
      </c>
      <c r="D683" s="62"/>
    </row>
    <row r="684" spans="1:4">
      <c r="A684" s="103"/>
      <c r="B684" s="103"/>
      <c r="C684" s="62" t="s">
        <v>964</v>
      </c>
      <c r="D684" s="62"/>
    </row>
    <row r="685" spans="1:4">
      <c r="A685" s="103"/>
      <c r="B685" s="103"/>
      <c r="C685" s="62" t="s">
        <v>965</v>
      </c>
      <c r="D685" s="62"/>
    </row>
    <row r="686" spans="1:4">
      <c r="A686" s="103"/>
      <c r="B686" s="103"/>
      <c r="C686" s="62" t="s">
        <v>72</v>
      </c>
      <c r="D686" s="62"/>
    </row>
    <row r="687" spans="1:4">
      <c r="A687" s="103"/>
      <c r="B687" s="103"/>
      <c r="C687" s="62" t="s">
        <v>966</v>
      </c>
      <c r="D687" s="62"/>
    </row>
    <row r="688" spans="1:4">
      <c r="A688" s="79"/>
      <c r="B688" s="76" t="s">
        <v>979</v>
      </c>
      <c r="C688" s="65" t="s">
        <v>980</v>
      </c>
      <c r="D688" s="65"/>
    </row>
    <row r="689" spans="1:4">
      <c r="A689" s="80"/>
      <c r="B689" s="78"/>
      <c r="C689" s="65" t="s">
        <v>981</v>
      </c>
      <c r="D689" s="65"/>
    </row>
    <row r="690" spans="1:4">
      <c r="A690" s="101"/>
      <c r="B690" s="101" t="s">
        <v>224</v>
      </c>
      <c r="C690" s="62" t="s">
        <v>982</v>
      </c>
      <c r="D690" s="62"/>
    </row>
    <row r="691" spans="1:4">
      <c r="A691" s="103"/>
      <c r="B691" s="103"/>
      <c r="C691" s="62" t="s">
        <v>983</v>
      </c>
      <c r="D691" s="62"/>
    </row>
    <row r="692" spans="1:4">
      <c r="A692" s="79"/>
      <c r="B692" s="79" t="s">
        <v>216</v>
      </c>
      <c r="C692" s="65" t="s">
        <v>984</v>
      </c>
      <c r="D692" s="65"/>
    </row>
    <row r="693" spans="1:4">
      <c r="A693" s="80"/>
      <c r="B693" s="80"/>
      <c r="C693" s="65" t="s">
        <v>825</v>
      </c>
      <c r="D693" s="65"/>
    </row>
    <row r="694" spans="1:4">
      <c r="A694" s="80"/>
      <c r="B694" s="80"/>
      <c r="C694" s="65" t="s">
        <v>985</v>
      </c>
      <c r="D694" s="65"/>
    </row>
    <row r="695" spans="1:4">
      <c r="A695" s="80"/>
      <c r="B695" s="80"/>
      <c r="C695" s="65" t="s">
        <v>986</v>
      </c>
      <c r="D695" s="65"/>
    </row>
    <row r="696" spans="1:4">
      <c r="A696" s="80"/>
      <c r="B696" s="80"/>
      <c r="C696" s="65" t="s">
        <v>987</v>
      </c>
      <c r="D696" s="65"/>
    </row>
    <row r="697" spans="1:4">
      <c r="A697" s="80"/>
      <c r="B697" s="80"/>
      <c r="C697" s="65" t="s">
        <v>50</v>
      </c>
      <c r="D697" s="65"/>
    </row>
    <row r="698" spans="1:4">
      <c r="A698" s="80"/>
      <c r="B698" s="80"/>
      <c r="C698" s="65" t="s">
        <v>988</v>
      </c>
      <c r="D698" s="65"/>
    </row>
    <row r="699" spans="1:4">
      <c r="A699" s="80"/>
      <c r="B699" s="80"/>
      <c r="C699" s="65" t="s">
        <v>989</v>
      </c>
      <c r="D699" s="65"/>
    </row>
    <row r="700" spans="1:4">
      <c r="A700" s="80"/>
      <c r="B700" s="80"/>
      <c r="C700" s="65" t="s">
        <v>72</v>
      </c>
      <c r="D700" s="65"/>
    </row>
    <row r="701" spans="1:4">
      <c r="A701" s="101"/>
      <c r="B701" s="101" t="s">
        <v>217</v>
      </c>
      <c r="C701" s="62" t="s">
        <v>519</v>
      </c>
      <c r="D701" s="62"/>
    </row>
    <row r="702" spans="1:4">
      <c r="A702" s="103"/>
      <c r="B702" s="103"/>
      <c r="C702" s="62" t="s">
        <v>520</v>
      </c>
      <c r="D702" s="62"/>
    </row>
    <row r="703" spans="1:4">
      <c r="A703" s="103"/>
      <c r="B703" s="103"/>
      <c r="C703" s="62" t="s">
        <v>521</v>
      </c>
      <c r="D703" s="62"/>
    </row>
    <row r="704" spans="1:4">
      <c r="A704" s="103"/>
      <c r="B704" s="103"/>
      <c r="C704" s="62" t="s">
        <v>522</v>
      </c>
      <c r="D704" s="62"/>
    </row>
    <row r="705" spans="1:5">
      <c r="A705" s="103"/>
      <c r="B705" s="103"/>
      <c r="C705" s="62" t="s">
        <v>523</v>
      </c>
      <c r="D705" s="62"/>
    </row>
    <row r="706" spans="1:5">
      <c r="A706" s="103"/>
      <c r="B706" s="103"/>
      <c r="C706" s="62" t="s">
        <v>524</v>
      </c>
      <c r="D706" s="62"/>
    </row>
    <row r="707" spans="1:5">
      <c r="A707" s="103"/>
      <c r="B707" s="103"/>
      <c r="C707" s="62" t="s">
        <v>526</v>
      </c>
      <c r="D707" s="62"/>
    </row>
    <row r="708" spans="1:5">
      <c r="A708" s="103"/>
      <c r="B708" s="103"/>
      <c r="C708" s="62" t="s">
        <v>527</v>
      </c>
      <c r="D708" s="62"/>
    </row>
    <row r="709" spans="1:5">
      <c r="A709" s="103"/>
      <c r="B709" s="103"/>
      <c r="C709" s="62" t="s">
        <v>528</v>
      </c>
      <c r="D709" s="62"/>
    </row>
    <row r="710" spans="1:5">
      <c r="A710" s="103"/>
      <c r="B710" s="103"/>
      <c r="C710" s="62" t="s">
        <v>529</v>
      </c>
      <c r="D710" s="62"/>
    </row>
    <row r="711" spans="1:5">
      <c r="A711" s="103"/>
      <c r="B711" s="103"/>
      <c r="C711" s="62" t="s">
        <v>530</v>
      </c>
      <c r="D711" s="62"/>
    </row>
    <row r="712" spans="1:5">
      <c r="A712" s="103"/>
      <c r="B712" s="103"/>
      <c r="C712" s="62" t="s">
        <v>531</v>
      </c>
      <c r="D712" s="62"/>
    </row>
    <row r="713" spans="1:5">
      <c r="A713" s="103"/>
      <c r="B713" s="103"/>
      <c r="C713" s="62" t="s">
        <v>532</v>
      </c>
      <c r="D713" s="62"/>
    </row>
    <row r="714" spans="1:5">
      <c r="A714" s="103"/>
      <c r="B714" s="103"/>
      <c r="C714" s="62" t="s">
        <v>533</v>
      </c>
      <c r="D714" s="62"/>
    </row>
    <row r="715" spans="1:5">
      <c r="A715" s="103"/>
      <c r="B715" s="103"/>
      <c r="C715" s="62" t="s">
        <v>534</v>
      </c>
      <c r="D715" s="62"/>
    </row>
    <row r="716" spans="1:5">
      <c r="A716" s="103"/>
      <c r="B716" s="103"/>
      <c r="C716" s="62" t="s">
        <v>535</v>
      </c>
      <c r="D716" s="62" t="s">
        <v>536</v>
      </c>
      <c r="E716" s="18" t="s">
        <v>315</v>
      </c>
    </row>
    <row r="717" spans="1:5">
      <c r="A717" s="103"/>
      <c r="B717" s="103"/>
      <c r="C717" s="62" t="s">
        <v>123</v>
      </c>
      <c r="D717" s="62"/>
    </row>
    <row r="718" spans="1:5">
      <c r="A718" s="103"/>
      <c r="B718" s="103"/>
      <c r="C718" s="62" t="s">
        <v>537</v>
      </c>
      <c r="D718" s="62"/>
    </row>
    <row r="719" spans="1:5">
      <c r="A719" s="103"/>
      <c r="B719" s="103"/>
      <c r="C719" s="62" t="s">
        <v>97</v>
      </c>
      <c r="D719" s="62"/>
    </row>
    <row r="720" spans="1:5">
      <c r="A720" s="103"/>
      <c r="B720" s="103"/>
      <c r="C720" s="62" t="s">
        <v>538</v>
      </c>
      <c r="D720" s="62"/>
    </row>
    <row r="721" spans="1:4">
      <c r="A721" s="103"/>
      <c r="B721" s="103"/>
      <c r="C721" s="62" t="s">
        <v>539</v>
      </c>
      <c r="D721" s="62"/>
    </row>
    <row r="722" spans="1:4">
      <c r="A722" s="103"/>
      <c r="B722" s="103"/>
      <c r="C722" s="62" t="s">
        <v>540</v>
      </c>
      <c r="D722" s="62"/>
    </row>
    <row r="723" spans="1:4">
      <c r="A723" s="103"/>
      <c r="B723" s="103"/>
      <c r="C723" s="62" t="s">
        <v>541</v>
      </c>
      <c r="D723" s="62"/>
    </row>
    <row r="724" spans="1:4">
      <c r="A724" s="103"/>
      <c r="B724" s="103"/>
      <c r="C724" s="62" t="s">
        <v>542</v>
      </c>
      <c r="D724" s="62"/>
    </row>
    <row r="725" spans="1:4">
      <c r="A725" s="103"/>
      <c r="B725" s="103"/>
      <c r="C725" s="62" t="s">
        <v>543</v>
      </c>
      <c r="D725" s="62"/>
    </row>
    <row r="726" spans="1:4">
      <c r="A726" s="103"/>
      <c r="B726" s="103"/>
      <c r="C726" s="62" t="s">
        <v>111</v>
      </c>
      <c r="D726" s="62"/>
    </row>
    <row r="727" spans="1:4">
      <c r="A727" s="103"/>
      <c r="B727" s="103"/>
      <c r="C727" s="62" t="s">
        <v>544</v>
      </c>
      <c r="D727" s="62"/>
    </row>
    <row r="728" spans="1:4">
      <c r="A728" s="103"/>
      <c r="B728" s="103"/>
      <c r="C728" s="62" t="s">
        <v>545</v>
      </c>
      <c r="D728" s="62"/>
    </row>
    <row r="729" spans="1:4">
      <c r="A729" s="103"/>
      <c r="B729" s="103"/>
      <c r="C729" s="62" t="s">
        <v>546</v>
      </c>
      <c r="D729" s="62"/>
    </row>
    <row r="730" spans="1:4">
      <c r="A730" s="103"/>
      <c r="B730" s="103"/>
      <c r="C730" s="62" t="s">
        <v>547</v>
      </c>
      <c r="D730" s="62"/>
    </row>
    <row r="731" spans="1:4">
      <c r="A731" s="103"/>
      <c r="B731" s="103"/>
      <c r="C731" s="62" t="s">
        <v>548</v>
      </c>
      <c r="D731" s="62"/>
    </row>
    <row r="732" spans="1:4">
      <c r="A732" s="103"/>
      <c r="B732" s="103"/>
      <c r="C732" s="62" t="s">
        <v>549</v>
      </c>
      <c r="D732" s="62"/>
    </row>
    <row r="733" spans="1:4">
      <c r="A733" s="103"/>
      <c r="B733" s="103"/>
      <c r="C733" s="62" t="s">
        <v>550</v>
      </c>
      <c r="D733" s="62"/>
    </row>
    <row r="734" spans="1:4">
      <c r="A734" s="103"/>
      <c r="B734" s="103"/>
      <c r="C734" s="62" t="s">
        <v>551</v>
      </c>
      <c r="D734" s="62"/>
    </row>
    <row r="735" spans="1:4">
      <c r="A735" s="103"/>
      <c r="B735" s="103"/>
      <c r="C735" s="62" t="s">
        <v>552</v>
      </c>
      <c r="D735" s="62"/>
    </row>
    <row r="736" spans="1:4">
      <c r="A736" s="103"/>
      <c r="B736" s="103"/>
      <c r="C736" s="62" t="s">
        <v>553</v>
      </c>
      <c r="D736" s="62"/>
    </row>
    <row r="737" spans="1:4">
      <c r="A737" s="103"/>
      <c r="B737" s="103"/>
      <c r="C737" s="62" t="s">
        <v>554</v>
      </c>
      <c r="D737" s="62"/>
    </row>
    <row r="738" spans="1:4">
      <c r="A738" s="103"/>
      <c r="B738" s="103"/>
      <c r="C738" s="62" t="s">
        <v>555</v>
      </c>
      <c r="D738" s="62"/>
    </row>
    <row r="739" spans="1:4">
      <c r="A739" s="103"/>
      <c r="B739" s="103"/>
      <c r="C739" s="62" t="s">
        <v>556</v>
      </c>
      <c r="D739" s="62"/>
    </row>
    <row r="740" spans="1:4">
      <c r="A740" s="103"/>
      <c r="B740" s="103"/>
      <c r="C740" s="62" t="s">
        <v>557</v>
      </c>
      <c r="D740" s="62"/>
    </row>
    <row r="741" spans="1:4">
      <c r="A741" s="103"/>
      <c r="B741" s="103"/>
      <c r="C741" s="62" t="s">
        <v>558</v>
      </c>
      <c r="D741" s="62"/>
    </row>
    <row r="742" spans="1:4">
      <c r="A742" s="103"/>
      <c r="B742" s="103"/>
      <c r="C742" s="62" t="s">
        <v>559</v>
      </c>
      <c r="D742" s="62"/>
    </row>
    <row r="743" spans="1:4">
      <c r="A743" s="103"/>
      <c r="B743" s="103"/>
      <c r="C743" s="62" t="s">
        <v>560</v>
      </c>
      <c r="D743" s="62"/>
    </row>
    <row r="744" spans="1:4">
      <c r="A744" s="103"/>
      <c r="B744" s="103"/>
      <c r="C744" s="62" t="s">
        <v>561</v>
      </c>
      <c r="D744" s="62"/>
    </row>
    <row r="745" spans="1:4">
      <c r="A745" s="103"/>
      <c r="B745" s="103"/>
      <c r="C745" s="62" t="s">
        <v>562</v>
      </c>
      <c r="D745" s="62"/>
    </row>
    <row r="746" spans="1:4">
      <c r="A746" s="103"/>
      <c r="B746" s="103"/>
      <c r="C746" s="62" t="s">
        <v>563</v>
      </c>
      <c r="D746" s="62"/>
    </row>
    <row r="747" spans="1:4">
      <c r="A747" s="103"/>
      <c r="B747" s="103"/>
      <c r="C747" s="62" t="s">
        <v>564</v>
      </c>
      <c r="D747" s="62"/>
    </row>
    <row r="748" spans="1:4">
      <c r="A748" s="103"/>
      <c r="B748" s="103"/>
      <c r="C748" s="62" t="s">
        <v>565</v>
      </c>
      <c r="D748" s="62"/>
    </row>
    <row r="749" spans="1:4">
      <c r="A749" s="103"/>
      <c r="B749" s="103"/>
      <c r="C749" s="62" t="s">
        <v>566</v>
      </c>
      <c r="D749" s="62"/>
    </row>
    <row r="750" spans="1:4">
      <c r="A750" s="103"/>
      <c r="B750" s="103"/>
      <c r="C750" s="62" t="s">
        <v>30</v>
      </c>
      <c r="D750" s="62"/>
    </row>
    <row r="751" spans="1:4">
      <c r="A751" s="103"/>
      <c r="B751" s="103"/>
      <c r="C751" s="62" t="s">
        <v>308</v>
      </c>
      <c r="D751" s="62"/>
    </row>
    <row r="752" spans="1:4">
      <c r="A752" s="103"/>
      <c r="B752" s="103"/>
      <c r="C752" s="62" t="s">
        <v>309</v>
      </c>
      <c r="D752" s="62"/>
    </row>
    <row r="753" spans="1:4">
      <c r="A753" s="103"/>
      <c r="B753" s="103"/>
      <c r="C753" s="62" t="s">
        <v>310</v>
      </c>
      <c r="D753" s="62"/>
    </row>
    <row r="754" spans="1:4">
      <c r="A754" s="103"/>
      <c r="B754" s="103"/>
      <c r="C754" s="62" t="s">
        <v>311</v>
      </c>
      <c r="D754" s="62"/>
    </row>
    <row r="755" spans="1:4">
      <c r="A755" s="103"/>
      <c r="B755" s="103"/>
      <c r="C755" s="62" t="s">
        <v>312</v>
      </c>
      <c r="D755" s="62"/>
    </row>
    <row r="756" spans="1:4">
      <c r="A756" s="103"/>
      <c r="B756" s="103"/>
      <c r="C756" s="62" t="s">
        <v>313</v>
      </c>
      <c r="D756" s="62"/>
    </row>
    <row r="757" spans="1:4">
      <c r="A757" s="103"/>
      <c r="B757" s="103"/>
      <c r="C757" s="62" t="s">
        <v>314</v>
      </c>
      <c r="D757" s="62"/>
    </row>
    <row r="758" spans="1:4">
      <c r="A758" s="103"/>
      <c r="B758" s="103"/>
      <c r="C758" s="62" t="s">
        <v>316</v>
      </c>
      <c r="D758" s="62"/>
    </row>
    <row r="759" spans="1:4">
      <c r="A759" s="103"/>
      <c r="B759" s="103"/>
      <c r="C759" s="62" t="s">
        <v>317</v>
      </c>
      <c r="D759" s="62"/>
    </row>
    <row r="760" spans="1:4">
      <c r="A760" s="103"/>
      <c r="B760" s="103"/>
      <c r="C760" s="62" t="s">
        <v>159</v>
      </c>
      <c r="D760" s="62"/>
    </row>
    <row r="761" spans="1:4">
      <c r="A761" s="103"/>
      <c r="B761" s="103"/>
      <c r="C761" s="62" t="s">
        <v>318</v>
      </c>
      <c r="D761" s="62"/>
    </row>
    <row r="762" spans="1:4">
      <c r="A762" s="103"/>
      <c r="B762" s="103"/>
      <c r="C762" s="62" t="s">
        <v>319</v>
      </c>
      <c r="D762" s="62"/>
    </row>
    <row r="763" spans="1:4">
      <c r="A763" s="103"/>
      <c r="B763" s="103"/>
      <c r="C763" s="62" t="s">
        <v>320</v>
      </c>
      <c r="D763" s="62"/>
    </row>
    <row r="764" spans="1:4">
      <c r="A764" s="103"/>
      <c r="B764" s="103"/>
      <c r="C764" s="62" t="s">
        <v>321</v>
      </c>
      <c r="D764" s="62"/>
    </row>
    <row r="765" spans="1:4">
      <c r="A765" s="103"/>
      <c r="B765" s="103"/>
      <c r="C765" s="62" t="s">
        <v>322</v>
      </c>
      <c r="D765" s="62"/>
    </row>
    <row r="766" spans="1:4">
      <c r="A766" s="103"/>
      <c r="B766" s="103"/>
      <c r="C766" s="62" t="s">
        <v>323</v>
      </c>
      <c r="D766" s="62"/>
    </row>
    <row r="767" spans="1:4">
      <c r="A767" s="103"/>
      <c r="B767" s="103"/>
      <c r="C767" s="62" t="s">
        <v>179</v>
      </c>
      <c r="D767" s="62"/>
    </row>
    <row r="768" spans="1:4">
      <c r="A768" s="103"/>
      <c r="B768" s="103"/>
      <c r="C768" s="62" t="s">
        <v>324</v>
      </c>
      <c r="D768" s="62"/>
    </row>
    <row r="769" spans="1:5">
      <c r="A769" s="103"/>
      <c r="B769" s="103"/>
      <c r="C769" s="62" t="s">
        <v>325</v>
      </c>
      <c r="D769" s="62"/>
    </row>
    <row r="770" spans="1:5">
      <c r="A770" s="103"/>
      <c r="B770" s="103"/>
      <c r="C770" s="62" t="s">
        <v>326</v>
      </c>
      <c r="D770" s="62"/>
    </row>
    <row r="771" spans="1:5">
      <c r="A771" s="103"/>
      <c r="B771" s="103"/>
      <c r="C771" s="62" t="s">
        <v>327</v>
      </c>
      <c r="D771" s="62"/>
    </row>
    <row r="772" spans="1:5">
      <c r="A772" s="103"/>
      <c r="B772" s="103"/>
      <c r="C772" s="62" t="s">
        <v>328</v>
      </c>
      <c r="D772" s="62"/>
    </row>
    <row r="773" spans="1:5">
      <c r="A773" s="103"/>
      <c r="B773" s="103"/>
      <c r="C773" s="62" t="s">
        <v>329</v>
      </c>
      <c r="D773" s="62"/>
    </row>
    <row r="774" spans="1:5">
      <c r="A774" s="103"/>
      <c r="B774" s="103"/>
      <c r="C774" s="62" t="s">
        <v>330</v>
      </c>
      <c r="D774" s="62"/>
    </row>
    <row r="775" spans="1:5">
      <c r="A775" s="103"/>
      <c r="B775" s="103"/>
      <c r="C775" s="62" t="s">
        <v>331</v>
      </c>
      <c r="D775" s="62"/>
    </row>
    <row r="776" spans="1:5">
      <c r="A776" s="103"/>
      <c r="B776" s="103"/>
      <c r="C776" s="62" t="s">
        <v>142</v>
      </c>
      <c r="D776" s="62"/>
    </row>
    <row r="777" spans="1:5">
      <c r="A777" s="103"/>
      <c r="B777" s="103"/>
      <c r="C777" s="62" t="s">
        <v>332</v>
      </c>
      <c r="D777" s="62"/>
    </row>
    <row r="778" spans="1:5">
      <c r="A778" s="103"/>
      <c r="B778" s="103"/>
      <c r="C778" s="62" t="s">
        <v>333</v>
      </c>
      <c r="D778" s="62"/>
    </row>
    <row r="779" spans="1:5">
      <c r="A779" s="103"/>
      <c r="B779" s="103"/>
      <c r="C779" s="62" t="s">
        <v>334</v>
      </c>
      <c r="D779" s="62"/>
    </row>
    <row r="780" spans="1:5">
      <c r="A780" s="103"/>
      <c r="B780" s="103"/>
      <c r="C780" s="62" t="s">
        <v>335</v>
      </c>
      <c r="D780" s="62"/>
    </row>
    <row r="781" spans="1:5">
      <c r="A781" s="103"/>
      <c r="B781" s="103"/>
      <c r="C781" s="62" t="s">
        <v>336</v>
      </c>
      <c r="D781" s="62"/>
    </row>
    <row r="782" spans="1:5">
      <c r="A782" s="103"/>
      <c r="B782" s="103"/>
      <c r="C782" s="62" t="s">
        <v>337</v>
      </c>
      <c r="D782" s="62"/>
      <c r="E782" s="18" t="s">
        <v>315</v>
      </c>
    </row>
    <row r="783" spans="1:5">
      <c r="A783" s="103"/>
      <c r="B783" s="103"/>
      <c r="C783" s="62" t="s">
        <v>338</v>
      </c>
      <c r="D783" s="62"/>
      <c r="E783" s="18" t="s">
        <v>315</v>
      </c>
    </row>
    <row r="784" spans="1:5">
      <c r="A784" s="103"/>
      <c r="B784" s="103"/>
      <c r="C784" s="62" t="s">
        <v>341</v>
      </c>
      <c r="D784" s="62"/>
      <c r="E784" s="18" t="s">
        <v>315</v>
      </c>
    </row>
    <row r="785" spans="1:5">
      <c r="A785" s="103"/>
      <c r="B785" s="103"/>
      <c r="C785" s="62" t="s">
        <v>342</v>
      </c>
      <c r="D785" s="62"/>
    </row>
    <row r="786" spans="1:5">
      <c r="A786" s="103"/>
      <c r="B786" s="103"/>
      <c r="C786" s="62" t="s">
        <v>343</v>
      </c>
      <c r="D786" s="62"/>
    </row>
    <row r="787" spans="1:5">
      <c r="A787" s="103"/>
      <c r="B787" s="103"/>
      <c r="C787" s="62" t="s">
        <v>344</v>
      </c>
      <c r="D787" s="62"/>
    </row>
    <row r="788" spans="1:5">
      <c r="A788" s="103"/>
      <c r="B788" s="103"/>
      <c r="C788" s="62" t="s">
        <v>345</v>
      </c>
      <c r="D788" s="62"/>
    </row>
    <row r="789" spans="1:5">
      <c r="A789" s="103"/>
      <c r="B789" s="103"/>
      <c r="C789" s="62" t="s">
        <v>346</v>
      </c>
      <c r="D789" s="62"/>
    </row>
    <row r="790" spans="1:5">
      <c r="A790" s="103"/>
      <c r="B790" s="103"/>
      <c r="C790" s="62" t="s">
        <v>347</v>
      </c>
      <c r="D790" s="62"/>
      <c r="E790" s="18" t="s">
        <v>315</v>
      </c>
    </row>
    <row r="791" spans="1:5">
      <c r="A791" s="103"/>
      <c r="B791" s="103"/>
      <c r="C791" s="62" t="s">
        <v>348</v>
      </c>
      <c r="D791" s="62"/>
    </row>
    <row r="792" spans="1:5">
      <c r="A792" s="103"/>
      <c r="B792" s="103"/>
      <c r="C792" s="62" t="s">
        <v>349</v>
      </c>
      <c r="D792" s="62"/>
    </row>
    <row r="793" spans="1:5">
      <c r="A793" s="103"/>
      <c r="B793" s="103"/>
      <c r="C793" s="62" t="s">
        <v>350</v>
      </c>
      <c r="D793" s="62"/>
    </row>
    <row r="794" spans="1:5">
      <c r="A794" s="103"/>
      <c r="B794" s="103"/>
      <c r="C794" s="62" t="s">
        <v>990</v>
      </c>
      <c r="D794" s="62"/>
    </row>
    <row r="795" spans="1:5">
      <c r="A795" s="103"/>
      <c r="B795" s="103"/>
      <c r="C795" s="62" t="s">
        <v>185</v>
      </c>
      <c r="D795" s="62"/>
    </row>
    <row r="796" spans="1:5">
      <c r="A796" s="103"/>
      <c r="B796" s="103"/>
      <c r="C796" s="62" t="s">
        <v>351</v>
      </c>
      <c r="D796" s="62"/>
    </row>
    <row r="797" spans="1:5">
      <c r="A797" s="103"/>
      <c r="B797" s="103"/>
      <c r="C797" s="62" t="s">
        <v>352</v>
      </c>
      <c r="D797" s="62"/>
    </row>
    <row r="798" spans="1:5">
      <c r="A798" s="103"/>
      <c r="B798" s="103"/>
      <c r="C798" s="62" t="s">
        <v>353</v>
      </c>
      <c r="D798" s="62"/>
    </row>
    <row r="799" spans="1:5">
      <c r="A799" s="103"/>
      <c r="B799" s="103"/>
      <c r="C799" s="62" t="s">
        <v>354</v>
      </c>
      <c r="D799" s="62"/>
    </row>
    <row r="800" spans="1:5">
      <c r="A800" s="103"/>
      <c r="B800" s="103"/>
      <c r="C800" s="62" t="s">
        <v>355</v>
      </c>
      <c r="D800" s="62"/>
    </row>
    <row r="801" spans="1:5">
      <c r="A801" s="103"/>
      <c r="B801" s="103"/>
      <c r="C801" s="62" t="s">
        <v>356</v>
      </c>
      <c r="D801" s="62"/>
    </row>
    <row r="802" spans="1:5">
      <c r="A802" s="103"/>
      <c r="B802" s="103"/>
      <c r="C802" s="62" t="s">
        <v>357</v>
      </c>
      <c r="D802" s="62"/>
    </row>
    <row r="803" spans="1:5">
      <c r="A803" s="103"/>
      <c r="B803" s="103"/>
      <c r="C803" s="62" t="s">
        <v>358</v>
      </c>
      <c r="D803" s="62"/>
    </row>
    <row r="804" spans="1:5">
      <c r="A804" s="103"/>
      <c r="B804" s="103"/>
      <c r="C804" s="62" t="s">
        <v>359</v>
      </c>
      <c r="D804" s="62"/>
    </row>
    <row r="805" spans="1:5">
      <c r="A805" s="103"/>
      <c r="B805" s="103"/>
      <c r="C805" s="62" t="s">
        <v>360</v>
      </c>
      <c r="D805" s="62"/>
    </row>
    <row r="806" spans="1:5">
      <c r="A806" s="103"/>
      <c r="B806" s="103"/>
      <c r="C806" s="62" t="s">
        <v>361</v>
      </c>
      <c r="D806" s="62"/>
    </row>
    <row r="807" spans="1:5">
      <c r="A807" s="103"/>
      <c r="B807" s="103"/>
      <c r="C807" s="62" t="s">
        <v>362</v>
      </c>
      <c r="D807" s="62"/>
    </row>
    <row r="808" spans="1:5">
      <c r="A808" s="103"/>
      <c r="B808" s="103"/>
      <c r="C808" s="62" t="s">
        <v>364</v>
      </c>
      <c r="D808" s="62"/>
    </row>
    <row r="809" spans="1:5">
      <c r="A809" s="103"/>
      <c r="B809" s="103"/>
      <c r="C809" s="62" t="s">
        <v>363</v>
      </c>
      <c r="D809" s="62"/>
      <c r="E809" s="18" t="s">
        <v>315</v>
      </c>
    </row>
    <row r="810" spans="1:5">
      <c r="A810" s="103"/>
      <c r="B810" s="103"/>
      <c r="C810" s="62" t="s">
        <v>365</v>
      </c>
      <c r="D810" s="62"/>
    </row>
    <row r="811" spans="1:5">
      <c r="A811" s="103"/>
      <c r="B811" s="103"/>
      <c r="C811" s="62" t="s">
        <v>366</v>
      </c>
      <c r="D811" s="62"/>
    </row>
    <row r="812" spans="1:5">
      <c r="A812" s="103"/>
      <c r="B812" s="103"/>
      <c r="C812" s="62" t="s">
        <v>367</v>
      </c>
      <c r="D812" s="62"/>
    </row>
    <row r="813" spans="1:5">
      <c r="A813" s="103"/>
      <c r="B813" s="103"/>
      <c r="C813" s="62" t="s">
        <v>368</v>
      </c>
      <c r="D813" s="62"/>
    </row>
    <row r="814" spans="1:5">
      <c r="A814" s="103"/>
      <c r="B814" s="103"/>
      <c r="C814" s="62" t="s">
        <v>369</v>
      </c>
      <c r="D814" s="62"/>
    </row>
    <row r="815" spans="1:5">
      <c r="A815" s="103"/>
      <c r="B815" s="103"/>
      <c r="C815" s="62" t="s">
        <v>370</v>
      </c>
      <c r="D815" s="62"/>
    </row>
    <row r="816" spans="1:5">
      <c r="A816" s="103"/>
      <c r="B816" s="103"/>
      <c r="C816" s="62" t="s">
        <v>371</v>
      </c>
      <c r="D816" s="62"/>
    </row>
    <row r="817" spans="1:4">
      <c r="A817" s="103"/>
      <c r="B817" s="103"/>
      <c r="C817" s="62" t="s">
        <v>372</v>
      </c>
      <c r="D817" s="62"/>
    </row>
    <row r="818" spans="1:4">
      <c r="A818" s="103"/>
      <c r="B818" s="103"/>
      <c r="C818" s="62" t="s">
        <v>373</v>
      </c>
      <c r="D818" s="62"/>
    </row>
    <row r="819" spans="1:4">
      <c r="A819" s="103"/>
      <c r="B819" s="103"/>
      <c r="C819" s="62" t="s">
        <v>374</v>
      </c>
      <c r="D819" s="62"/>
    </row>
    <row r="820" spans="1:4">
      <c r="A820" s="103"/>
      <c r="B820" s="103"/>
      <c r="C820" s="62" t="s">
        <v>375</v>
      </c>
      <c r="D820" s="62"/>
    </row>
    <row r="821" spans="1:4">
      <c r="A821" s="103"/>
      <c r="B821" s="103"/>
      <c r="C821" s="62" t="s">
        <v>376</v>
      </c>
      <c r="D821" s="62"/>
    </row>
    <row r="822" spans="1:4">
      <c r="A822" s="103"/>
      <c r="B822" s="103"/>
      <c r="C822" s="62" t="s">
        <v>377</v>
      </c>
      <c r="D822" s="62"/>
    </row>
    <row r="823" spans="1:4">
      <c r="A823" s="103"/>
      <c r="B823" s="103"/>
      <c r="C823" s="62" t="s">
        <v>378</v>
      </c>
      <c r="D823" s="62"/>
    </row>
    <row r="824" spans="1:4">
      <c r="A824" s="103"/>
      <c r="B824" s="103"/>
      <c r="C824" s="62" t="s">
        <v>379</v>
      </c>
      <c r="D824" s="62"/>
    </row>
    <row r="825" spans="1:4">
      <c r="A825" s="103"/>
      <c r="B825" s="103"/>
      <c r="C825" s="62" t="s">
        <v>380</v>
      </c>
      <c r="D825" s="62"/>
    </row>
    <row r="826" spans="1:4">
      <c r="A826" s="103"/>
      <c r="B826" s="103"/>
      <c r="C826" s="62" t="s">
        <v>381</v>
      </c>
      <c r="D826" s="62"/>
    </row>
    <row r="827" spans="1:4">
      <c r="A827" s="103"/>
      <c r="B827" s="103"/>
      <c r="C827" s="62" t="s">
        <v>382</v>
      </c>
      <c r="D827" s="62"/>
    </row>
    <row r="828" spans="1:4">
      <c r="A828" s="103"/>
      <c r="B828" s="103"/>
      <c r="C828" s="62" t="s">
        <v>383</v>
      </c>
      <c r="D828" s="62"/>
    </row>
    <row r="829" spans="1:4">
      <c r="A829" s="103"/>
      <c r="B829" s="103"/>
      <c r="C829" s="62" t="s">
        <v>384</v>
      </c>
      <c r="D829" s="62"/>
    </row>
    <row r="830" spans="1:4">
      <c r="A830" s="103"/>
      <c r="B830" s="103"/>
      <c r="C830" s="62" t="s">
        <v>385</v>
      </c>
      <c r="D830" s="62"/>
    </row>
    <row r="831" spans="1:4">
      <c r="A831" s="103"/>
      <c r="B831" s="103"/>
      <c r="C831" s="62" t="s">
        <v>991</v>
      </c>
      <c r="D831" s="141" t="s">
        <v>992</v>
      </c>
    </row>
    <row r="832" spans="1:4">
      <c r="A832" s="103"/>
      <c r="B832" s="103"/>
      <c r="C832" s="62" t="s">
        <v>993</v>
      </c>
      <c r="D832" s="141" t="s">
        <v>395</v>
      </c>
    </row>
    <row r="833" spans="1:4">
      <c r="A833" s="103"/>
      <c r="B833" s="103"/>
      <c r="C833" s="62" t="s">
        <v>994</v>
      </c>
      <c r="D833" s="141" t="s">
        <v>395</v>
      </c>
    </row>
    <row r="834" spans="1:4" ht="15">
      <c r="A834" s="103"/>
      <c r="B834" s="103"/>
      <c r="C834" s="62" t="s">
        <v>995</v>
      </c>
      <c r="D834" s="138"/>
    </row>
    <row r="835" spans="1:4">
      <c r="A835" s="103"/>
      <c r="B835" s="103"/>
      <c r="C835" s="62" t="s">
        <v>155</v>
      </c>
      <c r="D835" s="62"/>
    </row>
    <row r="836" spans="1:4">
      <c r="A836" s="103"/>
      <c r="B836" s="103"/>
      <c r="C836" s="62" t="s">
        <v>388</v>
      </c>
      <c r="D836" s="62"/>
    </row>
    <row r="837" spans="1:4">
      <c r="A837" s="103"/>
      <c r="B837" s="103"/>
      <c r="C837" s="62" t="s">
        <v>389</v>
      </c>
      <c r="D837" s="62"/>
    </row>
    <row r="838" spans="1:4">
      <c r="A838" s="103"/>
      <c r="B838" s="103"/>
      <c r="C838" s="62" t="s">
        <v>386</v>
      </c>
      <c r="D838" s="62"/>
    </row>
    <row r="839" spans="1:4">
      <c r="A839" s="103"/>
      <c r="B839" s="103"/>
      <c r="C839" s="62" t="s">
        <v>186</v>
      </c>
      <c r="D839" s="62"/>
    </row>
    <row r="840" spans="1:4">
      <c r="A840" s="103"/>
      <c r="B840" s="103"/>
      <c r="C840" s="62" t="s">
        <v>387</v>
      </c>
      <c r="D840" s="62"/>
    </row>
    <row r="841" spans="1:4">
      <c r="A841" s="103"/>
      <c r="B841" s="103"/>
      <c r="C841" s="62" t="s">
        <v>390</v>
      </c>
      <c r="D841" s="62"/>
    </row>
    <row r="842" spans="1:4">
      <c r="A842" s="103"/>
      <c r="B842" s="103"/>
      <c r="C842" s="62" t="s">
        <v>996</v>
      </c>
      <c r="D842" s="62"/>
    </row>
    <row r="843" spans="1:4">
      <c r="A843" s="103"/>
      <c r="B843" s="103"/>
      <c r="C843" s="62" t="s">
        <v>997</v>
      </c>
      <c r="D843" s="62"/>
    </row>
    <row r="844" spans="1:4">
      <c r="A844" s="103"/>
      <c r="B844" s="103"/>
      <c r="C844" s="62" t="s">
        <v>998</v>
      </c>
      <c r="D844" s="62"/>
    </row>
    <row r="845" spans="1:4">
      <c r="A845" s="103"/>
      <c r="B845" s="103"/>
      <c r="C845" s="62" t="s">
        <v>999</v>
      </c>
      <c r="D845" s="62"/>
    </row>
    <row r="846" spans="1:4">
      <c r="A846" s="103"/>
      <c r="B846" s="103"/>
      <c r="C846" s="62" t="s">
        <v>1000</v>
      </c>
      <c r="D846" s="62"/>
    </row>
    <row r="847" spans="1:4">
      <c r="A847" s="103"/>
      <c r="B847" s="103"/>
      <c r="C847" s="62" t="s">
        <v>1001</v>
      </c>
      <c r="D847" s="62"/>
    </row>
    <row r="848" spans="1:4">
      <c r="A848" s="103"/>
      <c r="B848" s="103"/>
      <c r="C848" s="62" t="s">
        <v>1002</v>
      </c>
      <c r="D848" s="62"/>
    </row>
    <row r="849" spans="1:4">
      <c r="A849" s="103"/>
      <c r="B849" s="103"/>
      <c r="C849" s="62" t="s">
        <v>1003</v>
      </c>
      <c r="D849" s="62"/>
    </row>
    <row r="850" spans="1:4">
      <c r="A850" s="103"/>
      <c r="B850" s="103"/>
      <c r="C850" s="62" t="s">
        <v>72</v>
      </c>
      <c r="D850" s="62"/>
    </row>
    <row r="851" spans="1:4">
      <c r="A851" s="76" t="s">
        <v>229</v>
      </c>
      <c r="B851" s="76"/>
      <c r="C851" s="65" t="s">
        <v>102</v>
      </c>
      <c r="D851" s="65"/>
    </row>
    <row r="852" spans="1:4">
      <c r="A852" s="77"/>
      <c r="B852" s="77"/>
      <c r="C852" s="65" t="s">
        <v>74</v>
      </c>
      <c r="D852" s="65"/>
    </row>
    <row r="853" spans="1:4">
      <c r="A853" s="103" t="s">
        <v>1004</v>
      </c>
      <c r="B853" s="103" t="s">
        <v>5</v>
      </c>
      <c r="C853" s="62" t="s">
        <v>1005</v>
      </c>
      <c r="D853" s="62"/>
    </row>
    <row r="854" spans="1:4">
      <c r="A854" s="103"/>
      <c r="B854" s="103"/>
      <c r="C854" s="62" t="s">
        <v>1006</v>
      </c>
      <c r="D854" s="62"/>
    </row>
    <row r="855" spans="1:4">
      <c r="A855" s="103"/>
      <c r="B855" s="103"/>
      <c r="C855" s="62" t="s">
        <v>1007</v>
      </c>
      <c r="D855" s="62"/>
    </row>
    <row r="856" spans="1:4">
      <c r="A856" s="103"/>
      <c r="B856" s="103"/>
      <c r="C856" s="62" t="s">
        <v>1008</v>
      </c>
      <c r="D856" s="62"/>
    </row>
    <row r="857" spans="1:4">
      <c r="A857" s="103"/>
      <c r="B857" s="103"/>
      <c r="C857" s="62" t="s">
        <v>1009</v>
      </c>
      <c r="D857" s="62"/>
    </row>
    <row r="858" spans="1:4">
      <c r="A858" s="103"/>
      <c r="B858" s="103"/>
      <c r="C858" s="62" t="s">
        <v>1010</v>
      </c>
      <c r="D858" s="62"/>
    </row>
    <row r="859" spans="1:4">
      <c r="A859" s="103"/>
      <c r="B859" s="103"/>
      <c r="C859" s="62" t="s">
        <v>1011</v>
      </c>
      <c r="D859" s="62"/>
    </row>
    <row r="860" spans="1:4">
      <c r="A860" s="103"/>
      <c r="B860" s="103"/>
      <c r="C860" s="62" t="s">
        <v>1012</v>
      </c>
      <c r="D860" s="62"/>
    </row>
    <row r="861" spans="1:4">
      <c r="A861" s="103"/>
      <c r="B861" s="103"/>
      <c r="C861" s="62" t="s">
        <v>1013</v>
      </c>
      <c r="D861" s="62"/>
    </row>
    <row r="862" spans="1:4">
      <c r="A862" s="76" t="s">
        <v>1014</v>
      </c>
      <c r="B862" s="76" t="s">
        <v>5</v>
      </c>
      <c r="C862" s="65" t="s">
        <v>1015</v>
      </c>
      <c r="D862" s="65"/>
    </row>
    <row r="863" spans="1:4">
      <c r="A863" s="77"/>
      <c r="B863" s="77"/>
      <c r="C863" s="65" t="s">
        <v>1016</v>
      </c>
      <c r="D863" s="65"/>
    </row>
    <row r="864" spans="1:4">
      <c r="A864" s="77"/>
      <c r="B864" s="77"/>
      <c r="C864" s="65" t="s">
        <v>42</v>
      </c>
      <c r="D864" s="65"/>
    </row>
    <row r="865" spans="1:4">
      <c r="A865" s="77"/>
      <c r="B865" s="77"/>
      <c r="C865" s="65" t="s">
        <v>1017</v>
      </c>
      <c r="D865" s="65"/>
    </row>
    <row r="866" spans="1:4">
      <c r="A866" s="77"/>
      <c r="B866" s="77"/>
      <c r="C866" s="65" t="s">
        <v>1018</v>
      </c>
      <c r="D866" s="65"/>
    </row>
    <row r="867" spans="1:4">
      <c r="A867" s="77"/>
      <c r="B867" s="77"/>
      <c r="C867" s="65" t="s">
        <v>1019</v>
      </c>
      <c r="D867" s="65"/>
    </row>
    <row r="868" spans="1:4">
      <c r="A868" s="77"/>
      <c r="B868" s="77"/>
      <c r="C868" s="65" t="s">
        <v>29</v>
      </c>
      <c r="D868" s="65"/>
    </row>
    <row r="869" spans="1:4">
      <c r="A869" s="77"/>
      <c r="B869" s="77"/>
      <c r="C869" s="65" t="s">
        <v>1020</v>
      </c>
      <c r="D869" s="65"/>
    </row>
    <row r="870" spans="1:4">
      <c r="A870" s="103" t="s">
        <v>1021</v>
      </c>
      <c r="B870" s="103" t="s">
        <v>5</v>
      </c>
      <c r="C870" s="62" t="s">
        <v>1015</v>
      </c>
      <c r="D870" s="62"/>
    </row>
    <row r="871" spans="1:4">
      <c r="A871" s="103"/>
      <c r="B871" s="103"/>
      <c r="C871" s="62" t="s">
        <v>42</v>
      </c>
      <c r="D871" s="62"/>
    </row>
    <row r="872" spans="1:4">
      <c r="A872" s="103"/>
      <c r="B872" s="103"/>
      <c r="C872" s="62" t="s">
        <v>1018</v>
      </c>
      <c r="D872" s="62"/>
    </row>
    <row r="873" spans="1:4">
      <c r="A873" s="103"/>
      <c r="B873" s="103"/>
      <c r="C873" s="62" t="s">
        <v>72</v>
      </c>
      <c r="D873" s="62"/>
    </row>
    <row r="874" spans="1:4">
      <c r="A874" s="76" t="s">
        <v>1022</v>
      </c>
      <c r="B874" s="76" t="s">
        <v>5</v>
      </c>
      <c r="C874" s="65" t="s">
        <v>110</v>
      </c>
      <c r="D874" s="65"/>
    </row>
    <row r="875" spans="1:4">
      <c r="A875" s="77"/>
      <c r="B875" s="77"/>
      <c r="C875" s="65" t="s">
        <v>96</v>
      </c>
      <c r="D875" s="65"/>
    </row>
    <row r="876" spans="1:4">
      <c r="A876" s="77"/>
      <c r="B876" s="77"/>
      <c r="C876" s="65" t="s">
        <v>833</v>
      </c>
      <c r="D876" s="65"/>
    </row>
    <row r="877" spans="1:4">
      <c r="A877" s="77"/>
      <c r="B877" s="77"/>
      <c r="C877" s="65" t="s">
        <v>834</v>
      </c>
      <c r="D877" s="65"/>
    </row>
    <row r="878" spans="1:4">
      <c r="A878" s="77"/>
      <c r="B878" s="77"/>
      <c r="C878" s="65" t="s">
        <v>1023</v>
      </c>
      <c r="D878" s="65"/>
    </row>
    <row r="879" spans="1:4">
      <c r="A879" s="77"/>
      <c r="B879" s="77"/>
      <c r="C879" s="65" t="s">
        <v>1024</v>
      </c>
      <c r="D879" s="65"/>
    </row>
    <row r="880" spans="1:4">
      <c r="A880" s="77"/>
      <c r="B880" s="77"/>
      <c r="C880" s="65" t="s">
        <v>1025</v>
      </c>
      <c r="D880" s="65"/>
    </row>
    <row r="881" spans="1:5">
      <c r="A881" s="77"/>
      <c r="B881" s="77"/>
      <c r="C881" s="65" t="s">
        <v>1026</v>
      </c>
      <c r="D881" s="65"/>
    </row>
    <row r="882" spans="1:5">
      <c r="A882" s="77"/>
      <c r="B882" s="77"/>
      <c r="C882" s="65" t="s">
        <v>1027</v>
      </c>
      <c r="D882" s="65" t="s">
        <v>1027</v>
      </c>
      <c r="E882" s="18" t="s">
        <v>315</v>
      </c>
    </row>
    <row r="883" spans="1:5">
      <c r="A883" s="78"/>
      <c r="B883" s="78"/>
      <c r="C883" s="65" t="s">
        <v>72</v>
      </c>
      <c r="D883" s="65"/>
    </row>
    <row r="884" spans="1:5">
      <c r="A884" s="92" t="s">
        <v>1028</v>
      </c>
      <c r="B884" s="92" t="s">
        <v>5</v>
      </c>
      <c r="C884" s="62" t="s">
        <v>987</v>
      </c>
      <c r="D884" s="62"/>
    </row>
    <row r="885" spans="1:5">
      <c r="A885" s="93"/>
      <c r="B885" s="93"/>
      <c r="C885" s="62" t="s">
        <v>1029</v>
      </c>
      <c r="D885" s="62"/>
    </row>
    <row r="886" spans="1:5">
      <c r="A886" s="93"/>
      <c r="B886" s="93"/>
      <c r="C886" s="62" t="s">
        <v>1030</v>
      </c>
      <c r="D886" s="62"/>
    </row>
    <row r="887" spans="1:5">
      <c r="A887" s="93"/>
      <c r="B887" s="93"/>
      <c r="C887" s="62" t="s">
        <v>1031</v>
      </c>
      <c r="D887" s="62"/>
    </row>
    <row r="888" spans="1:5">
      <c r="A888" s="93"/>
      <c r="B888" s="93"/>
      <c r="C888" s="62" t="s">
        <v>1032</v>
      </c>
      <c r="D888" s="62"/>
    </row>
    <row r="889" spans="1:5">
      <c r="A889" s="93"/>
      <c r="B889" s="93"/>
      <c r="C889" s="62" t="s">
        <v>1033</v>
      </c>
      <c r="D889" s="62" t="s">
        <v>1034</v>
      </c>
    </row>
    <row r="890" spans="1:5">
      <c r="A890" s="93"/>
      <c r="B890" s="93"/>
      <c r="C890" s="62" t="s">
        <v>1035</v>
      </c>
      <c r="D890" s="62"/>
    </row>
    <row r="891" spans="1:5">
      <c r="A891" s="76" t="s">
        <v>553</v>
      </c>
      <c r="B891" s="76" t="s">
        <v>5</v>
      </c>
      <c r="C891" s="65" t="s">
        <v>1036</v>
      </c>
      <c r="D891" s="65"/>
    </row>
    <row r="892" spans="1:5">
      <c r="A892" s="77"/>
      <c r="B892" s="77"/>
      <c r="C892" s="65" t="s">
        <v>1037</v>
      </c>
      <c r="D892" s="65"/>
    </row>
    <row r="893" spans="1:5">
      <c r="A893" s="77"/>
      <c r="B893" s="77"/>
      <c r="C893" s="65" t="s">
        <v>1038</v>
      </c>
      <c r="D893" s="65"/>
    </row>
    <row r="894" spans="1:5">
      <c r="A894" s="77"/>
      <c r="B894" s="77"/>
      <c r="C894" s="65" t="s">
        <v>1039</v>
      </c>
      <c r="D894" s="65"/>
    </row>
    <row r="895" spans="1:5">
      <c r="A895" s="77"/>
      <c r="B895" s="77"/>
      <c r="C895" s="65" t="s">
        <v>1040</v>
      </c>
      <c r="D895" s="65"/>
    </row>
    <row r="896" spans="1:5">
      <c r="A896" s="77"/>
      <c r="B896" s="77"/>
      <c r="C896" s="65" t="s">
        <v>72</v>
      </c>
      <c r="D896" s="65"/>
    </row>
    <row r="897" spans="1:4">
      <c r="A897" s="92" t="s">
        <v>1041</v>
      </c>
      <c r="B897" s="92" t="s">
        <v>5</v>
      </c>
      <c r="C897" s="62" t="s">
        <v>1042</v>
      </c>
      <c r="D897" s="62"/>
    </row>
    <row r="898" spans="1:4">
      <c r="A898" s="93"/>
      <c r="B898" s="93"/>
      <c r="C898" s="62" t="s">
        <v>1043</v>
      </c>
      <c r="D898" s="62"/>
    </row>
    <row r="899" spans="1:4">
      <c r="A899" s="93"/>
      <c r="B899" s="93"/>
      <c r="C899" s="62" t="s">
        <v>987</v>
      </c>
      <c r="D899" s="62"/>
    </row>
    <row r="900" spans="1:4">
      <c r="A900" s="93"/>
      <c r="B900" s="93"/>
      <c r="C900" s="62" t="s">
        <v>72</v>
      </c>
      <c r="D900" s="62"/>
    </row>
    <row r="901" spans="1:4">
      <c r="A901" s="76" t="s">
        <v>1044</v>
      </c>
      <c r="B901" s="76" t="s">
        <v>5</v>
      </c>
      <c r="C901" s="65" t="s">
        <v>1045</v>
      </c>
      <c r="D901" s="65"/>
    </row>
    <row r="902" spans="1:4">
      <c r="A902" s="77"/>
      <c r="B902" s="77"/>
      <c r="C902" s="65" t="s">
        <v>1046</v>
      </c>
      <c r="D902" s="65"/>
    </row>
    <row r="903" spans="1:4">
      <c r="A903" s="77"/>
      <c r="B903" s="77"/>
      <c r="C903" s="65" t="s">
        <v>71</v>
      </c>
      <c r="D903" s="65"/>
    </row>
    <row r="904" spans="1:4">
      <c r="A904" s="77"/>
      <c r="B904" s="77"/>
      <c r="C904" s="65" t="s">
        <v>1047</v>
      </c>
      <c r="D904" s="65"/>
    </row>
    <row r="905" spans="1:4">
      <c r="A905" s="77"/>
      <c r="B905" s="77"/>
      <c r="C905" s="65" t="s">
        <v>1048</v>
      </c>
      <c r="D905" s="65"/>
    </row>
    <row r="906" spans="1:4">
      <c r="A906" s="102" t="s">
        <v>1049</v>
      </c>
      <c r="B906" s="102" t="s">
        <v>5</v>
      </c>
      <c r="C906" s="68" t="s">
        <v>1050</v>
      </c>
      <c r="D906" s="68"/>
    </row>
    <row r="907" spans="1:4">
      <c r="A907" s="103"/>
      <c r="B907" s="103"/>
      <c r="C907" s="68" t="s">
        <v>1051</v>
      </c>
      <c r="D907" s="68"/>
    </row>
    <row r="908" spans="1:4">
      <c r="A908" s="103"/>
      <c r="B908" s="103"/>
      <c r="C908" s="62" t="s">
        <v>1052</v>
      </c>
      <c r="D908" s="62"/>
    </row>
    <row r="909" spans="1:4">
      <c r="A909" s="103"/>
      <c r="B909" s="103"/>
      <c r="C909" s="62" t="s">
        <v>1053</v>
      </c>
      <c r="D909" s="62"/>
    </row>
    <row r="910" spans="1:4">
      <c r="A910" s="103"/>
      <c r="B910" s="103"/>
      <c r="C910" s="62" t="s">
        <v>1054</v>
      </c>
      <c r="D910" s="62"/>
    </row>
    <row r="911" spans="1:4">
      <c r="A911" s="103"/>
      <c r="B911" s="103"/>
      <c r="C911" s="62" t="s">
        <v>1055</v>
      </c>
      <c r="D911" s="62"/>
    </row>
    <row r="912" spans="1:4">
      <c r="A912" s="98" t="s">
        <v>1056</v>
      </c>
      <c r="B912" s="98" t="s">
        <v>5</v>
      </c>
      <c r="C912" s="70" t="s">
        <v>1015</v>
      </c>
      <c r="D912" s="70"/>
    </row>
    <row r="913" spans="1:5">
      <c r="A913" s="80"/>
      <c r="B913" s="80"/>
      <c r="C913" s="70" t="s">
        <v>1016</v>
      </c>
      <c r="D913" s="70"/>
    </row>
    <row r="914" spans="1:5">
      <c r="A914" s="80"/>
      <c r="B914" s="80"/>
      <c r="C914" s="65" t="s">
        <v>42</v>
      </c>
      <c r="D914" s="65"/>
    </row>
    <row r="915" spans="1:5">
      <c r="A915" s="80"/>
      <c r="B915" s="80"/>
      <c r="C915" s="65" t="s">
        <v>1017</v>
      </c>
      <c r="D915" s="65"/>
    </row>
    <row r="916" spans="1:5">
      <c r="A916" s="80"/>
      <c r="B916" s="80"/>
      <c r="C916" s="65" t="s">
        <v>1018</v>
      </c>
      <c r="D916" s="65"/>
    </row>
    <row r="917" spans="1:5">
      <c r="A917" s="80"/>
      <c r="B917" s="80"/>
      <c r="C917" s="65" t="s">
        <v>1019</v>
      </c>
      <c r="D917" s="65"/>
    </row>
    <row r="918" spans="1:5">
      <c r="A918" s="80"/>
      <c r="B918" s="80"/>
      <c r="C918" s="70" t="s">
        <v>29</v>
      </c>
      <c r="D918" s="70"/>
    </row>
    <row r="919" spans="1:5">
      <c r="A919" s="80"/>
      <c r="B919" s="80"/>
      <c r="C919" s="70" t="s">
        <v>1020</v>
      </c>
      <c r="D919" s="70"/>
    </row>
    <row r="920" spans="1:5" ht="15">
      <c r="A920" s="102" t="s">
        <v>1057</v>
      </c>
      <c r="B920" s="102" t="s">
        <v>5</v>
      </c>
      <c r="C920" s="68" t="s">
        <v>1058</v>
      </c>
      <c r="D920" s="68"/>
      <c r="E920" s="69"/>
    </row>
    <row r="921" spans="1:5" ht="15">
      <c r="A921" s="103"/>
      <c r="B921" s="103"/>
      <c r="C921" s="68" t="s">
        <v>1059</v>
      </c>
      <c r="D921" s="68"/>
      <c r="E921" s="69"/>
    </row>
    <row r="922" spans="1:5" ht="15">
      <c r="A922" s="103"/>
      <c r="B922" s="103"/>
      <c r="C922" s="62" t="s">
        <v>1060</v>
      </c>
      <c r="D922" s="62"/>
      <c r="E922" s="69"/>
    </row>
    <row r="923" spans="1:5" ht="15">
      <c r="A923" s="103"/>
      <c r="B923" s="103"/>
      <c r="C923" s="62" t="s">
        <v>1061</v>
      </c>
      <c r="D923" s="62"/>
      <c r="E923" s="69"/>
    </row>
    <row r="924" spans="1:5" ht="15">
      <c r="A924" s="103"/>
      <c r="B924" s="103"/>
      <c r="C924" s="62" t="s">
        <v>1062</v>
      </c>
      <c r="D924" s="62"/>
      <c r="E924" s="69"/>
    </row>
    <row r="925" spans="1:5">
      <c r="A925" s="103"/>
      <c r="B925" s="103"/>
      <c r="C925" s="62" t="s">
        <v>72</v>
      </c>
      <c r="D925" s="62"/>
    </row>
    <row r="926" spans="1:5">
      <c r="A926" s="98" t="s">
        <v>1063</v>
      </c>
      <c r="B926" s="98" t="s">
        <v>5</v>
      </c>
      <c r="C926" s="65" t="s">
        <v>1064</v>
      </c>
      <c r="D926" s="65"/>
    </row>
    <row r="927" spans="1:5">
      <c r="A927" s="80"/>
      <c r="B927" s="80"/>
      <c r="C927" s="65" t="s">
        <v>1065</v>
      </c>
      <c r="D927" s="65"/>
    </row>
    <row r="928" spans="1:5">
      <c r="A928" s="80"/>
      <c r="B928" s="80"/>
      <c r="C928" s="65" t="s">
        <v>1066</v>
      </c>
      <c r="D928" s="65"/>
    </row>
    <row r="929" spans="1:5">
      <c r="A929" s="99" t="s">
        <v>1067</v>
      </c>
      <c r="B929" s="99" t="s">
        <v>5</v>
      </c>
      <c r="C929" s="68" t="s">
        <v>1068</v>
      </c>
      <c r="D929" s="68"/>
    </row>
    <row r="930" spans="1:5">
      <c r="A930" s="100"/>
      <c r="B930" s="100"/>
      <c r="C930" s="68" t="s">
        <v>96</v>
      </c>
      <c r="D930" s="68"/>
    </row>
    <row r="931" spans="1:5">
      <c r="A931" s="100"/>
      <c r="B931" s="100"/>
      <c r="C931" s="62" t="s">
        <v>110</v>
      </c>
      <c r="D931" s="62"/>
    </row>
    <row r="932" spans="1:5">
      <c r="A932" s="100"/>
      <c r="B932" s="100"/>
      <c r="C932" s="62" t="s">
        <v>833</v>
      </c>
      <c r="D932" s="62"/>
    </row>
    <row r="933" spans="1:5">
      <c r="A933" s="100"/>
      <c r="B933" s="100"/>
      <c r="C933" s="62" t="s">
        <v>72</v>
      </c>
      <c r="D933" s="62"/>
    </row>
    <row r="934" spans="1:5">
      <c r="A934" s="106" t="s">
        <v>1069</v>
      </c>
      <c r="B934" s="106" t="s">
        <v>5</v>
      </c>
      <c r="C934" s="70" t="s">
        <v>110</v>
      </c>
      <c r="D934" s="70"/>
    </row>
    <row r="935" spans="1:5">
      <c r="A935" s="107"/>
      <c r="B935" s="107"/>
      <c r="C935" s="70" t="s">
        <v>96</v>
      </c>
      <c r="D935" s="70"/>
    </row>
    <row r="936" spans="1:5">
      <c r="A936" s="107"/>
      <c r="B936" s="107"/>
      <c r="C936" s="65" t="s">
        <v>833</v>
      </c>
      <c r="D936" s="65"/>
    </row>
    <row r="937" spans="1:5">
      <c r="A937" s="107"/>
      <c r="B937" s="107"/>
      <c r="C937" s="65" t="s">
        <v>834</v>
      </c>
      <c r="D937" s="65"/>
    </row>
    <row r="938" spans="1:5">
      <c r="A938" s="107"/>
      <c r="B938" s="107"/>
      <c r="C938" s="65" t="s">
        <v>1070</v>
      </c>
      <c r="D938" s="65"/>
    </row>
    <row r="939" spans="1:5">
      <c r="A939" s="107"/>
      <c r="B939" s="107"/>
      <c r="C939" s="70" t="s">
        <v>1070</v>
      </c>
      <c r="D939" s="70"/>
    </row>
    <row r="940" spans="1:5">
      <c r="A940" s="107"/>
      <c r="B940" s="107"/>
      <c r="C940" s="70" t="s">
        <v>1024</v>
      </c>
      <c r="D940" s="70"/>
    </row>
    <row r="941" spans="1:5">
      <c r="A941" s="107"/>
      <c r="B941" s="107"/>
      <c r="C941" s="65" t="s">
        <v>1025</v>
      </c>
      <c r="D941" s="65"/>
    </row>
    <row r="942" spans="1:5">
      <c r="A942" s="107"/>
      <c r="B942" s="107"/>
      <c r="C942" s="70" t="s">
        <v>1026</v>
      </c>
      <c r="D942" s="70"/>
    </row>
    <row r="943" spans="1:5">
      <c r="A943" s="107"/>
      <c r="B943" s="107"/>
      <c r="C943" s="70" t="s">
        <v>1068</v>
      </c>
      <c r="D943" s="70"/>
    </row>
    <row r="944" spans="1:5">
      <c r="A944" s="107"/>
      <c r="B944" s="107"/>
      <c r="C944" s="65" t="s">
        <v>1071</v>
      </c>
      <c r="D944" s="65" t="s">
        <v>1071</v>
      </c>
      <c r="E944" s="18" t="s">
        <v>315</v>
      </c>
    </row>
    <row r="945" spans="1:4">
      <c r="A945" s="136"/>
      <c r="B945" s="136"/>
      <c r="C945" s="65" t="s">
        <v>72</v>
      </c>
      <c r="D945" s="65"/>
    </row>
    <row r="946" spans="1:4" ht="14.25" customHeight="1">
      <c r="A946" s="99" t="s">
        <v>1072</v>
      </c>
      <c r="B946" s="99" t="s">
        <v>5</v>
      </c>
      <c r="C946" s="68" t="s">
        <v>1073</v>
      </c>
      <c r="D946" s="68"/>
    </row>
    <row r="947" spans="1:4">
      <c r="A947" s="100"/>
      <c r="B947" s="100"/>
      <c r="C947" s="68" t="s">
        <v>1074</v>
      </c>
      <c r="D947" s="68"/>
    </row>
    <row r="948" spans="1:4">
      <c r="A948" s="100"/>
      <c r="B948" s="100"/>
      <c r="C948" s="62" t="s">
        <v>1075</v>
      </c>
      <c r="D948" s="62"/>
    </row>
    <row r="949" spans="1:4">
      <c r="A949" s="100"/>
      <c r="B949" s="100"/>
      <c r="C949" s="62" t="s">
        <v>1076</v>
      </c>
      <c r="D949" s="62"/>
    </row>
    <row r="950" spans="1:4">
      <c r="A950" s="100"/>
      <c r="B950" s="100"/>
      <c r="C950" s="62" t="s">
        <v>1077</v>
      </c>
      <c r="D950" s="62"/>
    </row>
    <row r="951" spans="1:4">
      <c r="A951" s="100"/>
      <c r="B951" s="100"/>
      <c r="C951" s="68" t="s">
        <v>118</v>
      </c>
      <c r="D951" s="68"/>
    </row>
    <row r="952" spans="1:4">
      <c r="A952" s="100"/>
      <c r="B952" s="100"/>
      <c r="C952" s="68" t="s">
        <v>1068</v>
      </c>
      <c r="D952" s="68"/>
    </row>
    <row r="953" spans="1:4">
      <c r="A953" s="100"/>
      <c r="B953" s="100"/>
      <c r="C953" s="62" t="s">
        <v>1078</v>
      </c>
      <c r="D953" s="62" t="s">
        <v>1079</v>
      </c>
    </row>
    <row r="954" spans="1:4">
      <c r="A954" s="100"/>
      <c r="B954" s="100"/>
      <c r="C954" s="62" t="s">
        <v>1033</v>
      </c>
      <c r="D954" s="62" t="s">
        <v>1034</v>
      </c>
    </row>
    <row r="955" spans="1:4">
      <c r="A955" s="100"/>
      <c r="B955" s="100"/>
      <c r="C955" s="62" t="s">
        <v>72</v>
      </c>
      <c r="D955" s="62"/>
    </row>
    <row r="956" spans="1:4">
      <c r="A956" s="106" t="s">
        <v>850</v>
      </c>
      <c r="B956" s="106" t="s">
        <v>5</v>
      </c>
      <c r="C956" s="65" t="s">
        <v>1080</v>
      </c>
      <c r="D956" s="65"/>
    </row>
    <row r="957" spans="1:4">
      <c r="A957" s="107"/>
      <c r="B957" s="107"/>
      <c r="C957" s="65" t="s">
        <v>139</v>
      </c>
      <c r="D957" s="65"/>
    </row>
    <row r="958" spans="1:4">
      <c r="A958" s="107"/>
      <c r="B958" s="107"/>
      <c r="C958" s="65" t="s">
        <v>152</v>
      </c>
      <c r="D958" s="65"/>
    </row>
    <row r="959" spans="1:4">
      <c r="A959" s="107"/>
      <c r="B959" s="107"/>
      <c r="C959" s="65" t="s">
        <v>1081</v>
      </c>
      <c r="D959" s="65"/>
    </row>
    <row r="960" spans="1:4">
      <c r="A960" s="107"/>
      <c r="B960" s="107"/>
      <c r="C960" s="65" t="s">
        <v>175</v>
      </c>
      <c r="D960" s="65"/>
    </row>
    <row r="961" spans="1:5">
      <c r="A961" s="107"/>
      <c r="B961" s="107"/>
      <c r="C961" s="65" t="s">
        <v>183</v>
      </c>
      <c r="D961" s="65"/>
    </row>
    <row r="962" spans="1:5">
      <c r="A962" s="107"/>
      <c r="B962" s="107"/>
      <c r="C962" s="65" t="s">
        <v>1082</v>
      </c>
      <c r="D962" s="65"/>
    </row>
    <row r="963" spans="1:5">
      <c r="A963" s="107"/>
      <c r="B963" s="107"/>
      <c r="C963" s="65" t="s">
        <v>921</v>
      </c>
      <c r="D963" s="65"/>
      <c r="E963" s="18" t="s">
        <v>315</v>
      </c>
    </row>
    <row r="964" spans="1:5">
      <c r="A964" s="108" t="s">
        <v>1083</v>
      </c>
      <c r="B964" s="99" t="s">
        <v>5</v>
      </c>
      <c r="C964" s="62" t="s">
        <v>1045</v>
      </c>
      <c r="D964" s="62"/>
    </row>
    <row r="965" spans="1:5">
      <c r="A965" s="109"/>
      <c r="B965" s="100"/>
      <c r="C965" s="62" t="s">
        <v>1046</v>
      </c>
      <c r="D965" s="62"/>
    </row>
    <row r="966" spans="1:5">
      <c r="A966" s="109"/>
      <c r="B966" s="100"/>
      <c r="C966" s="62" t="s">
        <v>71</v>
      </c>
      <c r="D966" s="62"/>
    </row>
    <row r="967" spans="1:5">
      <c r="A967" s="109"/>
      <c r="B967" s="100"/>
      <c r="C967" s="62" t="s">
        <v>1047</v>
      </c>
      <c r="D967" s="62"/>
    </row>
    <row r="968" spans="1:5">
      <c r="A968" s="109"/>
      <c r="B968" s="100"/>
      <c r="C968" s="62" t="s">
        <v>1048</v>
      </c>
      <c r="D968" s="62"/>
    </row>
    <row r="969" spans="1:5">
      <c r="A969" s="109"/>
      <c r="B969" s="100"/>
      <c r="C969" s="62" t="s">
        <v>1084</v>
      </c>
      <c r="D969" s="62"/>
      <c r="E969" s="18" t="s">
        <v>315</v>
      </c>
    </row>
    <row r="970" spans="1:5">
      <c r="A970" s="110" t="s">
        <v>1085</v>
      </c>
      <c r="B970" s="106" t="s">
        <v>5</v>
      </c>
      <c r="C970" s="65" t="s">
        <v>1086</v>
      </c>
      <c r="D970" s="65"/>
    </row>
    <row r="971" spans="1:5">
      <c r="A971" s="111"/>
      <c r="B971" s="107"/>
      <c r="C971" s="65" t="s">
        <v>1087</v>
      </c>
      <c r="D971" s="65"/>
    </row>
    <row r="972" spans="1:5">
      <c r="A972" s="111"/>
      <c r="B972" s="107"/>
      <c r="C972" s="65" t="s">
        <v>1088</v>
      </c>
      <c r="D972" s="65"/>
    </row>
    <row r="973" spans="1:5">
      <c r="A973" s="111"/>
      <c r="B973" s="107"/>
      <c r="C973" s="65" t="s">
        <v>1089</v>
      </c>
      <c r="D973" s="65"/>
    </row>
    <row r="974" spans="1:5">
      <c r="A974" s="111"/>
      <c r="B974" s="107"/>
      <c r="C974" s="65" t="s">
        <v>1090</v>
      </c>
      <c r="D974" s="65"/>
    </row>
    <row r="975" spans="1:5">
      <c r="A975" s="111"/>
      <c r="B975" s="107"/>
      <c r="C975" s="65" t="s">
        <v>1091</v>
      </c>
      <c r="D975" s="65"/>
    </row>
    <row r="976" spans="1:5">
      <c r="A976" s="137"/>
      <c r="B976" s="136"/>
      <c r="C976" s="65" t="s">
        <v>72</v>
      </c>
      <c r="D976" s="65"/>
    </row>
    <row r="977" spans="1:5">
      <c r="A977" s="99" t="s">
        <v>1092</v>
      </c>
      <c r="B977" s="99" t="s">
        <v>5</v>
      </c>
      <c r="C977" s="62" t="s">
        <v>1093</v>
      </c>
      <c r="D977" s="62"/>
      <c r="E977" s="18" t="s">
        <v>1094</v>
      </c>
    </row>
    <row r="978" spans="1:5">
      <c r="A978" s="100"/>
      <c r="B978" s="100"/>
      <c r="C978" s="62" t="s">
        <v>1095</v>
      </c>
      <c r="D978" s="62"/>
    </row>
    <row r="979" spans="1:5">
      <c r="A979" s="100"/>
      <c r="B979" s="100"/>
      <c r="C979" s="62" t="s">
        <v>1096</v>
      </c>
      <c r="D979" s="62"/>
    </row>
    <row r="980" spans="1:5">
      <c r="A980" s="100"/>
      <c r="B980" s="100"/>
      <c r="C980" s="62" t="s">
        <v>1097</v>
      </c>
      <c r="D980" s="62"/>
    </row>
    <row r="981" spans="1:5">
      <c r="A981" s="100"/>
      <c r="B981" s="100"/>
      <c r="C981" s="62" t="s">
        <v>1098</v>
      </c>
      <c r="D981" s="62"/>
    </row>
    <row r="982" spans="1:5">
      <c r="A982" s="100"/>
      <c r="B982" s="100"/>
      <c r="C982" s="62" t="s">
        <v>1099</v>
      </c>
      <c r="D982" s="62"/>
    </row>
    <row r="983" spans="1:5">
      <c r="A983" s="100"/>
      <c r="B983" s="100"/>
      <c r="C983" s="62" t="s">
        <v>1100</v>
      </c>
      <c r="D983" s="62"/>
    </row>
    <row r="984" spans="1:5">
      <c r="A984" s="100"/>
      <c r="B984" s="100"/>
      <c r="C984" s="62" t="s">
        <v>1101</v>
      </c>
      <c r="D984" s="62"/>
    </row>
    <row r="985" spans="1:5">
      <c r="A985" s="100"/>
      <c r="B985" s="100"/>
      <c r="C985" s="62" t="s">
        <v>1102</v>
      </c>
      <c r="D985" s="62" t="s">
        <v>1103</v>
      </c>
      <c r="E985" s="18" t="s">
        <v>315</v>
      </c>
    </row>
    <row r="986" spans="1:5">
      <c r="A986" s="110" t="s">
        <v>1104</v>
      </c>
      <c r="B986" s="106" t="s">
        <v>5</v>
      </c>
      <c r="C986" s="65" t="s">
        <v>1050</v>
      </c>
      <c r="D986" s="65"/>
    </row>
    <row r="987" spans="1:5">
      <c r="A987" s="111"/>
      <c r="B987" s="107"/>
      <c r="C987" s="65" t="s">
        <v>1051</v>
      </c>
      <c r="D987" s="65"/>
    </row>
    <row r="988" spans="1:5">
      <c r="A988" s="111"/>
      <c r="B988" s="107"/>
      <c r="C988" s="65" t="s">
        <v>1105</v>
      </c>
      <c r="D988" s="65"/>
    </row>
    <row r="989" spans="1:5">
      <c r="A989" s="111"/>
      <c r="B989" s="107"/>
      <c r="C989" s="65" t="s">
        <v>1106</v>
      </c>
      <c r="D989" s="65"/>
    </row>
    <row r="990" spans="1:5">
      <c r="A990" s="111"/>
      <c r="B990" s="107"/>
      <c r="C990" s="65" t="s">
        <v>1107</v>
      </c>
      <c r="D990" s="65"/>
    </row>
    <row r="991" spans="1:5">
      <c r="A991" s="111"/>
      <c r="B991" s="107"/>
      <c r="C991" s="65" t="s">
        <v>1108</v>
      </c>
      <c r="D991" s="65"/>
    </row>
    <row r="992" spans="1:5">
      <c r="A992" s="99" t="s">
        <v>1109</v>
      </c>
      <c r="B992" s="99" t="s">
        <v>5</v>
      </c>
      <c r="C992" s="62" t="s">
        <v>96</v>
      </c>
      <c r="D992" s="62"/>
    </row>
    <row r="993" spans="1:5">
      <c r="A993" s="100"/>
      <c r="B993" s="100"/>
      <c r="C993" s="62" t="s">
        <v>110</v>
      </c>
      <c r="D993" s="62"/>
    </row>
    <row r="994" spans="1:5">
      <c r="A994" s="100"/>
      <c r="B994" s="100"/>
      <c r="C994" s="62" t="s">
        <v>1020</v>
      </c>
      <c r="D994" s="62"/>
    </row>
    <row r="995" spans="1:5">
      <c r="A995" s="100"/>
      <c r="B995" s="100"/>
      <c r="C995" s="62" t="s">
        <v>833</v>
      </c>
      <c r="D995" s="62"/>
    </row>
    <row r="996" spans="1:5">
      <c r="A996" s="100"/>
      <c r="B996" s="100"/>
      <c r="C996" s="62" t="s">
        <v>1110</v>
      </c>
      <c r="D996" s="62" t="s">
        <v>1111</v>
      </c>
    </row>
    <row r="997" spans="1:5">
      <c r="A997" s="100"/>
      <c r="B997" s="100"/>
      <c r="C997" s="62" t="s">
        <v>72</v>
      </c>
      <c r="D997" s="62"/>
    </row>
    <row r="998" spans="1:5">
      <c r="A998" s="106" t="s">
        <v>1112</v>
      </c>
      <c r="B998" s="106" t="s">
        <v>5</v>
      </c>
      <c r="C998" s="65" t="s">
        <v>1113</v>
      </c>
      <c r="D998" s="65"/>
      <c r="E998" s="18" t="s">
        <v>1094</v>
      </c>
    </row>
    <row r="999" spans="1:5">
      <c r="A999" s="107"/>
      <c r="B999" s="107"/>
      <c r="C999" s="65" t="s">
        <v>1114</v>
      </c>
      <c r="D999" s="65"/>
    </row>
    <row r="1000" spans="1:5">
      <c r="A1000" s="99" t="s">
        <v>1115</v>
      </c>
      <c r="B1000" s="99" t="s">
        <v>5</v>
      </c>
      <c r="C1000" s="62" t="s">
        <v>1116</v>
      </c>
      <c r="D1000" s="62"/>
    </row>
    <row r="1001" spans="1:5">
      <c r="A1001" s="100"/>
      <c r="B1001" s="100"/>
      <c r="C1001" s="62" t="s">
        <v>1117</v>
      </c>
      <c r="D1001" s="62"/>
    </row>
    <row r="1002" spans="1:5">
      <c r="A1002" s="100"/>
      <c r="B1002" s="100"/>
      <c r="C1002" s="62" t="s">
        <v>1118</v>
      </c>
      <c r="D1002" s="62"/>
    </row>
    <row r="1003" spans="1:5">
      <c r="A1003" s="100"/>
      <c r="B1003" s="100"/>
      <c r="C1003" s="62" t="s">
        <v>1119</v>
      </c>
      <c r="D1003" s="62"/>
      <c r="E1003" s="18" t="s">
        <v>315</v>
      </c>
    </row>
    <row r="1004" spans="1:5">
      <c r="A1004" s="100"/>
      <c r="B1004" s="100"/>
      <c r="C1004" s="62" t="s">
        <v>1120</v>
      </c>
      <c r="D1004" s="62"/>
    </row>
    <row r="1005" spans="1:5">
      <c r="A1005" s="100"/>
      <c r="B1005" s="100"/>
      <c r="C1005" s="62" t="s">
        <v>1121</v>
      </c>
      <c r="D1005" s="62"/>
    </row>
    <row r="1006" spans="1:5">
      <c r="A1006" s="100"/>
      <c r="B1006" s="100"/>
      <c r="C1006" s="62" t="s">
        <v>1122</v>
      </c>
      <c r="D1006" s="62"/>
      <c r="E1006" s="18" t="s">
        <v>315</v>
      </c>
    </row>
    <row r="1007" spans="1:5">
      <c r="A1007" s="100"/>
      <c r="B1007" s="100"/>
      <c r="C1007" s="62" t="s">
        <v>1123</v>
      </c>
      <c r="D1007" s="62"/>
    </row>
    <row r="1008" spans="1:5">
      <c r="A1008" s="100"/>
      <c r="B1008" s="100"/>
      <c r="C1008" s="62" t="s">
        <v>1124</v>
      </c>
      <c r="D1008" s="62"/>
    </row>
    <row r="1009" spans="1:4">
      <c r="A1009" s="100"/>
      <c r="B1009" s="100"/>
      <c r="C1009" s="62" t="s">
        <v>1125</v>
      </c>
      <c r="D1009" s="62"/>
    </row>
    <row r="1010" spans="1:4">
      <c r="A1010" s="100"/>
      <c r="B1010" s="100"/>
      <c r="C1010" s="62" t="s">
        <v>1126</v>
      </c>
      <c r="D1010" s="62"/>
    </row>
    <row r="1011" spans="1:4">
      <c r="A1011" s="100"/>
      <c r="B1011" s="100"/>
      <c r="C1011" s="62" t="s">
        <v>1127</v>
      </c>
      <c r="D1011" s="62"/>
    </row>
    <row r="1012" spans="1:4">
      <c r="A1012" s="100"/>
      <c r="B1012" s="100"/>
      <c r="C1012" s="62" t="s">
        <v>1128</v>
      </c>
      <c r="D1012" s="62"/>
    </row>
    <row r="1013" spans="1:4">
      <c r="A1013" s="100"/>
      <c r="B1013" s="100"/>
      <c r="C1013" s="62" t="s">
        <v>1129</v>
      </c>
      <c r="D1013" s="62"/>
    </row>
    <row r="1014" spans="1:4">
      <c r="A1014" s="100"/>
      <c r="B1014" s="100"/>
      <c r="C1014" s="62" t="s">
        <v>1130</v>
      </c>
      <c r="D1014" s="62"/>
    </row>
    <row r="1015" spans="1:4">
      <c r="A1015" s="100"/>
      <c r="B1015" s="100"/>
      <c r="C1015" s="62" t="s">
        <v>276</v>
      </c>
      <c r="D1015" s="62"/>
    </row>
    <row r="1016" spans="1:4">
      <c r="A1016" s="100"/>
      <c r="B1016" s="100"/>
      <c r="C1016" s="62" t="s">
        <v>1131</v>
      </c>
      <c r="D1016" s="62"/>
    </row>
    <row r="1017" spans="1:4">
      <c r="A1017" s="100"/>
      <c r="B1017" s="100"/>
      <c r="C1017" s="62" t="s">
        <v>1132</v>
      </c>
      <c r="D1017" s="62"/>
    </row>
    <row r="1018" spans="1:4">
      <c r="A1018" s="100"/>
      <c r="B1018" s="100"/>
      <c r="C1018" s="62" t="s">
        <v>1133</v>
      </c>
      <c r="D1018" s="62"/>
    </row>
    <row r="1019" spans="1:4">
      <c r="A1019" s="100"/>
      <c r="B1019" s="100"/>
      <c r="C1019" s="62" t="s">
        <v>1134</v>
      </c>
      <c r="D1019" s="62"/>
    </row>
    <row r="1020" spans="1:4">
      <c r="A1020" s="100"/>
      <c r="B1020" s="100"/>
      <c r="C1020" s="62" t="s">
        <v>1135</v>
      </c>
      <c r="D1020" s="62"/>
    </row>
    <row r="1021" spans="1:4">
      <c r="A1021" s="100"/>
      <c r="B1021" s="100"/>
      <c r="C1021" s="62" t="s">
        <v>1136</v>
      </c>
      <c r="D1021" s="62"/>
    </row>
    <row r="1022" spans="1:4">
      <c r="A1022" s="100"/>
      <c r="B1022" s="100"/>
      <c r="C1022" s="62" t="s">
        <v>1137</v>
      </c>
      <c r="D1022" s="62"/>
    </row>
    <row r="1023" spans="1:4">
      <c r="A1023" s="100"/>
      <c r="B1023" s="100"/>
      <c r="C1023" s="62" t="s">
        <v>1138</v>
      </c>
      <c r="D1023" s="62"/>
    </row>
    <row r="1024" spans="1:4">
      <c r="A1024" s="100"/>
      <c r="B1024" s="100"/>
      <c r="C1024" s="62" t="s">
        <v>1139</v>
      </c>
      <c r="D1024" s="62"/>
    </row>
    <row r="1025" spans="1:5">
      <c r="A1025" s="100"/>
      <c r="B1025" s="100"/>
      <c r="C1025" s="62" t="s">
        <v>1140</v>
      </c>
      <c r="D1025" s="62"/>
    </row>
    <row r="1026" spans="1:5">
      <c r="A1026" s="100"/>
      <c r="B1026" s="100"/>
      <c r="C1026" s="62" t="s">
        <v>1141</v>
      </c>
      <c r="D1026" s="62"/>
    </row>
    <row r="1027" spans="1:5">
      <c r="A1027" s="100"/>
      <c r="B1027" s="100"/>
      <c r="C1027" s="62" t="s">
        <v>1142</v>
      </c>
      <c r="D1027" s="62"/>
    </row>
    <row r="1028" spans="1:5">
      <c r="A1028" s="100"/>
      <c r="B1028" s="100"/>
      <c r="C1028" s="62" t="s">
        <v>1143</v>
      </c>
      <c r="D1028" s="62"/>
    </row>
    <row r="1029" spans="1:5">
      <c r="A1029" s="100"/>
      <c r="B1029" s="100"/>
      <c r="C1029" s="62" t="s">
        <v>1144</v>
      </c>
      <c r="D1029" s="62"/>
    </row>
    <row r="1030" spans="1:5">
      <c r="A1030" s="100"/>
      <c r="B1030" s="100"/>
      <c r="C1030" s="62" t="s">
        <v>1145</v>
      </c>
      <c r="D1030" s="62"/>
    </row>
    <row r="1031" spans="1:5">
      <c r="A1031" s="100"/>
      <c r="B1031" s="100"/>
      <c r="C1031" s="147" t="s">
        <v>1146</v>
      </c>
      <c r="D1031" s="62"/>
      <c r="E1031" s="18" t="s">
        <v>315</v>
      </c>
    </row>
    <row r="1032" spans="1:5">
      <c r="A1032" s="100"/>
      <c r="B1032" s="100"/>
      <c r="C1032" s="62" t="s">
        <v>1147</v>
      </c>
      <c r="D1032" s="62"/>
    </row>
    <row r="1033" spans="1:5">
      <c r="A1033" s="100"/>
      <c r="B1033" s="100"/>
      <c r="C1033" s="62" t="s">
        <v>72</v>
      </c>
      <c r="D1033" s="62"/>
    </row>
    <row r="1034" spans="1:5">
      <c r="A1034" s="76" t="s">
        <v>1148</v>
      </c>
      <c r="B1034" s="76" t="s">
        <v>5</v>
      </c>
      <c r="C1034" s="65" t="s">
        <v>1149</v>
      </c>
      <c r="D1034" s="65"/>
      <c r="E1034" s="18" t="s">
        <v>1094</v>
      </c>
    </row>
    <row r="1035" spans="1:5">
      <c r="A1035" s="77"/>
      <c r="B1035" s="77"/>
      <c r="C1035" s="65" t="s">
        <v>1150</v>
      </c>
      <c r="D1035" s="65"/>
    </row>
    <row r="1036" spans="1:5">
      <c r="A1036" s="77"/>
      <c r="B1036" s="77"/>
      <c r="C1036" s="65" t="s">
        <v>72</v>
      </c>
      <c r="D1036" s="65"/>
    </row>
    <row r="1037" spans="1:5">
      <c r="A1037" s="99" t="s">
        <v>1151</v>
      </c>
      <c r="B1037" s="99" t="s">
        <v>5</v>
      </c>
      <c r="C1037" s="62" t="s">
        <v>288</v>
      </c>
      <c r="D1037" s="62"/>
    </row>
    <row r="1038" spans="1:5">
      <c r="A1038" s="100"/>
      <c r="B1038" s="100"/>
      <c r="C1038" s="62" t="s">
        <v>1152</v>
      </c>
      <c r="D1038" s="62" t="s">
        <v>1153</v>
      </c>
    </row>
    <row r="1039" spans="1:5">
      <c r="A1039" s="100"/>
      <c r="B1039" s="100"/>
      <c r="C1039" s="62" t="s">
        <v>1154</v>
      </c>
      <c r="D1039" s="62" t="s">
        <v>1155</v>
      </c>
    </row>
    <row r="1040" spans="1:5">
      <c r="A1040" s="100"/>
      <c r="B1040" s="100"/>
      <c r="C1040" s="62" t="s">
        <v>1156</v>
      </c>
      <c r="D1040" s="62" t="s">
        <v>1157</v>
      </c>
    </row>
    <row r="1044" spans="4:4">
      <c r="D1044" s="64"/>
    </row>
    <row r="1045" spans="4:4">
      <c r="D1045" s="64"/>
    </row>
    <row r="1046" spans="4:4">
      <c r="D1046" s="64"/>
    </row>
    <row r="1047" spans="4:4">
      <c r="D1047" s="64"/>
    </row>
    <row r="1065" spans="1:4">
      <c r="D1065" s="39"/>
    </row>
    <row r="1070" spans="1:4">
      <c r="A1070" s="39"/>
    </row>
    <row r="1072" spans="1:4">
      <c r="C1072" s="18"/>
    </row>
    <row r="1073" spans="1:5" s="9" customFormat="1">
      <c r="B1073" s="18"/>
      <c r="C1073" s="18"/>
      <c r="E1073" s="18"/>
    </row>
    <row r="1074" spans="1:5" s="9" customFormat="1">
      <c r="A1074" s="51"/>
      <c r="B1074" s="18"/>
      <c r="C1074" s="18"/>
      <c r="E1074" s="18"/>
    </row>
    <row r="1075" spans="1:5" s="9" customFormat="1">
      <c r="B1075" s="18"/>
      <c r="C1075" s="64"/>
      <c r="E1075" s="18"/>
    </row>
    <row r="1076" spans="1:5" s="9" customFormat="1">
      <c r="B1076" s="18"/>
      <c r="C1076" s="64" t="s">
        <v>67</v>
      </c>
      <c r="E1076" s="18"/>
    </row>
    <row r="1077" spans="1:5" s="9" customFormat="1">
      <c r="B1077" s="18"/>
      <c r="C1077" s="64" t="s">
        <v>47</v>
      </c>
      <c r="E1077" s="18"/>
    </row>
    <row r="1078" spans="1:5" s="9" customFormat="1">
      <c r="B1078" s="18"/>
      <c r="C1078" s="64" t="s">
        <v>150</v>
      </c>
      <c r="E1078" s="18"/>
    </row>
    <row r="1079" spans="1:5" s="9" customFormat="1">
      <c r="B1079" s="18"/>
      <c r="C1079" s="64" t="s">
        <v>404</v>
      </c>
      <c r="E1079" s="18"/>
    </row>
    <row r="1080" spans="1:5" s="9" customFormat="1">
      <c r="B1080" s="18"/>
      <c r="C1080" s="64"/>
      <c r="E1080" s="18"/>
    </row>
    <row r="1081" spans="1:5" s="9" customFormat="1">
      <c r="B1081" s="18"/>
      <c r="C1081" s="64" t="s">
        <v>67</v>
      </c>
      <c r="E1081" s="18"/>
    </row>
    <row r="1082" spans="1:5" s="9" customFormat="1">
      <c r="B1082" s="18"/>
      <c r="C1082" s="64" t="s">
        <v>47</v>
      </c>
      <c r="E1082" s="18"/>
    </row>
    <row r="1083" spans="1:5" s="9" customFormat="1">
      <c r="B1083" s="18"/>
      <c r="C1083" s="64" t="s">
        <v>150</v>
      </c>
      <c r="E1083" s="18"/>
    </row>
    <row r="1084" spans="1:5" s="9" customFormat="1">
      <c r="B1084" s="18"/>
      <c r="C1084" s="64" t="s">
        <v>404</v>
      </c>
      <c r="E1084" s="18"/>
    </row>
    <row r="1085" spans="1:5" s="9" customFormat="1">
      <c r="B1085" s="18"/>
      <c r="C1085" s="64" t="s">
        <v>137</v>
      </c>
      <c r="E1085" s="18"/>
    </row>
    <row r="1086" spans="1:5" s="9" customFormat="1">
      <c r="B1086" s="18"/>
      <c r="C1086" s="64"/>
      <c r="E1086" s="18"/>
    </row>
    <row r="1087" spans="1:5" s="9" customFormat="1">
      <c r="A1087" s="39"/>
      <c r="B1087" s="18"/>
      <c r="C1087" s="64" t="s">
        <v>67</v>
      </c>
      <c r="E1087" s="18"/>
    </row>
    <row r="1088" spans="1:5" s="9" customFormat="1">
      <c r="B1088" s="18"/>
      <c r="C1088" s="64" t="s">
        <v>47</v>
      </c>
      <c r="E1088" s="18"/>
    </row>
    <row r="1089" spans="2:5" s="9" customFormat="1">
      <c r="B1089" s="18"/>
      <c r="C1089" s="64" t="s">
        <v>404</v>
      </c>
      <c r="E1089" s="18"/>
    </row>
    <row r="1090" spans="2:5" s="9" customFormat="1">
      <c r="B1090" s="18"/>
      <c r="C1090" s="64"/>
      <c r="E1090" s="18"/>
    </row>
    <row r="1091" spans="2:5" s="9" customFormat="1">
      <c r="B1091" s="18"/>
      <c r="C1091" s="64" t="s">
        <v>957</v>
      </c>
      <c r="E1091" s="18"/>
    </row>
    <row r="1092" spans="2:5" s="9" customFormat="1">
      <c r="B1092" s="18"/>
      <c r="C1092" s="64" t="s">
        <v>72</v>
      </c>
      <c r="E1092" s="18"/>
    </row>
    <row r="1093" spans="2:5" s="9" customFormat="1">
      <c r="B1093" s="18"/>
      <c r="C1093" s="64"/>
      <c r="E1093" s="18"/>
    </row>
    <row r="1094" spans="2:5" s="9" customFormat="1">
      <c r="B1094" s="18"/>
      <c r="C1094" s="64" t="s">
        <v>523</v>
      </c>
      <c r="E1094" s="18"/>
    </row>
    <row r="1095" spans="2:5" s="9" customFormat="1">
      <c r="B1095" s="18"/>
      <c r="C1095" s="64" t="s">
        <v>820</v>
      </c>
      <c r="E1095" s="18"/>
    </row>
    <row r="1096" spans="2:5" s="9" customFormat="1">
      <c r="B1096" s="18"/>
      <c r="C1096" s="64" t="s">
        <v>821</v>
      </c>
      <c r="E1096" s="18"/>
    </row>
    <row r="1097" spans="2:5" s="9" customFormat="1">
      <c r="B1097" s="18"/>
      <c r="C1097" s="64" t="s">
        <v>824</v>
      </c>
      <c r="E1097" s="18"/>
    </row>
    <row r="1098" spans="2:5" s="9" customFormat="1">
      <c r="B1098" s="18"/>
      <c r="C1098" s="64" t="s">
        <v>825</v>
      </c>
      <c r="E1098" s="18"/>
    </row>
    <row r="1099" spans="2:5" s="9" customFormat="1">
      <c r="B1099" s="18"/>
      <c r="C1099" s="64" t="s">
        <v>71</v>
      </c>
      <c r="E1099" s="18"/>
    </row>
    <row r="1100" spans="2:5" s="9" customFormat="1">
      <c r="B1100" s="18"/>
      <c r="C1100" s="64" t="s">
        <v>826</v>
      </c>
      <c r="E1100" s="18"/>
    </row>
    <row r="1101" spans="2:5" s="9" customFormat="1">
      <c r="B1101" s="18"/>
      <c r="C1101" s="64" t="s">
        <v>827</v>
      </c>
      <c r="E1101" s="18"/>
    </row>
    <row r="1102" spans="2:5" s="9" customFormat="1">
      <c r="B1102" s="18"/>
      <c r="C1102" s="64" t="s">
        <v>828</v>
      </c>
      <c r="E1102" s="18"/>
    </row>
    <row r="1103" spans="2:5" s="9" customFormat="1">
      <c r="B1103" s="18"/>
      <c r="C1103" s="64" t="s">
        <v>830</v>
      </c>
      <c r="E1103" s="18"/>
    </row>
    <row r="1104" spans="2:5" s="9" customFormat="1">
      <c r="B1104" s="18"/>
      <c r="C1104" s="64" t="s">
        <v>566</v>
      </c>
      <c r="E1104" s="18"/>
    </row>
    <row r="1105" spans="2:5" s="9" customFormat="1">
      <c r="B1105" s="18"/>
      <c r="C1105" s="64" t="s">
        <v>72</v>
      </c>
      <c r="E1105" s="18"/>
    </row>
    <row r="1106" spans="2:5" s="9" customFormat="1">
      <c r="B1106" s="18"/>
      <c r="C1106" s="64"/>
      <c r="E1106" s="18"/>
    </row>
    <row r="1107" spans="2:5" s="9" customFormat="1">
      <c r="B1107" s="18"/>
      <c r="C1107" s="64"/>
      <c r="E1107" s="18"/>
    </row>
    <row r="1108" spans="2:5">
      <c r="C1108" s="64" t="s">
        <v>103</v>
      </c>
    </row>
    <row r="1109" spans="2:5" s="9" customFormat="1">
      <c r="B1109" s="18"/>
      <c r="C1109" s="64" t="s">
        <v>145</v>
      </c>
      <c r="E1109" s="18"/>
    </row>
    <row r="1110" spans="2:5" s="9" customFormat="1">
      <c r="B1110" s="18"/>
      <c r="C1110" s="64" t="s">
        <v>958</v>
      </c>
      <c r="E1110" s="18"/>
    </row>
    <row r="1111" spans="2:5" s="9" customFormat="1">
      <c r="B1111" s="18"/>
      <c r="C1111" s="64" t="s">
        <v>72</v>
      </c>
      <c r="E1111" s="18"/>
    </row>
    <row r="1112" spans="2:5" s="9" customFormat="1">
      <c r="B1112" s="18"/>
      <c r="C1112" s="64"/>
      <c r="E1112" s="18"/>
    </row>
    <row r="1113" spans="2:5" s="9" customFormat="1">
      <c r="B1113" s="18"/>
      <c r="C1113" s="64" t="s">
        <v>70</v>
      </c>
      <c r="E1113" s="18"/>
    </row>
    <row r="1114" spans="2:5" s="9" customFormat="1">
      <c r="B1114" s="18"/>
      <c r="C1114" s="64" t="s">
        <v>411</v>
      </c>
      <c r="E1114" s="18"/>
    </row>
    <row r="1115" spans="2:5" s="9" customFormat="1">
      <c r="B1115" s="18"/>
      <c r="C1115" s="64" t="s">
        <v>33</v>
      </c>
      <c r="E1115" s="18"/>
    </row>
    <row r="1116" spans="2:5" s="9" customFormat="1">
      <c r="B1116" s="18"/>
      <c r="C1116" s="64" t="s">
        <v>72</v>
      </c>
      <c r="E1116" s="18"/>
    </row>
    <row r="1117" spans="2:5" s="9" customFormat="1">
      <c r="B1117" s="18"/>
      <c r="C1117" s="64"/>
      <c r="E1117" s="18"/>
    </row>
    <row r="1118" spans="2:5" s="9" customFormat="1">
      <c r="B1118" s="18"/>
      <c r="C1118" s="64" t="s">
        <v>414</v>
      </c>
      <c r="E1118" s="18"/>
    </row>
    <row r="1119" spans="2:5" s="9" customFormat="1">
      <c r="B1119" s="18"/>
      <c r="C1119" s="64" t="s">
        <v>1158</v>
      </c>
      <c r="E1119" s="18"/>
    </row>
    <row r="1120" spans="2:5" s="9" customFormat="1">
      <c r="B1120" s="18"/>
      <c r="C1120" s="64"/>
      <c r="E1120" s="18"/>
    </row>
    <row r="1121" spans="2:5">
      <c r="C1121" s="64" t="s">
        <v>414</v>
      </c>
    </row>
    <row r="1122" spans="2:5" s="9" customFormat="1">
      <c r="B1122" s="18"/>
      <c r="C1122" s="64" t="s">
        <v>416</v>
      </c>
      <c r="E1122" s="18"/>
    </row>
    <row r="1123" spans="2:5" s="9" customFormat="1">
      <c r="B1123" s="18"/>
      <c r="C1123" s="64" t="s">
        <v>418</v>
      </c>
      <c r="E1123" s="18"/>
    </row>
    <row r="1124" spans="2:5" s="9" customFormat="1">
      <c r="B1124" s="18"/>
      <c r="C1124" s="64" t="s">
        <v>420</v>
      </c>
      <c r="E1124" s="18"/>
    </row>
    <row r="1125" spans="2:5">
      <c r="C1125" s="64" t="s">
        <v>425</v>
      </c>
    </row>
    <row r="1126" spans="2:5">
      <c r="C1126" s="64" t="s">
        <v>72</v>
      </c>
    </row>
    <row r="1129" spans="2:5">
      <c r="C1129" s="64" t="s">
        <v>519</v>
      </c>
    </row>
    <row r="1130" spans="2:5">
      <c r="C1130" s="64" t="s">
        <v>520</v>
      </c>
    </row>
    <row r="1131" spans="2:5">
      <c r="C1131" s="64" t="s">
        <v>522</v>
      </c>
    </row>
    <row r="1132" spans="2:5">
      <c r="C1132" s="64" t="s">
        <v>523</v>
      </c>
    </row>
    <row r="1133" spans="2:5">
      <c r="C1133" s="64" t="s">
        <v>524</v>
      </c>
    </row>
    <row r="1134" spans="2:5">
      <c r="C1134" s="64" t="s">
        <v>526</v>
      </c>
    </row>
    <row r="1135" spans="2:5">
      <c r="C1135" s="64" t="s">
        <v>527</v>
      </c>
    </row>
    <row r="1136" spans="2:5">
      <c r="C1136" s="64" t="s">
        <v>528</v>
      </c>
    </row>
    <row r="1137" spans="3:3">
      <c r="C1137" s="64" t="s">
        <v>529</v>
      </c>
    </row>
    <row r="1138" spans="3:3">
      <c r="C1138" s="64" t="s">
        <v>530</v>
      </c>
    </row>
    <row r="1139" spans="3:3">
      <c r="C1139" s="64" t="s">
        <v>531</v>
      </c>
    </row>
    <row r="1140" spans="3:3">
      <c r="C1140" s="64" t="s">
        <v>532</v>
      </c>
    </row>
    <row r="1141" spans="3:3">
      <c r="C1141" s="64" t="s">
        <v>533</v>
      </c>
    </row>
    <row r="1142" spans="3:3">
      <c r="C1142" s="64" t="s">
        <v>534</v>
      </c>
    </row>
    <row r="1143" spans="3:3">
      <c r="C1143" s="64" t="s">
        <v>535</v>
      </c>
    </row>
    <row r="1144" spans="3:3">
      <c r="C1144" s="64" t="s">
        <v>123</v>
      </c>
    </row>
    <row r="1145" spans="3:3">
      <c r="C1145" s="64" t="s">
        <v>537</v>
      </c>
    </row>
    <row r="1146" spans="3:3">
      <c r="C1146" s="64" t="s">
        <v>97</v>
      </c>
    </row>
    <row r="1147" spans="3:3">
      <c r="C1147" s="64" t="s">
        <v>539</v>
      </c>
    </row>
    <row r="1148" spans="3:3">
      <c r="C1148" s="64" t="s">
        <v>540</v>
      </c>
    </row>
    <row r="1149" spans="3:3">
      <c r="C1149" s="64" t="s">
        <v>541</v>
      </c>
    </row>
    <row r="1150" spans="3:3">
      <c r="C1150" s="64" t="s">
        <v>542</v>
      </c>
    </row>
    <row r="1151" spans="3:3">
      <c r="C1151" s="64" t="s">
        <v>543</v>
      </c>
    </row>
    <row r="1152" spans="3:3">
      <c r="C1152" s="64" t="s">
        <v>111</v>
      </c>
    </row>
    <row r="1153" spans="3:3">
      <c r="C1153" s="64" t="s">
        <v>544</v>
      </c>
    </row>
    <row r="1154" spans="3:3">
      <c r="C1154" s="64" t="s">
        <v>545</v>
      </c>
    </row>
    <row r="1155" spans="3:3">
      <c r="C1155" s="64" t="s">
        <v>546</v>
      </c>
    </row>
    <row r="1156" spans="3:3">
      <c r="C1156" s="64" t="s">
        <v>547</v>
      </c>
    </row>
    <row r="1157" spans="3:3">
      <c r="C1157" s="64" t="s">
        <v>548</v>
      </c>
    </row>
    <row r="1158" spans="3:3">
      <c r="C1158" s="64" t="s">
        <v>549</v>
      </c>
    </row>
    <row r="1159" spans="3:3">
      <c r="C1159" s="64" t="s">
        <v>550</v>
      </c>
    </row>
    <row r="1160" spans="3:3">
      <c r="C1160" s="64" t="s">
        <v>551</v>
      </c>
    </row>
    <row r="1161" spans="3:3">
      <c r="C1161" s="64" t="s">
        <v>552</v>
      </c>
    </row>
    <row r="1162" spans="3:3">
      <c r="C1162" s="64" t="s">
        <v>553</v>
      </c>
    </row>
    <row r="1163" spans="3:3" ht="14.45" customHeight="1">
      <c r="C1163" s="64" t="s">
        <v>554</v>
      </c>
    </row>
    <row r="1164" spans="3:3">
      <c r="C1164" s="64" t="s">
        <v>556</v>
      </c>
    </row>
    <row r="1165" spans="3:3">
      <c r="C1165" s="64" t="s">
        <v>557</v>
      </c>
    </row>
    <row r="1166" spans="3:3">
      <c r="C1166" s="64" t="s">
        <v>558</v>
      </c>
    </row>
    <row r="1167" spans="3:3">
      <c r="C1167" s="64" t="s">
        <v>559</v>
      </c>
    </row>
    <row r="1168" spans="3:3">
      <c r="C1168" s="64" t="s">
        <v>561</v>
      </c>
    </row>
    <row r="1169" spans="3:3">
      <c r="C1169" s="64" t="s">
        <v>565</v>
      </c>
    </row>
    <row r="1170" spans="3:3">
      <c r="C1170" s="64" t="s">
        <v>72</v>
      </c>
    </row>
    <row r="1171" spans="3:3">
      <c r="C1171" s="64" t="s">
        <v>567</v>
      </c>
    </row>
    <row r="1172" spans="3:3">
      <c r="C1172" s="64" t="s">
        <v>568</v>
      </c>
    </row>
    <row r="1173" spans="3:3">
      <c r="C1173" s="64" t="s">
        <v>569</v>
      </c>
    </row>
    <row r="1174" spans="3:3">
      <c r="C1174" s="64" t="s">
        <v>570</v>
      </c>
    </row>
    <row r="1175" spans="3:3">
      <c r="C1175" s="64" t="s">
        <v>571</v>
      </c>
    </row>
    <row r="1176" spans="3:3">
      <c r="C1176" s="64" t="s">
        <v>572</v>
      </c>
    </row>
    <row r="1177" spans="3:3">
      <c r="C1177" s="64" t="s">
        <v>573</v>
      </c>
    </row>
    <row r="1178" spans="3:3">
      <c r="C1178" s="64" t="s">
        <v>574</v>
      </c>
    </row>
    <row r="1179" spans="3:3">
      <c r="C1179" s="64" t="s">
        <v>575</v>
      </c>
    </row>
    <row r="1180" spans="3:3">
      <c r="C1180" s="64" t="s">
        <v>576</v>
      </c>
    </row>
    <row r="1181" spans="3:3">
      <c r="C1181" s="64" t="s">
        <v>577</v>
      </c>
    </row>
    <row r="1182" spans="3:3">
      <c r="C1182" s="64" t="s">
        <v>578</v>
      </c>
    </row>
    <row r="1183" spans="3:3">
      <c r="C1183" s="64" t="s">
        <v>579</v>
      </c>
    </row>
    <row r="1184" spans="3:3">
      <c r="C1184" s="64" t="s">
        <v>580</v>
      </c>
    </row>
    <row r="1185" spans="3:3">
      <c r="C1185" s="64" t="s">
        <v>581</v>
      </c>
    </row>
    <row r="1186" spans="3:3">
      <c r="C1186" s="64" t="s">
        <v>582</v>
      </c>
    </row>
    <row r="1187" spans="3:3">
      <c r="C1187" s="64" t="s">
        <v>583</v>
      </c>
    </row>
    <row r="1188" spans="3:3">
      <c r="C1188" s="64" t="s">
        <v>584</v>
      </c>
    </row>
    <row r="1189" spans="3:3">
      <c r="C1189" s="64" t="s">
        <v>586</v>
      </c>
    </row>
    <row r="1190" spans="3:3">
      <c r="C1190" s="64" t="s">
        <v>588</v>
      </c>
    </row>
    <row r="1191" spans="3:3">
      <c r="C1191" s="64" t="s">
        <v>590</v>
      </c>
    </row>
    <row r="1192" spans="3:3">
      <c r="C1192" s="146" t="s">
        <v>591</v>
      </c>
    </row>
    <row r="1193" spans="3:3">
      <c r="C1193" s="64" t="s">
        <v>593</v>
      </c>
    </row>
    <row r="1194" spans="3:3">
      <c r="C1194" s="64" t="s">
        <v>594</v>
      </c>
    </row>
    <row r="1195" spans="3:3">
      <c r="C1195" s="64" t="s">
        <v>595</v>
      </c>
    </row>
    <row r="1196" spans="3:3">
      <c r="C1196" s="64" t="s">
        <v>596</v>
      </c>
    </row>
    <row r="1197" spans="3:3">
      <c r="C1197" s="64" t="s">
        <v>597</v>
      </c>
    </row>
    <row r="1198" spans="3:3">
      <c r="C1198" s="64" t="s">
        <v>598</v>
      </c>
    </row>
    <row r="1199" spans="3:3">
      <c r="C1199" s="64" t="s">
        <v>599</v>
      </c>
    </row>
    <row r="1200" spans="3:3">
      <c r="C1200" s="64" t="s">
        <v>600</v>
      </c>
    </row>
    <row r="1201" spans="3:3">
      <c r="C1201" s="64" t="s">
        <v>602</v>
      </c>
    </row>
    <row r="1202" spans="3:3">
      <c r="C1202" s="64" t="s">
        <v>603</v>
      </c>
    </row>
    <row r="1203" spans="3:3">
      <c r="C1203" s="64" t="s">
        <v>605</v>
      </c>
    </row>
    <row r="1204" spans="3:3">
      <c r="C1204" s="64" t="s">
        <v>606</v>
      </c>
    </row>
    <row r="1205" spans="3:3">
      <c r="C1205" s="64" t="s">
        <v>607</v>
      </c>
    </row>
    <row r="1206" spans="3:3">
      <c r="C1206" s="64" t="s">
        <v>608</v>
      </c>
    </row>
    <row r="1207" spans="3:3">
      <c r="C1207" s="64" t="s">
        <v>609</v>
      </c>
    </row>
    <row r="1208" spans="3:3">
      <c r="C1208" s="64" t="s">
        <v>611</v>
      </c>
    </row>
    <row r="1209" spans="3:3">
      <c r="C1209" s="64" t="s">
        <v>612</v>
      </c>
    </row>
    <row r="1210" spans="3:3">
      <c r="C1210" s="64" t="s">
        <v>613</v>
      </c>
    </row>
    <row r="1211" spans="3:3">
      <c r="C1211" s="64" t="s">
        <v>614</v>
      </c>
    </row>
    <row r="1212" spans="3:3">
      <c r="C1212" s="64" t="s">
        <v>615</v>
      </c>
    </row>
    <row r="1213" spans="3:3">
      <c r="C1213" s="64" t="s">
        <v>616</v>
      </c>
    </row>
    <row r="1214" spans="3:3">
      <c r="C1214" s="64" t="s">
        <v>617</v>
      </c>
    </row>
    <row r="1215" spans="3:3">
      <c r="C1215" s="64" t="s">
        <v>618</v>
      </c>
    </row>
    <row r="1216" spans="3:3">
      <c r="C1216" s="64" t="s">
        <v>620</v>
      </c>
    </row>
    <row r="1217" spans="3:3">
      <c r="C1217" s="64" t="s">
        <v>621</v>
      </c>
    </row>
    <row r="1218" spans="3:3">
      <c r="C1218" s="64" t="s">
        <v>622</v>
      </c>
    </row>
    <row r="1219" spans="3:3">
      <c r="C1219" s="64" t="s">
        <v>623</v>
      </c>
    </row>
    <row r="1220" spans="3:3">
      <c r="C1220" s="64" t="s">
        <v>624</v>
      </c>
    </row>
    <row r="1221" spans="3:3">
      <c r="C1221" s="64" t="s">
        <v>625</v>
      </c>
    </row>
    <row r="1222" spans="3:3">
      <c r="C1222" s="64" t="s">
        <v>626</v>
      </c>
    </row>
    <row r="1223" spans="3:3">
      <c r="C1223" s="64" t="s">
        <v>627</v>
      </c>
    </row>
    <row r="1224" spans="3:3">
      <c r="C1224" s="64" t="s">
        <v>628</v>
      </c>
    </row>
    <row r="1225" spans="3:3">
      <c r="C1225" s="64" t="s">
        <v>629</v>
      </c>
    </row>
    <row r="1226" spans="3:3">
      <c r="C1226" s="64" t="s">
        <v>630</v>
      </c>
    </row>
    <row r="1227" spans="3:3">
      <c r="C1227" s="64" t="s">
        <v>631</v>
      </c>
    </row>
    <row r="1228" spans="3:3">
      <c r="C1228" s="64" t="s">
        <v>632</v>
      </c>
    </row>
    <row r="1229" spans="3:3">
      <c r="C1229" s="64" t="s">
        <v>633</v>
      </c>
    </row>
    <row r="1230" spans="3:3">
      <c r="C1230" s="64" t="s">
        <v>634</v>
      </c>
    </row>
    <row r="1231" spans="3:3">
      <c r="C1231" s="64" t="s">
        <v>635</v>
      </c>
    </row>
    <row r="1232" spans="3:3">
      <c r="C1232" s="64" t="s">
        <v>636</v>
      </c>
    </row>
    <row r="1233" spans="3:3">
      <c r="C1233" s="64" t="s">
        <v>637</v>
      </c>
    </row>
    <row r="1234" spans="3:3">
      <c r="C1234" s="64" t="s">
        <v>638</v>
      </c>
    </row>
    <row r="1235" spans="3:3">
      <c r="C1235" s="64" t="s">
        <v>639</v>
      </c>
    </row>
    <row r="1236" spans="3:3">
      <c r="C1236" s="64" t="s">
        <v>640</v>
      </c>
    </row>
    <row r="1237" spans="3:3">
      <c r="C1237" s="64" t="s">
        <v>642</v>
      </c>
    </row>
    <row r="1238" spans="3:3">
      <c r="C1238" s="64" t="s">
        <v>643</v>
      </c>
    </row>
    <row r="1239" spans="3:3">
      <c r="C1239" s="64" t="s">
        <v>644</v>
      </c>
    </row>
    <row r="1240" spans="3:3">
      <c r="C1240" s="64" t="s">
        <v>645</v>
      </c>
    </row>
    <row r="1241" spans="3:3">
      <c r="C1241" s="64" t="s">
        <v>646</v>
      </c>
    </row>
    <row r="1242" spans="3:3">
      <c r="C1242" s="64" t="s">
        <v>647</v>
      </c>
    </row>
    <row r="1243" spans="3:3">
      <c r="C1243" s="64" t="s">
        <v>648</v>
      </c>
    </row>
    <row r="1244" spans="3:3">
      <c r="C1244" s="64" t="s">
        <v>649</v>
      </c>
    </row>
    <row r="1245" spans="3:3">
      <c r="C1245" s="64" t="s">
        <v>79</v>
      </c>
    </row>
    <row r="1248" spans="3:3">
      <c r="C1248" s="64" t="s">
        <v>415</v>
      </c>
    </row>
    <row r="1249" spans="3:3">
      <c r="C1249" s="64" t="s">
        <v>416</v>
      </c>
    </row>
    <row r="1250" spans="3:3">
      <c r="C1250" s="64" t="s">
        <v>418</v>
      </c>
    </row>
    <row r="1251" spans="3:3">
      <c r="C1251" s="64" t="s">
        <v>421</v>
      </c>
    </row>
    <row r="1252" spans="3:3">
      <c r="C1252" s="64" t="s">
        <v>423</v>
      </c>
    </row>
    <row r="1253" spans="3:3">
      <c r="C1253" s="64" t="s">
        <v>72</v>
      </c>
    </row>
    <row r="1255" spans="3:3">
      <c r="C1255" s="64" t="s">
        <v>415</v>
      </c>
    </row>
    <row r="1256" spans="3:3">
      <c r="C1256" s="64" t="s">
        <v>420</v>
      </c>
    </row>
    <row r="1257" spans="3:3">
      <c r="C1257" s="64" t="s">
        <v>425</v>
      </c>
    </row>
    <row r="1258" spans="3:3">
      <c r="C1258" s="64" t="s">
        <v>416</v>
      </c>
    </row>
    <row r="1259" spans="3:3">
      <c r="C1259" s="64" t="s">
        <v>72</v>
      </c>
    </row>
    <row r="1261" spans="3:3">
      <c r="C1261" s="64" t="s">
        <v>414</v>
      </c>
    </row>
    <row r="1262" spans="3:3">
      <c r="C1262" s="64" t="s">
        <v>416</v>
      </c>
    </row>
    <row r="1263" spans="3:3">
      <c r="C1263" s="64" t="s">
        <v>423</v>
      </c>
    </row>
    <row r="1264" spans="3:3">
      <c r="C1264" s="64" t="s">
        <v>421</v>
      </c>
    </row>
    <row r="1265" spans="3:3">
      <c r="C1265" s="64" t="s">
        <v>72</v>
      </c>
    </row>
    <row r="1267" spans="3:3">
      <c r="C1267" s="64" t="s">
        <v>415</v>
      </c>
    </row>
    <row r="1268" spans="3:3">
      <c r="C1268" s="64" t="s">
        <v>416</v>
      </c>
    </row>
    <row r="1269" spans="3:3">
      <c r="C1269" s="64" t="s">
        <v>72</v>
      </c>
    </row>
    <row r="1272" spans="3:3">
      <c r="C1272" s="64" t="s">
        <v>414</v>
      </c>
    </row>
    <row r="1273" spans="3:3">
      <c r="C1273" s="64" t="s">
        <v>416</v>
      </c>
    </row>
    <row r="1274" spans="3:3">
      <c r="C1274" s="64" t="s">
        <v>418</v>
      </c>
    </row>
    <row r="1275" spans="3:3">
      <c r="C1275" s="64" t="s">
        <v>420</v>
      </c>
    </row>
    <row r="1276" spans="3:3">
      <c r="C1276" s="64" t="s">
        <v>421</v>
      </c>
    </row>
    <row r="1277" spans="3:3">
      <c r="C1277" s="64" t="s">
        <v>422</v>
      </c>
    </row>
    <row r="1278" spans="3:3">
      <c r="C1278" s="64" t="s">
        <v>423</v>
      </c>
    </row>
    <row r="1279" spans="3:3">
      <c r="C1279" s="64" t="s">
        <v>424</v>
      </c>
    </row>
    <row r="1280" spans="3:3">
      <c r="C1280" s="64" t="s">
        <v>425</v>
      </c>
    </row>
    <row r="1281" spans="3:3">
      <c r="C1281" s="64" t="s">
        <v>72</v>
      </c>
    </row>
    <row r="1283" spans="3:3">
      <c r="C1283" s="64" t="s">
        <v>31</v>
      </c>
    </row>
    <row r="1284" spans="3:3">
      <c r="C1284" s="64" t="s">
        <v>428</v>
      </c>
    </row>
    <row r="1285" spans="3:3">
      <c r="C1285" s="64" t="s">
        <v>430</v>
      </c>
    </row>
    <row r="1286" spans="3:3">
      <c r="C1286" s="64" t="s">
        <v>432</v>
      </c>
    </row>
    <row r="1287" spans="3:3">
      <c r="C1287" s="64" t="s">
        <v>434</v>
      </c>
    </row>
    <row r="1288" spans="3:3">
      <c r="C1288" s="64" t="s">
        <v>436</v>
      </c>
    </row>
    <row r="1289" spans="3:3">
      <c r="C1289" s="64" t="s">
        <v>438</v>
      </c>
    </row>
    <row r="1290" spans="3:3">
      <c r="C1290" s="64" t="s">
        <v>440</v>
      </c>
    </row>
    <row r="1291" spans="3:3">
      <c r="C1291" s="64" t="s">
        <v>442</v>
      </c>
    </row>
    <row r="1292" spans="3:3">
      <c r="C1292" s="64" t="s">
        <v>444</v>
      </c>
    </row>
    <row r="1293" spans="3:3">
      <c r="C1293" s="64" t="s">
        <v>446</v>
      </c>
    </row>
    <row r="1294" spans="3:3">
      <c r="C1294" s="64" t="s">
        <v>448</v>
      </c>
    </row>
    <row r="1295" spans="3:3">
      <c r="C1295" s="64" t="s">
        <v>450</v>
      </c>
    </row>
    <row r="1296" spans="3:3">
      <c r="C1296" s="64" t="s">
        <v>452</v>
      </c>
    </row>
    <row r="1297" spans="3:3">
      <c r="C1297" s="64" t="s">
        <v>454</v>
      </c>
    </row>
    <row r="1298" spans="3:3">
      <c r="C1298" s="64" t="s">
        <v>456</v>
      </c>
    </row>
    <row r="1299" spans="3:3">
      <c r="C1299" s="64" t="s">
        <v>458</v>
      </c>
    </row>
    <row r="1300" spans="3:3">
      <c r="C1300" s="64" t="s">
        <v>460</v>
      </c>
    </row>
    <row r="1301" spans="3:3">
      <c r="C1301" s="64" t="s">
        <v>462</v>
      </c>
    </row>
    <row r="1302" spans="3:3">
      <c r="C1302" s="64" t="s">
        <v>464</v>
      </c>
    </row>
    <row r="1303" spans="3:3">
      <c r="C1303" s="64" t="s">
        <v>466</v>
      </c>
    </row>
    <row r="1304" spans="3:3">
      <c r="C1304" s="64" t="s">
        <v>468</v>
      </c>
    </row>
    <row r="1305" spans="3:3">
      <c r="C1305" s="64" t="s">
        <v>470</v>
      </c>
    </row>
    <row r="1306" spans="3:3">
      <c r="C1306" s="64" t="s">
        <v>472</v>
      </c>
    </row>
    <row r="1307" spans="3:3">
      <c r="C1307" s="64" t="s">
        <v>474</v>
      </c>
    </row>
    <row r="1308" spans="3:3">
      <c r="C1308" s="64" t="s">
        <v>476</v>
      </c>
    </row>
    <row r="1309" spans="3:3">
      <c r="C1309" s="64" t="s">
        <v>478</v>
      </c>
    </row>
    <row r="1310" spans="3:3">
      <c r="C1310" s="64" t="s">
        <v>480</v>
      </c>
    </row>
    <row r="1311" spans="3:3">
      <c r="C1311" s="64" t="s">
        <v>482</v>
      </c>
    </row>
    <row r="1312" spans="3:3">
      <c r="C1312" s="64" t="s">
        <v>484</v>
      </c>
    </row>
    <row r="1313" spans="3:3">
      <c r="C1313" s="64" t="s">
        <v>486</v>
      </c>
    </row>
    <row r="1314" spans="3:3">
      <c r="C1314" s="64" t="s">
        <v>488</v>
      </c>
    </row>
    <row r="1315" spans="3:3">
      <c r="C1315" s="64" t="s">
        <v>72</v>
      </c>
    </row>
  </sheetData>
  <autoFilter ref="A1:D1040" xr:uid="{00000000-0009-0000-0000-00001F000000}"/>
  <sortState xmlns:xlrd2="http://schemas.microsoft.com/office/spreadsheetml/2017/richdata2" ref="C81:C84">
    <sortCondition ref="C81"/>
  </sortState>
  <pageMargins left="0.70866141732283472" right="0.70866141732283472" top="0.74803149606299213" bottom="0.74803149606299213" header="0.31496062992125984" footer="0.31496062992125984"/>
  <pageSetup paperSize="9" scale="60" orientation="landscape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 codeName="Sheet32">
    <tabColor theme="9" tint="-0.499984740745262"/>
  </sheetPr>
  <dimension ref="A1:D795"/>
  <sheetViews>
    <sheetView showGridLines="0" rightToLeft="1" workbookViewId="0">
      <pane ySplit="1" topLeftCell="A19" activePane="bottomLeft" state="frozen"/>
      <selection pane="bottomLeft" activeCell="A19" sqref="A19"/>
    </sheetView>
  </sheetViews>
  <sheetFormatPr defaultColWidth="0" defaultRowHeight="15" zeroHeight="1" outlineLevelRow="1"/>
  <cols>
    <col min="1" max="1" width="25.625" style="69" customWidth="1"/>
    <col min="2" max="2" width="48.75" style="69" customWidth="1"/>
    <col min="3" max="3" width="12" customWidth="1"/>
    <col min="4" max="4" width="23.5" style="1" customWidth="1"/>
    <col min="5" max="5" width="9" hidden="1" customWidth="1"/>
    <col min="6" max="16384" width="9" hidden="1"/>
  </cols>
  <sheetData>
    <row r="1" spans="1:4" ht="15.75">
      <c r="A1" s="122" t="s">
        <v>1159</v>
      </c>
      <c r="B1" s="123" t="s">
        <v>1160</v>
      </c>
      <c r="C1" s="123" t="s">
        <v>1161</v>
      </c>
      <c r="D1" s="124" t="s">
        <v>1162</v>
      </c>
    </row>
    <row r="2" spans="1:4" ht="15.75" hidden="1" outlineLevel="1">
      <c r="A2" s="46" t="s">
        <v>1004</v>
      </c>
      <c r="B2" s="47" t="s">
        <v>0</v>
      </c>
      <c r="C2" s="46">
        <v>5.0999999999999996</v>
      </c>
      <c r="D2" s="126"/>
    </row>
    <row r="3" spans="1:4" ht="15.75" hidden="1" outlineLevel="1">
      <c r="A3" s="46" t="s">
        <v>1004</v>
      </c>
      <c r="B3" s="47" t="s">
        <v>1</v>
      </c>
      <c r="C3" s="46">
        <v>5.2</v>
      </c>
      <c r="D3" s="126"/>
    </row>
    <row r="4" spans="1:4" ht="15.75" hidden="1" outlineLevel="1">
      <c r="A4" s="46" t="s">
        <v>1004</v>
      </c>
      <c r="B4" s="47" t="s">
        <v>255</v>
      </c>
      <c r="C4" s="46">
        <v>5.4</v>
      </c>
      <c r="D4" s="126"/>
    </row>
    <row r="5" spans="1:4" ht="15.75" hidden="1" outlineLevel="1">
      <c r="A5" s="46" t="s">
        <v>1004</v>
      </c>
      <c r="B5" s="47" t="s">
        <v>256</v>
      </c>
      <c r="C5" s="46">
        <v>5.7</v>
      </c>
      <c r="D5" s="126"/>
    </row>
    <row r="6" spans="1:4" ht="15.75" hidden="1" outlineLevel="1">
      <c r="A6" s="46" t="s">
        <v>1004</v>
      </c>
      <c r="B6" s="47" t="s">
        <v>257</v>
      </c>
      <c r="C6" s="46">
        <v>5.1100000000000003</v>
      </c>
      <c r="D6" s="126"/>
    </row>
    <row r="7" spans="1:4" ht="15.75" hidden="1" outlineLevel="1">
      <c r="A7" s="46" t="s">
        <v>1004</v>
      </c>
      <c r="B7" s="47" t="s">
        <v>5</v>
      </c>
      <c r="C7" s="46">
        <v>5.26</v>
      </c>
      <c r="D7" s="126"/>
    </row>
    <row r="8" spans="1:4" ht="15.75" hidden="1" outlineLevel="1">
      <c r="A8" s="46" t="s">
        <v>1004</v>
      </c>
      <c r="B8" s="47" t="s">
        <v>6</v>
      </c>
      <c r="C8" s="46">
        <v>5.27</v>
      </c>
      <c r="D8" s="126"/>
    </row>
    <row r="9" spans="1:4" ht="15.75" hidden="1" outlineLevel="1">
      <c r="A9" s="46" t="s">
        <v>1004</v>
      </c>
      <c r="B9" s="47" t="s">
        <v>51</v>
      </c>
      <c r="C9" s="46">
        <v>5.36</v>
      </c>
      <c r="D9" s="126"/>
    </row>
    <row r="10" spans="1:4" ht="15.75" hidden="1" outlineLevel="1">
      <c r="A10" s="46" t="s">
        <v>1004</v>
      </c>
      <c r="B10" s="47" t="s">
        <v>259</v>
      </c>
      <c r="C10" s="48">
        <v>5.5</v>
      </c>
      <c r="D10" s="126"/>
    </row>
    <row r="11" spans="1:4" ht="15.75" hidden="1" outlineLevel="1">
      <c r="A11" s="46" t="s">
        <v>1004</v>
      </c>
      <c r="B11" s="47" t="s">
        <v>10</v>
      </c>
      <c r="C11" s="46">
        <v>5.51</v>
      </c>
      <c r="D11" s="126"/>
    </row>
    <row r="12" spans="1:4" ht="15.75" hidden="1" outlineLevel="1">
      <c r="A12" s="46" t="s">
        <v>1004</v>
      </c>
      <c r="B12" s="47" t="s">
        <v>11</v>
      </c>
      <c r="C12" s="46">
        <v>5.53</v>
      </c>
      <c r="D12" s="126"/>
    </row>
    <row r="13" spans="1:4" ht="15.75" hidden="1" outlineLevel="1">
      <c r="A13" s="46" t="s">
        <v>1004</v>
      </c>
      <c r="B13" s="47" t="s">
        <v>260</v>
      </c>
      <c r="C13" s="46">
        <v>5.59</v>
      </c>
      <c r="D13" s="126"/>
    </row>
    <row r="14" spans="1:4" ht="15.75" hidden="1" outlineLevel="1">
      <c r="A14" s="46" t="s">
        <v>1004</v>
      </c>
      <c r="B14" s="47" t="s">
        <v>18</v>
      </c>
      <c r="C14" s="46">
        <v>5.54</v>
      </c>
      <c r="D14" s="126"/>
    </row>
    <row r="15" spans="1:4" ht="15.75" hidden="1" outlineLevel="1">
      <c r="A15" s="46" t="s">
        <v>1004</v>
      </c>
      <c r="B15" s="47" t="s">
        <v>14</v>
      </c>
      <c r="C15" s="48">
        <v>5.7</v>
      </c>
      <c r="D15" s="125" t="s">
        <v>1163</v>
      </c>
    </row>
    <row r="16" spans="1:4" ht="15.75" hidden="1" outlineLevel="1">
      <c r="A16" s="46" t="s">
        <v>1004</v>
      </c>
      <c r="B16" s="47" t="s">
        <v>20</v>
      </c>
      <c r="C16" s="46">
        <v>5.63</v>
      </c>
      <c r="D16" s="126"/>
    </row>
    <row r="17" spans="1:4" ht="15.75" hidden="1" outlineLevel="1">
      <c r="A17" s="46" t="s">
        <v>1004</v>
      </c>
      <c r="B17" s="47" t="s">
        <v>24</v>
      </c>
      <c r="C17" s="46">
        <v>5.47</v>
      </c>
      <c r="D17" s="126"/>
    </row>
    <row r="18" spans="1:4" ht="15.75" hidden="1" outlineLevel="1">
      <c r="A18" s="46" t="s">
        <v>1004</v>
      </c>
      <c r="B18" s="47" t="s">
        <v>25</v>
      </c>
      <c r="C18" s="46">
        <v>5.48</v>
      </c>
      <c r="D18" s="126"/>
    </row>
    <row r="19" spans="1:4" ht="15.75">
      <c r="A19" s="52" t="s">
        <v>1004</v>
      </c>
      <c r="B19" s="47"/>
      <c r="C19" s="46"/>
      <c r="D19" s="126"/>
    </row>
    <row r="20" spans="1:4" ht="15.75" hidden="1" outlineLevel="1">
      <c r="A20" s="46" t="s">
        <v>1014</v>
      </c>
      <c r="B20" s="47" t="s">
        <v>0</v>
      </c>
      <c r="C20" s="46">
        <v>5.0999999999999996</v>
      </c>
      <c r="D20" s="126"/>
    </row>
    <row r="21" spans="1:4" ht="15.75" hidden="1" outlineLevel="1">
      <c r="A21" s="46" t="s">
        <v>1014</v>
      </c>
      <c r="B21" s="47" t="s">
        <v>1</v>
      </c>
      <c r="C21" s="46">
        <v>5.2</v>
      </c>
      <c r="D21" s="126"/>
    </row>
    <row r="22" spans="1:4" ht="15.75" hidden="1" outlineLevel="1">
      <c r="A22" s="46" t="s">
        <v>1014</v>
      </c>
      <c r="B22" s="47" t="s">
        <v>2</v>
      </c>
      <c r="C22" s="46">
        <v>5.3</v>
      </c>
      <c r="D22" s="126"/>
    </row>
    <row r="23" spans="1:4" ht="15.75" hidden="1" outlineLevel="1">
      <c r="A23" s="46" t="s">
        <v>1014</v>
      </c>
      <c r="B23" s="47" t="s">
        <v>59</v>
      </c>
      <c r="C23" s="46">
        <v>5.14</v>
      </c>
      <c r="D23" s="126"/>
    </row>
    <row r="24" spans="1:4" ht="15.75" hidden="1" outlineLevel="1">
      <c r="A24" s="46" t="s">
        <v>1014</v>
      </c>
      <c r="B24" s="47" t="s">
        <v>4</v>
      </c>
      <c r="C24" s="46">
        <v>5.19</v>
      </c>
      <c r="D24" s="126"/>
    </row>
    <row r="25" spans="1:4" ht="15.75" hidden="1" outlineLevel="1">
      <c r="A25" s="46" t="s">
        <v>1014</v>
      </c>
      <c r="B25" s="47" t="s">
        <v>5</v>
      </c>
      <c r="C25" s="46">
        <v>5.26</v>
      </c>
      <c r="D25" s="126"/>
    </row>
    <row r="26" spans="1:4" ht="15.75" hidden="1" outlineLevel="1">
      <c r="A26" s="46" t="s">
        <v>1014</v>
      </c>
      <c r="B26" s="47" t="s">
        <v>6</v>
      </c>
      <c r="C26" s="46">
        <v>5.27</v>
      </c>
      <c r="D26" s="126"/>
    </row>
    <row r="27" spans="1:4" ht="15.75" hidden="1" outlineLevel="1">
      <c r="A27" s="46" t="s">
        <v>1014</v>
      </c>
      <c r="B27" s="47" t="s">
        <v>7</v>
      </c>
      <c r="C27" s="46">
        <v>5.28</v>
      </c>
      <c r="D27" s="126"/>
    </row>
    <row r="28" spans="1:4" ht="15.75" hidden="1" outlineLevel="1">
      <c r="A28" s="46" t="s">
        <v>1014</v>
      </c>
      <c r="B28" s="47" t="s">
        <v>8</v>
      </c>
      <c r="C28" s="48">
        <v>5.3</v>
      </c>
      <c r="D28" s="126"/>
    </row>
    <row r="29" spans="1:4" ht="15.75" hidden="1" outlineLevel="1">
      <c r="A29" s="46" t="s">
        <v>1014</v>
      </c>
      <c r="B29" s="47" t="s">
        <v>9</v>
      </c>
      <c r="C29" s="46">
        <v>5.49</v>
      </c>
      <c r="D29" s="126"/>
    </row>
    <row r="30" spans="1:4" ht="15.75" hidden="1" outlineLevel="1">
      <c r="A30" s="46" t="s">
        <v>1014</v>
      </c>
      <c r="B30" s="47" t="s">
        <v>10</v>
      </c>
      <c r="C30" s="46">
        <v>5.51</v>
      </c>
      <c r="D30" s="126"/>
    </row>
    <row r="31" spans="1:4" ht="15.75" hidden="1" outlineLevel="1">
      <c r="A31" s="46" t="s">
        <v>1014</v>
      </c>
      <c r="B31" s="47" t="s">
        <v>11</v>
      </c>
      <c r="C31" s="46">
        <v>5.53</v>
      </c>
      <c r="D31" s="126"/>
    </row>
    <row r="32" spans="1:4" ht="15.75" hidden="1" outlineLevel="1">
      <c r="A32" s="46" t="s">
        <v>1014</v>
      </c>
      <c r="B32" s="47" t="s">
        <v>12</v>
      </c>
      <c r="C32" s="46">
        <v>5.69</v>
      </c>
      <c r="D32" s="126"/>
    </row>
    <row r="33" spans="1:4" ht="15.75" hidden="1" outlineLevel="1">
      <c r="A33" s="46" t="s">
        <v>1014</v>
      </c>
      <c r="B33" s="47" t="s">
        <v>13</v>
      </c>
      <c r="C33" s="46">
        <v>5.75</v>
      </c>
      <c r="D33" s="126"/>
    </row>
    <row r="34" spans="1:4" ht="15.75" hidden="1" outlineLevel="1">
      <c r="A34" s="46" t="s">
        <v>1014</v>
      </c>
      <c r="B34" s="47" t="s">
        <v>14</v>
      </c>
      <c r="C34" s="48">
        <v>5.7</v>
      </c>
      <c r="D34" s="126"/>
    </row>
    <row r="35" spans="1:4" ht="15.75" hidden="1" outlineLevel="1">
      <c r="A35" s="46" t="s">
        <v>1014</v>
      </c>
      <c r="B35" s="47" t="s">
        <v>15</v>
      </c>
      <c r="C35" s="46">
        <v>5.74</v>
      </c>
      <c r="D35" s="126"/>
    </row>
    <row r="36" spans="1:4" ht="15.75" hidden="1" outlineLevel="1">
      <c r="A36" s="46" t="s">
        <v>1014</v>
      </c>
      <c r="B36" s="47" t="s">
        <v>16</v>
      </c>
      <c r="C36" s="46">
        <v>5.62</v>
      </c>
      <c r="D36" s="126"/>
    </row>
    <row r="37" spans="1:4" ht="15.75" hidden="1" outlineLevel="1">
      <c r="A37" s="46" t="s">
        <v>1014</v>
      </c>
      <c r="B37" s="47" t="s">
        <v>17</v>
      </c>
      <c r="C37" s="46">
        <v>5.58</v>
      </c>
      <c r="D37" s="126"/>
    </row>
    <row r="38" spans="1:4" ht="15.75" hidden="1" outlineLevel="1">
      <c r="A38" s="46" t="s">
        <v>1014</v>
      </c>
      <c r="B38" s="47" t="s">
        <v>18</v>
      </c>
      <c r="C38" s="46">
        <v>5.54</v>
      </c>
      <c r="D38" s="126"/>
    </row>
    <row r="39" spans="1:4" ht="15.75" hidden="1" outlineLevel="1">
      <c r="A39" s="46" t="s">
        <v>1014</v>
      </c>
      <c r="B39" s="47" t="s">
        <v>19</v>
      </c>
      <c r="C39" s="46">
        <v>5.55</v>
      </c>
      <c r="D39" s="126"/>
    </row>
    <row r="40" spans="1:4" ht="15.75" hidden="1" outlineLevel="1">
      <c r="A40" s="46" t="s">
        <v>1014</v>
      </c>
      <c r="B40" s="47" t="s">
        <v>20</v>
      </c>
      <c r="C40" s="46">
        <v>5.63</v>
      </c>
      <c r="D40" s="126"/>
    </row>
    <row r="41" spans="1:4" ht="15.75" hidden="1" outlineLevel="1">
      <c r="A41" s="46" t="s">
        <v>1014</v>
      </c>
      <c r="B41" s="47" t="s">
        <v>21</v>
      </c>
      <c r="C41" s="46">
        <v>5.65</v>
      </c>
      <c r="D41" s="126"/>
    </row>
    <row r="42" spans="1:4" ht="15.75" hidden="1" outlineLevel="1">
      <c r="A42" s="46" t="s">
        <v>1014</v>
      </c>
      <c r="B42" s="47" t="s">
        <v>22</v>
      </c>
      <c r="C42" s="46">
        <v>5.68</v>
      </c>
      <c r="D42" s="126"/>
    </row>
    <row r="43" spans="1:4" ht="15.75" hidden="1" outlineLevel="1">
      <c r="A43" s="46" t="s">
        <v>1014</v>
      </c>
      <c r="B43" s="47" t="s">
        <v>23</v>
      </c>
      <c r="C43" s="46">
        <v>5.45</v>
      </c>
      <c r="D43" s="126"/>
    </row>
    <row r="44" spans="1:4" ht="15.75" hidden="1" outlineLevel="1">
      <c r="A44" s="46" t="s">
        <v>1014</v>
      </c>
      <c r="B44" s="47" t="s">
        <v>24</v>
      </c>
      <c r="C44" s="46">
        <v>5.47</v>
      </c>
      <c r="D44" s="126"/>
    </row>
    <row r="45" spans="1:4" ht="15.75" hidden="1" outlineLevel="1">
      <c r="A45" s="46" t="s">
        <v>1014</v>
      </c>
      <c r="B45" s="47" t="s">
        <v>25</v>
      </c>
      <c r="C45" s="46">
        <v>5.48</v>
      </c>
      <c r="D45" s="126"/>
    </row>
    <row r="46" spans="1:4" ht="15.75">
      <c r="A46" s="52" t="s">
        <v>1014</v>
      </c>
      <c r="B46" s="47"/>
      <c r="C46" s="46"/>
      <c r="D46" s="126"/>
    </row>
    <row r="47" spans="1:4" ht="15.75" hidden="1" outlineLevel="1">
      <c r="A47" s="46" t="s">
        <v>1021</v>
      </c>
      <c r="B47" s="47" t="s">
        <v>0</v>
      </c>
      <c r="C47" s="46">
        <v>5.0999999999999996</v>
      </c>
      <c r="D47" s="126"/>
    </row>
    <row r="48" spans="1:4" ht="15.75" hidden="1" outlineLevel="1">
      <c r="A48" s="46" t="s">
        <v>1021</v>
      </c>
      <c r="B48" s="47" t="s">
        <v>1</v>
      </c>
      <c r="C48" s="46">
        <v>5.2</v>
      </c>
      <c r="D48" s="126"/>
    </row>
    <row r="49" spans="1:4" ht="15.75" hidden="1" outlineLevel="1">
      <c r="A49" s="46" t="s">
        <v>1021</v>
      </c>
      <c r="B49" s="47" t="s">
        <v>2</v>
      </c>
      <c r="C49" s="46">
        <v>5.3</v>
      </c>
      <c r="D49" s="126"/>
    </row>
    <row r="50" spans="1:4" ht="15.75" hidden="1" outlineLevel="1">
      <c r="A50" s="46" t="s">
        <v>1021</v>
      </c>
      <c r="B50" s="47" t="s">
        <v>47</v>
      </c>
      <c r="C50" s="46">
        <v>5.6</v>
      </c>
      <c r="D50" s="126"/>
    </row>
    <row r="51" spans="1:4" ht="15.75" hidden="1" outlineLevel="1">
      <c r="A51" s="46" t="s">
        <v>1021</v>
      </c>
      <c r="B51" s="47" t="s">
        <v>1164</v>
      </c>
      <c r="C51" s="48">
        <v>5.0999999999999996</v>
      </c>
      <c r="D51" s="126"/>
    </row>
    <row r="52" spans="1:4" ht="15.75" hidden="1" outlineLevel="1">
      <c r="A52" s="46" t="s">
        <v>1021</v>
      </c>
      <c r="B52" s="47" t="s">
        <v>59</v>
      </c>
      <c r="C52" s="46">
        <v>5.14</v>
      </c>
      <c r="D52" s="126"/>
    </row>
    <row r="53" spans="1:4" ht="15.75" hidden="1" outlineLevel="1">
      <c r="A53" s="46" t="s">
        <v>1021</v>
      </c>
      <c r="B53" s="47" t="s">
        <v>4</v>
      </c>
      <c r="C53" s="46">
        <v>5.19</v>
      </c>
      <c r="D53" s="126"/>
    </row>
    <row r="54" spans="1:4" ht="15.75" hidden="1" outlineLevel="1">
      <c r="A54" s="46" t="s">
        <v>1021</v>
      </c>
      <c r="B54" s="47" t="s">
        <v>49</v>
      </c>
      <c r="C54" s="46">
        <v>5.24</v>
      </c>
      <c r="D54" s="126"/>
    </row>
    <row r="55" spans="1:4" ht="15.75" hidden="1" outlineLevel="1">
      <c r="A55" s="46" t="s">
        <v>1021</v>
      </c>
      <c r="B55" s="47" t="s">
        <v>5</v>
      </c>
      <c r="C55" s="46">
        <v>5.26</v>
      </c>
      <c r="D55" s="126"/>
    </row>
    <row r="56" spans="1:4" ht="15.75" hidden="1" outlineLevel="1">
      <c r="A56" s="46" t="s">
        <v>1021</v>
      </c>
      <c r="B56" s="47" t="s">
        <v>6</v>
      </c>
      <c r="C56" s="46">
        <v>5.27</v>
      </c>
      <c r="D56" s="126"/>
    </row>
    <row r="57" spans="1:4" ht="15.75" hidden="1" outlineLevel="1">
      <c r="A57" s="46" t="s">
        <v>1021</v>
      </c>
      <c r="B57" s="47" t="s">
        <v>7</v>
      </c>
      <c r="C57" s="46">
        <v>5.28</v>
      </c>
      <c r="D57" s="126"/>
    </row>
    <row r="58" spans="1:4" ht="15.75" hidden="1" outlineLevel="1">
      <c r="A58" s="46" t="s">
        <v>1021</v>
      </c>
      <c r="B58" s="47" t="s">
        <v>8</v>
      </c>
      <c r="C58" s="48">
        <v>5.3</v>
      </c>
      <c r="D58" s="126"/>
    </row>
    <row r="59" spans="1:4" ht="15.75" hidden="1" outlineLevel="1">
      <c r="A59" s="46" t="s">
        <v>1021</v>
      </c>
      <c r="B59" s="47" t="s">
        <v>50</v>
      </c>
      <c r="C59" s="46">
        <v>5.31</v>
      </c>
      <c r="D59" s="126"/>
    </row>
    <row r="60" spans="1:4" ht="15.75" hidden="1" outlineLevel="1">
      <c r="A60" s="46" t="s">
        <v>1021</v>
      </c>
      <c r="B60" s="47" t="s">
        <v>51</v>
      </c>
      <c r="C60" s="46">
        <v>5.36</v>
      </c>
      <c r="D60" s="126"/>
    </row>
    <row r="61" spans="1:4" ht="15.75" hidden="1" outlineLevel="1">
      <c r="A61" s="46" t="s">
        <v>1021</v>
      </c>
      <c r="B61" s="47" t="s">
        <v>9</v>
      </c>
      <c r="C61" s="46">
        <v>5.49</v>
      </c>
      <c r="D61" s="126"/>
    </row>
    <row r="62" spans="1:4" ht="15.75" hidden="1" outlineLevel="1">
      <c r="A62" s="46" t="s">
        <v>1021</v>
      </c>
      <c r="B62" s="47" t="s">
        <v>10</v>
      </c>
      <c r="C62" s="46">
        <v>5.51</v>
      </c>
      <c r="D62" s="126"/>
    </row>
    <row r="63" spans="1:4" ht="15.75" hidden="1" outlineLevel="1">
      <c r="A63" s="46" t="s">
        <v>1021</v>
      </c>
      <c r="B63" s="47" t="s">
        <v>1165</v>
      </c>
      <c r="C63" s="46">
        <v>5.52</v>
      </c>
      <c r="D63" s="126"/>
    </row>
    <row r="64" spans="1:4" ht="15.75" hidden="1" outlineLevel="1">
      <c r="A64" s="46" t="s">
        <v>1021</v>
      </c>
      <c r="B64" s="47" t="s">
        <v>11</v>
      </c>
      <c r="C64" s="46">
        <v>5.53</v>
      </c>
      <c r="D64" s="126"/>
    </row>
    <row r="65" spans="1:4" ht="15.75" hidden="1" outlineLevel="1">
      <c r="A65" s="46" t="s">
        <v>1021</v>
      </c>
      <c r="B65" s="47" t="s">
        <v>12</v>
      </c>
      <c r="C65" s="46">
        <v>5.69</v>
      </c>
      <c r="D65" s="126"/>
    </row>
    <row r="66" spans="1:4" ht="15.75" hidden="1" outlineLevel="1">
      <c r="A66" s="46" t="s">
        <v>1021</v>
      </c>
      <c r="B66" s="47" t="s">
        <v>53</v>
      </c>
      <c r="C66" s="48">
        <v>5.72</v>
      </c>
      <c r="D66" s="126"/>
    </row>
    <row r="67" spans="1:4" ht="15.75" hidden="1" outlineLevel="1">
      <c r="A67" s="46" t="s">
        <v>1021</v>
      </c>
      <c r="B67" s="47" t="s">
        <v>13</v>
      </c>
      <c r="C67" s="46">
        <v>5.75</v>
      </c>
      <c r="D67" s="126"/>
    </row>
    <row r="68" spans="1:4" ht="15.75" hidden="1" outlineLevel="1">
      <c r="A68" s="46" t="s">
        <v>1021</v>
      </c>
      <c r="B68" s="47" t="s">
        <v>14</v>
      </c>
      <c r="C68" s="48">
        <v>5.7</v>
      </c>
      <c r="D68" s="126"/>
    </row>
    <row r="69" spans="1:4" ht="15.75" hidden="1" outlineLevel="1">
      <c r="A69" s="46" t="s">
        <v>1021</v>
      </c>
      <c r="B69" s="47" t="s">
        <v>15</v>
      </c>
      <c r="C69" s="46">
        <v>5.74</v>
      </c>
      <c r="D69" s="126"/>
    </row>
    <row r="70" spans="1:4" ht="15.75" hidden="1" outlineLevel="1">
      <c r="A70" s="46" t="s">
        <v>1021</v>
      </c>
      <c r="B70" s="47" t="s">
        <v>54</v>
      </c>
      <c r="C70" s="46">
        <v>5.76</v>
      </c>
      <c r="D70" s="126"/>
    </row>
    <row r="71" spans="1:4" ht="15.75" hidden="1" outlineLevel="1">
      <c r="A71" s="46" t="s">
        <v>1021</v>
      </c>
      <c r="B71" s="47" t="s">
        <v>55</v>
      </c>
      <c r="C71" s="46">
        <v>5.89</v>
      </c>
      <c r="D71" s="125" t="s">
        <v>1163</v>
      </c>
    </row>
    <row r="72" spans="1:4" ht="15.75" hidden="1" outlineLevel="1">
      <c r="A72" s="46" t="s">
        <v>1021</v>
      </c>
      <c r="B72" s="47" t="s">
        <v>17</v>
      </c>
      <c r="C72" s="46">
        <v>5.58</v>
      </c>
      <c r="D72" s="126"/>
    </row>
    <row r="73" spans="1:4" ht="15.75" hidden="1" outlineLevel="1">
      <c r="A73" s="46" t="s">
        <v>1021</v>
      </c>
      <c r="B73" s="47" t="s">
        <v>16</v>
      </c>
      <c r="C73" s="46">
        <v>5.62</v>
      </c>
      <c r="D73" s="126"/>
    </row>
    <row r="74" spans="1:4" ht="15.75" hidden="1" outlineLevel="1">
      <c r="A74" s="46" t="s">
        <v>1021</v>
      </c>
      <c r="B74" s="47" t="s">
        <v>18</v>
      </c>
      <c r="C74" s="46">
        <v>5.54</v>
      </c>
      <c r="D74" s="126"/>
    </row>
    <row r="75" spans="1:4" ht="15.75" hidden="1" outlineLevel="1">
      <c r="A75" s="46" t="s">
        <v>1021</v>
      </c>
      <c r="B75" s="47" t="s">
        <v>19</v>
      </c>
      <c r="C75" s="46">
        <v>5.55</v>
      </c>
      <c r="D75" s="126"/>
    </row>
    <row r="76" spans="1:4" ht="15.75" hidden="1" outlineLevel="1">
      <c r="A76" s="46" t="s">
        <v>1021</v>
      </c>
      <c r="B76" s="47" t="s">
        <v>20</v>
      </c>
      <c r="C76" s="46">
        <v>5.63</v>
      </c>
      <c r="D76" s="126"/>
    </row>
    <row r="77" spans="1:4" ht="15.75" hidden="1" outlineLevel="1">
      <c r="A77" s="46" t="s">
        <v>1021</v>
      </c>
      <c r="B77" s="47" t="s">
        <v>21</v>
      </c>
      <c r="C77" s="46">
        <v>5.65</v>
      </c>
      <c r="D77" s="126"/>
    </row>
    <row r="78" spans="1:4" ht="15.75" hidden="1" outlineLevel="1">
      <c r="A78" s="46" t="s">
        <v>1021</v>
      </c>
      <c r="B78" s="47" t="s">
        <v>56</v>
      </c>
      <c r="C78" s="46">
        <v>5.66</v>
      </c>
      <c r="D78" s="126"/>
    </row>
    <row r="79" spans="1:4" ht="15.75" hidden="1" outlineLevel="1">
      <c r="A79" s="46" t="s">
        <v>1021</v>
      </c>
      <c r="B79" s="47" t="s">
        <v>22</v>
      </c>
      <c r="C79" s="46">
        <v>5.68</v>
      </c>
      <c r="D79" s="126"/>
    </row>
    <row r="80" spans="1:4" ht="15.75" hidden="1" outlineLevel="1">
      <c r="A80" s="46" t="s">
        <v>1021</v>
      </c>
      <c r="B80" s="47" t="s">
        <v>23</v>
      </c>
      <c r="C80" s="46">
        <v>5.45</v>
      </c>
      <c r="D80" s="126"/>
    </row>
    <row r="81" spans="1:4" ht="15.75" hidden="1" outlineLevel="1">
      <c r="A81" s="46" t="s">
        <v>1021</v>
      </c>
      <c r="B81" s="47" t="s">
        <v>24</v>
      </c>
      <c r="C81" s="46">
        <v>5.47</v>
      </c>
      <c r="D81" s="126"/>
    </row>
    <row r="82" spans="1:4" ht="15.75" hidden="1" outlineLevel="1">
      <c r="A82" s="46" t="s">
        <v>1021</v>
      </c>
      <c r="B82" s="47" t="s">
        <v>25</v>
      </c>
      <c r="C82" s="46">
        <v>5.48</v>
      </c>
      <c r="D82" s="126"/>
    </row>
    <row r="83" spans="1:4" ht="15.75">
      <c r="A83" s="52" t="s">
        <v>1021</v>
      </c>
      <c r="B83" s="47"/>
      <c r="C83" s="46"/>
      <c r="D83" s="126"/>
    </row>
    <row r="84" spans="1:4" ht="15.75" hidden="1" outlineLevel="1">
      <c r="A84" s="46" t="s">
        <v>1022</v>
      </c>
      <c r="B84" s="47" t="s">
        <v>0</v>
      </c>
      <c r="C84" s="46">
        <v>5.0999999999999996</v>
      </c>
      <c r="D84" s="126"/>
    </row>
    <row r="85" spans="1:4" ht="15.75" hidden="1" outlineLevel="1">
      <c r="A85" s="46" t="s">
        <v>1022</v>
      </c>
      <c r="B85" s="47" t="s">
        <v>1</v>
      </c>
      <c r="C85" s="46">
        <v>5.2</v>
      </c>
      <c r="D85" s="126"/>
    </row>
    <row r="86" spans="1:4" ht="15.75" hidden="1" outlineLevel="1">
      <c r="A86" s="46" t="s">
        <v>1022</v>
      </c>
      <c r="B86" s="47" t="s">
        <v>2</v>
      </c>
      <c r="C86" s="46">
        <v>5.3</v>
      </c>
      <c r="D86" s="126"/>
    </row>
    <row r="87" spans="1:4" ht="15.75" hidden="1" outlineLevel="1">
      <c r="A87" s="46" t="s">
        <v>1022</v>
      </c>
      <c r="B87" s="47" t="s">
        <v>47</v>
      </c>
      <c r="C87" s="46">
        <v>5.6</v>
      </c>
      <c r="D87" s="126"/>
    </row>
    <row r="88" spans="1:4" ht="15.75" hidden="1" outlineLevel="1">
      <c r="A88" s="46" t="s">
        <v>1022</v>
      </c>
      <c r="B88" s="47" t="s">
        <v>1164</v>
      </c>
      <c r="C88" s="48">
        <v>5.0999999999999996</v>
      </c>
      <c r="D88" s="126"/>
    </row>
    <row r="89" spans="1:4" ht="15.75" hidden="1" outlineLevel="1">
      <c r="A89" s="46" t="s">
        <v>1022</v>
      </c>
      <c r="B89" s="47" t="s">
        <v>59</v>
      </c>
      <c r="C89" s="46">
        <v>5.14</v>
      </c>
      <c r="D89" s="126"/>
    </row>
    <row r="90" spans="1:4" ht="15.75" hidden="1" outlineLevel="1">
      <c r="A90" s="46" t="s">
        <v>1022</v>
      </c>
      <c r="B90" s="47" t="s">
        <v>4</v>
      </c>
      <c r="C90" s="46">
        <v>5.19</v>
      </c>
      <c r="D90" s="126"/>
    </row>
    <row r="91" spans="1:4" ht="15.75" hidden="1" outlineLevel="1">
      <c r="A91" s="46" t="s">
        <v>1022</v>
      </c>
      <c r="B91" s="47" t="s">
        <v>49</v>
      </c>
      <c r="C91" s="46">
        <v>5.24</v>
      </c>
      <c r="D91" s="126"/>
    </row>
    <row r="92" spans="1:4" ht="15.75" hidden="1" outlineLevel="1">
      <c r="A92" s="46" t="s">
        <v>1022</v>
      </c>
      <c r="B92" s="47" t="s">
        <v>5</v>
      </c>
      <c r="C92" s="46">
        <v>5.26</v>
      </c>
      <c r="D92" s="126"/>
    </row>
    <row r="93" spans="1:4" ht="15.75" hidden="1" outlineLevel="1">
      <c r="A93" s="46" t="s">
        <v>1022</v>
      </c>
      <c r="B93" s="47" t="s">
        <v>6</v>
      </c>
      <c r="C93" s="46">
        <v>5.27</v>
      </c>
      <c r="D93" s="126"/>
    </row>
    <row r="94" spans="1:4" ht="15.75" hidden="1" outlineLevel="1">
      <c r="A94" s="46" t="s">
        <v>1022</v>
      </c>
      <c r="B94" s="47" t="s">
        <v>7</v>
      </c>
      <c r="C94" s="46">
        <v>5.28</v>
      </c>
      <c r="D94" s="126"/>
    </row>
    <row r="95" spans="1:4" ht="15.75" hidden="1" outlineLevel="1">
      <c r="A95" s="46" t="s">
        <v>1022</v>
      </c>
      <c r="B95" s="47" t="s">
        <v>57</v>
      </c>
      <c r="C95" s="46">
        <v>5.29</v>
      </c>
      <c r="D95" s="126"/>
    </row>
    <row r="96" spans="1:4" ht="15.75" hidden="1" outlineLevel="1">
      <c r="A96" s="46" t="s">
        <v>1022</v>
      </c>
      <c r="B96" s="47" t="s">
        <v>8</v>
      </c>
      <c r="C96" s="48">
        <v>5.3</v>
      </c>
      <c r="D96" s="126"/>
    </row>
    <row r="97" spans="1:4" ht="15.75" hidden="1" outlineLevel="1">
      <c r="A97" s="46" t="s">
        <v>1022</v>
      </c>
      <c r="B97" s="47" t="s">
        <v>50</v>
      </c>
      <c r="C97" s="46">
        <v>5.31</v>
      </c>
      <c r="D97" s="126"/>
    </row>
    <row r="98" spans="1:4" ht="15.75" hidden="1" outlineLevel="1">
      <c r="A98" s="46" t="s">
        <v>1022</v>
      </c>
      <c r="B98" s="47" t="s">
        <v>51</v>
      </c>
      <c r="C98" s="46">
        <v>5.36</v>
      </c>
      <c r="D98" s="126"/>
    </row>
    <row r="99" spans="1:4" ht="15.75" hidden="1" outlineLevel="1">
      <c r="A99" s="46" t="s">
        <v>1022</v>
      </c>
      <c r="B99" s="47" t="s">
        <v>9</v>
      </c>
      <c r="C99" s="46">
        <v>5.49</v>
      </c>
      <c r="D99" s="126"/>
    </row>
    <row r="100" spans="1:4" ht="15.75" hidden="1" outlineLevel="1">
      <c r="A100" s="46" t="s">
        <v>1022</v>
      </c>
      <c r="B100" s="47" t="s">
        <v>10</v>
      </c>
      <c r="C100" s="46">
        <v>5.51</v>
      </c>
      <c r="D100" s="126"/>
    </row>
    <row r="101" spans="1:4" ht="15.75" hidden="1" outlineLevel="1">
      <c r="A101" s="46" t="s">
        <v>1022</v>
      </c>
      <c r="B101" s="47" t="s">
        <v>1165</v>
      </c>
      <c r="C101" s="46">
        <v>5.52</v>
      </c>
      <c r="D101" s="126"/>
    </row>
    <row r="102" spans="1:4" ht="15.75" hidden="1" outlineLevel="1">
      <c r="A102" s="46" t="s">
        <v>1022</v>
      </c>
      <c r="B102" s="47" t="s">
        <v>11</v>
      </c>
      <c r="C102" s="46">
        <v>5.53</v>
      </c>
      <c r="D102" s="126"/>
    </row>
    <row r="103" spans="1:4" ht="15.75" hidden="1" outlineLevel="1">
      <c r="A103" s="46" t="s">
        <v>1022</v>
      </c>
      <c r="B103" s="47" t="s">
        <v>12</v>
      </c>
      <c r="C103" s="46">
        <v>5.69</v>
      </c>
      <c r="D103" s="126"/>
    </row>
    <row r="104" spans="1:4" ht="15.75" hidden="1" outlineLevel="1">
      <c r="A104" s="46" t="s">
        <v>1022</v>
      </c>
      <c r="B104" s="47" t="s">
        <v>13</v>
      </c>
      <c r="C104" s="46">
        <v>5.75</v>
      </c>
      <c r="D104" s="126"/>
    </row>
    <row r="105" spans="1:4" ht="15.75" hidden="1" outlineLevel="1">
      <c r="A105" s="46" t="s">
        <v>1022</v>
      </c>
      <c r="B105" s="47" t="s">
        <v>14</v>
      </c>
      <c r="C105" s="48">
        <v>5.7</v>
      </c>
      <c r="D105" s="126"/>
    </row>
    <row r="106" spans="1:4" ht="15.75" hidden="1" outlineLevel="1">
      <c r="A106" s="46" t="s">
        <v>1022</v>
      </c>
      <c r="B106" s="47" t="s">
        <v>15</v>
      </c>
      <c r="C106" s="46">
        <v>5.74</v>
      </c>
      <c r="D106" s="126"/>
    </row>
    <row r="107" spans="1:4" ht="15.75" hidden="1" outlineLevel="1">
      <c r="A107" s="46" t="s">
        <v>1022</v>
      </c>
      <c r="B107" s="47" t="s">
        <v>54</v>
      </c>
      <c r="C107" s="46">
        <v>5.76</v>
      </c>
      <c r="D107" s="126"/>
    </row>
    <row r="108" spans="1:4" ht="15.75" hidden="1" outlineLevel="1">
      <c r="A108" s="46" t="s">
        <v>1022</v>
      </c>
      <c r="B108" s="47" t="s">
        <v>55</v>
      </c>
      <c r="C108" s="46">
        <v>5.89</v>
      </c>
      <c r="D108" s="125" t="s">
        <v>1163</v>
      </c>
    </row>
    <row r="109" spans="1:4" ht="15.75" hidden="1" outlineLevel="1">
      <c r="A109" s="46" t="s">
        <v>1022</v>
      </c>
      <c r="B109" s="47" t="s">
        <v>17</v>
      </c>
      <c r="C109" s="46">
        <v>5.58</v>
      </c>
      <c r="D109" s="126"/>
    </row>
    <row r="110" spans="1:4" ht="15.75" hidden="1" outlineLevel="1">
      <c r="A110" s="46" t="s">
        <v>1022</v>
      </c>
      <c r="B110" s="47" t="s">
        <v>16</v>
      </c>
      <c r="C110" s="46">
        <v>5.62</v>
      </c>
      <c r="D110" s="126"/>
    </row>
    <row r="111" spans="1:4" ht="15.75" hidden="1" outlineLevel="1">
      <c r="A111" s="46" t="s">
        <v>1022</v>
      </c>
      <c r="B111" s="47" t="s">
        <v>18</v>
      </c>
      <c r="C111" s="46">
        <v>5.54</v>
      </c>
      <c r="D111" s="126"/>
    </row>
    <row r="112" spans="1:4" ht="15.75" hidden="1" outlineLevel="1">
      <c r="A112" s="46" t="s">
        <v>1022</v>
      </c>
      <c r="B112" s="47" t="s">
        <v>19</v>
      </c>
      <c r="C112" s="46">
        <v>5.55</v>
      </c>
      <c r="D112" s="126"/>
    </row>
    <row r="113" spans="1:4" ht="15.75" hidden="1" outlineLevel="1">
      <c r="A113" s="46" t="s">
        <v>1022</v>
      </c>
      <c r="B113" s="47" t="s">
        <v>21</v>
      </c>
      <c r="C113" s="46">
        <v>5.65</v>
      </c>
      <c r="D113" s="126"/>
    </row>
    <row r="114" spans="1:4" ht="15.75" hidden="1" outlineLevel="1">
      <c r="A114" s="46" t="s">
        <v>1022</v>
      </c>
      <c r="B114" s="47" t="s">
        <v>56</v>
      </c>
      <c r="C114" s="46">
        <v>5.66</v>
      </c>
      <c r="D114" s="126"/>
    </row>
    <row r="115" spans="1:4" ht="15.75" hidden="1" outlineLevel="1">
      <c r="A115" s="46" t="s">
        <v>1022</v>
      </c>
      <c r="B115" s="47" t="s">
        <v>22</v>
      </c>
      <c r="C115" s="46">
        <v>5.68</v>
      </c>
      <c r="D115" s="126"/>
    </row>
    <row r="116" spans="1:4" ht="15.75" hidden="1" outlineLevel="1">
      <c r="A116" s="46" t="s">
        <v>1022</v>
      </c>
      <c r="B116" s="47" t="s">
        <v>23</v>
      </c>
      <c r="C116" s="46">
        <v>5.45</v>
      </c>
      <c r="D116" s="126"/>
    </row>
    <row r="117" spans="1:4" ht="15.75" hidden="1" outlineLevel="1">
      <c r="A117" s="46" t="s">
        <v>1022</v>
      </c>
      <c r="B117" s="47" t="s">
        <v>24</v>
      </c>
      <c r="C117" s="46">
        <v>5.47</v>
      </c>
      <c r="D117" s="126"/>
    </row>
    <row r="118" spans="1:4" ht="15.75" hidden="1" outlineLevel="1">
      <c r="A118" s="46" t="s">
        <v>1022</v>
      </c>
      <c r="B118" s="47" t="s">
        <v>25</v>
      </c>
      <c r="C118" s="46">
        <v>5.48</v>
      </c>
      <c r="D118" s="126"/>
    </row>
    <row r="119" spans="1:4" ht="15.75">
      <c r="A119" s="52" t="s">
        <v>1022</v>
      </c>
      <c r="B119" s="47"/>
      <c r="C119" s="46"/>
      <c r="D119" s="126"/>
    </row>
    <row r="120" spans="1:4" ht="15.75" hidden="1" outlineLevel="1">
      <c r="A120" s="46" t="s">
        <v>1166</v>
      </c>
      <c r="B120" s="47" t="s">
        <v>0</v>
      </c>
      <c r="C120" s="46">
        <v>5.0999999999999996</v>
      </c>
      <c r="D120" s="126"/>
    </row>
    <row r="121" spans="1:4" ht="15.75" hidden="1" outlineLevel="1">
      <c r="A121" s="46" t="s">
        <v>1166</v>
      </c>
      <c r="B121" s="47" t="s">
        <v>1</v>
      </c>
      <c r="C121" s="46">
        <v>5.2</v>
      </c>
      <c r="D121" s="126"/>
    </row>
    <row r="122" spans="1:4" ht="15.75" hidden="1" outlineLevel="1">
      <c r="A122" s="46" t="s">
        <v>1166</v>
      </c>
      <c r="B122" s="47" t="s">
        <v>2</v>
      </c>
      <c r="C122" s="46">
        <v>5.3</v>
      </c>
      <c r="D122" s="126"/>
    </row>
    <row r="123" spans="1:4" ht="15.75" hidden="1" outlineLevel="1">
      <c r="A123" s="46" t="s">
        <v>1166</v>
      </c>
      <c r="B123" s="47" t="s">
        <v>47</v>
      </c>
      <c r="C123" s="46">
        <v>5.6</v>
      </c>
      <c r="D123" s="126"/>
    </row>
    <row r="124" spans="1:4" ht="15.75" hidden="1" outlineLevel="1">
      <c r="A124" s="46" t="s">
        <v>1166</v>
      </c>
      <c r="B124" s="47" t="s">
        <v>1164</v>
      </c>
      <c r="C124" s="48">
        <v>5.0999999999999996</v>
      </c>
      <c r="D124" s="126"/>
    </row>
    <row r="125" spans="1:4" ht="15.75" hidden="1" outlineLevel="1">
      <c r="A125" s="46" t="s">
        <v>1166</v>
      </c>
      <c r="B125" s="47" t="s">
        <v>59</v>
      </c>
      <c r="C125" s="46">
        <v>5.14</v>
      </c>
      <c r="D125" s="126"/>
    </row>
    <row r="126" spans="1:4" ht="15.75" hidden="1" outlineLevel="1">
      <c r="A126" s="46" t="s">
        <v>1166</v>
      </c>
      <c r="B126" s="47" t="s">
        <v>4</v>
      </c>
      <c r="C126" s="46">
        <v>5.19</v>
      </c>
      <c r="D126" s="126"/>
    </row>
    <row r="127" spans="1:4" ht="15.75" hidden="1" outlineLevel="1">
      <c r="A127" s="46" t="s">
        <v>1166</v>
      </c>
      <c r="B127" s="47" t="s">
        <v>49</v>
      </c>
      <c r="C127" s="46">
        <v>5.24</v>
      </c>
      <c r="D127" s="126"/>
    </row>
    <row r="128" spans="1:4" ht="15.75" hidden="1" outlineLevel="1">
      <c r="A128" s="46" t="s">
        <v>1166</v>
      </c>
      <c r="B128" s="47" t="s">
        <v>5</v>
      </c>
      <c r="C128" s="46">
        <v>5.26</v>
      </c>
      <c r="D128" s="126"/>
    </row>
    <row r="129" spans="1:4" ht="15.75" hidden="1" outlineLevel="1">
      <c r="A129" s="46" t="s">
        <v>1166</v>
      </c>
      <c r="B129" s="47" t="s">
        <v>6</v>
      </c>
      <c r="C129" s="46">
        <v>5.27</v>
      </c>
      <c r="D129" s="126"/>
    </row>
    <row r="130" spans="1:4" ht="15.75" hidden="1" outlineLevel="1">
      <c r="A130" s="46" t="s">
        <v>1166</v>
      </c>
      <c r="B130" s="47" t="s">
        <v>7</v>
      </c>
      <c r="C130" s="46">
        <v>5.28</v>
      </c>
      <c r="D130" s="126"/>
    </row>
    <row r="131" spans="1:4" ht="15.75" hidden="1" outlineLevel="1">
      <c r="A131" s="46" t="s">
        <v>1166</v>
      </c>
      <c r="B131" s="47" t="s">
        <v>57</v>
      </c>
      <c r="C131" s="46">
        <v>5.29</v>
      </c>
      <c r="D131" s="126"/>
    </row>
    <row r="132" spans="1:4" ht="15.75" hidden="1" outlineLevel="1">
      <c r="A132" s="46" t="s">
        <v>1166</v>
      </c>
      <c r="B132" s="47" t="s">
        <v>8</v>
      </c>
      <c r="C132" s="48">
        <v>5.3</v>
      </c>
      <c r="D132" s="126"/>
    </row>
    <row r="133" spans="1:4" ht="15.75" hidden="1" outlineLevel="1">
      <c r="A133" s="46" t="s">
        <v>1166</v>
      </c>
      <c r="B133" s="47" t="s">
        <v>50</v>
      </c>
      <c r="C133" s="46">
        <v>5.31</v>
      </c>
      <c r="D133" s="126"/>
    </row>
    <row r="134" spans="1:4" ht="15.75" hidden="1" outlineLevel="1">
      <c r="A134" s="46" t="s">
        <v>1166</v>
      </c>
      <c r="B134" s="47" t="s">
        <v>51</v>
      </c>
      <c r="C134" s="46">
        <v>5.36</v>
      </c>
      <c r="D134" s="126"/>
    </row>
    <row r="135" spans="1:4" ht="15.75" hidden="1" outlineLevel="1">
      <c r="A135" s="46" t="s">
        <v>1166</v>
      </c>
      <c r="B135" s="47" t="s">
        <v>11</v>
      </c>
      <c r="C135" s="46">
        <v>5.53</v>
      </c>
      <c r="D135" s="126"/>
    </row>
    <row r="136" spans="1:4" ht="15.75" hidden="1" outlineLevel="1">
      <c r="A136" s="46" t="s">
        <v>1166</v>
      </c>
      <c r="B136" s="47" t="s">
        <v>17</v>
      </c>
      <c r="C136" s="46">
        <v>5.58</v>
      </c>
      <c r="D136" s="126"/>
    </row>
    <row r="137" spans="1:4" ht="15.75" hidden="1" outlineLevel="1">
      <c r="A137" s="46" t="s">
        <v>1166</v>
      </c>
      <c r="B137" s="47" t="s">
        <v>16</v>
      </c>
      <c r="C137" s="46">
        <v>5.62</v>
      </c>
      <c r="D137" s="126"/>
    </row>
    <row r="138" spans="1:4" ht="15.75" hidden="1" outlineLevel="1">
      <c r="A138" s="46" t="s">
        <v>1166</v>
      </c>
      <c r="B138" s="47" t="s">
        <v>18</v>
      </c>
      <c r="C138" s="46">
        <v>5.54</v>
      </c>
      <c r="D138" s="126"/>
    </row>
    <row r="139" spans="1:4" ht="15.75" hidden="1" outlineLevel="1">
      <c r="A139" s="46" t="s">
        <v>1166</v>
      </c>
      <c r="B139" s="47" t="s">
        <v>19</v>
      </c>
      <c r="C139" s="46">
        <v>5.55</v>
      </c>
      <c r="D139" s="126"/>
    </row>
    <row r="140" spans="1:4" ht="15.75" hidden="1" outlineLevel="1">
      <c r="A140" s="46" t="s">
        <v>1166</v>
      </c>
      <c r="B140" s="47" t="s">
        <v>20</v>
      </c>
      <c r="C140" s="46">
        <v>5.63</v>
      </c>
      <c r="D140" s="126"/>
    </row>
    <row r="141" spans="1:4" ht="15.75" hidden="1" outlineLevel="1">
      <c r="A141" s="46" t="s">
        <v>1166</v>
      </c>
      <c r="B141" s="47" t="s">
        <v>23</v>
      </c>
      <c r="C141" s="46">
        <v>5.45</v>
      </c>
      <c r="D141" s="126"/>
    </row>
    <row r="142" spans="1:4" ht="15.75" hidden="1" outlineLevel="1">
      <c r="A142" s="46" t="s">
        <v>1166</v>
      </c>
      <c r="B142" s="47" t="s">
        <v>24</v>
      </c>
      <c r="C142" s="46">
        <v>5.47</v>
      </c>
      <c r="D142" s="126"/>
    </row>
    <row r="143" spans="1:4" ht="15.75" hidden="1" outlineLevel="1">
      <c r="A143" s="46" t="s">
        <v>1166</v>
      </c>
      <c r="B143" s="47" t="s">
        <v>25</v>
      </c>
      <c r="C143" s="46">
        <v>5.48</v>
      </c>
      <c r="D143" s="126"/>
    </row>
    <row r="144" spans="1:4" ht="15.75">
      <c r="A144" s="52" t="s">
        <v>1166</v>
      </c>
      <c r="B144" s="47"/>
      <c r="C144" s="46"/>
      <c r="D144" s="126"/>
    </row>
    <row r="145" spans="1:4" ht="15.75" hidden="1" outlineLevel="1">
      <c r="A145" s="46" t="s">
        <v>553</v>
      </c>
      <c r="B145" s="47" t="s">
        <v>0</v>
      </c>
      <c r="C145" s="46">
        <v>5.0999999999999996</v>
      </c>
      <c r="D145" s="126"/>
    </row>
    <row r="146" spans="1:4" ht="15.75" hidden="1" outlineLevel="1">
      <c r="A146" s="46" t="s">
        <v>553</v>
      </c>
      <c r="B146" s="47" t="s">
        <v>1</v>
      </c>
      <c r="C146" s="46">
        <v>5.2</v>
      </c>
      <c r="D146" s="126"/>
    </row>
    <row r="147" spans="1:4" ht="15.75" hidden="1" outlineLevel="1">
      <c r="A147" s="46" t="s">
        <v>553</v>
      </c>
      <c r="B147" s="47" t="s">
        <v>2</v>
      </c>
      <c r="C147" s="46">
        <v>5.3</v>
      </c>
      <c r="D147" s="126"/>
    </row>
    <row r="148" spans="1:4" ht="15.75" hidden="1" outlineLevel="1">
      <c r="A148" s="46" t="s">
        <v>553</v>
      </c>
      <c r="B148" s="47" t="s">
        <v>47</v>
      </c>
      <c r="C148" s="46">
        <v>5.6</v>
      </c>
      <c r="D148" s="126"/>
    </row>
    <row r="149" spans="1:4" ht="15.75" hidden="1" outlineLevel="1">
      <c r="A149" s="46" t="s">
        <v>553</v>
      </c>
      <c r="B149" s="47" t="s">
        <v>1164</v>
      </c>
      <c r="C149" s="48">
        <v>5.0999999999999996</v>
      </c>
      <c r="D149" s="126"/>
    </row>
    <row r="150" spans="1:4" ht="15.75" hidden="1" outlineLevel="1">
      <c r="A150" s="46" t="s">
        <v>553</v>
      </c>
      <c r="B150" s="47" t="s">
        <v>59</v>
      </c>
      <c r="C150" s="46">
        <v>5.14</v>
      </c>
      <c r="D150" s="126"/>
    </row>
    <row r="151" spans="1:4" ht="15.75" hidden="1" outlineLevel="1">
      <c r="A151" s="46" t="s">
        <v>553</v>
      </c>
      <c r="B151" s="47" t="s">
        <v>4</v>
      </c>
      <c r="C151" s="46">
        <v>5.19</v>
      </c>
      <c r="D151" s="126"/>
    </row>
    <row r="152" spans="1:4" ht="15.75" hidden="1" outlineLevel="1">
      <c r="A152" s="46" t="s">
        <v>553</v>
      </c>
      <c r="B152" s="47" t="s">
        <v>49</v>
      </c>
      <c r="C152" s="46">
        <v>5.24</v>
      </c>
      <c r="D152" s="126"/>
    </row>
    <row r="153" spans="1:4" ht="15.75" hidden="1" outlineLevel="1">
      <c r="A153" s="46" t="s">
        <v>553</v>
      </c>
      <c r="B153" s="47" t="s">
        <v>5</v>
      </c>
      <c r="C153" s="46">
        <v>5.26</v>
      </c>
      <c r="D153" s="126"/>
    </row>
    <row r="154" spans="1:4" ht="15.75" hidden="1" outlineLevel="1">
      <c r="A154" s="46" t="s">
        <v>553</v>
      </c>
      <c r="B154" s="47" t="s">
        <v>6</v>
      </c>
      <c r="C154" s="46">
        <v>5.27</v>
      </c>
      <c r="D154" s="126"/>
    </row>
    <row r="155" spans="1:4" ht="15.75" hidden="1" outlineLevel="1">
      <c r="A155" s="46" t="s">
        <v>553</v>
      </c>
      <c r="B155" s="47" t="s">
        <v>7</v>
      </c>
      <c r="C155" s="46">
        <v>5.28</v>
      </c>
      <c r="D155" s="126"/>
    </row>
    <row r="156" spans="1:4" ht="15.75" hidden="1" outlineLevel="1">
      <c r="A156" s="46" t="s">
        <v>553</v>
      </c>
      <c r="B156" s="47" t="s">
        <v>8</v>
      </c>
      <c r="C156" s="48">
        <v>5.3</v>
      </c>
      <c r="D156" s="126"/>
    </row>
    <row r="157" spans="1:4" ht="15.75" hidden="1" outlineLevel="1">
      <c r="A157" s="46" t="s">
        <v>553</v>
      </c>
      <c r="B157" s="47" t="s">
        <v>58</v>
      </c>
      <c r="C157" s="46">
        <v>5.32</v>
      </c>
      <c r="D157" s="126"/>
    </row>
    <row r="158" spans="1:4" ht="15.75" hidden="1" outlineLevel="1">
      <c r="A158" s="46" t="s">
        <v>553</v>
      </c>
      <c r="B158" s="47" t="s">
        <v>51</v>
      </c>
      <c r="C158" s="46">
        <v>5.36</v>
      </c>
      <c r="D158" s="126"/>
    </row>
    <row r="159" spans="1:4" ht="15.75" hidden="1" outlineLevel="1">
      <c r="A159" s="46" t="s">
        <v>553</v>
      </c>
      <c r="B159" s="47" t="s">
        <v>11</v>
      </c>
      <c r="C159" s="46">
        <v>5.53</v>
      </c>
      <c r="D159" s="126"/>
    </row>
    <row r="160" spans="1:4" ht="15.75" hidden="1" outlineLevel="1">
      <c r="A160" s="46" t="s">
        <v>553</v>
      </c>
      <c r="B160" s="47" t="s">
        <v>17</v>
      </c>
      <c r="C160" s="46">
        <v>5.58</v>
      </c>
      <c r="D160" s="126"/>
    </row>
    <row r="161" spans="1:4" ht="15.75" hidden="1" outlineLevel="1">
      <c r="A161" s="46" t="s">
        <v>553</v>
      </c>
      <c r="B161" s="47" t="s">
        <v>18</v>
      </c>
      <c r="C161" s="46">
        <v>5.54</v>
      </c>
      <c r="D161" s="126"/>
    </row>
    <row r="162" spans="1:4" ht="15.75" hidden="1" outlineLevel="1">
      <c r="A162" s="46" t="s">
        <v>553</v>
      </c>
      <c r="B162" s="47" t="s">
        <v>19</v>
      </c>
      <c r="C162" s="46">
        <v>5.55</v>
      </c>
      <c r="D162" s="126"/>
    </row>
    <row r="163" spans="1:4" ht="15.75" hidden="1" outlineLevel="1">
      <c r="A163" s="46" t="s">
        <v>553</v>
      </c>
      <c r="B163" s="47" t="s">
        <v>16</v>
      </c>
      <c r="C163" s="46">
        <v>5.62</v>
      </c>
      <c r="D163" s="126"/>
    </row>
    <row r="164" spans="1:4" ht="15.75" hidden="1" outlineLevel="1">
      <c r="A164" s="46" t="s">
        <v>553</v>
      </c>
      <c r="B164" s="47" t="s">
        <v>20</v>
      </c>
      <c r="C164" s="46">
        <v>5.63</v>
      </c>
      <c r="D164" s="126"/>
    </row>
    <row r="165" spans="1:4" ht="15.75" hidden="1" outlineLevel="1">
      <c r="A165" s="46" t="s">
        <v>553</v>
      </c>
      <c r="B165" s="47" t="s">
        <v>23</v>
      </c>
      <c r="C165" s="46">
        <v>5.45</v>
      </c>
      <c r="D165" s="126"/>
    </row>
    <row r="166" spans="1:4" ht="15.75" hidden="1" outlineLevel="1">
      <c r="A166" s="46" t="s">
        <v>553</v>
      </c>
      <c r="B166" s="47" t="s">
        <v>24</v>
      </c>
      <c r="C166" s="46">
        <v>5.47</v>
      </c>
      <c r="D166" s="126"/>
    </row>
    <row r="167" spans="1:4" ht="15.75" hidden="1" outlineLevel="1">
      <c r="A167" s="46" t="s">
        <v>553</v>
      </c>
      <c r="B167" s="47" t="s">
        <v>25</v>
      </c>
      <c r="C167" s="46">
        <v>5.48</v>
      </c>
      <c r="D167" s="126"/>
    </row>
    <row r="168" spans="1:4" ht="15.75">
      <c r="A168" s="52" t="s">
        <v>553</v>
      </c>
      <c r="B168" s="47"/>
      <c r="C168" s="46"/>
      <c r="D168" s="126"/>
    </row>
    <row r="169" spans="1:4" ht="15.75" hidden="1" outlineLevel="1">
      <c r="A169" s="46" t="s">
        <v>1041</v>
      </c>
      <c r="B169" s="47" t="s">
        <v>0</v>
      </c>
      <c r="C169" s="46">
        <v>5.0999999999999996</v>
      </c>
      <c r="D169" s="126"/>
    </row>
    <row r="170" spans="1:4" ht="15.75" hidden="1" outlineLevel="1">
      <c r="A170" s="46" t="s">
        <v>1041</v>
      </c>
      <c r="B170" s="47" t="s">
        <v>1</v>
      </c>
      <c r="C170" s="46">
        <v>5.2</v>
      </c>
      <c r="D170" s="126"/>
    </row>
    <row r="171" spans="1:4" ht="15.75" hidden="1" outlineLevel="1">
      <c r="A171" s="46" t="s">
        <v>1041</v>
      </c>
      <c r="B171" s="47" t="s">
        <v>2</v>
      </c>
      <c r="C171" s="46">
        <v>5.3</v>
      </c>
      <c r="D171" s="126"/>
    </row>
    <row r="172" spans="1:4" ht="15.75" hidden="1" outlineLevel="1">
      <c r="A172" s="46" t="s">
        <v>1041</v>
      </c>
      <c r="B172" s="47" t="s">
        <v>47</v>
      </c>
      <c r="C172" s="46">
        <v>5.6</v>
      </c>
      <c r="D172" s="126"/>
    </row>
    <row r="173" spans="1:4" ht="15.75" hidden="1" outlineLevel="1">
      <c r="A173" s="46" t="s">
        <v>1041</v>
      </c>
      <c r="B173" s="47" t="s">
        <v>1164</v>
      </c>
      <c r="C173" s="48">
        <v>5.0999999999999996</v>
      </c>
      <c r="D173" s="126"/>
    </row>
    <row r="174" spans="1:4" ht="15.75" hidden="1" outlineLevel="1">
      <c r="A174" s="46" t="s">
        <v>1041</v>
      </c>
      <c r="B174" s="47" t="s">
        <v>59</v>
      </c>
      <c r="C174" s="46">
        <v>5.14</v>
      </c>
      <c r="D174" s="126"/>
    </row>
    <row r="175" spans="1:4" ht="15.75" hidden="1" outlineLevel="1">
      <c r="A175" s="46" t="s">
        <v>1041</v>
      </c>
      <c r="B175" s="47" t="s">
        <v>4</v>
      </c>
      <c r="C175" s="46">
        <v>5.19</v>
      </c>
      <c r="D175" s="126"/>
    </row>
    <row r="176" spans="1:4" ht="15.75" hidden="1" outlineLevel="1">
      <c r="A176" s="46" t="s">
        <v>1041</v>
      </c>
      <c r="B176" s="47" t="s">
        <v>49</v>
      </c>
      <c r="C176" s="46">
        <v>5.24</v>
      </c>
      <c r="D176" s="126"/>
    </row>
    <row r="177" spans="1:4" ht="15.75" hidden="1" outlineLevel="1">
      <c r="A177" s="46" t="s">
        <v>1041</v>
      </c>
      <c r="B177" s="47" t="s">
        <v>5</v>
      </c>
      <c r="C177" s="46">
        <v>5.26</v>
      </c>
      <c r="D177" s="126"/>
    </row>
    <row r="178" spans="1:4" ht="15.75" hidden="1" outlineLevel="1">
      <c r="A178" s="46" t="s">
        <v>1041</v>
      </c>
      <c r="B178" s="47" t="s">
        <v>6</v>
      </c>
      <c r="C178" s="46">
        <v>5.27</v>
      </c>
      <c r="D178" s="126"/>
    </row>
    <row r="179" spans="1:4" ht="15.75" hidden="1" outlineLevel="1">
      <c r="A179" s="46" t="s">
        <v>1041</v>
      </c>
      <c r="B179" s="47" t="s">
        <v>7</v>
      </c>
      <c r="C179" s="46">
        <v>5.28</v>
      </c>
      <c r="D179" s="126"/>
    </row>
    <row r="180" spans="1:4" ht="15.75" hidden="1" outlineLevel="1">
      <c r="A180" s="46" t="s">
        <v>1041</v>
      </c>
      <c r="B180" s="47" t="s">
        <v>57</v>
      </c>
      <c r="C180" s="46">
        <v>5.29</v>
      </c>
      <c r="D180" s="126"/>
    </row>
    <row r="181" spans="1:4" ht="15.75" hidden="1" outlineLevel="1">
      <c r="A181" s="46" t="s">
        <v>1041</v>
      </c>
      <c r="B181" s="47" t="s">
        <v>8</v>
      </c>
      <c r="C181" s="48">
        <v>5.3</v>
      </c>
      <c r="D181" s="126"/>
    </row>
    <row r="182" spans="1:4" ht="15.75" hidden="1" outlineLevel="1">
      <c r="A182" s="46" t="s">
        <v>1041</v>
      </c>
      <c r="B182" s="47" t="s">
        <v>58</v>
      </c>
      <c r="C182" s="46">
        <v>5.32</v>
      </c>
      <c r="D182" s="126"/>
    </row>
    <row r="183" spans="1:4" ht="15.75" hidden="1" outlineLevel="1">
      <c r="A183" s="46" t="s">
        <v>1041</v>
      </c>
      <c r="B183" s="47" t="s">
        <v>51</v>
      </c>
      <c r="C183" s="46">
        <v>5.36</v>
      </c>
      <c r="D183" s="126"/>
    </row>
    <row r="184" spans="1:4" ht="15.75" hidden="1" outlineLevel="1">
      <c r="A184" s="46" t="s">
        <v>1041</v>
      </c>
      <c r="B184" s="47" t="s">
        <v>11</v>
      </c>
      <c r="C184" s="46">
        <v>5.53</v>
      </c>
      <c r="D184" s="126"/>
    </row>
    <row r="185" spans="1:4" ht="15.75" hidden="1" outlineLevel="1">
      <c r="A185" s="46" t="s">
        <v>1041</v>
      </c>
      <c r="B185" s="47" t="s">
        <v>17</v>
      </c>
      <c r="C185" s="46">
        <v>5.58</v>
      </c>
      <c r="D185" s="126"/>
    </row>
    <row r="186" spans="1:4" ht="15.75" hidden="1" outlineLevel="1">
      <c r="A186" s="46" t="s">
        <v>1041</v>
      </c>
      <c r="B186" s="47" t="s">
        <v>18</v>
      </c>
      <c r="C186" s="46">
        <v>5.54</v>
      </c>
      <c r="D186" s="126"/>
    </row>
    <row r="187" spans="1:4" ht="15.75" hidden="1" outlineLevel="1">
      <c r="A187" s="46" t="s">
        <v>1041</v>
      </c>
      <c r="B187" s="47" t="s">
        <v>19</v>
      </c>
      <c r="C187" s="46">
        <v>5.55</v>
      </c>
      <c r="D187" s="126"/>
    </row>
    <row r="188" spans="1:4" ht="15.75" hidden="1" outlineLevel="1">
      <c r="A188" s="46" t="s">
        <v>1041</v>
      </c>
      <c r="B188" s="47" t="s">
        <v>20</v>
      </c>
      <c r="C188" s="46">
        <v>5.63</v>
      </c>
      <c r="D188" s="126"/>
    </row>
    <row r="189" spans="1:4" ht="15.75" hidden="1" outlineLevel="1">
      <c r="A189" s="46" t="s">
        <v>1041</v>
      </c>
      <c r="B189" s="47" t="s">
        <v>23</v>
      </c>
      <c r="C189" s="46">
        <v>5.45</v>
      </c>
      <c r="D189" s="126"/>
    </row>
    <row r="190" spans="1:4" ht="15.75" hidden="1" outlineLevel="1">
      <c r="A190" s="46" t="s">
        <v>1041</v>
      </c>
      <c r="B190" s="47" t="s">
        <v>24</v>
      </c>
      <c r="C190" s="46">
        <v>5.47</v>
      </c>
      <c r="D190" s="126"/>
    </row>
    <row r="191" spans="1:4" ht="15.75" hidden="1" outlineLevel="1">
      <c r="A191" s="46" t="s">
        <v>1041</v>
      </c>
      <c r="B191" s="47" t="s">
        <v>25</v>
      </c>
      <c r="C191" s="46">
        <v>5.48</v>
      </c>
      <c r="D191" s="126"/>
    </row>
    <row r="192" spans="1:4" ht="15.75">
      <c r="A192" s="52" t="s">
        <v>1041</v>
      </c>
      <c r="B192" s="47"/>
      <c r="C192" s="46"/>
      <c r="D192" s="126"/>
    </row>
    <row r="193" spans="1:4" ht="15.75" hidden="1" outlineLevel="1">
      <c r="A193" s="46" t="s">
        <v>1167</v>
      </c>
      <c r="B193" s="47" t="s">
        <v>0</v>
      </c>
      <c r="C193" s="46">
        <v>5.0999999999999996</v>
      </c>
      <c r="D193" s="126"/>
    </row>
    <row r="194" spans="1:4" ht="15.75" hidden="1" outlineLevel="1">
      <c r="A194" s="46" t="s">
        <v>1167</v>
      </c>
      <c r="B194" s="47" t="s">
        <v>1</v>
      </c>
      <c r="C194" s="46">
        <v>5.2</v>
      </c>
      <c r="D194" s="126"/>
    </row>
    <row r="195" spans="1:4" ht="15.75" hidden="1" outlineLevel="1">
      <c r="A195" s="46" t="s">
        <v>1167</v>
      </c>
      <c r="B195" s="47" t="s">
        <v>2</v>
      </c>
      <c r="C195" s="46">
        <v>5.3</v>
      </c>
      <c r="D195" s="126"/>
    </row>
    <row r="196" spans="1:4" ht="15.75" hidden="1" outlineLevel="1">
      <c r="A196" s="46" t="s">
        <v>1167</v>
      </c>
      <c r="B196" s="47" t="s">
        <v>47</v>
      </c>
      <c r="C196" s="46">
        <v>5.6</v>
      </c>
      <c r="D196" s="126"/>
    </row>
    <row r="197" spans="1:4" ht="15.75" hidden="1" outlineLevel="1">
      <c r="A197" s="46" t="s">
        <v>1167</v>
      </c>
      <c r="B197" s="47" t="s">
        <v>1164</v>
      </c>
      <c r="C197" s="48">
        <v>5.0999999999999996</v>
      </c>
      <c r="D197" s="126"/>
    </row>
    <row r="198" spans="1:4" ht="15.75" hidden="1" outlineLevel="1">
      <c r="A198" s="46" t="s">
        <v>1167</v>
      </c>
      <c r="B198" s="47" t="s">
        <v>59</v>
      </c>
      <c r="C198" s="46">
        <v>5.14</v>
      </c>
      <c r="D198" s="126"/>
    </row>
    <row r="199" spans="1:4" ht="15.75" hidden="1" outlineLevel="1">
      <c r="A199" s="46" t="s">
        <v>1167</v>
      </c>
      <c r="B199" s="47" t="s">
        <v>4</v>
      </c>
      <c r="C199" s="46">
        <v>5.19</v>
      </c>
      <c r="D199" s="126"/>
    </row>
    <row r="200" spans="1:4" ht="15.75" hidden="1" outlineLevel="1">
      <c r="A200" s="46" t="s">
        <v>1167</v>
      </c>
      <c r="B200" s="47" t="s">
        <v>49</v>
      </c>
      <c r="C200" s="46">
        <v>5.24</v>
      </c>
      <c r="D200" s="126"/>
    </row>
    <row r="201" spans="1:4" ht="15.75" hidden="1" outlineLevel="1">
      <c r="A201" s="46" t="s">
        <v>1167</v>
      </c>
      <c r="B201" s="47" t="s">
        <v>6</v>
      </c>
      <c r="C201" s="46">
        <v>5.27</v>
      </c>
      <c r="D201" s="126"/>
    </row>
    <row r="202" spans="1:4" ht="15.75" hidden="1" outlineLevel="1">
      <c r="A202" s="46" t="s">
        <v>1167</v>
      </c>
      <c r="B202" s="47" t="s">
        <v>7</v>
      </c>
      <c r="C202" s="46">
        <v>5.28</v>
      </c>
      <c r="D202" s="126"/>
    </row>
    <row r="203" spans="1:4" ht="15.75" hidden="1" outlineLevel="1">
      <c r="A203" s="46" t="s">
        <v>1167</v>
      </c>
      <c r="B203" s="47" t="s">
        <v>57</v>
      </c>
      <c r="C203" s="46">
        <v>5.29</v>
      </c>
      <c r="D203" s="126"/>
    </row>
    <row r="204" spans="1:4" ht="15.75" hidden="1" outlineLevel="1">
      <c r="A204" s="46" t="s">
        <v>1167</v>
      </c>
      <c r="B204" s="47" t="s">
        <v>8</v>
      </c>
      <c r="C204" s="48">
        <v>5.3</v>
      </c>
      <c r="D204" s="126"/>
    </row>
    <row r="205" spans="1:4" ht="15.75" hidden="1" outlineLevel="1">
      <c r="A205" s="46" t="s">
        <v>1167</v>
      </c>
      <c r="B205" s="47" t="s">
        <v>60</v>
      </c>
      <c r="C205" s="46">
        <v>5.34</v>
      </c>
      <c r="D205" s="126"/>
    </row>
    <row r="206" spans="1:4" ht="15.75" hidden="1" outlineLevel="1">
      <c r="A206" s="46" t="s">
        <v>1167</v>
      </c>
      <c r="B206" s="47" t="s">
        <v>50</v>
      </c>
      <c r="C206" s="46">
        <v>5.31</v>
      </c>
      <c r="D206" s="126"/>
    </row>
    <row r="207" spans="1:4" ht="15.75" hidden="1" outlineLevel="1">
      <c r="A207" s="46" t="s">
        <v>1167</v>
      </c>
      <c r="B207" s="47" t="s">
        <v>61</v>
      </c>
      <c r="C207" s="46">
        <v>5.101</v>
      </c>
      <c r="D207" s="126"/>
    </row>
    <row r="208" spans="1:4" ht="15.75" hidden="1" outlineLevel="1">
      <c r="A208" s="46" t="s">
        <v>1167</v>
      </c>
      <c r="B208" s="47" t="s">
        <v>51</v>
      </c>
      <c r="C208" s="46">
        <v>5.36</v>
      </c>
      <c r="D208" s="126"/>
    </row>
    <row r="209" spans="1:4" ht="15.75" hidden="1" outlineLevel="1">
      <c r="A209" s="46" t="s">
        <v>1167</v>
      </c>
      <c r="B209" s="47" t="s">
        <v>11</v>
      </c>
      <c r="C209" s="46">
        <v>5.53</v>
      </c>
      <c r="D209" s="126"/>
    </row>
    <row r="210" spans="1:4" ht="15.75" hidden="1" outlineLevel="1">
      <c r="A210" s="46" t="s">
        <v>1167</v>
      </c>
      <c r="B210" s="47" t="s">
        <v>62</v>
      </c>
      <c r="C210" s="46">
        <v>5.1020000000000003</v>
      </c>
      <c r="D210" s="126"/>
    </row>
    <row r="211" spans="1:4" ht="15.75" hidden="1" outlineLevel="1">
      <c r="A211" s="46" t="s">
        <v>1167</v>
      </c>
      <c r="B211" s="47" t="s">
        <v>63</v>
      </c>
      <c r="C211" s="49">
        <v>5.0999999999999996</v>
      </c>
      <c r="D211" s="126"/>
    </row>
    <row r="212" spans="1:4" ht="15.75" hidden="1" outlineLevel="1">
      <c r="A212" s="46" t="s">
        <v>1167</v>
      </c>
      <c r="B212" s="47" t="s">
        <v>17</v>
      </c>
      <c r="C212" s="46">
        <v>5.58</v>
      </c>
      <c r="D212" s="126"/>
    </row>
    <row r="213" spans="1:4" ht="15.75" hidden="1" outlineLevel="1">
      <c r="A213" s="46" t="s">
        <v>1167</v>
      </c>
      <c r="B213" s="47" t="s">
        <v>18</v>
      </c>
      <c r="C213" s="46">
        <v>5.54</v>
      </c>
      <c r="D213" s="126"/>
    </row>
    <row r="214" spans="1:4" ht="15.75" hidden="1" outlineLevel="1">
      <c r="A214" s="46" t="s">
        <v>1167</v>
      </c>
      <c r="B214" s="47" t="s">
        <v>19</v>
      </c>
      <c r="C214" s="46">
        <v>5.55</v>
      </c>
      <c r="D214" s="126"/>
    </row>
    <row r="215" spans="1:4" ht="15.75" hidden="1" outlineLevel="1">
      <c r="A215" s="46" t="s">
        <v>1167</v>
      </c>
      <c r="B215" s="47" t="s">
        <v>20</v>
      </c>
      <c r="C215" s="46">
        <v>5.63</v>
      </c>
      <c r="D215" s="126"/>
    </row>
    <row r="216" spans="1:4" ht="15.75" hidden="1" outlineLevel="1">
      <c r="A216" s="46" t="s">
        <v>1167</v>
      </c>
      <c r="B216" s="47" t="s">
        <v>24</v>
      </c>
      <c r="C216" s="46">
        <v>5.47</v>
      </c>
      <c r="D216" s="126"/>
    </row>
    <row r="217" spans="1:4" ht="15.75" hidden="1" outlineLevel="1">
      <c r="A217" s="46" t="s">
        <v>1167</v>
      </c>
      <c r="B217" s="47" t="s">
        <v>25</v>
      </c>
      <c r="C217" s="46">
        <v>5.48</v>
      </c>
      <c r="D217" s="126"/>
    </row>
    <row r="218" spans="1:4" ht="15.75">
      <c r="A218" s="52" t="s">
        <v>1167</v>
      </c>
      <c r="B218" s="47"/>
      <c r="C218" s="46"/>
      <c r="D218" s="126"/>
    </row>
    <row r="219" spans="1:4" ht="15.75" hidden="1" outlineLevel="1">
      <c r="A219" s="46" t="s">
        <v>1044</v>
      </c>
      <c r="B219" s="47" t="s">
        <v>0</v>
      </c>
      <c r="C219" s="46">
        <v>5.0999999999999996</v>
      </c>
      <c r="D219" s="126"/>
    </row>
    <row r="220" spans="1:4" ht="15.75" hidden="1" outlineLevel="1">
      <c r="A220" s="46" t="s">
        <v>1044</v>
      </c>
      <c r="B220" s="47" t="s">
        <v>1</v>
      </c>
      <c r="C220" s="46">
        <v>5.2</v>
      </c>
      <c r="D220" s="126"/>
    </row>
    <row r="221" spans="1:4" ht="15.75" hidden="1" outlineLevel="1">
      <c r="A221" s="46" t="s">
        <v>1044</v>
      </c>
      <c r="B221" s="47" t="s">
        <v>2</v>
      </c>
      <c r="C221" s="46">
        <v>5.3</v>
      </c>
      <c r="D221" s="126"/>
    </row>
    <row r="222" spans="1:4" ht="15.75" hidden="1" outlineLevel="1">
      <c r="A222" s="46" t="s">
        <v>1044</v>
      </c>
      <c r="B222" s="47" t="s">
        <v>47</v>
      </c>
      <c r="C222" s="46">
        <v>5.6</v>
      </c>
      <c r="D222" s="126"/>
    </row>
    <row r="223" spans="1:4" ht="15.75" hidden="1" outlineLevel="1">
      <c r="A223" s="46" t="s">
        <v>1044</v>
      </c>
      <c r="B223" s="47" t="s">
        <v>1164</v>
      </c>
      <c r="C223" s="48">
        <v>5.0999999999999996</v>
      </c>
      <c r="D223" s="126"/>
    </row>
    <row r="224" spans="1:4" ht="15.75" hidden="1" outlineLevel="1">
      <c r="A224" s="46" t="s">
        <v>1044</v>
      </c>
      <c r="B224" s="47" t="s">
        <v>59</v>
      </c>
      <c r="C224" s="46">
        <v>5.14</v>
      </c>
      <c r="D224" s="126"/>
    </row>
    <row r="225" spans="1:4" ht="15.75" hidden="1" outlineLevel="1">
      <c r="A225" s="46" t="s">
        <v>1044</v>
      </c>
      <c r="B225" s="47" t="s">
        <v>4</v>
      </c>
      <c r="C225" s="46">
        <v>5.19</v>
      </c>
      <c r="D225" s="126"/>
    </row>
    <row r="226" spans="1:4" ht="15.75" hidden="1" outlineLevel="1">
      <c r="A226" s="46" t="s">
        <v>1044</v>
      </c>
      <c r="B226" s="47" t="s">
        <v>49</v>
      </c>
      <c r="C226" s="46">
        <v>5.24</v>
      </c>
      <c r="D226" s="126"/>
    </row>
    <row r="227" spans="1:4" ht="15.75" hidden="1" outlineLevel="1">
      <c r="A227" s="46" t="s">
        <v>1044</v>
      </c>
      <c r="B227" s="47" t="s">
        <v>5</v>
      </c>
      <c r="C227" s="46">
        <v>5.26</v>
      </c>
      <c r="D227" s="126"/>
    </row>
    <row r="228" spans="1:4" ht="15.75" hidden="1" outlineLevel="1">
      <c r="A228" s="46" t="s">
        <v>1044</v>
      </c>
      <c r="B228" s="47" t="s">
        <v>6</v>
      </c>
      <c r="C228" s="46">
        <v>5.27</v>
      </c>
      <c r="D228" s="126"/>
    </row>
    <row r="229" spans="1:4" ht="15.75" hidden="1" outlineLevel="1">
      <c r="A229" s="46" t="s">
        <v>1044</v>
      </c>
      <c r="B229" s="47" t="s">
        <v>7</v>
      </c>
      <c r="C229" s="46">
        <v>5.28</v>
      </c>
      <c r="D229" s="126"/>
    </row>
    <row r="230" spans="1:4" ht="15.75" hidden="1" outlineLevel="1">
      <c r="A230" s="46" t="s">
        <v>1044</v>
      </c>
      <c r="B230" s="47" t="s">
        <v>57</v>
      </c>
      <c r="C230" s="46">
        <v>5.29</v>
      </c>
      <c r="D230" s="126"/>
    </row>
    <row r="231" spans="1:4" ht="15.75" hidden="1" outlineLevel="1">
      <c r="A231" s="46" t="s">
        <v>1044</v>
      </c>
      <c r="B231" s="47" t="s">
        <v>8</v>
      </c>
      <c r="C231" s="48">
        <v>5.3</v>
      </c>
      <c r="D231" s="126"/>
    </row>
    <row r="232" spans="1:4" ht="15.75" hidden="1" outlineLevel="1">
      <c r="A232" s="46" t="s">
        <v>1044</v>
      </c>
      <c r="B232" s="47" t="s">
        <v>50</v>
      </c>
      <c r="C232" s="46">
        <v>5.31</v>
      </c>
      <c r="D232" s="126"/>
    </row>
    <row r="233" spans="1:4" ht="15.75" hidden="1" outlineLevel="1">
      <c r="A233" s="46" t="s">
        <v>1044</v>
      </c>
      <c r="B233" s="47" t="s">
        <v>64</v>
      </c>
      <c r="C233" s="46">
        <v>5.33</v>
      </c>
      <c r="D233" s="126"/>
    </row>
    <row r="234" spans="1:4" ht="15.75" hidden="1" outlineLevel="1">
      <c r="A234" s="46" t="s">
        <v>1044</v>
      </c>
      <c r="B234" s="47" t="s">
        <v>61</v>
      </c>
      <c r="C234" s="46">
        <v>5.101</v>
      </c>
      <c r="D234" s="126"/>
    </row>
    <row r="235" spans="1:4" ht="15.75" hidden="1" outlineLevel="1">
      <c r="A235" s="46" t="s">
        <v>1044</v>
      </c>
      <c r="B235" s="47" t="s">
        <v>51</v>
      </c>
      <c r="C235" s="46">
        <v>5.36</v>
      </c>
      <c r="D235" s="126"/>
    </row>
    <row r="236" spans="1:4" ht="15.75" hidden="1" outlineLevel="1">
      <c r="A236" s="46" t="s">
        <v>1044</v>
      </c>
      <c r="B236" s="47" t="s">
        <v>11</v>
      </c>
      <c r="C236" s="46">
        <v>5.53</v>
      </c>
      <c r="D236" s="126"/>
    </row>
    <row r="237" spans="1:4" ht="15.75" hidden="1" outlineLevel="1">
      <c r="A237" s="46" t="s">
        <v>1044</v>
      </c>
      <c r="B237" s="47" t="s">
        <v>62</v>
      </c>
      <c r="C237" s="46">
        <v>5.1020000000000003</v>
      </c>
      <c r="D237" s="126"/>
    </row>
    <row r="238" spans="1:4" ht="15.75" hidden="1" outlineLevel="1">
      <c r="A238" s="46" t="s">
        <v>1044</v>
      </c>
      <c r="B238" s="47" t="s">
        <v>17</v>
      </c>
      <c r="C238" s="46">
        <v>5.58</v>
      </c>
      <c r="D238" s="126"/>
    </row>
    <row r="239" spans="1:4" ht="15.75" hidden="1" outlineLevel="1">
      <c r="A239" s="46" t="s">
        <v>1044</v>
      </c>
      <c r="B239" s="47" t="s">
        <v>18</v>
      </c>
      <c r="C239" s="46">
        <v>5.54</v>
      </c>
      <c r="D239" s="126"/>
    </row>
    <row r="240" spans="1:4" ht="15.75" hidden="1" outlineLevel="1">
      <c r="A240" s="46" t="s">
        <v>1044</v>
      </c>
      <c r="B240" s="47" t="s">
        <v>19</v>
      </c>
      <c r="C240" s="46">
        <v>5.55</v>
      </c>
      <c r="D240" s="126"/>
    </row>
    <row r="241" spans="1:4" ht="15.75" hidden="1" outlineLevel="1">
      <c r="A241" s="46" t="s">
        <v>1044</v>
      </c>
      <c r="B241" s="47" t="s">
        <v>20</v>
      </c>
      <c r="C241" s="46">
        <v>5.63</v>
      </c>
      <c r="D241" s="126"/>
    </row>
    <row r="242" spans="1:4" ht="15.75" hidden="1" outlineLevel="1">
      <c r="A242" s="46" t="s">
        <v>1044</v>
      </c>
      <c r="B242" s="47" t="s">
        <v>24</v>
      </c>
      <c r="C242" s="46">
        <v>5.47</v>
      </c>
      <c r="D242" s="126"/>
    </row>
    <row r="243" spans="1:4" ht="15.75" hidden="1" outlineLevel="1">
      <c r="A243" s="46" t="s">
        <v>1044</v>
      </c>
      <c r="B243" s="47" t="s">
        <v>25</v>
      </c>
      <c r="C243" s="46">
        <v>5.48</v>
      </c>
      <c r="D243" s="126"/>
    </row>
    <row r="244" spans="1:4" ht="15.75">
      <c r="A244" s="52" t="s">
        <v>1044</v>
      </c>
      <c r="B244" s="47"/>
      <c r="C244" s="46"/>
      <c r="D244" s="126"/>
    </row>
    <row r="245" spans="1:4" ht="15.75" hidden="1" outlineLevel="1">
      <c r="A245" s="46" t="s">
        <v>1168</v>
      </c>
      <c r="B245" s="47" t="s">
        <v>0</v>
      </c>
      <c r="C245" s="46">
        <v>5.0999999999999996</v>
      </c>
      <c r="D245" s="126"/>
    </row>
    <row r="246" spans="1:4" ht="15.75" hidden="1" outlineLevel="1">
      <c r="A246" s="46" t="s">
        <v>1168</v>
      </c>
      <c r="B246" s="47" t="s">
        <v>1</v>
      </c>
      <c r="C246" s="46">
        <v>5.2</v>
      </c>
      <c r="D246" s="126"/>
    </row>
    <row r="247" spans="1:4" ht="15.75" hidden="1" outlineLevel="1">
      <c r="A247" s="46" t="s">
        <v>1168</v>
      </c>
      <c r="B247" s="47" t="s">
        <v>2</v>
      </c>
      <c r="C247" s="46">
        <v>5.3</v>
      </c>
      <c r="D247" s="126"/>
    </row>
    <row r="248" spans="1:4" ht="15.75" hidden="1" outlineLevel="1">
      <c r="A248" s="46" t="s">
        <v>1168</v>
      </c>
      <c r="B248" s="47" t="s">
        <v>47</v>
      </c>
      <c r="C248" s="46">
        <v>5.6</v>
      </c>
      <c r="D248" s="126"/>
    </row>
    <row r="249" spans="1:4" ht="15.75" hidden="1" outlineLevel="1">
      <c r="A249" s="46" t="s">
        <v>1168</v>
      </c>
      <c r="B249" s="47" t="s">
        <v>1164</v>
      </c>
      <c r="C249" s="48">
        <v>5.0999999999999996</v>
      </c>
      <c r="D249" s="126"/>
    </row>
    <row r="250" spans="1:4" ht="15.75" hidden="1" outlineLevel="1">
      <c r="A250" s="46" t="s">
        <v>1168</v>
      </c>
      <c r="B250" s="47" t="s">
        <v>59</v>
      </c>
      <c r="C250" s="46">
        <v>5.14</v>
      </c>
      <c r="D250" s="126"/>
    </row>
    <row r="251" spans="1:4" ht="15.75" hidden="1" outlineLevel="1">
      <c r="A251" s="46" t="s">
        <v>1168</v>
      </c>
      <c r="B251" s="47" t="s">
        <v>4</v>
      </c>
      <c r="C251" s="46">
        <v>5.19</v>
      </c>
      <c r="D251" s="126"/>
    </row>
    <row r="252" spans="1:4" ht="15.75" hidden="1" outlineLevel="1">
      <c r="A252" s="46" t="s">
        <v>1168</v>
      </c>
      <c r="B252" s="47" t="s">
        <v>49</v>
      </c>
      <c r="C252" s="46">
        <v>5.24</v>
      </c>
      <c r="D252" s="126"/>
    </row>
    <row r="253" spans="1:4" ht="15.75" hidden="1" outlineLevel="1">
      <c r="A253" s="46" t="s">
        <v>1168</v>
      </c>
      <c r="B253" s="47" t="s">
        <v>6</v>
      </c>
      <c r="C253" s="46">
        <v>5.27</v>
      </c>
      <c r="D253" s="126"/>
    </row>
    <row r="254" spans="1:4" ht="15.75" hidden="1" outlineLevel="1">
      <c r="A254" s="46" t="s">
        <v>1168</v>
      </c>
      <c r="B254" s="47" t="s">
        <v>7</v>
      </c>
      <c r="C254" s="46">
        <v>5.28</v>
      </c>
      <c r="D254" s="126"/>
    </row>
    <row r="255" spans="1:4" ht="15.75" hidden="1" outlineLevel="1">
      <c r="A255" s="46" t="s">
        <v>1168</v>
      </c>
      <c r="B255" s="47" t="s">
        <v>8</v>
      </c>
      <c r="C255" s="48">
        <v>5.3</v>
      </c>
      <c r="D255" s="126"/>
    </row>
    <row r="256" spans="1:4" ht="15.75" hidden="1" outlineLevel="1">
      <c r="A256" s="46" t="s">
        <v>1168</v>
      </c>
      <c r="B256" s="47" t="s">
        <v>64</v>
      </c>
      <c r="C256" s="46">
        <v>5.33</v>
      </c>
      <c r="D256" s="126"/>
    </row>
    <row r="257" spans="1:4" ht="15.75" hidden="1" outlineLevel="1">
      <c r="A257" s="46" t="s">
        <v>1168</v>
      </c>
      <c r="B257" s="47" t="s">
        <v>51</v>
      </c>
      <c r="C257" s="46">
        <v>5.36</v>
      </c>
      <c r="D257" s="126"/>
    </row>
    <row r="258" spans="1:4" ht="15.75" hidden="1" outlineLevel="1">
      <c r="A258" s="46" t="s">
        <v>1168</v>
      </c>
      <c r="B258" s="47" t="s">
        <v>11</v>
      </c>
      <c r="C258" s="46">
        <v>5.53</v>
      </c>
      <c r="D258" s="126"/>
    </row>
    <row r="259" spans="1:4" ht="15.75" hidden="1" outlineLevel="1">
      <c r="A259" s="46" t="s">
        <v>1168</v>
      </c>
      <c r="B259" s="47" t="s">
        <v>17</v>
      </c>
      <c r="C259" s="46">
        <v>5.58</v>
      </c>
      <c r="D259" s="126"/>
    </row>
    <row r="260" spans="1:4" ht="15.75" hidden="1" outlineLevel="1">
      <c r="A260" s="46" t="s">
        <v>1168</v>
      </c>
      <c r="B260" s="47" t="s">
        <v>18</v>
      </c>
      <c r="C260" s="46">
        <v>5.54</v>
      </c>
      <c r="D260" s="126"/>
    </row>
    <row r="261" spans="1:4" ht="15.75" hidden="1" outlineLevel="1">
      <c r="A261" s="46" t="s">
        <v>1168</v>
      </c>
      <c r="B261" s="47" t="s">
        <v>19</v>
      </c>
      <c r="C261" s="46">
        <v>5.55</v>
      </c>
      <c r="D261" s="126"/>
    </row>
    <row r="262" spans="1:4" ht="15.75" hidden="1" outlineLevel="1">
      <c r="A262" s="46" t="s">
        <v>1168</v>
      </c>
      <c r="B262" s="47" t="s">
        <v>20</v>
      </c>
      <c r="C262" s="46">
        <v>5.63</v>
      </c>
      <c r="D262" s="126"/>
    </row>
    <row r="263" spans="1:4" ht="15.75" hidden="1" outlineLevel="1">
      <c r="A263" s="46" t="s">
        <v>1168</v>
      </c>
      <c r="B263" s="47" t="s">
        <v>24</v>
      </c>
      <c r="C263" s="46">
        <v>5.47</v>
      </c>
      <c r="D263" s="126"/>
    </row>
    <row r="264" spans="1:4" ht="15.75" hidden="1" outlineLevel="1">
      <c r="A264" s="46" t="s">
        <v>1168</v>
      </c>
      <c r="B264" s="47" t="s">
        <v>25</v>
      </c>
      <c r="C264" s="46">
        <v>5.48</v>
      </c>
      <c r="D264" s="126"/>
    </row>
    <row r="265" spans="1:4" ht="15.75">
      <c r="A265" s="52" t="s">
        <v>1168</v>
      </c>
      <c r="B265" s="47"/>
      <c r="C265" s="46"/>
      <c r="D265" s="126"/>
    </row>
    <row r="266" spans="1:4" ht="15.75" hidden="1" outlineLevel="1">
      <c r="A266" s="46" t="s">
        <v>1049</v>
      </c>
      <c r="B266" s="47" t="s">
        <v>0</v>
      </c>
      <c r="C266" s="46">
        <v>5.0999999999999996</v>
      </c>
      <c r="D266" s="126"/>
    </row>
    <row r="267" spans="1:4" ht="15.75" hidden="1" outlineLevel="1">
      <c r="A267" s="46" t="s">
        <v>1049</v>
      </c>
      <c r="B267" s="47" t="s">
        <v>1</v>
      </c>
      <c r="C267" s="46">
        <v>5.2</v>
      </c>
      <c r="D267" s="126"/>
    </row>
    <row r="268" spans="1:4" ht="15.75" hidden="1" outlineLevel="1">
      <c r="A268" s="46" t="s">
        <v>1049</v>
      </c>
      <c r="B268" s="47" t="s">
        <v>2</v>
      </c>
      <c r="C268" s="46">
        <v>5.3</v>
      </c>
      <c r="D268" s="126"/>
    </row>
    <row r="269" spans="1:4" ht="15.75" hidden="1" outlineLevel="1">
      <c r="A269" s="46" t="s">
        <v>1049</v>
      </c>
      <c r="B269" s="47" t="s">
        <v>47</v>
      </c>
      <c r="C269" s="46">
        <v>5.6</v>
      </c>
      <c r="D269" s="126"/>
    </row>
    <row r="270" spans="1:4" ht="15.75" hidden="1" outlineLevel="1">
      <c r="A270" s="46" t="s">
        <v>1049</v>
      </c>
      <c r="B270" s="47" t="s">
        <v>1164</v>
      </c>
      <c r="C270" s="48">
        <v>5.0999999999999996</v>
      </c>
      <c r="D270" s="126"/>
    </row>
    <row r="271" spans="1:4" ht="15.75" hidden="1" outlineLevel="1">
      <c r="A271" s="46" t="s">
        <v>1049</v>
      </c>
      <c r="B271" s="47" t="s">
        <v>59</v>
      </c>
      <c r="C271" s="46">
        <v>5.14</v>
      </c>
      <c r="D271" s="126"/>
    </row>
    <row r="272" spans="1:4" ht="15.75" hidden="1" outlineLevel="1">
      <c r="A272" s="46" t="s">
        <v>1049</v>
      </c>
      <c r="B272" s="47" t="s">
        <v>4</v>
      </c>
      <c r="C272" s="46">
        <v>5.19</v>
      </c>
      <c r="D272" s="126"/>
    </row>
    <row r="273" spans="1:4" ht="15.75" hidden="1" outlineLevel="1">
      <c r="A273" s="46" t="s">
        <v>1049</v>
      </c>
      <c r="B273" s="47" t="s">
        <v>49</v>
      </c>
      <c r="C273" s="46">
        <v>5.24</v>
      </c>
      <c r="D273" s="126"/>
    </row>
    <row r="274" spans="1:4" ht="15.75" hidden="1" outlineLevel="1">
      <c r="A274" s="46" t="s">
        <v>1049</v>
      </c>
      <c r="B274" s="47" t="s">
        <v>5</v>
      </c>
      <c r="C274" s="46">
        <v>5.26</v>
      </c>
      <c r="D274" s="126"/>
    </row>
    <row r="275" spans="1:4" ht="15.75" hidden="1" outlineLevel="1">
      <c r="A275" s="46" t="s">
        <v>1049</v>
      </c>
      <c r="B275" s="47" t="s">
        <v>6</v>
      </c>
      <c r="C275" s="46">
        <v>5.27</v>
      </c>
      <c r="D275" s="126"/>
    </row>
    <row r="276" spans="1:4" ht="15.75" hidden="1" outlineLevel="1">
      <c r="A276" s="46" t="s">
        <v>1049</v>
      </c>
      <c r="B276" s="47" t="s">
        <v>7</v>
      </c>
      <c r="C276" s="46">
        <v>5.28</v>
      </c>
      <c r="D276" s="126"/>
    </row>
    <row r="277" spans="1:4" ht="15.75" hidden="1" outlineLevel="1">
      <c r="A277" s="46" t="s">
        <v>1049</v>
      </c>
      <c r="B277" s="47" t="s">
        <v>57</v>
      </c>
      <c r="C277" s="46">
        <v>5.29</v>
      </c>
      <c r="D277" s="126"/>
    </row>
    <row r="278" spans="1:4" ht="15.75" hidden="1" outlineLevel="1">
      <c r="A278" s="46" t="s">
        <v>1049</v>
      </c>
      <c r="B278" s="47" t="s">
        <v>8</v>
      </c>
      <c r="C278" s="48">
        <v>5.3</v>
      </c>
      <c r="D278" s="126"/>
    </row>
    <row r="279" spans="1:4" ht="15.75" hidden="1" outlineLevel="1">
      <c r="A279" s="46" t="s">
        <v>1049</v>
      </c>
      <c r="B279" s="47" t="s">
        <v>64</v>
      </c>
      <c r="C279" s="46">
        <v>5.33</v>
      </c>
      <c r="D279" s="126"/>
    </row>
    <row r="280" spans="1:4" ht="15.75" hidden="1" outlineLevel="1">
      <c r="A280" s="46" t="s">
        <v>1049</v>
      </c>
      <c r="B280" s="47" t="s">
        <v>51</v>
      </c>
      <c r="C280" s="46">
        <v>5.36</v>
      </c>
      <c r="D280" s="126"/>
    </row>
    <row r="281" spans="1:4" ht="15.75" hidden="1" outlineLevel="1">
      <c r="A281" s="46" t="s">
        <v>1049</v>
      </c>
      <c r="B281" s="47" t="s">
        <v>12</v>
      </c>
      <c r="C281" s="46">
        <v>5.69</v>
      </c>
      <c r="D281" s="126"/>
    </row>
    <row r="282" spans="1:4" ht="15.75" hidden="1" outlineLevel="1">
      <c r="A282" s="46" t="s">
        <v>1049</v>
      </c>
      <c r="B282" s="47" t="s">
        <v>14</v>
      </c>
      <c r="C282" s="48">
        <v>5.7</v>
      </c>
      <c r="D282" s="126"/>
    </row>
    <row r="283" spans="1:4" ht="15.75" hidden="1" outlineLevel="1">
      <c r="A283" s="46" t="s">
        <v>1049</v>
      </c>
      <c r="B283" s="47" t="s">
        <v>15</v>
      </c>
      <c r="C283" s="46">
        <v>5.74</v>
      </c>
      <c r="D283" s="126"/>
    </row>
    <row r="284" spans="1:4" ht="15.75" hidden="1" outlineLevel="1">
      <c r="A284" s="46" t="s">
        <v>1049</v>
      </c>
      <c r="B284" s="47" t="s">
        <v>9</v>
      </c>
      <c r="C284" s="46">
        <v>5.49</v>
      </c>
      <c r="D284" s="126"/>
    </row>
    <row r="285" spans="1:4" ht="15.75" hidden="1" outlineLevel="1">
      <c r="A285" s="46" t="s">
        <v>1049</v>
      </c>
      <c r="B285" s="47" t="s">
        <v>10</v>
      </c>
      <c r="C285" s="46">
        <v>5.51</v>
      </c>
      <c r="D285" s="126"/>
    </row>
    <row r="286" spans="1:4" ht="15.75" hidden="1" outlineLevel="1">
      <c r="A286" s="46" t="s">
        <v>1049</v>
      </c>
      <c r="B286" s="47" t="s">
        <v>1165</v>
      </c>
      <c r="C286" s="46">
        <v>5.52</v>
      </c>
      <c r="D286" s="126"/>
    </row>
    <row r="287" spans="1:4" ht="15.75" hidden="1" outlineLevel="1">
      <c r="A287" s="46" t="s">
        <v>1049</v>
      </c>
      <c r="B287" s="47" t="s">
        <v>11</v>
      </c>
      <c r="C287" s="46">
        <v>5.53</v>
      </c>
      <c r="D287" s="126"/>
    </row>
    <row r="288" spans="1:4" ht="15.75" hidden="1" outlineLevel="1">
      <c r="A288" s="46" t="s">
        <v>1049</v>
      </c>
      <c r="B288" s="47" t="s">
        <v>17</v>
      </c>
      <c r="C288" s="46">
        <v>5.58</v>
      </c>
      <c r="D288" s="126"/>
    </row>
    <row r="289" spans="1:4" ht="15.75" hidden="1" outlineLevel="1">
      <c r="A289" s="46" t="s">
        <v>1049</v>
      </c>
      <c r="B289" s="47" t="s">
        <v>18</v>
      </c>
      <c r="C289" s="46">
        <v>5.54</v>
      </c>
      <c r="D289" s="126"/>
    </row>
    <row r="290" spans="1:4" ht="15.75" hidden="1" outlineLevel="1">
      <c r="A290" s="46" t="s">
        <v>1049</v>
      </c>
      <c r="B290" s="47" t="s">
        <v>19</v>
      </c>
      <c r="C290" s="46">
        <v>5.55</v>
      </c>
      <c r="D290" s="126"/>
    </row>
    <row r="291" spans="1:4" ht="15.75" hidden="1" outlineLevel="1">
      <c r="A291" s="46" t="s">
        <v>1049</v>
      </c>
      <c r="B291" s="47" t="s">
        <v>20</v>
      </c>
      <c r="C291" s="46">
        <v>5.63</v>
      </c>
      <c r="D291" s="126"/>
    </row>
    <row r="292" spans="1:4" ht="15.75" hidden="1" outlineLevel="1">
      <c r="A292" s="46" t="s">
        <v>1049</v>
      </c>
      <c r="B292" s="47" t="s">
        <v>24</v>
      </c>
      <c r="C292" s="46">
        <v>5.47</v>
      </c>
      <c r="D292" s="126"/>
    </row>
    <row r="293" spans="1:4" ht="15.75" hidden="1" outlineLevel="1">
      <c r="A293" s="46" t="s">
        <v>1049</v>
      </c>
      <c r="B293" s="47" t="s">
        <v>25</v>
      </c>
      <c r="C293" s="46">
        <v>5.48</v>
      </c>
      <c r="D293" s="126"/>
    </row>
    <row r="294" spans="1:4" ht="15.75">
      <c r="A294" s="52" t="s">
        <v>1049</v>
      </c>
      <c r="B294" s="47"/>
      <c r="C294" s="46"/>
      <c r="D294" s="126"/>
    </row>
    <row r="295" spans="1:4" ht="31.5" hidden="1" outlineLevel="1">
      <c r="A295" s="46" t="s">
        <v>1056</v>
      </c>
      <c r="B295" s="47" t="s">
        <v>0</v>
      </c>
      <c r="C295" s="46">
        <v>5.0999999999999996</v>
      </c>
      <c r="D295" s="126"/>
    </row>
    <row r="296" spans="1:4" ht="31.5" hidden="1" outlineLevel="1">
      <c r="A296" s="46" t="s">
        <v>1056</v>
      </c>
      <c r="B296" s="47" t="s">
        <v>1</v>
      </c>
      <c r="C296" s="46">
        <v>5.2</v>
      </c>
      <c r="D296" s="126"/>
    </row>
    <row r="297" spans="1:4" ht="31.5" hidden="1" outlineLevel="1">
      <c r="A297" s="46" t="s">
        <v>1056</v>
      </c>
      <c r="B297" s="47" t="s">
        <v>2</v>
      </c>
      <c r="C297" s="46">
        <v>5.3</v>
      </c>
      <c r="D297" s="126"/>
    </row>
    <row r="298" spans="1:4" ht="31.5" hidden="1" outlineLevel="1">
      <c r="A298" s="46" t="s">
        <v>1056</v>
      </c>
      <c r="B298" s="47" t="s">
        <v>59</v>
      </c>
      <c r="C298" s="46">
        <v>5.14</v>
      </c>
      <c r="D298" s="126"/>
    </row>
    <row r="299" spans="1:4" ht="31.5" hidden="1" outlineLevel="1">
      <c r="A299" s="46" t="s">
        <v>1056</v>
      </c>
      <c r="B299" s="47" t="s">
        <v>4</v>
      </c>
      <c r="C299" s="46">
        <v>5.19</v>
      </c>
      <c r="D299" s="126"/>
    </row>
    <row r="300" spans="1:4" ht="31.5" hidden="1" outlineLevel="1">
      <c r="A300" s="46" t="s">
        <v>1056</v>
      </c>
      <c r="B300" s="47" t="s">
        <v>49</v>
      </c>
      <c r="C300" s="46">
        <v>5.24</v>
      </c>
      <c r="D300" s="126"/>
    </row>
    <row r="301" spans="1:4" ht="31.5" hidden="1" outlineLevel="1">
      <c r="A301" s="46" t="s">
        <v>1056</v>
      </c>
      <c r="B301" s="47" t="s">
        <v>5</v>
      </c>
      <c r="C301" s="46">
        <v>5.26</v>
      </c>
      <c r="D301" s="126"/>
    </row>
    <row r="302" spans="1:4" ht="31.5" hidden="1" outlineLevel="1">
      <c r="A302" s="46" t="s">
        <v>1056</v>
      </c>
      <c r="B302" s="47" t="s">
        <v>6</v>
      </c>
      <c r="C302" s="46">
        <v>5.27</v>
      </c>
      <c r="D302" s="126"/>
    </row>
    <row r="303" spans="1:4" ht="31.5" hidden="1" outlineLevel="1">
      <c r="A303" s="46" t="s">
        <v>1056</v>
      </c>
      <c r="B303" s="47" t="s">
        <v>7</v>
      </c>
      <c r="C303" s="46">
        <v>5.28</v>
      </c>
      <c r="D303" s="126"/>
    </row>
    <row r="304" spans="1:4" ht="31.5" hidden="1" outlineLevel="1">
      <c r="A304" s="46" t="s">
        <v>1056</v>
      </c>
      <c r="B304" s="47" t="s">
        <v>81</v>
      </c>
      <c r="C304" s="46">
        <v>5.37</v>
      </c>
      <c r="D304" s="126"/>
    </row>
    <row r="305" spans="1:4" ht="31.5" hidden="1" outlineLevel="1">
      <c r="A305" s="46" t="s">
        <v>1056</v>
      </c>
      <c r="B305" s="47" t="s">
        <v>9</v>
      </c>
      <c r="C305" s="46">
        <v>5.49</v>
      </c>
      <c r="D305" s="126"/>
    </row>
    <row r="306" spans="1:4" ht="31.5" hidden="1" outlineLevel="1">
      <c r="A306" s="46" t="s">
        <v>1056</v>
      </c>
      <c r="B306" s="47" t="s">
        <v>10</v>
      </c>
      <c r="C306" s="46">
        <v>5.51</v>
      </c>
      <c r="D306" s="126"/>
    </row>
    <row r="307" spans="1:4" ht="31.5" hidden="1" outlineLevel="1">
      <c r="A307" s="46" t="s">
        <v>1056</v>
      </c>
      <c r="B307" s="47" t="s">
        <v>11</v>
      </c>
      <c r="C307" s="46">
        <v>5.53</v>
      </c>
      <c r="D307" s="126"/>
    </row>
    <row r="308" spans="1:4" ht="31.5" hidden="1" outlineLevel="1">
      <c r="A308" s="46" t="s">
        <v>1056</v>
      </c>
      <c r="B308" s="47" t="s">
        <v>12</v>
      </c>
      <c r="C308" s="46">
        <v>5.69</v>
      </c>
      <c r="D308" s="126"/>
    </row>
    <row r="309" spans="1:4" ht="31.5" hidden="1" outlineLevel="1">
      <c r="A309" s="46" t="s">
        <v>1056</v>
      </c>
      <c r="B309" s="47" t="s">
        <v>13</v>
      </c>
      <c r="C309" s="46">
        <v>5.75</v>
      </c>
      <c r="D309" s="126"/>
    </row>
    <row r="310" spans="1:4" ht="31.5" hidden="1" outlineLevel="1">
      <c r="A310" s="46" t="s">
        <v>1056</v>
      </c>
      <c r="B310" s="47" t="s">
        <v>14</v>
      </c>
      <c r="C310" s="48">
        <v>5.7</v>
      </c>
      <c r="D310" s="126"/>
    </row>
    <row r="311" spans="1:4" ht="31.5" hidden="1" outlineLevel="1">
      <c r="A311" s="46" t="s">
        <v>1056</v>
      </c>
      <c r="B311" s="47" t="s">
        <v>15</v>
      </c>
      <c r="C311" s="46">
        <v>5.74</v>
      </c>
      <c r="D311" s="126"/>
    </row>
    <row r="312" spans="1:4" ht="31.5" hidden="1" outlineLevel="1">
      <c r="A312" s="46" t="s">
        <v>1056</v>
      </c>
      <c r="B312" s="47" t="s">
        <v>17</v>
      </c>
      <c r="C312" s="46">
        <v>5.58</v>
      </c>
      <c r="D312" s="126"/>
    </row>
    <row r="313" spans="1:4" ht="31.5" hidden="1" outlineLevel="1">
      <c r="A313" s="46" t="s">
        <v>1056</v>
      </c>
      <c r="B313" s="47" t="s">
        <v>18</v>
      </c>
      <c r="C313" s="46">
        <v>5.54</v>
      </c>
      <c r="D313" s="126"/>
    </row>
    <row r="314" spans="1:4" ht="31.5" hidden="1" outlineLevel="1">
      <c r="A314" s="46" t="s">
        <v>1056</v>
      </c>
      <c r="B314" s="47" t="s">
        <v>19</v>
      </c>
      <c r="C314" s="46">
        <v>5.55</v>
      </c>
      <c r="D314" s="126"/>
    </row>
    <row r="315" spans="1:4" ht="31.5" hidden="1" outlineLevel="1">
      <c r="A315" s="46" t="s">
        <v>1056</v>
      </c>
      <c r="B315" s="47" t="s">
        <v>20</v>
      </c>
      <c r="C315" s="46">
        <v>5.63</v>
      </c>
      <c r="D315" s="126"/>
    </row>
    <row r="316" spans="1:4" ht="31.5" hidden="1" outlineLevel="1">
      <c r="A316" s="46" t="s">
        <v>1056</v>
      </c>
      <c r="B316" s="47" t="s">
        <v>21</v>
      </c>
      <c r="C316" s="46">
        <v>5.65</v>
      </c>
      <c r="D316" s="126"/>
    </row>
    <row r="317" spans="1:4" ht="31.5" hidden="1" outlineLevel="1">
      <c r="A317" s="46" t="s">
        <v>1056</v>
      </c>
      <c r="B317" s="47" t="s">
        <v>22</v>
      </c>
      <c r="C317" s="46">
        <v>5.68</v>
      </c>
      <c r="D317" s="126"/>
    </row>
    <row r="318" spans="1:4" ht="31.5" hidden="1" outlineLevel="1">
      <c r="A318" s="46" t="s">
        <v>1056</v>
      </c>
      <c r="B318" s="47" t="s">
        <v>24</v>
      </c>
      <c r="C318" s="46">
        <v>5.47</v>
      </c>
      <c r="D318" s="126"/>
    </row>
    <row r="319" spans="1:4" ht="31.5" hidden="1" outlineLevel="1">
      <c r="A319" s="46" t="s">
        <v>1056</v>
      </c>
      <c r="B319" s="47" t="s">
        <v>25</v>
      </c>
      <c r="C319" s="46">
        <v>5.48</v>
      </c>
      <c r="D319" s="126"/>
    </row>
    <row r="320" spans="1:4" ht="31.5">
      <c r="A320" s="52" t="s">
        <v>1056</v>
      </c>
      <c r="B320" s="47"/>
      <c r="C320" s="46"/>
      <c r="D320" s="126"/>
    </row>
    <row r="321" spans="1:4" ht="31.5" hidden="1" outlineLevel="1">
      <c r="A321" s="46" t="s">
        <v>1057</v>
      </c>
      <c r="B321" s="47" t="s">
        <v>0</v>
      </c>
      <c r="C321" s="46">
        <v>5.0999999999999996</v>
      </c>
      <c r="D321" s="126"/>
    </row>
    <row r="322" spans="1:4" ht="31.5" hidden="1" outlineLevel="1">
      <c r="A322" s="46" t="s">
        <v>1057</v>
      </c>
      <c r="B322" s="47" t="s">
        <v>1</v>
      </c>
      <c r="C322" s="46">
        <v>5.2</v>
      </c>
      <c r="D322" s="126"/>
    </row>
    <row r="323" spans="1:4" ht="31.5" hidden="1" outlineLevel="1">
      <c r="A323" s="46" t="s">
        <v>1057</v>
      </c>
      <c r="B323" s="47" t="s">
        <v>5</v>
      </c>
      <c r="C323" s="46">
        <v>5.26</v>
      </c>
      <c r="D323" s="126"/>
    </row>
    <row r="324" spans="1:4" ht="31.5" hidden="1" outlineLevel="1">
      <c r="A324" s="46" t="s">
        <v>1057</v>
      </c>
      <c r="B324" s="47" t="s">
        <v>59</v>
      </c>
      <c r="C324" s="46">
        <v>5.14</v>
      </c>
      <c r="D324" s="126"/>
    </row>
    <row r="325" spans="1:4" ht="31.5" hidden="1" outlineLevel="1">
      <c r="A325" s="46" t="s">
        <v>1057</v>
      </c>
      <c r="B325" s="47" t="s">
        <v>4</v>
      </c>
      <c r="C325" s="46">
        <v>5.19</v>
      </c>
      <c r="D325" s="126"/>
    </row>
    <row r="326" spans="1:4" ht="31.5" hidden="1" outlineLevel="1">
      <c r="A326" s="46" t="s">
        <v>1057</v>
      </c>
      <c r="B326" s="47" t="s">
        <v>81</v>
      </c>
      <c r="C326" s="46">
        <v>5.37</v>
      </c>
      <c r="D326" s="126"/>
    </row>
    <row r="327" spans="1:4" ht="31.5" hidden="1" outlineLevel="1">
      <c r="A327" s="46" t="s">
        <v>1057</v>
      </c>
      <c r="B327" s="47" t="s">
        <v>12</v>
      </c>
      <c r="C327" s="46">
        <v>5.69</v>
      </c>
      <c r="D327" s="126"/>
    </row>
    <row r="328" spans="1:4" ht="31.5" hidden="1" outlineLevel="1">
      <c r="A328" s="46" t="s">
        <v>1057</v>
      </c>
      <c r="B328" s="47" t="s">
        <v>82</v>
      </c>
      <c r="C328" s="48">
        <v>5.8</v>
      </c>
      <c r="D328" s="126"/>
    </row>
    <row r="329" spans="1:4" ht="31.5" hidden="1" outlineLevel="1">
      <c r="A329" s="46" t="s">
        <v>1057</v>
      </c>
      <c r="B329" s="47" t="s">
        <v>13</v>
      </c>
      <c r="C329" s="46">
        <v>5.75</v>
      </c>
      <c r="D329" s="126"/>
    </row>
    <row r="330" spans="1:4" ht="31.5" hidden="1" outlineLevel="1">
      <c r="A330" s="46" t="s">
        <v>1057</v>
      </c>
      <c r="B330" s="47" t="s">
        <v>14</v>
      </c>
      <c r="C330" s="48">
        <v>5.7</v>
      </c>
      <c r="D330" s="126"/>
    </row>
    <row r="331" spans="1:4" ht="31.5" hidden="1" outlineLevel="1">
      <c r="A331" s="46" t="s">
        <v>1057</v>
      </c>
      <c r="B331" s="47" t="s">
        <v>15</v>
      </c>
      <c r="C331" s="46">
        <v>5.74</v>
      </c>
      <c r="D331" s="126"/>
    </row>
    <row r="332" spans="1:4" ht="31.5" hidden="1" outlineLevel="1">
      <c r="A332" s="46" t="s">
        <v>1057</v>
      </c>
      <c r="B332" s="47" t="s">
        <v>17</v>
      </c>
      <c r="C332" s="46">
        <v>5.58</v>
      </c>
      <c r="D332" s="126"/>
    </row>
    <row r="333" spans="1:4" ht="31.5" hidden="1" outlineLevel="1">
      <c r="A333" s="46" t="s">
        <v>1057</v>
      </c>
      <c r="B333" s="47" t="s">
        <v>19</v>
      </c>
      <c r="C333" s="46">
        <v>5.55</v>
      </c>
      <c r="D333" s="126"/>
    </row>
    <row r="334" spans="1:4" ht="31.5" hidden="1" outlineLevel="1">
      <c r="A334" s="46" t="s">
        <v>1057</v>
      </c>
      <c r="B334" s="47" t="s">
        <v>20</v>
      </c>
      <c r="C334" s="46">
        <v>5.63</v>
      </c>
      <c r="D334" s="126"/>
    </row>
    <row r="335" spans="1:4" ht="31.5" hidden="1" outlineLevel="1">
      <c r="A335" s="46" t="s">
        <v>1057</v>
      </c>
      <c r="B335" s="47" t="s">
        <v>21</v>
      </c>
      <c r="C335" s="46">
        <v>5.65</v>
      </c>
      <c r="D335" s="126"/>
    </row>
    <row r="336" spans="1:4" ht="31.5" hidden="1" outlineLevel="1">
      <c r="A336" s="46" t="s">
        <v>1057</v>
      </c>
      <c r="B336" s="47" t="s">
        <v>22</v>
      </c>
      <c r="C336" s="46">
        <v>5.68</v>
      </c>
      <c r="D336" s="126"/>
    </row>
    <row r="337" spans="1:4" ht="31.5" hidden="1" outlineLevel="1">
      <c r="A337" s="46" t="s">
        <v>1057</v>
      </c>
      <c r="B337" s="47" t="s">
        <v>24</v>
      </c>
      <c r="C337" s="46">
        <v>5.47</v>
      </c>
      <c r="D337" s="126"/>
    </row>
    <row r="338" spans="1:4" ht="31.5" hidden="1" outlineLevel="1">
      <c r="A338" s="46" t="s">
        <v>1057</v>
      </c>
      <c r="B338" s="47" t="s">
        <v>25</v>
      </c>
      <c r="C338" s="46">
        <v>5.48</v>
      </c>
      <c r="D338" s="126"/>
    </row>
    <row r="339" spans="1:4" ht="31.5">
      <c r="A339" s="52" t="s">
        <v>1057</v>
      </c>
      <c r="B339" s="47"/>
      <c r="C339" s="46"/>
      <c r="D339" s="126"/>
    </row>
    <row r="340" spans="1:4" ht="31.5" hidden="1" outlineLevel="1">
      <c r="A340" s="46" t="s">
        <v>1063</v>
      </c>
      <c r="B340" s="47" t="s">
        <v>83</v>
      </c>
      <c r="C340" s="46">
        <v>5.0999999999999996</v>
      </c>
      <c r="D340" s="126"/>
    </row>
    <row r="341" spans="1:4" ht="31.5" hidden="1" outlineLevel="1">
      <c r="A341" s="46" t="s">
        <v>1063</v>
      </c>
      <c r="B341" s="47" t="s">
        <v>1</v>
      </c>
      <c r="C341" s="46">
        <v>5.2</v>
      </c>
      <c r="D341" s="126"/>
    </row>
    <row r="342" spans="1:4" ht="31.5" hidden="1" outlineLevel="1">
      <c r="A342" s="46" t="s">
        <v>1063</v>
      </c>
      <c r="B342" s="47" t="s">
        <v>5</v>
      </c>
      <c r="C342" s="46">
        <v>5.26</v>
      </c>
      <c r="D342" s="126"/>
    </row>
    <row r="343" spans="1:4" ht="31.5" hidden="1" outlineLevel="1">
      <c r="A343" s="46" t="s">
        <v>1063</v>
      </c>
      <c r="B343" s="47" t="s">
        <v>84</v>
      </c>
      <c r="C343" s="46">
        <v>5.38</v>
      </c>
      <c r="D343" s="126"/>
    </row>
    <row r="344" spans="1:4" ht="31.5" hidden="1" outlineLevel="1">
      <c r="A344" s="46" t="s">
        <v>1063</v>
      </c>
      <c r="B344" s="47" t="s">
        <v>85</v>
      </c>
      <c r="C344" s="46">
        <v>5.39</v>
      </c>
      <c r="D344" s="126"/>
    </row>
    <row r="345" spans="1:4" ht="31.5" hidden="1" outlineLevel="1">
      <c r="A345" s="46" t="s">
        <v>1063</v>
      </c>
      <c r="B345" s="47" t="s">
        <v>86</v>
      </c>
      <c r="C345" s="48">
        <v>5.6</v>
      </c>
      <c r="D345" s="126"/>
    </row>
    <row r="346" spans="1:4" ht="31.5" hidden="1" outlineLevel="1">
      <c r="A346" s="46" t="s">
        <v>1063</v>
      </c>
      <c r="B346" s="47" t="s">
        <v>25</v>
      </c>
      <c r="C346" s="46">
        <v>5.48</v>
      </c>
      <c r="D346" s="126"/>
    </row>
    <row r="347" spans="1:4" ht="31.5">
      <c r="A347" s="52" t="s">
        <v>1063</v>
      </c>
      <c r="B347" s="47"/>
      <c r="C347" s="46"/>
      <c r="D347" s="126"/>
    </row>
    <row r="348" spans="1:4" ht="31.5" hidden="1" outlineLevel="1">
      <c r="A348" s="46" t="s">
        <v>1067</v>
      </c>
      <c r="B348" s="47" t="s">
        <v>0</v>
      </c>
      <c r="C348" s="46">
        <v>5.0999999999999996</v>
      </c>
      <c r="D348" s="126"/>
    </row>
    <row r="349" spans="1:4" ht="31.5" hidden="1" outlineLevel="1">
      <c r="A349" s="46" t="s">
        <v>1067</v>
      </c>
      <c r="B349" s="47" t="s">
        <v>1</v>
      </c>
      <c r="C349" s="46">
        <v>5.2</v>
      </c>
      <c r="D349" s="126"/>
    </row>
    <row r="350" spans="1:4" ht="31.5" hidden="1" outlineLevel="1">
      <c r="A350" s="46" t="s">
        <v>1067</v>
      </c>
      <c r="B350" s="47" t="s">
        <v>2</v>
      </c>
      <c r="C350" s="46">
        <v>5.3</v>
      </c>
      <c r="D350" s="126"/>
    </row>
    <row r="351" spans="1:4" ht="31.5" hidden="1" outlineLevel="1">
      <c r="A351" s="46" t="s">
        <v>1067</v>
      </c>
      <c r="B351" s="47" t="s">
        <v>47</v>
      </c>
      <c r="C351" s="46">
        <v>5.6</v>
      </c>
      <c r="D351" s="126"/>
    </row>
    <row r="352" spans="1:4" ht="31.5" hidden="1" outlineLevel="1">
      <c r="A352" s="46" t="s">
        <v>1067</v>
      </c>
      <c r="B352" s="47" t="s">
        <v>1164</v>
      </c>
      <c r="C352" s="48">
        <v>5.0999999999999996</v>
      </c>
      <c r="D352" s="126"/>
    </row>
    <row r="353" spans="1:4" ht="31.5" hidden="1" outlineLevel="1">
      <c r="A353" s="46" t="s">
        <v>1067</v>
      </c>
      <c r="B353" s="47" t="s">
        <v>59</v>
      </c>
      <c r="C353" s="46">
        <v>5.14</v>
      </c>
      <c r="D353" s="126"/>
    </row>
    <row r="354" spans="1:4" ht="31.5" hidden="1" outlineLevel="1">
      <c r="A354" s="46" t="s">
        <v>1067</v>
      </c>
      <c r="B354" s="47" t="s">
        <v>4</v>
      </c>
      <c r="C354" s="46">
        <v>5.19</v>
      </c>
      <c r="D354" s="126"/>
    </row>
    <row r="355" spans="1:4" ht="31.5" hidden="1" outlineLevel="1">
      <c r="A355" s="46" t="s">
        <v>1067</v>
      </c>
      <c r="B355" s="47" t="s">
        <v>49</v>
      </c>
      <c r="C355" s="46">
        <v>5.24</v>
      </c>
      <c r="D355" s="126"/>
    </row>
    <row r="356" spans="1:4" ht="31.5" hidden="1" outlineLevel="1">
      <c r="A356" s="46" t="s">
        <v>1067</v>
      </c>
      <c r="B356" s="47" t="s">
        <v>5</v>
      </c>
      <c r="C356" s="46">
        <v>5.26</v>
      </c>
      <c r="D356" s="126"/>
    </row>
    <row r="357" spans="1:4" ht="31.5" hidden="1" outlineLevel="1">
      <c r="A357" s="46" t="s">
        <v>1067</v>
      </c>
      <c r="B357" s="47" t="s">
        <v>6</v>
      </c>
      <c r="C357" s="46">
        <v>5.27</v>
      </c>
      <c r="D357" s="126"/>
    </row>
    <row r="358" spans="1:4" ht="31.5" hidden="1" outlineLevel="1">
      <c r="A358" s="46" t="s">
        <v>1067</v>
      </c>
      <c r="B358" s="47" t="s">
        <v>7</v>
      </c>
      <c r="C358" s="46">
        <v>5.28</v>
      </c>
      <c r="D358" s="126"/>
    </row>
    <row r="359" spans="1:4" ht="31.5" hidden="1" outlineLevel="1">
      <c r="A359" s="46" t="s">
        <v>1067</v>
      </c>
      <c r="B359" s="47" t="s">
        <v>50</v>
      </c>
      <c r="C359" s="46">
        <v>5.31</v>
      </c>
      <c r="D359" s="126"/>
    </row>
    <row r="360" spans="1:4" ht="31.5" hidden="1" outlineLevel="1">
      <c r="A360" s="46" t="s">
        <v>1067</v>
      </c>
      <c r="B360" s="47" t="s">
        <v>51</v>
      </c>
      <c r="C360" s="46">
        <v>5.36</v>
      </c>
      <c r="D360" s="126"/>
    </row>
    <row r="361" spans="1:4" ht="31.5" hidden="1" outlineLevel="1">
      <c r="A361" s="46" t="s">
        <v>1067</v>
      </c>
      <c r="B361" s="47" t="s">
        <v>81</v>
      </c>
      <c r="C361" s="46">
        <v>5.37</v>
      </c>
      <c r="D361" s="126"/>
    </row>
    <row r="362" spans="1:4" ht="31.5" hidden="1" outlineLevel="1">
      <c r="A362" s="46" t="s">
        <v>1067</v>
      </c>
      <c r="B362" s="47" t="s">
        <v>9</v>
      </c>
      <c r="C362" s="46">
        <v>5.49</v>
      </c>
      <c r="D362" s="126"/>
    </row>
    <row r="363" spans="1:4" ht="31.5" hidden="1" outlineLevel="1">
      <c r="A363" s="46" t="s">
        <v>1067</v>
      </c>
      <c r="B363" s="47" t="s">
        <v>10</v>
      </c>
      <c r="C363" s="46">
        <v>5.51</v>
      </c>
      <c r="D363" s="126"/>
    </row>
    <row r="364" spans="1:4" ht="31.5" hidden="1" outlineLevel="1">
      <c r="A364" s="46" t="s">
        <v>1067</v>
      </c>
      <c r="B364" s="47" t="s">
        <v>1165</v>
      </c>
      <c r="C364" s="46">
        <v>5.52</v>
      </c>
      <c r="D364" s="126"/>
    </row>
    <row r="365" spans="1:4" ht="31.5" hidden="1" outlineLevel="1">
      <c r="A365" s="46" t="s">
        <v>1067</v>
      </c>
      <c r="B365" s="47" t="s">
        <v>11</v>
      </c>
      <c r="C365" s="46">
        <v>5.53</v>
      </c>
      <c r="D365" s="126"/>
    </row>
    <row r="366" spans="1:4" ht="31.5" hidden="1" outlineLevel="1">
      <c r="A366" s="46" t="s">
        <v>1067</v>
      </c>
      <c r="B366" s="47" t="s">
        <v>12</v>
      </c>
      <c r="C366" s="46">
        <v>5.69</v>
      </c>
      <c r="D366" s="126"/>
    </row>
    <row r="367" spans="1:4" ht="31.5" hidden="1" outlineLevel="1">
      <c r="A367" s="46" t="s">
        <v>1067</v>
      </c>
      <c r="B367" s="47" t="s">
        <v>82</v>
      </c>
      <c r="C367" s="48">
        <v>5.8</v>
      </c>
      <c r="D367" s="126"/>
    </row>
    <row r="368" spans="1:4" ht="31.5" hidden="1" outlineLevel="1">
      <c r="A368" s="46" t="s">
        <v>1067</v>
      </c>
      <c r="B368" s="47" t="s">
        <v>53</v>
      </c>
      <c r="C368" s="48">
        <v>5.72</v>
      </c>
      <c r="D368" s="126"/>
    </row>
    <row r="369" spans="1:4" ht="31.5" hidden="1" outlineLevel="1">
      <c r="A369" s="46" t="s">
        <v>1067</v>
      </c>
      <c r="B369" s="47" t="s">
        <v>13</v>
      </c>
      <c r="C369" s="46">
        <v>5.75</v>
      </c>
      <c r="D369" s="126"/>
    </row>
    <row r="370" spans="1:4" ht="31.5" hidden="1" outlineLevel="1">
      <c r="A370" s="46" t="s">
        <v>1067</v>
      </c>
      <c r="B370" s="47" t="s">
        <v>14</v>
      </c>
      <c r="C370" s="48">
        <v>5.7</v>
      </c>
      <c r="D370" s="126"/>
    </row>
    <row r="371" spans="1:4" ht="31.5" hidden="1" outlineLevel="1">
      <c r="A371" s="46" t="s">
        <v>1067</v>
      </c>
      <c r="B371" s="47" t="s">
        <v>15</v>
      </c>
      <c r="C371" s="46">
        <v>5.74</v>
      </c>
      <c r="D371" s="126"/>
    </row>
    <row r="372" spans="1:4" ht="31.5" hidden="1" outlineLevel="1">
      <c r="A372" s="46" t="s">
        <v>1067</v>
      </c>
      <c r="B372" s="47" t="s">
        <v>54</v>
      </c>
      <c r="C372" s="46">
        <v>5.76</v>
      </c>
      <c r="D372" s="126"/>
    </row>
    <row r="373" spans="1:4" ht="31.5" hidden="1" outlineLevel="1">
      <c r="A373" s="46" t="s">
        <v>1067</v>
      </c>
      <c r="B373" s="47" t="s">
        <v>55</v>
      </c>
      <c r="C373" s="46">
        <v>5.89</v>
      </c>
      <c r="D373" s="125" t="s">
        <v>1163</v>
      </c>
    </row>
    <row r="374" spans="1:4" ht="31.5" hidden="1" outlineLevel="1">
      <c r="A374" s="46" t="s">
        <v>1067</v>
      </c>
      <c r="B374" s="47" t="s">
        <v>87</v>
      </c>
      <c r="C374" s="46">
        <v>5.109</v>
      </c>
      <c r="D374" s="125"/>
    </row>
    <row r="375" spans="1:4" ht="31.5" hidden="1" outlineLevel="1">
      <c r="A375" s="46" t="s">
        <v>1067</v>
      </c>
      <c r="B375" s="47" t="s">
        <v>88</v>
      </c>
      <c r="C375" s="46">
        <v>5.1109999999999998</v>
      </c>
      <c r="D375" s="126"/>
    </row>
    <row r="376" spans="1:4" ht="31.5" hidden="1" outlineLevel="1">
      <c r="A376" s="46" t="s">
        <v>1067</v>
      </c>
      <c r="B376" s="47" t="s">
        <v>90</v>
      </c>
      <c r="C376" s="46">
        <v>5.1120000000000001</v>
      </c>
      <c r="D376" s="126"/>
    </row>
    <row r="377" spans="1:4" ht="31.5" hidden="1" outlineLevel="1">
      <c r="A377" s="46" t="s">
        <v>1067</v>
      </c>
      <c r="B377" s="50" t="s">
        <v>1169</v>
      </c>
      <c r="C377" s="46">
        <v>5.1130000000000004</v>
      </c>
      <c r="D377" s="126"/>
    </row>
    <row r="378" spans="1:4" ht="31.5" hidden="1" outlineLevel="1">
      <c r="A378" s="46" t="s">
        <v>1067</v>
      </c>
      <c r="B378" s="47" t="s">
        <v>17</v>
      </c>
      <c r="C378" s="46">
        <v>5.58</v>
      </c>
      <c r="D378" s="126"/>
    </row>
    <row r="379" spans="1:4" ht="31.5" hidden="1" outlineLevel="1">
      <c r="A379" s="46" t="s">
        <v>1067</v>
      </c>
      <c r="B379" s="47" t="s">
        <v>18</v>
      </c>
      <c r="C379" s="46">
        <v>5.54</v>
      </c>
      <c r="D379" s="126"/>
    </row>
    <row r="380" spans="1:4" ht="31.5" hidden="1" outlineLevel="1">
      <c r="A380" s="46" t="s">
        <v>1067</v>
      </c>
      <c r="B380" s="47" t="s">
        <v>19</v>
      </c>
      <c r="C380" s="46">
        <v>5.55</v>
      </c>
      <c r="D380" s="126"/>
    </row>
    <row r="381" spans="1:4" ht="31.5" hidden="1" outlineLevel="1">
      <c r="A381" s="46" t="s">
        <v>1067</v>
      </c>
      <c r="B381" s="47" t="s">
        <v>20</v>
      </c>
      <c r="C381" s="46">
        <v>5.63</v>
      </c>
      <c r="D381" s="126"/>
    </row>
    <row r="382" spans="1:4" ht="31.5" hidden="1" outlineLevel="1">
      <c r="A382" s="46" t="s">
        <v>1067</v>
      </c>
      <c r="B382" s="47" t="s">
        <v>21</v>
      </c>
      <c r="C382" s="46">
        <v>5.65</v>
      </c>
      <c r="D382" s="126"/>
    </row>
    <row r="383" spans="1:4" ht="31.5" hidden="1" outlineLevel="1">
      <c r="A383" s="46" t="s">
        <v>1067</v>
      </c>
      <c r="B383" s="47" t="s">
        <v>56</v>
      </c>
      <c r="C383" s="46">
        <v>5.66</v>
      </c>
      <c r="D383" s="126"/>
    </row>
    <row r="384" spans="1:4" ht="31.5" hidden="1" outlineLevel="1">
      <c r="A384" s="46" t="s">
        <v>1067</v>
      </c>
      <c r="B384" s="47" t="s">
        <v>22</v>
      </c>
      <c r="C384" s="46">
        <v>5.68</v>
      </c>
      <c r="D384" s="126"/>
    </row>
    <row r="385" spans="1:4" ht="31.5" hidden="1" outlineLevel="1">
      <c r="A385" s="46" t="s">
        <v>1067</v>
      </c>
      <c r="B385" s="47" t="s">
        <v>24</v>
      </c>
      <c r="C385" s="46">
        <v>5.47</v>
      </c>
      <c r="D385" s="126"/>
    </row>
    <row r="386" spans="1:4" ht="31.5" hidden="1" outlineLevel="1">
      <c r="A386" s="46" t="s">
        <v>1067</v>
      </c>
      <c r="B386" s="47" t="s">
        <v>25</v>
      </c>
      <c r="C386" s="46">
        <v>5.48</v>
      </c>
      <c r="D386" s="126"/>
    </row>
    <row r="387" spans="1:4" ht="31.5">
      <c r="A387" s="52" t="s">
        <v>1067</v>
      </c>
      <c r="B387" s="47"/>
      <c r="C387" s="46"/>
      <c r="D387" s="126"/>
    </row>
    <row r="388" spans="1:4" ht="15.75" hidden="1" outlineLevel="1">
      <c r="A388" s="46" t="s">
        <v>1069</v>
      </c>
      <c r="B388" s="47" t="s">
        <v>0</v>
      </c>
      <c r="C388" s="46">
        <v>5.0999999999999996</v>
      </c>
      <c r="D388" s="126"/>
    </row>
    <row r="389" spans="1:4" ht="15.75" hidden="1" outlineLevel="1">
      <c r="A389" s="46" t="s">
        <v>1069</v>
      </c>
      <c r="B389" s="47" t="s">
        <v>1</v>
      </c>
      <c r="C389" s="46">
        <v>5.2</v>
      </c>
      <c r="D389" s="126"/>
    </row>
    <row r="390" spans="1:4" ht="15.75" hidden="1" outlineLevel="1">
      <c r="A390" s="46" t="s">
        <v>1069</v>
      </c>
      <c r="B390" s="47" t="s">
        <v>2</v>
      </c>
      <c r="C390" s="46">
        <v>5.3</v>
      </c>
      <c r="D390" s="126"/>
    </row>
    <row r="391" spans="1:4" ht="15.75" hidden="1" outlineLevel="1">
      <c r="A391" s="46" t="s">
        <v>1069</v>
      </c>
      <c r="B391" s="47" t="s">
        <v>47</v>
      </c>
      <c r="C391" s="46">
        <v>5.6</v>
      </c>
      <c r="D391" s="126"/>
    </row>
    <row r="392" spans="1:4" ht="15.75" hidden="1" outlineLevel="1">
      <c r="A392" s="46" t="s">
        <v>1069</v>
      </c>
      <c r="B392" s="47" t="s">
        <v>1164</v>
      </c>
      <c r="C392" s="48">
        <v>5.0999999999999996</v>
      </c>
      <c r="D392" s="126"/>
    </row>
    <row r="393" spans="1:4" ht="15.75" hidden="1" outlineLevel="1">
      <c r="A393" s="46" t="s">
        <v>1069</v>
      </c>
      <c r="B393" s="47" t="s">
        <v>59</v>
      </c>
      <c r="C393" s="46">
        <v>5.14</v>
      </c>
      <c r="D393" s="126"/>
    </row>
    <row r="394" spans="1:4" ht="15.75" hidden="1" outlineLevel="1">
      <c r="A394" s="46" t="s">
        <v>1069</v>
      </c>
      <c r="B394" s="47" t="s">
        <v>4</v>
      </c>
      <c r="C394" s="46">
        <v>5.19</v>
      </c>
      <c r="D394" s="126"/>
    </row>
    <row r="395" spans="1:4" ht="15.75" hidden="1" outlineLevel="1">
      <c r="A395" s="46" t="s">
        <v>1069</v>
      </c>
      <c r="B395" s="47" t="s">
        <v>49</v>
      </c>
      <c r="C395" s="46">
        <v>5.24</v>
      </c>
      <c r="D395" s="126"/>
    </row>
    <row r="396" spans="1:4" ht="15.75" hidden="1" outlineLevel="1">
      <c r="A396" s="46" t="s">
        <v>1069</v>
      </c>
      <c r="B396" s="47" t="s">
        <v>5</v>
      </c>
      <c r="C396" s="46">
        <v>5.26</v>
      </c>
      <c r="D396" s="126"/>
    </row>
    <row r="397" spans="1:4" ht="15.75" hidden="1" outlineLevel="1">
      <c r="A397" s="46" t="s">
        <v>1069</v>
      </c>
      <c r="B397" s="47" t="s">
        <v>6</v>
      </c>
      <c r="C397" s="46">
        <v>5.27</v>
      </c>
      <c r="D397" s="126"/>
    </row>
    <row r="398" spans="1:4" ht="15.75" hidden="1" outlineLevel="1">
      <c r="A398" s="46" t="s">
        <v>1069</v>
      </c>
      <c r="B398" s="47" t="s">
        <v>7</v>
      </c>
      <c r="C398" s="46">
        <v>5.28</v>
      </c>
      <c r="D398" s="126"/>
    </row>
    <row r="399" spans="1:4" ht="15.75" hidden="1" outlineLevel="1">
      <c r="A399" s="46" t="s">
        <v>1069</v>
      </c>
      <c r="B399" s="47" t="s">
        <v>57</v>
      </c>
      <c r="C399" s="46">
        <v>5.29</v>
      </c>
      <c r="D399" s="126"/>
    </row>
    <row r="400" spans="1:4" ht="15.75" hidden="1" outlineLevel="1">
      <c r="A400" s="46" t="s">
        <v>1069</v>
      </c>
      <c r="B400" s="47" t="s">
        <v>50</v>
      </c>
      <c r="C400" s="46">
        <v>5.31</v>
      </c>
      <c r="D400" s="126"/>
    </row>
    <row r="401" spans="1:4" ht="15.75" hidden="1" outlineLevel="1">
      <c r="A401" s="46" t="s">
        <v>1069</v>
      </c>
      <c r="B401" s="47" t="s">
        <v>51</v>
      </c>
      <c r="C401" s="46">
        <v>5.36</v>
      </c>
      <c r="D401" s="126"/>
    </row>
    <row r="402" spans="1:4" ht="15.75" hidden="1" outlineLevel="1">
      <c r="A402" s="46" t="s">
        <v>1069</v>
      </c>
      <c r="B402" s="47" t="s">
        <v>81</v>
      </c>
      <c r="C402" s="46">
        <v>5.37</v>
      </c>
      <c r="D402" s="126"/>
    </row>
    <row r="403" spans="1:4" ht="15.75" hidden="1" outlineLevel="1">
      <c r="A403" s="46" t="s">
        <v>1069</v>
      </c>
      <c r="B403" s="47" t="s">
        <v>9</v>
      </c>
      <c r="C403" s="46">
        <v>5.49</v>
      </c>
      <c r="D403" s="126"/>
    </row>
    <row r="404" spans="1:4" ht="15.75" hidden="1" outlineLevel="1">
      <c r="A404" s="46" t="s">
        <v>1069</v>
      </c>
      <c r="B404" s="47" t="s">
        <v>10</v>
      </c>
      <c r="C404" s="46">
        <v>5.51</v>
      </c>
      <c r="D404" s="126"/>
    </row>
    <row r="405" spans="1:4" ht="15.75" hidden="1" outlineLevel="1">
      <c r="A405" s="46" t="s">
        <v>1069</v>
      </c>
      <c r="B405" s="47" t="s">
        <v>1165</v>
      </c>
      <c r="C405" s="46">
        <v>5.52</v>
      </c>
      <c r="D405" s="126"/>
    </row>
    <row r="406" spans="1:4" ht="15.75" hidden="1" outlineLevel="1">
      <c r="A406" s="46" t="s">
        <v>1069</v>
      </c>
      <c r="B406" s="47" t="s">
        <v>11</v>
      </c>
      <c r="C406" s="46">
        <v>5.53</v>
      </c>
      <c r="D406" s="126"/>
    </row>
    <row r="407" spans="1:4" ht="15.75" hidden="1" outlineLevel="1">
      <c r="A407" s="46" t="s">
        <v>1069</v>
      </c>
      <c r="B407" s="47" t="s">
        <v>12</v>
      </c>
      <c r="C407" s="46">
        <v>5.69</v>
      </c>
      <c r="D407" s="126"/>
    </row>
    <row r="408" spans="1:4" ht="15.75" hidden="1" outlineLevel="1">
      <c r="A408" s="46" t="s">
        <v>1069</v>
      </c>
      <c r="B408" s="47" t="s">
        <v>13</v>
      </c>
      <c r="C408" s="46">
        <v>5.75</v>
      </c>
      <c r="D408" s="126"/>
    </row>
    <row r="409" spans="1:4" ht="15.75" hidden="1" outlineLevel="1">
      <c r="A409" s="46" t="s">
        <v>1069</v>
      </c>
      <c r="B409" s="47" t="s">
        <v>15</v>
      </c>
      <c r="C409" s="46">
        <v>5.74</v>
      </c>
      <c r="D409" s="126"/>
    </row>
    <row r="410" spans="1:4" ht="15.75" hidden="1" outlineLevel="1">
      <c r="A410" s="46" t="s">
        <v>1069</v>
      </c>
      <c r="B410" s="47" t="s">
        <v>14</v>
      </c>
      <c r="C410" s="48">
        <v>5.7</v>
      </c>
      <c r="D410" s="126"/>
    </row>
    <row r="411" spans="1:4" ht="15.75" hidden="1" outlineLevel="1">
      <c r="A411" s="46" t="s">
        <v>1069</v>
      </c>
      <c r="B411" s="47" t="s">
        <v>54</v>
      </c>
      <c r="C411" s="46">
        <v>5.76</v>
      </c>
      <c r="D411" s="126"/>
    </row>
    <row r="412" spans="1:4" ht="15.75" hidden="1" outlineLevel="1">
      <c r="A412" s="46" t="s">
        <v>1069</v>
      </c>
      <c r="B412" s="47" t="s">
        <v>55</v>
      </c>
      <c r="C412" s="46">
        <v>5.89</v>
      </c>
      <c r="D412" s="125" t="s">
        <v>1163</v>
      </c>
    </row>
    <row r="413" spans="1:4" ht="15.75" hidden="1" outlineLevel="1">
      <c r="A413" s="46" t="s">
        <v>1069</v>
      </c>
      <c r="B413" s="47" t="s">
        <v>87</v>
      </c>
      <c r="C413" s="46">
        <v>5.109</v>
      </c>
      <c r="D413" s="126"/>
    </row>
    <row r="414" spans="1:4" ht="15.75" hidden="1" outlineLevel="1">
      <c r="A414" s="46" t="s">
        <v>1069</v>
      </c>
      <c r="B414" s="47" t="s">
        <v>88</v>
      </c>
      <c r="C414" s="46">
        <v>5.1109999999999998</v>
      </c>
      <c r="D414" s="126"/>
    </row>
    <row r="415" spans="1:4" ht="15.75" hidden="1" outlineLevel="1">
      <c r="A415" s="46" t="s">
        <v>1069</v>
      </c>
      <c r="B415" s="47" t="s">
        <v>90</v>
      </c>
      <c r="C415" s="46">
        <v>5.1120000000000001</v>
      </c>
      <c r="D415" s="126"/>
    </row>
    <row r="416" spans="1:4" ht="15.75" hidden="1" outlineLevel="1">
      <c r="A416" s="46" t="s">
        <v>1069</v>
      </c>
      <c r="B416" s="50" t="s">
        <v>1169</v>
      </c>
      <c r="C416" s="46">
        <v>5.1130000000000004</v>
      </c>
      <c r="D416" s="126"/>
    </row>
    <row r="417" spans="1:4" ht="15.75" hidden="1" outlineLevel="1">
      <c r="A417" s="46" t="s">
        <v>1069</v>
      </c>
      <c r="B417" s="47" t="s">
        <v>17</v>
      </c>
      <c r="C417" s="46">
        <v>5.58</v>
      </c>
      <c r="D417" s="126"/>
    </row>
    <row r="418" spans="1:4" ht="15.75" hidden="1" outlineLevel="1">
      <c r="A418" s="46" t="s">
        <v>1069</v>
      </c>
      <c r="B418" s="47" t="s">
        <v>18</v>
      </c>
      <c r="C418" s="46">
        <v>5.54</v>
      </c>
      <c r="D418" s="126"/>
    </row>
    <row r="419" spans="1:4" ht="15.75" hidden="1" outlineLevel="1">
      <c r="A419" s="46" t="s">
        <v>1069</v>
      </c>
      <c r="B419" s="47" t="s">
        <v>19</v>
      </c>
      <c r="C419" s="46">
        <v>5.55</v>
      </c>
      <c r="D419" s="126"/>
    </row>
    <row r="420" spans="1:4" ht="15.75" hidden="1" outlineLevel="1">
      <c r="A420" s="46" t="s">
        <v>1069</v>
      </c>
      <c r="B420" s="47" t="s">
        <v>20</v>
      </c>
      <c r="C420" s="46">
        <v>5.63</v>
      </c>
      <c r="D420" s="126"/>
    </row>
    <row r="421" spans="1:4" ht="15.75" hidden="1" outlineLevel="1">
      <c r="A421" s="46" t="s">
        <v>1069</v>
      </c>
      <c r="B421" s="47" t="s">
        <v>21</v>
      </c>
      <c r="C421" s="46">
        <v>5.65</v>
      </c>
      <c r="D421" s="126"/>
    </row>
    <row r="422" spans="1:4" ht="15.75" hidden="1" outlineLevel="1">
      <c r="A422" s="46" t="s">
        <v>1069</v>
      </c>
      <c r="B422" s="47" t="s">
        <v>56</v>
      </c>
      <c r="C422" s="46">
        <v>5.66</v>
      </c>
      <c r="D422" s="126"/>
    </row>
    <row r="423" spans="1:4" ht="15.75" hidden="1" outlineLevel="1">
      <c r="A423" s="46" t="s">
        <v>1069</v>
      </c>
      <c r="B423" s="47" t="s">
        <v>22</v>
      </c>
      <c r="C423" s="46">
        <v>5.68</v>
      </c>
      <c r="D423" s="126"/>
    </row>
    <row r="424" spans="1:4" ht="15.75" hidden="1" outlineLevel="1">
      <c r="A424" s="46" t="s">
        <v>1069</v>
      </c>
      <c r="B424" s="47" t="s">
        <v>24</v>
      </c>
      <c r="C424" s="46">
        <v>5.47</v>
      </c>
      <c r="D424" s="126"/>
    </row>
    <row r="425" spans="1:4" ht="15.75" hidden="1" outlineLevel="1">
      <c r="A425" s="46" t="s">
        <v>1069</v>
      </c>
      <c r="B425" s="47" t="s">
        <v>25</v>
      </c>
      <c r="C425" s="46">
        <v>5.48</v>
      </c>
      <c r="D425" s="126"/>
    </row>
    <row r="426" spans="1:4" ht="15.75">
      <c r="A426" s="52" t="s">
        <v>1069</v>
      </c>
      <c r="B426" s="47"/>
      <c r="C426" s="46"/>
      <c r="D426" s="126"/>
    </row>
    <row r="427" spans="1:4" ht="15.75" outlineLevel="1">
      <c r="A427" s="46" t="s">
        <v>1170</v>
      </c>
      <c r="B427" s="47" t="s">
        <v>0</v>
      </c>
      <c r="C427" s="46">
        <v>5.0999999999999996</v>
      </c>
      <c r="D427" s="126"/>
    </row>
    <row r="428" spans="1:4" ht="15.75" outlineLevel="1">
      <c r="A428" s="46" t="s">
        <v>1170</v>
      </c>
      <c r="B428" s="47" t="s">
        <v>1</v>
      </c>
      <c r="C428" s="46">
        <v>5.2</v>
      </c>
      <c r="D428" s="126"/>
    </row>
    <row r="429" spans="1:4" ht="15.75" outlineLevel="1">
      <c r="A429" s="46" t="s">
        <v>1170</v>
      </c>
      <c r="B429" s="47" t="s">
        <v>2</v>
      </c>
      <c r="C429" s="46">
        <v>5.3</v>
      </c>
      <c r="D429" s="126"/>
    </row>
    <row r="430" spans="1:4" ht="15.75" outlineLevel="1">
      <c r="A430" s="46" t="s">
        <v>1170</v>
      </c>
      <c r="B430" s="47" t="s">
        <v>47</v>
      </c>
      <c r="C430" s="46">
        <v>5.6</v>
      </c>
      <c r="D430" s="126"/>
    </row>
    <row r="431" spans="1:4" ht="15.75" outlineLevel="1">
      <c r="A431" s="46" t="s">
        <v>1170</v>
      </c>
      <c r="B431" s="47" t="s">
        <v>1164</v>
      </c>
      <c r="C431" s="48">
        <v>5.0999999999999996</v>
      </c>
      <c r="D431" s="126"/>
    </row>
    <row r="432" spans="1:4" ht="15.75" outlineLevel="1">
      <c r="A432" s="46" t="s">
        <v>1170</v>
      </c>
      <c r="B432" s="47" t="s">
        <v>59</v>
      </c>
      <c r="C432" s="46">
        <v>5.14</v>
      </c>
      <c r="D432" s="126"/>
    </row>
    <row r="433" spans="1:4" ht="15.75" outlineLevel="1">
      <c r="A433" s="46" t="s">
        <v>1170</v>
      </c>
      <c r="B433" s="47" t="s">
        <v>4</v>
      </c>
      <c r="C433" s="46">
        <v>5.19</v>
      </c>
      <c r="D433" s="126"/>
    </row>
    <row r="434" spans="1:4" ht="15.75" outlineLevel="1">
      <c r="A434" s="46" t="s">
        <v>1170</v>
      </c>
      <c r="B434" s="47" t="s">
        <v>49</v>
      </c>
      <c r="C434" s="46">
        <v>5.24</v>
      </c>
      <c r="D434" s="126"/>
    </row>
    <row r="435" spans="1:4" ht="15.75" outlineLevel="1">
      <c r="A435" s="46" t="s">
        <v>1170</v>
      </c>
      <c r="B435" s="47" t="s">
        <v>5</v>
      </c>
      <c r="C435" s="46">
        <v>5.26</v>
      </c>
      <c r="D435" s="126"/>
    </row>
    <row r="436" spans="1:4" ht="15.75" outlineLevel="1">
      <c r="A436" s="46" t="s">
        <v>1170</v>
      </c>
      <c r="B436" s="47" t="s">
        <v>6</v>
      </c>
      <c r="C436" s="46">
        <v>5.27</v>
      </c>
      <c r="D436" s="126"/>
    </row>
    <row r="437" spans="1:4" ht="15.75" outlineLevel="1">
      <c r="A437" s="46" t="s">
        <v>1170</v>
      </c>
      <c r="B437" s="47" t="s">
        <v>7</v>
      </c>
      <c r="C437" s="46">
        <v>5.28</v>
      </c>
      <c r="D437" s="126"/>
    </row>
    <row r="438" spans="1:4" ht="15.75" outlineLevel="1">
      <c r="A438" s="46" t="s">
        <v>1170</v>
      </c>
      <c r="B438" s="47" t="s">
        <v>57</v>
      </c>
      <c r="C438" s="46">
        <v>5.29</v>
      </c>
      <c r="D438" s="126"/>
    </row>
    <row r="439" spans="1:4" ht="15.75" outlineLevel="1">
      <c r="A439" s="46" t="s">
        <v>1170</v>
      </c>
      <c r="B439" s="47" t="s">
        <v>50</v>
      </c>
      <c r="C439" s="46">
        <v>5.31</v>
      </c>
      <c r="D439" s="126"/>
    </row>
    <row r="440" spans="1:4" ht="15.75" outlineLevel="1">
      <c r="A440" s="46" t="s">
        <v>1170</v>
      </c>
      <c r="B440" s="47" t="s">
        <v>51</v>
      </c>
      <c r="C440" s="46">
        <v>5.36</v>
      </c>
      <c r="D440" s="126"/>
    </row>
    <row r="441" spans="1:4" ht="15.75" outlineLevel="1">
      <c r="A441" s="46" t="s">
        <v>1170</v>
      </c>
      <c r="B441" s="47" t="s">
        <v>81</v>
      </c>
      <c r="C441" s="46">
        <v>5.37</v>
      </c>
      <c r="D441" s="126"/>
    </row>
    <row r="442" spans="1:4" ht="15.75" outlineLevel="1">
      <c r="A442" s="46" t="s">
        <v>1170</v>
      </c>
      <c r="B442" s="47" t="s">
        <v>11</v>
      </c>
      <c r="C442" s="46">
        <v>5.53</v>
      </c>
      <c r="D442" s="126"/>
    </row>
    <row r="443" spans="1:4" ht="15.75" outlineLevel="1">
      <c r="A443" s="46" t="s">
        <v>1170</v>
      </c>
      <c r="B443" s="47" t="s">
        <v>87</v>
      </c>
      <c r="C443" s="46">
        <v>5.109</v>
      </c>
      <c r="D443" s="126"/>
    </row>
    <row r="444" spans="1:4" ht="15.75" outlineLevel="1">
      <c r="A444" s="46" t="s">
        <v>1170</v>
      </c>
      <c r="B444" s="47" t="s">
        <v>88</v>
      </c>
      <c r="C444" s="46">
        <v>5.1109999999999998</v>
      </c>
      <c r="D444" s="126"/>
    </row>
    <row r="445" spans="1:4" ht="15.75" outlineLevel="1">
      <c r="A445" s="46" t="s">
        <v>1170</v>
      </c>
      <c r="B445" s="47" t="s">
        <v>90</v>
      </c>
      <c r="C445" s="46">
        <v>5.1120000000000001</v>
      </c>
      <c r="D445" s="126"/>
    </row>
    <row r="446" spans="1:4" ht="15.75" outlineLevel="1">
      <c r="A446" s="46" t="s">
        <v>1170</v>
      </c>
      <c r="B446" s="50" t="s">
        <v>1169</v>
      </c>
      <c r="C446" s="46">
        <v>5.1130000000000004</v>
      </c>
      <c r="D446" s="126"/>
    </row>
    <row r="447" spans="1:4" ht="15.75" outlineLevel="1">
      <c r="A447" s="46" t="s">
        <v>1170</v>
      </c>
      <c r="B447" s="47" t="s">
        <v>17</v>
      </c>
      <c r="C447" s="46">
        <v>5.58</v>
      </c>
      <c r="D447" s="126"/>
    </row>
    <row r="448" spans="1:4" ht="15.75" outlineLevel="1">
      <c r="A448" s="46" t="s">
        <v>1170</v>
      </c>
      <c r="B448" s="47" t="s">
        <v>18</v>
      </c>
      <c r="C448" s="46">
        <v>5.54</v>
      </c>
      <c r="D448" s="126"/>
    </row>
    <row r="449" spans="1:4" ht="15.75" outlineLevel="1">
      <c r="A449" s="46" t="s">
        <v>1170</v>
      </c>
      <c r="B449" s="47" t="s">
        <v>19</v>
      </c>
      <c r="C449" s="46">
        <v>5.55</v>
      </c>
      <c r="D449" s="126"/>
    </row>
    <row r="450" spans="1:4" ht="15.75" outlineLevel="1">
      <c r="A450" s="46" t="s">
        <v>1170</v>
      </c>
      <c r="B450" s="47" t="s">
        <v>20</v>
      </c>
      <c r="C450" s="46">
        <v>5.63</v>
      </c>
      <c r="D450" s="126"/>
    </row>
    <row r="451" spans="1:4" ht="15.75" outlineLevel="1">
      <c r="A451" s="46" t="s">
        <v>1170</v>
      </c>
      <c r="B451" s="47" t="s">
        <v>24</v>
      </c>
      <c r="C451" s="46">
        <v>5.47</v>
      </c>
      <c r="D451" s="126"/>
    </row>
    <row r="452" spans="1:4" ht="15.75" outlineLevel="1">
      <c r="A452" s="46" t="s">
        <v>1170</v>
      </c>
      <c r="B452" s="47" t="s">
        <v>25</v>
      </c>
      <c r="C452" s="46">
        <v>5.48</v>
      </c>
      <c r="D452" s="126"/>
    </row>
    <row r="453" spans="1:4" ht="31.5">
      <c r="A453" s="52" t="s">
        <v>1170</v>
      </c>
      <c r="B453" s="47"/>
      <c r="C453" s="46"/>
      <c r="D453" s="126"/>
    </row>
    <row r="454" spans="1:4" ht="15.75" outlineLevel="1">
      <c r="A454" s="46" t="s">
        <v>850</v>
      </c>
      <c r="B454" s="47" t="s">
        <v>0</v>
      </c>
      <c r="C454" s="46">
        <v>5.0999999999999996</v>
      </c>
      <c r="D454" s="126"/>
    </row>
    <row r="455" spans="1:4" ht="15.75" outlineLevel="1">
      <c r="A455" s="46" t="s">
        <v>850</v>
      </c>
      <c r="B455" s="47" t="s">
        <v>1</v>
      </c>
      <c r="C455" s="46">
        <v>5.2</v>
      </c>
      <c r="D455" s="126"/>
    </row>
    <row r="456" spans="1:4" ht="15.75" outlineLevel="1">
      <c r="A456" s="46" t="s">
        <v>850</v>
      </c>
      <c r="B456" s="47" t="s">
        <v>124</v>
      </c>
      <c r="C456" s="46">
        <v>5.5</v>
      </c>
      <c r="D456" s="126"/>
    </row>
    <row r="457" spans="1:4" ht="15.75" outlineLevel="1">
      <c r="A457" s="46" t="s">
        <v>850</v>
      </c>
      <c r="B457" s="47" t="s">
        <v>125</v>
      </c>
      <c r="C457" s="46">
        <v>5.8</v>
      </c>
      <c r="D457" s="125" t="s">
        <v>1163</v>
      </c>
    </row>
    <row r="458" spans="1:4" ht="15.75" outlineLevel="1">
      <c r="A458" s="46" t="s">
        <v>850</v>
      </c>
      <c r="B458" s="47" t="s">
        <v>126</v>
      </c>
      <c r="C458" s="46">
        <v>5.12</v>
      </c>
      <c r="D458" s="125" t="s">
        <v>1163</v>
      </c>
    </row>
    <row r="459" spans="1:4" ht="15.75" outlineLevel="1">
      <c r="A459" s="46" t="s">
        <v>850</v>
      </c>
      <c r="B459" s="47" t="s">
        <v>127</v>
      </c>
      <c r="C459" s="46">
        <v>5.15</v>
      </c>
      <c r="D459" s="126"/>
    </row>
    <row r="460" spans="1:4" ht="15.75" outlineLevel="1">
      <c r="A460" s="46" t="s">
        <v>850</v>
      </c>
      <c r="B460" s="47" t="s">
        <v>128</v>
      </c>
      <c r="C460" s="48">
        <v>5.2</v>
      </c>
      <c r="D460" s="125"/>
    </row>
    <row r="461" spans="1:4" ht="15.75" outlineLevel="1">
      <c r="A461" s="46" t="s">
        <v>850</v>
      </c>
      <c r="B461" s="47" t="s">
        <v>129</v>
      </c>
      <c r="C461" s="46">
        <v>5.25</v>
      </c>
      <c r="D461" s="126"/>
    </row>
    <row r="462" spans="1:4" ht="15.75" outlineLevel="1">
      <c r="A462" s="46" t="s">
        <v>850</v>
      </c>
      <c r="B462" s="47" t="s">
        <v>5</v>
      </c>
      <c r="C462" s="46">
        <v>5.26</v>
      </c>
      <c r="D462" s="126"/>
    </row>
    <row r="463" spans="1:4" ht="15.75" outlineLevel="1">
      <c r="A463" s="46" t="s">
        <v>850</v>
      </c>
      <c r="B463" s="47" t="s">
        <v>130</v>
      </c>
      <c r="C463" s="46">
        <v>5.1139999999999999</v>
      </c>
      <c r="D463" s="125" t="s">
        <v>1163</v>
      </c>
    </row>
    <row r="464" spans="1:4" ht="15.75" outlineLevel="1">
      <c r="A464" s="46" t="s">
        <v>850</v>
      </c>
      <c r="B464" s="47" t="s">
        <v>6</v>
      </c>
      <c r="C464" s="46">
        <v>5.27</v>
      </c>
      <c r="D464" s="126"/>
    </row>
    <row r="465" spans="1:4" ht="15.75" outlineLevel="1">
      <c r="A465" s="46" t="s">
        <v>850</v>
      </c>
      <c r="B465" s="47" t="s">
        <v>131</v>
      </c>
      <c r="C465" s="46">
        <v>5.1150000000000002</v>
      </c>
      <c r="D465" s="125" t="s">
        <v>1163</v>
      </c>
    </row>
    <row r="466" spans="1:4" ht="15.75" outlineLevel="1">
      <c r="A466" s="46" t="s">
        <v>850</v>
      </c>
      <c r="B466" s="47" t="s">
        <v>132</v>
      </c>
      <c r="C466" s="46">
        <v>5.1159999999999997</v>
      </c>
      <c r="D466" s="125" t="s">
        <v>1163</v>
      </c>
    </row>
    <row r="467" spans="1:4" ht="15.75" outlineLevel="1">
      <c r="A467" s="46" t="s">
        <v>850</v>
      </c>
      <c r="B467" s="47" t="s">
        <v>7</v>
      </c>
      <c r="C467" s="46">
        <v>5.28</v>
      </c>
      <c r="D467" s="126"/>
    </row>
    <row r="468" spans="1:4" ht="15.75" outlineLevel="1">
      <c r="A468" s="46" t="s">
        <v>850</v>
      </c>
      <c r="B468" s="47" t="s">
        <v>51</v>
      </c>
      <c r="C468" s="46">
        <v>5.36</v>
      </c>
      <c r="D468" s="126"/>
    </row>
    <row r="469" spans="1:4" ht="15.75" outlineLevel="1">
      <c r="A469" s="46" t="s">
        <v>850</v>
      </c>
      <c r="B469" s="47" t="s">
        <v>81</v>
      </c>
      <c r="C469" s="46">
        <v>5.37</v>
      </c>
      <c r="D469" s="126"/>
    </row>
    <row r="470" spans="1:4" ht="15.75" outlineLevel="1">
      <c r="A470" s="46" t="s">
        <v>850</v>
      </c>
      <c r="B470" s="47" t="s">
        <v>11</v>
      </c>
      <c r="C470" s="46">
        <v>5.53</v>
      </c>
      <c r="D470" s="126"/>
    </row>
    <row r="471" spans="1:4" ht="15.75" outlineLevel="1">
      <c r="A471" s="46" t="s">
        <v>850</v>
      </c>
      <c r="B471" s="47" t="s">
        <v>87</v>
      </c>
      <c r="C471" s="46">
        <v>5.109</v>
      </c>
      <c r="D471" s="126"/>
    </row>
    <row r="472" spans="1:4" ht="15.75" outlineLevel="1">
      <c r="A472" s="46" t="s">
        <v>850</v>
      </c>
      <c r="B472" s="47" t="s">
        <v>88</v>
      </c>
      <c r="C472" s="46">
        <v>5.1109999999999998</v>
      </c>
      <c r="D472" s="126"/>
    </row>
    <row r="473" spans="1:4" ht="15.75" outlineLevel="1">
      <c r="A473" s="46" t="s">
        <v>850</v>
      </c>
      <c r="B473" s="47" t="s">
        <v>90</v>
      </c>
      <c r="C473" s="46">
        <v>5.1120000000000001</v>
      </c>
      <c r="D473" s="126"/>
    </row>
    <row r="474" spans="1:4" ht="15.75" outlineLevel="1">
      <c r="A474" s="46" t="s">
        <v>850</v>
      </c>
      <c r="B474" s="47" t="s">
        <v>18</v>
      </c>
      <c r="C474" s="46">
        <v>5.54</v>
      </c>
      <c r="D474" s="126"/>
    </row>
    <row r="475" spans="1:4" ht="15.75" outlineLevel="1">
      <c r="A475" s="46" t="s">
        <v>850</v>
      </c>
      <c r="B475" s="47" t="s">
        <v>133</v>
      </c>
      <c r="C475" s="46">
        <v>5.61</v>
      </c>
      <c r="D475" s="126"/>
    </row>
    <row r="476" spans="1:4" ht="15.75" outlineLevel="1">
      <c r="A476" s="46" t="s">
        <v>850</v>
      </c>
      <c r="B476" s="47" t="s">
        <v>20</v>
      </c>
      <c r="C476" s="46">
        <v>5.63</v>
      </c>
      <c r="D476" s="126"/>
    </row>
    <row r="477" spans="1:4" ht="15.75" outlineLevel="1">
      <c r="A477" s="46" t="s">
        <v>850</v>
      </c>
      <c r="B477" s="47" t="s">
        <v>134</v>
      </c>
      <c r="C477" s="46">
        <v>5.46</v>
      </c>
      <c r="D477" s="126"/>
    </row>
    <row r="478" spans="1:4" ht="15.75" outlineLevel="1">
      <c r="A478" s="46" t="s">
        <v>850</v>
      </c>
      <c r="B478" s="47" t="s">
        <v>24</v>
      </c>
      <c r="C478" s="46">
        <v>5.47</v>
      </c>
      <c r="D478" s="126"/>
    </row>
    <row r="479" spans="1:4" ht="15.75" outlineLevel="1">
      <c r="A479" s="46" t="s">
        <v>850</v>
      </c>
      <c r="B479" s="47" t="s">
        <v>25</v>
      </c>
      <c r="C479" s="46">
        <v>5.48</v>
      </c>
      <c r="D479" s="126"/>
    </row>
    <row r="480" spans="1:4" ht="15.75">
      <c r="A480" s="52" t="s">
        <v>850</v>
      </c>
      <c r="B480" s="47"/>
      <c r="C480" s="46"/>
      <c r="D480" s="126"/>
    </row>
    <row r="481" spans="1:4" ht="15.75" hidden="1" outlineLevel="1">
      <c r="A481" s="46" t="s">
        <v>1171</v>
      </c>
      <c r="B481" s="47" t="s">
        <v>0</v>
      </c>
      <c r="C481" s="46">
        <v>5.0999999999999996</v>
      </c>
      <c r="D481" s="126"/>
    </row>
    <row r="482" spans="1:4" ht="15.75" hidden="1" outlineLevel="1">
      <c r="A482" s="46" t="s">
        <v>1171</v>
      </c>
      <c r="B482" s="47" t="s">
        <v>1</v>
      </c>
      <c r="C482" s="46">
        <v>5.2</v>
      </c>
      <c r="D482" s="126"/>
    </row>
    <row r="483" spans="1:4" ht="15.75" hidden="1" outlineLevel="1">
      <c r="A483" s="46" t="s">
        <v>1171</v>
      </c>
      <c r="B483" s="47" t="s">
        <v>2</v>
      </c>
      <c r="C483" s="46">
        <v>5.3</v>
      </c>
      <c r="D483" s="126"/>
    </row>
    <row r="484" spans="1:4" ht="15.75" hidden="1" outlineLevel="1">
      <c r="A484" s="46" t="s">
        <v>1171</v>
      </c>
      <c r="B484" s="47" t="s">
        <v>47</v>
      </c>
      <c r="C484" s="46">
        <v>5.6</v>
      </c>
      <c r="D484" s="126"/>
    </row>
    <row r="485" spans="1:4" ht="15.75" hidden="1" outlineLevel="1">
      <c r="A485" s="46" t="s">
        <v>1171</v>
      </c>
      <c r="B485" s="47" t="s">
        <v>1164</v>
      </c>
      <c r="C485" s="48">
        <v>5.0999999999999996</v>
      </c>
      <c r="D485" s="126"/>
    </row>
    <row r="486" spans="1:4" ht="15.75" hidden="1" outlineLevel="1">
      <c r="A486" s="46" t="s">
        <v>1171</v>
      </c>
      <c r="B486" s="47" t="s">
        <v>59</v>
      </c>
      <c r="C486" s="46">
        <v>5.14</v>
      </c>
      <c r="D486" s="126"/>
    </row>
    <row r="487" spans="1:4" ht="15.75" hidden="1" outlineLevel="1">
      <c r="A487" s="46" t="s">
        <v>1171</v>
      </c>
      <c r="B487" s="47" t="s">
        <v>4</v>
      </c>
      <c r="C487" s="46">
        <v>5.19</v>
      </c>
      <c r="D487" s="126"/>
    </row>
    <row r="488" spans="1:4" ht="15.75" hidden="1" outlineLevel="1">
      <c r="A488" s="46" t="s">
        <v>1171</v>
      </c>
      <c r="B488" s="47" t="s">
        <v>49</v>
      </c>
      <c r="C488" s="46">
        <v>5.24</v>
      </c>
      <c r="D488" s="126"/>
    </row>
    <row r="489" spans="1:4" ht="15.75" hidden="1" outlineLevel="1">
      <c r="A489" s="46" t="s">
        <v>1171</v>
      </c>
      <c r="B489" s="47" t="s">
        <v>6</v>
      </c>
      <c r="C489" s="46">
        <v>5.27</v>
      </c>
      <c r="D489" s="126"/>
    </row>
    <row r="490" spans="1:4" ht="15.75" hidden="1" outlineLevel="1">
      <c r="A490" s="46" t="s">
        <v>1171</v>
      </c>
      <c r="B490" s="47" t="s">
        <v>7</v>
      </c>
      <c r="C490" s="46">
        <v>5.28</v>
      </c>
      <c r="D490" s="126"/>
    </row>
    <row r="491" spans="1:4" ht="15.75" hidden="1" outlineLevel="1">
      <c r="A491" s="46" t="s">
        <v>1171</v>
      </c>
      <c r="B491" s="47" t="s">
        <v>57</v>
      </c>
      <c r="C491" s="46">
        <v>5.29</v>
      </c>
      <c r="D491" s="126"/>
    </row>
    <row r="492" spans="1:4" ht="15.75" hidden="1" outlineLevel="1">
      <c r="A492" s="46" t="s">
        <v>1171</v>
      </c>
      <c r="B492" s="47" t="s">
        <v>60</v>
      </c>
      <c r="C492" s="46">
        <v>5.34</v>
      </c>
      <c r="D492" s="126"/>
    </row>
    <row r="493" spans="1:4" ht="15.75" hidden="1" outlineLevel="1">
      <c r="A493" s="46" t="s">
        <v>1171</v>
      </c>
      <c r="B493" s="47" t="s">
        <v>50</v>
      </c>
      <c r="C493" s="46">
        <v>5.31</v>
      </c>
      <c r="D493" s="126"/>
    </row>
    <row r="494" spans="1:4" ht="15.75" hidden="1" outlineLevel="1">
      <c r="A494" s="46" t="s">
        <v>1171</v>
      </c>
      <c r="B494" s="47" t="s">
        <v>61</v>
      </c>
      <c r="C494" s="46">
        <v>5.101</v>
      </c>
      <c r="D494" s="126"/>
    </row>
    <row r="495" spans="1:4" ht="15.75" hidden="1" outlineLevel="1">
      <c r="A495" s="46" t="s">
        <v>1171</v>
      </c>
      <c r="B495" s="47" t="s">
        <v>51</v>
      </c>
      <c r="C495" s="46">
        <v>5.36</v>
      </c>
      <c r="D495" s="126"/>
    </row>
    <row r="496" spans="1:4" ht="15.75" hidden="1" outlineLevel="1">
      <c r="A496" s="46" t="s">
        <v>1171</v>
      </c>
      <c r="B496" s="47" t="s">
        <v>81</v>
      </c>
      <c r="C496" s="46">
        <v>5.37</v>
      </c>
      <c r="D496" s="126"/>
    </row>
    <row r="497" spans="1:4" ht="15.75" hidden="1" outlineLevel="1">
      <c r="A497" s="46" t="s">
        <v>1171</v>
      </c>
      <c r="B497" s="47" t="s">
        <v>11</v>
      </c>
      <c r="C497" s="46">
        <v>5.53</v>
      </c>
      <c r="D497" s="126"/>
    </row>
    <row r="498" spans="1:4" ht="15.75" hidden="1" outlineLevel="1">
      <c r="A498" s="46" t="s">
        <v>1171</v>
      </c>
      <c r="B498" s="47" t="s">
        <v>87</v>
      </c>
      <c r="C498" s="46">
        <v>5.109</v>
      </c>
      <c r="D498" s="126"/>
    </row>
    <row r="499" spans="1:4" ht="15.75" hidden="1" outlineLevel="1">
      <c r="A499" s="46" t="s">
        <v>1171</v>
      </c>
      <c r="B499" s="47" t="s">
        <v>88</v>
      </c>
      <c r="C499" s="46">
        <v>5.1109999999999998</v>
      </c>
      <c r="D499" s="126"/>
    </row>
    <row r="500" spans="1:4" ht="15.75" hidden="1" outlineLevel="1">
      <c r="A500" s="46" t="s">
        <v>1171</v>
      </c>
      <c r="B500" s="47" t="s">
        <v>90</v>
      </c>
      <c r="C500" s="46">
        <v>5.1120000000000001</v>
      </c>
      <c r="D500" s="126"/>
    </row>
    <row r="501" spans="1:4" ht="15.75" hidden="1" outlineLevel="1">
      <c r="A501" s="46" t="s">
        <v>1171</v>
      </c>
      <c r="B501" s="47" t="s">
        <v>62</v>
      </c>
      <c r="C501" s="46">
        <v>5.1020000000000003</v>
      </c>
      <c r="D501" s="126"/>
    </row>
    <row r="502" spans="1:4" ht="15.75" hidden="1" outlineLevel="1">
      <c r="A502" s="46" t="s">
        <v>1171</v>
      </c>
      <c r="B502" s="47" t="s">
        <v>63</v>
      </c>
      <c r="C502" s="49">
        <v>5.0999999999999996</v>
      </c>
      <c r="D502" s="126"/>
    </row>
    <row r="503" spans="1:4" ht="15.75" hidden="1" outlineLevel="1">
      <c r="A503" s="46" t="s">
        <v>1171</v>
      </c>
      <c r="B503" s="47" t="s">
        <v>17</v>
      </c>
      <c r="C503" s="46">
        <v>5.58</v>
      </c>
      <c r="D503" s="126"/>
    </row>
    <row r="504" spans="1:4" ht="15.75" hidden="1" outlineLevel="1">
      <c r="A504" s="46" t="s">
        <v>1171</v>
      </c>
      <c r="B504" s="47" t="s">
        <v>19</v>
      </c>
      <c r="C504" s="46">
        <v>5.55</v>
      </c>
      <c r="D504" s="126"/>
    </row>
    <row r="505" spans="1:4" ht="15.75" hidden="1" outlineLevel="1">
      <c r="A505" s="46" t="s">
        <v>1171</v>
      </c>
      <c r="B505" s="47" t="s">
        <v>18</v>
      </c>
      <c r="C505" s="46">
        <v>5.54</v>
      </c>
      <c r="D505" s="126"/>
    </row>
    <row r="506" spans="1:4" ht="15.75" hidden="1" outlineLevel="1">
      <c r="A506" s="46" t="s">
        <v>1171</v>
      </c>
      <c r="B506" s="47" t="s">
        <v>20</v>
      </c>
      <c r="C506" s="46">
        <v>5.63</v>
      </c>
      <c r="D506" s="126"/>
    </row>
    <row r="507" spans="1:4" ht="15.75" hidden="1" outlineLevel="1">
      <c r="A507" s="46" t="s">
        <v>1171</v>
      </c>
      <c r="B507" s="47" t="s">
        <v>24</v>
      </c>
      <c r="C507" s="46">
        <v>5.47</v>
      </c>
      <c r="D507" s="126"/>
    </row>
    <row r="508" spans="1:4" ht="15.75" hidden="1" outlineLevel="1">
      <c r="A508" s="46" t="s">
        <v>1171</v>
      </c>
      <c r="B508" s="47" t="s">
        <v>25</v>
      </c>
      <c r="C508" s="46">
        <v>5.48</v>
      </c>
      <c r="D508" s="126"/>
    </row>
    <row r="509" spans="1:4" ht="15.75">
      <c r="A509" s="52" t="s">
        <v>1171</v>
      </c>
      <c r="B509" s="47"/>
      <c r="C509" s="46"/>
      <c r="D509" s="126"/>
    </row>
    <row r="510" spans="1:4" ht="15.75" hidden="1" outlineLevel="1">
      <c r="A510" s="46" t="s">
        <v>1083</v>
      </c>
      <c r="B510" s="47" t="s">
        <v>0</v>
      </c>
      <c r="C510" s="46">
        <v>5.0999999999999996</v>
      </c>
      <c r="D510" s="126"/>
    </row>
    <row r="511" spans="1:4" ht="15.75" hidden="1" outlineLevel="1">
      <c r="A511" s="46" t="s">
        <v>1083</v>
      </c>
      <c r="B511" s="47" t="s">
        <v>1</v>
      </c>
      <c r="C511" s="46">
        <v>5.2</v>
      </c>
      <c r="D511" s="126"/>
    </row>
    <row r="512" spans="1:4" ht="15.75" hidden="1" outlineLevel="1">
      <c r="A512" s="46" t="s">
        <v>1083</v>
      </c>
      <c r="B512" s="47" t="s">
        <v>2</v>
      </c>
      <c r="C512" s="46">
        <v>5.3</v>
      </c>
      <c r="D512" s="126"/>
    </row>
    <row r="513" spans="1:4" ht="15.75" hidden="1" outlineLevel="1">
      <c r="A513" s="46" t="s">
        <v>1083</v>
      </c>
      <c r="B513" s="47" t="s">
        <v>47</v>
      </c>
      <c r="C513" s="46">
        <v>5.6</v>
      </c>
      <c r="D513" s="126"/>
    </row>
    <row r="514" spans="1:4" ht="15.75" hidden="1" outlineLevel="1">
      <c r="A514" s="46" t="s">
        <v>1083</v>
      </c>
      <c r="B514" s="47" t="s">
        <v>1164</v>
      </c>
      <c r="C514" s="48">
        <v>5.0999999999999996</v>
      </c>
      <c r="D514" s="126"/>
    </row>
    <row r="515" spans="1:4" ht="15.75" hidden="1" outlineLevel="1">
      <c r="A515" s="46" t="s">
        <v>1083</v>
      </c>
      <c r="B515" s="47" t="s">
        <v>59</v>
      </c>
      <c r="C515" s="46">
        <v>5.14</v>
      </c>
      <c r="D515" s="126"/>
    </row>
    <row r="516" spans="1:4" ht="15.75" hidden="1" outlineLevel="1">
      <c r="A516" s="46" t="s">
        <v>1083</v>
      </c>
      <c r="B516" s="47" t="s">
        <v>4</v>
      </c>
      <c r="C516" s="46">
        <v>5.19</v>
      </c>
      <c r="D516" s="126"/>
    </row>
    <row r="517" spans="1:4" ht="15.75" hidden="1" outlineLevel="1">
      <c r="A517" s="46" t="s">
        <v>1083</v>
      </c>
      <c r="B517" s="47" t="s">
        <v>49</v>
      </c>
      <c r="C517" s="46">
        <v>5.24</v>
      </c>
      <c r="D517" s="126"/>
    </row>
    <row r="518" spans="1:4" ht="15.75" hidden="1" outlineLevel="1">
      <c r="A518" s="46" t="s">
        <v>1083</v>
      </c>
      <c r="B518" s="47" t="s">
        <v>5</v>
      </c>
      <c r="C518" s="46">
        <v>5.26</v>
      </c>
      <c r="D518" s="126"/>
    </row>
    <row r="519" spans="1:4" ht="15.75" hidden="1" outlineLevel="1">
      <c r="A519" s="46" t="s">
        <v>1083</v>
      </c>
      <c r="B519" s="47" t="s">
        <v>6</v>
      </c>
      <c r="C519" s="46">
        <v>5.27</v>
      </c>
      <c r="D519" s="126"/>
    </row>
    <row r="520" spans="1:4" ht="15.75" hidden="1" outlineLevel="1">
      <c r="A520" s="46" t="s">
        <v>1083</v>
      </c>
      <c r="B520" s="47" t="s">
        <v>7</v>
      </c>
      <c r="C520" s="46">
        <v>5.28</v>
      </c>
      <c r="D520" s="126"/>
    </row>
    <row r="521" spans="1:4" ht="15.75" hidden="1" outlineLevel="1">
      <c r="A521" s="46" t="s">
        <v>1083</v>
      </c>
      <c r="B521" s="47" t="s">
        <v>50</v>
      </c>
      <c r="C521" s="46">
        <v>5.31</v>
      </c>
      <c r="D521" s="126"/>
    </row>
    <row r="522" spans="1:4" ht="15.75" hidden="1" outlineLevel="1">
      <c r="A522" s="46" t="s">
        <v>1083</v>
      </c>
      <c r="B522" s="47" t="s">
        <v>64</v>
      </c>
      <c r="C522" s="46">
        <v>5.33</v>
      </c>
      <c r="D522" s="126"/>
    </row>
    <row r="523" spans="1:4" ht="15.75" hidden="1" outlineLevel="1">
      <c r="A523" s="46" t="s">
        <v>1083</v>
      </c>
      <c r="B523" s="47" t="s">
        <v>61</v>
      </c>
      <c r="C523" s="46">
        <v>5.101</v>
      </c>
      <c r="D523" s="126"/>
    </row>
    <row r="524" spans="1:4" ht="15.75" hidden="1" outlineLevel="1">
      <c r="A524" s="46" t="s">
        <v>1083</v>
      </c>
      <c r="B524" s="47" t="s">
        <v>51</v>
      </c>
      <c r="C524" s="46">
        <v>5.36</v>
      </c>
      <c r="D524" s="126"/>
    </row>
    <row r="525" spans="1:4" ht="15.75" hidden="1" outlineLevel="1">
      <c r="A525" s="46" t="s">
        <v>1083</v>
      </c>
      <c r="B525" s="47" t="s">
        <v>81</v>
      </c>
      <c r="C525" s="46">
        <v>5.37</v>
      </c>
      <c r="D525" s="126"/>
    </row>
    <row r="526" spans="1:4" ht="15.75" hidden="1" outlineLevel="1">
      <c r="A526" s="46" t="s">
        <v>1083</v>
      </c>
      <c r="B526" s="47" t="s">
        <v>11</v>
      </c>
      <c r="C526" s="46">
        <v>5.53</v>
      </c>
      <c r="D526" s="126"/>
    </row>
    <row r="527" spans="1:4" ht="15.75" hidden="1" outlineLevel="1">
      <c r="A527" s="46" t="s">
        <v>1083</v>
      </c>
      <c r="B527" s="47" t="s">
        <v>87</v>
      </c>
      <c r="C527" s="46">
        <v>5.109</v>
      </c>
      <c r="D527" s="126"/>
    </row>
    <row r="528" spans="1:4" ht="15.75" hidden="1" outlineLevel="1">
      <c r="A528" s="46" t="s">
        <v>1083</v>
      </c>
      <c r="B528" s="47" t="s">
        <v>88</v>
      </c>
      <c r="C528" s="46">
        <v>5.1109999999999998</v>
      </c>
      <c r="D528" s="126"/>
    </row>
    <row r="529" spans="1:4" ht="15.75" hidden="1" outlineLevel="1">
      <c r="A529" s="46" t="s">
        <v>1083</v>
      </c>
      <c r="B529" s="47" t="s">
        <v>90</v>
      </c>
      <c r="C529" s="46">
        <v>5.1120000000000001</v>
      </c>
      <c r="D529" s="126"/>
    </row>
    <row r="530" spans="1:4" ht="15.75" hidden="1" outlineLevel="1">
      <c r="A530" s="46" t="s">
        <v>1083</v>
      </c>
      <c r="B530" s="47" t="s">
        <v>62</v>
      </c>
      <c r="C530" s="46">
        <v>5.1020000000000003</v>
      </c>
      <c r="D530" s="126"/>
    </row>
    <row r="531" spans="1:4" ht="15.75" hidden="1" outlineLevel="1">
      <c r="A531" s="46" t="s">
        <v>1083</v>
      </c>
      <c r="B531" s="47" t="s">
        <v>63</v>
      </c>
      <c r="C531" s="49">
        <v>5.0999999999999996</v>
      </c>
      <c r="D531" s="126"/>
    </row>
    <row r="532" spans="1:4" ht="15.75" hidden="1" outlineLevel="1">
      <c r="A532" s="46" t="s">
        <v>1083</v>
      </c>
      <c r="B532" s="47" t="s">
        <v>17</v>
      </c>
      <c r="C532" s="46">
        <v>5.58</v>
      </c>
      <c r="D532" s="126"/>
    </row>
    <row r="533" spans="1:4" ht="15.75" hidden="1" outlineLevel="1">
      <c r="A533" s="46" t="s">
        <v>1083</v>
      </c>
      <c r="B533" s="47" t="s">
        <v>19</v>
      </c>
      <c r="C533" s="46">
        <v>5.55</v>
      </c>
      <c r="D533" s="126"/>
    </row>
    <row r="534" spans="1:4" ht="15.75" hidden="1" outlineLevel="1">
      <c r="A534" s="46" t="s">
        <v>1083</v>
      </c>
      <c r="B534" s="47" t="s">
        <v>18</v>
      </c>
      <c r="C534" s="46">
        <v>5.54</v>
      </c>
      <c r="D534" s="126"/>
    </row>
    <row r="535" spans="1:4" ht="15.75" hidden="1" outlineLevel="1">
      <c r="A535" s="46" t="s">
        <v>1083</v>
      </c>
      <c r="B535" s="47" t="s">
        <v>20</v>
      </c>
      <c r="C535" s="46">
        <v>5.63</v>
      </c>
      <c r="D535" s="126"/>
    </row>
    <row r="536" spans="1:4" ht="15.75" hidden="1" outlineLevel="1">
      <c r="A536" s="46" t="s">
        <v>1083</v>
      </c>
      <c r="B536" s="47" t="s">
        <v>24</v>
      </c>
      <c r="C536" s="46">
        <v>5.47</v>
      </c>
      <c r="D536" s="126"/>
    </row>
    <row r="537" spans="1:4" ht="15.75" hidden="1" outlineLevel="1">
      <c r="A537" s="46" t="s">
        <v>1083</v>
      </c>
      <c r="B537" s="47" t="s">
        <v>25</v>
      </c>
      <c r="C537" s="46">
        <v>5.48</v>
      </c>
      <c r="D537" s="126"/>
    </row>
    <row r="538" spans="1:4" ht="15.75">
      <c r="A538" s="52" t="s">
        <v>1083</v>
      </c>
      <c r="B538" s="47"/>
      <c r="C538" s="46"/>
      <c r="D538" s="126"/>
    </row>
    <row r="539" spans="1:4" ht="15.75" hidden="1" outlineLevel="1">
      <c r="A539" s="46" t="s">
        <v>1092</v>
      </c>
      <c r="B539" s="47" t="s">
        <v>0</v>
      </c>
      <c r="C539" s="46">
        <v>5.0999999999999996</v>
      </c>
      <c r="D539" s="126"/>
    </row>
    <row r="540" spans="1:4" ht="15.75" hidden="1" outlineLevel="1">
      <c r="A540" s="46" t="s">
        <v>1092</v>
      </c>
      <c r="B540" s="47" t="s">
        <v>1</v>
      </c>
      <c r="C540" s="46">
        <v>5.2</v>
      </c>
      <c r="D540" s="126"/>
    </row>
    <row r="541" spans="1:4" ht="15.75" hidden="1" outlineLevel="1">
      <c r="A541" s="46" t="s">
        <v>1092</v>
      </c>
      <c r="B541" s="47" t="s">
        <v>5</v>
      </c>
      <c r="C541" s="46">
        <v>5.26</v>
      </c>
      <c r="D541" s="126"/>
    </row>
    <row r="542" spans="1:4" ht="15.75" hidden="1" outlineLevel="1">
      <c r="A542" s="46" t="s">
        <v>1092</v>
      </c>
      <c r="B542" s="47" t="s">
        <v>202</v>
      </c>
      <c r="C542" s="46">
        <v>5.21</v>
      </c>
      <c r="D542" s="126"/>
    </row>
    <row r="543" spans="1:4" ht="15.75" hidden="1" outlineLevel="1">
      <c r="A543" s="46" t="s">
        <v>1092</v>
      </c>
      <c r="B543" s="47" t="s">
        <v>203</v>
      </c>
      <c r="C543" s="46">
        <v>5.53</v>
      </c>
      <c r="D543" s="126"/>
    </row>
    <row r="544" spans="1:4" ht="15.75" hidden="1" outlineLevel="1">
      <c r="A544" s="46" t="s">
        <v>1092</v>
      </c>
      <c r="B544" s="47" t="s">
        <v>18</v>
      </c>
      <c r="C544" s="46">
        <v>5.54</v>
      </c>
      <c r="D544" s="126"/>
    </row>
    <row r="545" spans="1:4" ht="15.75" hidden="1" outlineLevel="1">
      <c r="A545" s="46" t="s">
        <v>1092</v>
      </c>
      <c r="B545" s="47" t="s">
        <v>204</v>
      </c>
      <c r="C545" s="46">
        <v>5.58</v>
      </c>
      <c r="D545" s="126"/>
    </row>
    <row r="546" spans="1:4" ht="15.75" hidden="1" outlineLevel="1">
      <c r="A546" s="46" t="s">
        <v>1092</v>
      </c>
      <c r="B546" s="47" t="s">
        <v>205</v>
      </c>
      <c r="C546" s="46">
        <v>5.1180000000000003</v>
      </c>
      <c r="D546" s="126"/>
    </row>
    <row r="547" spans="1:4" ht="15.75" hidden="1" outlineLevel="1">
      <c r="A547" s="46" t="s">
        <v>1092</v>
      </c>
      <c r="B547" s="50" t="s">
        <v>206</v>
      </c>
      <c r="C547" s="46">
        <v>5.47</v>
      </c>
      <c r="D547" s="126"/>
    </row>
    <row r="548" spans="1:4" ht="15.75" hidden="1" outlineLevel="1">
      <c r="A548" s="46" t="s">
        <v>1092</v>
      </c>
      <c r="B548" s="47" t="s">
        <v>207</v>
      </c>
      <c r="C548" s="46">
        <v>5.48</v>
      </c>
      <c r="D548" s="126"/>
    </row>
    <row r="549" spans="1:4" ht="15.75" hidden="1" outlineLevel="1">
      <c r="A549" s="46" t="s">
        <v>1092</v>
      </c>
      <c r="B549" s="47" t="s">
        <v>208</v>
      </c>
      <c r="C549" s="46">
        <v>5.21</v>
      </c>
      <c r="D549" s="126"/>
    </row>
    <row r="550" spans="1:4" ht="15.75" hidden="1" outlineLevel="1">
      <c r="A550" s="46" t="s">
        <v>1092</v>
      </c>
      <c r="B550" s="47" t="s">
        <v>209</v>
      </c>
      <c r="C550" s="46">
        <v>5.53</v>
      </c>
      <c r="D550" s="126"/>
    </row>
    <row r="551" spans="1:4" ht="15.75" hidden="1" outlineLevel="1">
      <c r="A551" s="46" t="s">
        <v>1092</v>
      </c>
      <c r="B551" s="47" t="s">
        <v>18</v>
      </c>
      <c r="C551" s="46">
        <v>5.54</v>
      </c>
      <c r="D551" s="126"/>
    </row>
    <row r="552" spans="1:4" ht="15.75" hidden="1" outlineLevel="1">
      <c r="A552" s="46" t="s">
        <v>1092</v>
      </c>
      <c r="B552" s="47" t="s">
        <v>210</v>
      </c>
      <c r="C552" s="46">
        <v>5.58</v>
      </c>
      <c r="D552" s="126"/>
    </row>
    <row r="553" spans="1:4" ht="15.75" hidden="1" outlineLevel="1">
      <c r="A553" s="46" t="s">
        <v>1092</v>
      </c>
      <c r="B553" s="47" t="s">
        <v>211</v>
      </c>
      <c r="C553" s="46">
        <v>5.1180000000000003</v>
      </c>
      <c r="D553" s="126"/>
    </row>
    <row r="554" spans="1:4" ht="15.75" hidden="1" outlineLevel="1">
      <c r="A554" s="46" t="s">
        <v>1092</v>
      </c>
      <c r="B554" s="47" t="s">
        <v>1172</v>
      </c>
      <c r="C554" s="46">
        <v>5.47</v>
      </c>
      <c r="D554" s="126"/>
    </row>
    <row r="555" spans="1:4" ht="15.75" hidden="1" outlineLevel="1">
      <c r="A555" s="46" t="s">
        <v>1092</v>
      </c>
      <c r="B555" s="47" t="s">
        <v>1173</v>
      </c>
      <c r="C555" s="46">
        <v>5.48</v>
      </c>
      <c r="D555" s="126"/>
    </row>
    <row r="556" spans="1:4" ht="15.75" hidden="1" outlineLevel="1">
      <c r="A556" s="46" t="s">
        <v>1092</v>
      </c>
      <c r="B556" s="47" t="s">
        <v>1174</v>
      </c>
      <c r="C556" s="46">
        <v>5.63</v>
      </c>
      <c r="D556" s="126"/>
    </row>
    <row r="557" spans="1:4" ht="15.75" hidden="1" outlineLevel="1">
      <c r="A557" s="46" t="s">
        <v>1092</v>
      </c>
      <c r="B557" s="47" t="s">
        <v>6</v>
      </c>
      <c r="C557" s="46">
        <v>5.27</v>
      </c>
      <c r="D557" s="126"/>
    </row>
    <row r="558" spans="1:4" ht="15.75" hidden="1" outlineLevel="1">
      <c r="A558" s="46" t="s">
        <v>1092</v>
      </c>
      <c r="B558" s="47" t="s">
        <v>7</v>
      </c>
      <c r="C558" s="46">
        <v>5.28</v>
      </c>
      <c r="D558" s="126"/>
    </row>
    <row r="559" spans="1:4" ht="15.75" hidden="1" outlineLevel="1">
      <c r="A559" s="46" t="s">
        <v>1092</v>
      </c>
      <c r="B559" s="47" t="s">
        <v>215</v>
      </c>
      <c r="C559" s="46">
        <v>5.35</v>
      </c>
      <c r="D559" s="126"/>
    </row>
    <row r="560" spans="1:4" ht="15.75" hidden="1" outlineLevel="1">
      <c r="A560" s="46" t="s">
        <v>1092</v>
      </c>
      <c r="B560" s="47" t="s">
        <v>216</v>
      </c>
      <c r="C560" s="46">
        <v>5.1189999999999998</v>
      </c>
      <c r="D560" s="126"/>
    </row>
    <row r="561" spans="1:4" ht="15.75" hidden="1" outlineLevel="1">
      <c r="A561" s="46" t="s">
        <v>1092</v>
      </c>
      <c r="B561" s="47" t="s">
        <v>217</v>
      </c>
      <c r="C561" s="49">
        <v>5.12</v>
      </c>
      <c r="D561" s="126"/>
    </row>
    <row r="562" spans="1:4" ht="15.75" hidden="1" outlineLevel="1">
      <c r="A562" s="46" t="s">
        <v>1092</v>
      </c>
      <c r="B562" s="47" t="s">
        <v>218</v>
      </c>
      <c r="C562" s="46">
        <v>5.1210000000000004</v>
      </c>
      <c r="D562" s="126"/>
    </row>
    <row r="563" spans="1:4" ht="15.75" hidden="1" outlineLevel="1">
      <c r="A563" s="46" t="s">
        <v>1092</v>
      </c>
      <c r="B563" s="47" t="s">
        <v>51</v>
      </c>
      <c r="C563" s="46">
        <v>5.36</v>
      </c>
      <c r="D563" s="126"/>
    </row>
    <row r="564" spans="1:4" ht="15.75" hidden="1" outlineLevel="1">
      <c r="A564" s="46" t="s">
        <v>1092</v>
      </c>
      <c r="B564" s="47" t="s">
        <v>219</v>
      </c>
      <c r="C564" s="46">
        <v>5.1219999999999999</v>
      </c>
      <c r="D564" s="126"/>
    </row>
    <row r="565" spans="1:4" ht="15.75" hidden="1" outlineLevel="1">
      <c r="A565" s="46" t="s">
        <v>1092</v>
      </c>
      <c r="B565" s="47" t="s">
        <v>220</v>
      </c>
      <c r="C565" s="46">
        <v>5.1230000000000002</v>
      </c>
      <c r="D565" s="126"/>
    </row>
    <row r="566" spans="1:4" ht="15.75" hidden="1" outlineLevel="1">
      <c r="A566" s="46" t="s">
        <v>1092</v>
      </c>
      <c r="B566" s="47" t="s">
        <v>221</v>
      </c>
      <c r="C566" s="46">
        <v>5.1239999999999997</v>
      </c>
      <c r="D566" s="126"/>
    </row>
    <row r="567" spans="1:4" ht="15.75" hidden="1" outlineLevel="1">
      <c r="A567" s="46" t="s">
        <v>1092</v>
      </c>
      <c r="B567" s="47" t="s">
        <v>222</v>
      </c>
      <c r="C567" s="46">
        <v>5.125</v>
      </c>
      <c r="D567" s="126"/>
    </row>
    <row r="568" spans="1:4" ht="15.75" hidden="1" outlineLevel="1">
      <c r="A568" s="46" t="s">
        <v>1092</v>
      </c>
      <c r="B568" s="47" t="s">
        <v>223</v>
      </c>
      <c r="C568" s="46">
        <v>5.1260000000000003</v>
      </c>
      <c r="D568" s="126"/>
    </row>
    <row r="569" spans="1:4" ht="15.75" hidden="1" outlineLevel="1">
      <c r="A569" s="46" t="s">
        <v>1092</v>
      </c>
      <c r="B569" s="47" t="s">
        <v>224</v>
      </c>
      <c r="C569" s="46">
        <v>5.1269999999999998</v>
      </c>
      <c r="D569" s="126"/>
    </row>
    <row r="570" spans="1:4" ht="15.75" hidden="1" outlineLevel="1">
      <c r="A570" s="46" t="s">
        <v>1092</v>
      </c>
      <c r="B570" s="47" t="s">
        <v>53</v>
      </c>
      <c r="C570" s="48">
        <v>5.72</v>
      </c>
      <c r="D570" s="126"/>
    </row>
    <row r="571" spans="1:4" ht="15.75" hidden="1" outlineLevel="1">
      <c r="A571" s="46" t="s">
        <v>1092</v>
      </c>
      <c r="B571" s="47" t="s">
        <v>225</v>
      </c>
      <c r="C571" s="46">
        <v>5.1280000000000001</v>
      </c>
      <c r="D571" s="126"/>
    </row>
    <row r="572" spans="1:4" ht="15.75" hidden="1" outlineLevel="1">
      <c r="A572" s="46" t="s">
        <v>1092</v>
      </c>
      <c r="B572" s="47" t="s">
        <v>226</v>
      </c>
      <c r="C572" s="46">
        <v>5.1289999999999996</v>
      </c>
      <c r="D572" s="125" t="s">
        <v>1163</v>
      </c>
    </row>
    <row r="573" spans="1:4" ht="15.75" hidden="1" outlineLevel="1">
      <c r="A573" s="46" t="s">
        <v>1092</v>
      </c>
      <c r="B573" s="47" t="s">
        <v>227</v>
      </c>
      <c r="C573" s="46">
        <v>5.1310000000000002</v>
      </c>
      <c r="D573" s="126"/>
    </row>
    <row r="574" spans="1:4" ht="15.75" hidden="1" outlineLevel="1">
      <c r="A574" s="46" t="s">
        <v>1092</v>
      </c>
      <c r="B574" s="47" t="s">
        <v>228</v>
      </c>
      <c r="C574" s="46">
        <v>5.1319999999999997</v>
      </c>
      <c r="D574" s="125" t="s">
        <v>1163</v>
      </c>
    </row>
    <row r="575" spans="1:4" ht="15.75" hidden="1" outlineLevel="1">
      <c r="A575" s="46" t="s">
        <v>1092</v>
      </c>
      <c r="B575" s="47" t="s">
        <v>229</v>
      </c>
      <c r="C575" s="46">
        <v>5.133</v>
      </c>
      <c r="D575" s="125" t="s">
        <v>1163</v>
      </c>
    </row>
    <row r="576" spans="1:4" ht="15.75" hidden="1" outlineLevel="1">
      <c r="A576" s="46" t="s">
        <v>1092</v>
      </c>
      <c r="B576" s="47" t="s">
        <v>230</v>
      </c>
      <c r="C576" s="46">
        <v>5.1340000000000003</v>
      </c>
      <c r="D576" s="125" t="s">
        <v>1163</v>
      </c>
    </row>
    <row r="577" spans="1:4" ht="15.75" hidden="1" outlineLevel="1">
      <c r="A577" s="46" t="s">
        <v>1092</v>
      </c>
      <c r="B577" s="47" t="s">
        <v>231</v>
      </c>
      <c r="C577" s="49">
        <v>5.13</v>
      </c>
      <c r="D577" s="126"/>
    </row>
    <row r="578" spans="1:4" ht="15.75" hidden="1" outlineLevel="1">
      <c r="A578" s="46" t="s">
        <v>1092</v>
      </c>
      <c r="B578" s="47" t="s">
        <v>24</v>
      </c>
      <c r="C578" s="46">
        <v>5.47</v>
      </c>
      <c r="D578" s="126"/>
    </row>
    <row r="579" spans="1:4" ht="15.75" hidden="1" outlineLevel="1">
      <c r="A579" s="46" t="s">
        <v>1092</v>
      </c>
      <c r="B579" s="47" t="s">
        <v>25</v>
      </c>
      <c r="C579" s="46">
        <v>5.48</v>
      </c>
      <c r="D579" s="126"/>
    </row>
    <row r="580" spans="1:4" ht="15.75">
      <c r="A580" s="52" t="s">
        <v>1092</v>
      </c>
      <c r="B580" s="47"/>
      <c r="C580" s="46"/>
      <c r="D580" s="126"/>
    </row>
    <row r="581" spans="1:4" ht="15.75" hidden="1" outlineLevel="1">
      <c r="A581" s="46" t="s">
        <v>1085</v>
      </c>
      <c r="B581" s="47" t="s">
        <v>0</v>
      </c>
      <c r="C581" s="46">
        <v>5.0999999999999996</v>
      </c>
      <c r="D581" s="126"/>
    </row>
    <row r="582" spans="1:4" ht="15.75" hidden="1" outlineLevel="1">
      <c r="A582" s="46" t="s">
        <v>1085</v>
      </c>
      <c r="B582" s="47" t="s">
        <v>1</v>
      </c>
      <c r="C582" s="46">
        <v>5.2</v>
      </c>
      <c r="D582" s="126"/>
    </row>
    <row r="583" spans="1:4" ht="15.75" hidden="1" outlineLevel="1">
      <c r="A583" s="46" t="s">
        <v>1085</v>
      </c>
      <c r="B583" s="47" t="s">
        <v>232</v>
      </c>
      <c r="C583" s="46">
        <v>5.9</v>
      </c>
      <c r="D583" s="125" t="s">
        <v>1163</v>
      </c>
    </row>
    <row r="584" spans="1:4" ht="15.75" hidden="1" outlineLevel="1">
      <c r="A584" s="46" t="s">
        <v>1085</v>
      </c>
      <c r="B584" s="47" t="s">
        <v>233</v>
      </c>
      <c r="C584" s="46">
        <v>5.13</v>
      </c>
      <c r="D584" s="125" t="s">
        <v>1163</v>
      </c>
    </row>
    <row r="585" spans="1:4" ht="15.75" hidden="1" outlineLevel="1">
      <c r="A585" s="46" t="s">
        <v>1085</v>
      </c>
      <c r="B585" s="47" t="s">
        <v>234</v>
      </c>
      <c r="C585" s="46">
        <v>5.16</v>
      </c>
      <c r="D585" s="125" t="s">
        <v>1163</v>
      </c>
    </row>
    <row r="586" spans="1:4" ht="15.75" hidden="1" outlineLevel="1">
      <c r="A586" s="46" t="s">
        <v>1085</v>
      </c>
      <c r="B586" s="47" t="s">
        <v>235</v>
      </c>
      <c r="C586" s="46">
        <v>5.22</v>
      </c>
      <c r="D586" s="125"/>
    </row>
    <row r="587" spans="1:4" ht="15.75" hidden="1" outlineLevel="1">
      <c r="A587" s="46" t="s">
        <v>1085</v>
      </c>
      <c r="B587" s="47" t="s">
        <v>5</v>
      </c>
      <c r="C587" s="46">
        <v>5.26</v>
      </c>
      <c r="D587" s="126"/>
    </row>
    <row r="588" spans="1:4" ht="15.75" hidden="1" outlineLevel="1">
      <c r="A588" s="46" t="s">
        <v>1085</v>
      </c>
      <c r="B588" s="47" t="s">
        <v>236</v>
      </c>
      <c r="C588" s="46">
        <v>5.77</v>
      </c>
      <c r="D588" s="126"/>
    </row>
    <row r="589" spans="1:4" ht="15.75" hidden="1" outlineLevel="1">
      <c r="A589" s="46" t="s">
        <v>1085</v>
      </c>
      <c r="B589" s="47" t="s">
        <v>6</v>
      </c>
      <c r="C589" s="46">
        <v>5.27</v>
      </c>
      <c r="D589" s="126"/>
    </row>
    <row r="590" spans="1:4" ht="15.75" hidden="1" outlineLevel="1">
      <c r="A590" s="46" t="s">
        <v>1085</v>
      </c>
      <c r="B590" s="47" t="s">
        <v>7</v>
      </c>
      <c r="C590" s="46">
        <v>5.28</v>
      </c>
      <c r="D590" s="125" t="s">
        <v>1163</v>
      </c>
    </row>
    <row r="591" spans="1:4" ht="15.75" hidden="1" outlineLevel="1">
      <c r="A591" s="46" t="s">
        <v>1085</v>
      </c>
      <c r="B591" s="47" t="s">
        <v>50</v>
      </c>
      <c r="C591" s="46">
        <v>5.31</v>
      </c>
      <c r="D591" s="126"/>
    </row>
    <row r="592" spans="1:4" ht="15.75" hidden="1" outlineLevel="1">
      <c r="A592" s="46" t="s">
        <v>1085</v>
      </c>
      <c r="B592" s="47" t="s">
        <v>51</v>
      </c>
      <c r="C592" s="46">
        <v>5.36</v>
      </c>
      <c r="D592" s="126"/>
    </row>
    <row r="593" spans="1:4" ht="15.75" hidden="1" outlineLevel="1">
      <c r="A593" s="46" t="s">
        <v>1085</v>
      </c>
      <c r="B593" s="47" t="s">
        <v>237</v>
      </c>
      <c r="C593" s="46">
        <v>5.78</v>
      </c>
      <c r="D593" s="126"/>
    </row>
    <row r="594" spans="1:4" ht="15.75" hidden="1" outlineLevel="1">
      <c r="A594" s="46" t="s">
        <v>1085</v>
      </c>
      <c r="B594" s="47" t="s">
        <v>238</v>
      </c>
      <c r="C594" s="46">
        <v>5.79</v>
      </c>
      <c r="D594" s="125" t="s">
        <v>1163</v>
      </c>
    </row>
    <row r="595" spans="1:4" ht="15.75" hidden="1" outlineLevel="1">
      <c r="A595" s="46" t="s">
        <v>1085</v>
      </c>
      <c r="B595" s="47" t="s">
        <v>239</v>
      </c>
      <c r="C595" s="46">
        <v>5.41</v>
      </c>
      <c r="D595" s="126"/>
    </row>
    <row r="596" spans="1:4" ht="15.75" hidden="1" outlineLevel="1">
      <c r="A596" s="46" t="s">
        <v>1085</v>
      </c>
      <c r="B596" s="47" t="s">
        <v>9</v>
      </c>
      <c r="C596" s="46">
        <v>5.49</v>
      </c>
      <c r="D596" s="126"/>
    </row>
    <row r="597" spans="1:4" ht="15.75" hidden="1" outlineLevel="1">
      <c r="A597" s="46" t="s">
        <v>1085</v>
      </c>
      <c r="B597" s="47" t="s">
        <v>10</v>
      </c>
      <c r="C597" s="46">
        <v>5.51</v>
      </c>
      <c r="D597" s="126"/>
    </row>
    <row r="598" spans="1:4" ht="15.75" hidden="1" outlineLevel="1">
      <c r="A598" s="46" t="s">
        <v>1085</v>
      </c>
      <c r="B598" s="47" t="s">
        <v>1175</v>
      </c>
      <c r="C598" s="46">
        <v>5.52</v>
      </c>
      <c r="D598" s="126"/>
    </row>
    <row r="599" spans="1:4" ht="15.75" hidden="1" outlineLevel="1">
      <c r="A599" s="46" t="s">
        <v>1085</v>
      </c>
      <c r="B599" s="47" t="s">
        <v>11</v>
      </c>
      <c r="C599" s="46">
        <v>5.53</v>
      </c>
      <c r="D599" s="126"/>
    </row>
    <row r="600" spans="1:4" ht="15.75" hidden="1" outlineLevel="1">
      <c r="A600" s="46" t="s">
        <v>1085</v>
      </c>
      <c r="B600" s="47" t="s">
        <v>12</v>
      </c>
      <c r="C600" s="46">
        <v>5.69</v>
      </c>
      <c r="D600" s="126"/>
    </row>
    <row r="601" spans="1:4" ht="15.75" hidden="1" outlineLevel="1">
      <c r="A601" s="46" t="s">
        <v>1085</v>
      </c>
      <c r="B601" s="47" t="s">
        <v>241</v>
      </c>
      <c r="C601" s="46">
        <v>5.71</v>
      </c>
      <c r="D601" s="126"/>
    </row>
    <row r="602" spans="1:4" ht="15.75" hidden="1" outlineLevel="1">
      <c r="A602" s="46" t="s">
        <v>1085</v>
      </c>
      <c r="B602" s="47" t="s">
        <v>14</v>
      </c>
      <c r="C602" s="48">
        <v>5.7</v>
      </c>
      <c r="D602" s="126"/>
    </row>
    <row r="603" spans="1:4" ht="15.75" hidden="1" outlineLevel="1">
      <c r="A603" s="46" t="s">
        <v>1085</v>
      </c>
      <c r="B603" s="47" t="s">
        <v>82</v>
      </c>
      <c r="C603" s="48">
        <v>5.8</v>
      </c>
      <c r="D603" s="125" t="s">
        <v>1163</v>
      </c>
    </row>
    <row r="604" spans="1:4" ht="15.75" hidden="1" outlineLevel="1">
      <c r="A604" s="46" t="s">
        <v>1085</v>
      </c>
      <c r="B604" s="47" t="s">
        <v>53</v>
      </c>
      <c r="C604" s="48">
        <v>5.72</v>
      </c>
      <c r="D604" s="125" t="s">
        <v>1163</v>
      </c>
    </row>
    <row r="605" spans="1:4" ht="15.75" hidden="1" outlineLevel="1">
      <c r="A605" s="46" t="s">
        <v>1085</v>
      </c>
      <c r="B605" s="47" t="s">
        <v>242</v>
      </c>
      <c r="C605" s="46">
        <v>5.73</v>
      </c>
      <c r="D605" s="125" t="s">
        <v>1163</v>
      </c>
    </row>
    <row r="606" spans="1:4" ht="15.75" hidden="1" outlineLevel="1">
      <c r="A606" s="46" t="s">
        <v>1085</v>
      </c>
      <c r="B606" s="47" t="s">
        <v>15</v>
      </c>
      <c r="C606" s="46">
        <v>5.74</v>
      </c>
      <c r="D606" s="126"/>
    </row>
    <row r="607" spans="1:4" ht="15.75" hidden="1" outlineLevel="1">
      <c r="A607" s="46" t="s">
        <v>1085</v>
      </c>
      <c r="B607" s="47" t="s">
        <v>13</v>
      </c>
      <c r="C607" s="46">
        <v>5.75</v>
      </c>
      <c r="D607" s="126"/>
    </row>
    <row r="608" spans="1:4" ht="15.75" hidden="1" outlineLevel="1">
      <c r="A608" s="46" t="s">
        <v>1085</v>
      </c>
      <c r="B608" s="47" t="s">
        <v>54</v>
      </c>
      <c r="C608" s="46">
        <v>5.76</v>
      </c>
      <c r="D608" s="126"/>
    </row>
    <row r="609" spans="1:4" ht="15.75" hidden="1" outlineLevel="1">
      <c r="A609" s="46" t="s">
        <v>1085</v>
      </c>
      <c r="B609" s="47" t="s">
        <v>243</v>
      </c>
      <c r="C609" s="46">
        <v>5.81</v>
      </c>
      <c r="D609" s="125" t="s">
        <v>1163</v>
      </c>
    </row>
    <row r="610" spans="1:4" ht="15.75" hidden="1" outlineLevel="1">
      <c r="A610" s="46" t="s">
        <v>1085</v>
      </c>
      <c r="B610" s="47" t="s">
        <v>244</v>
      </c>
      <c r="C610" s="46">
        <v>5.82</v>
      </c>
      <c r="D610" s="125" t="s">
        <v>1163</v>
      </c>
    </row>
    <row r="611" spans="1:4" ht="15.75" hidden="1" outlineLevel="1">
      <c r="A611" s="46" t="s">
        <v>1085</v>
      </c>
      <c r="B611" s="47" t="s">
        <v>245</v>
      </c>
      <c r="C611" s="46">
        <v>5.83</v>
      </c>
      <c r="D611" s="125" t="s">
        <v>1163</v>
      </c>
    </row>
    <row r="612" spans="1:4" ht="15.75" hidden="1" outlineLevel="1">
      <c r="A612" s="46" t="s">
        <v>1085</v>
      </c>
      <c r="B612" s="47" t="s">
        <v>246</v>
      </c>
      <c r="C612" s="46">
        <v>5.84</v>
      </c>
      <c r="D612" s="126"/>
    </row>
    <row r="613" spans="1:4" ht="15.75" hidden="1" outlineLevel="1">
      <c r="A613" s="46" t="s">
        <v>1085</v>
      </c>
      <c r="B613" s="47" t="s">
        <v>247</v>
      </c>
      <c r="C613" s="46">
        <v>5.85</v>
      </c>
      <c r="D613" s="125" t="s">
        <v>1163</v>
      </c>
    </row>
    <row r="614" spans="1:4" ht="15.75" hidden="1" outlineLevel="1">
      <c r="A614" s="46" t="s">
        <v>1085</v>
      </c>
      <c r="B614" s="47" t="s">
        <v>248</v>
      </c>
      <c r="C614" s="46">
        <v>5.86</v>
      </c>
      <c r="D614" s="125" t="s">
        <v>1163</v>
      </c>
    </row>
    <row r="615" spans="1:4" ht="15.75" hidden="1" outlineLevel="1">
      <c r="A615" s="46" t="s">
        <v>1085</v>
      </c>
      <c r="B615" s="47" t="s">
        <v>249</v>
      </c>
      <c r="C615" s="46">
        <v>5.88</v>
      </c>
      <c r="D615" s="125" t="s">
        <v>1163</v>
      </c>
    </row>
    <row r="616" spans="1:4" ht="15.75" hidden="1" outlineLevel="1">
      <c r="A616" s="46" t="s">
        <v>1085</v>
      </c>
      <c r="B616" s="47" t="s">
        <v>250</v>
      </c>
      <c r="C616" s="46">
        <v>5.87</v>
      </c>
      <c r="D616" s="126"/>
    </row>
    <row r="617" spans="1:4" ht="15.75" hidden="1" outlineLevel="1">
      <c r="A617" s="46" t="s">
        <v>1085</v>
      </c>
      <c r="B617" s="47" t="s">
        <v>87</v>
      </c>
      <c r="C617" s="46">
        <v>5.109</v>
      </c>
      <c r="D617" s="126"/>
    </row>
    <row r="618" spans="1:4" ht="15.75" hidden="1" outlineLevel="1">
      <c r="A618" s="46" t="s">
        <v>1085</v>
      </c>
      <c r="B618" s="47" t="s">
        <v>89</v>
      </c>
      <c r="C618" s="49">
        <v>5.1100000000000003</v>
      </c>
      <c r="D618" s="125" t="s">
        <v>1163</v>
      </c>
    </row>
    <row r="619" spans="1:4" ht="15.75" hidden="1" outlineLevel="1">
      <c r="A619" s="46" t="s">
        <v>1085</v>
      </c>
      <c r="B619" s="47" t="s">
        <v>88</v>
      </c>
      <c r="C619" s="46">
        <v>5.1109999999999998</v>
      </c>
      <c r="D619" s="126"/>
    </row>
    <row r="620" spans="1:4" ht="15.75" hidden="1" outlineLevel="1">
      <c r="A620" s="46" t="s">
        <v>1085</v>
      </c>
      <c r="B620" s="47" t="s">
        <v>90</v>
      </c>
      <c r="C620" s="46">
        <v>5.1120000000000001</v>
      </c>
      <c r="D620" s="126"/>
    </row>
    <row r="621" spans="1:4" ht="15.75" hidden="1" outlineLevel="1">
      <c r="A621" s="46" t="s">
        <v>1085</v>
      </c>
      <c r="B621" s="47" t="s">
        <v>1169</v>
      </c>
      <c r="C621" s="46">
        <v>5.1130000000000004</v>
      </c>
      <c r="D621" s="126"/>
    </row>
    <row r="622" spans="1:4" ht="15.75" hidden="1" outlineLevel="1">
      <c r="A622" s="46" t="s">
        <v>1085</v>
      </c>
      <c r="B622" s="47" t="s">
        <v>251</v>
      </c>
      <c r="C622" s="46">
        <v>5.99</v>
      </c>
      <c r="D622" s="125" t="s">
        <v>1163</v>
      </c>
    </row>
    <row r="623" spans="1:4" ht="15.75" hidden="1" outlineLevel="1">
      <c r="A623" s="46" t="s">
        <v>1085</v>
      </c>
      <c r="B623" s="47" t="s">
        <v>252</v>
      </c>
      <c r="C623" s="46">
        <v>5.58</v>
      </c>
      <c r="D623" s="125"/>
    </row>
    <row r="624" spans="1:4" ht="15.75" hidden="1" outlineLevel="1">
      <c r="A624" s="46" t="s">
        <v>1085</v>
      </c>
      <c r="B624" s="47" t="s">
        <v>18</v>
      </c>
      <c r="C624" s="46">
        <v>5.54</v>
      </c>
      <c r="D624" s="126"/>
    </row>
    <row r="625" spans="1:4" ht="15.75" hidden="1" outlineLevel="1">
      <c r="A625" s="46" t="s">
        <v>1085</v>
      </c>
      <c r="B625" s="47" t="s">
        <v>253</v>
      </c>
      <c r="C625" s="46">
        <v>5.56</v>
      </c>
      <c r="D625" s="126"/>
    </row>
    <row r="626" spans="1:4" ht="15.75" hidden="1" outlineLevel="1">
      <c r="A626" s="46" t="s">
        <v>1085</v>
      </c>
      <c r="B626" s="47" t="s">
        <v>20</v>
      </c>
      <c r="C626" s="46">
        <v>5.63</v>
      </c>
      <c r="D626" s="126"/>
    </row>
    <row r="627" spans="1:4" ht="15.75" hidden="1" outlineLevel="1">
      <c r="A627" s="46" t="s">
        <v>1085</v>
      </c>
      <c r="B627" s="47" t="s">
        <v>254</v>
      </c>
      <c r="C627" s="46">
        <v>5.64</v>
      </c>
      <c r="D627" s="126"/>
    </row>
    <row r="628" spans="1:4" ht="15.75" hidden="1" outlineLevel="1">
      <c r="A628" s="46" t="s">
        <v>1085</v>
      </c>
      <c r="B628" s="47" t="s">
        <v>21</v>
      </c>
      <c r="C628" s="46">
        <v>5.65</v>
      </c>
      <c r="D628" s="126"/>
    </row>
    <row r="629" spans="1:4" ht="15.75" hidden="1" outlineLevel="1">
      <c r="A629" s="46" t="s">
        <v>1085</v>
      </c>
      <c r="B629" s="47" t="s">
        <v>56</v>
      </c>
      <c r="C629" s="46">
        <v>5.66</v>
      </c>
      <c r="D629" s="126"/>
    </row>
    <row r="630" spans="1:4" ht="15.75" hidden="1" outlineLevel="1">
      <c r="A630" s="46" t="s">
        <v>1085</v>
      </c>
      <c r="B630" s="47" t="s">
        <v>55</v>
      </c>
      <c r="C630" s="46">
        <v>5.89</v>
      </c>
      <c r="D630" s="125" t="s">
        <v>1163</v>
      </c>
    </row>
    <row r="631" spans="1:4" ht="15.75" hidden="1" outlineLevel="1">
      <c r="A631" s="46" t="s">
        <v>1085</v>
      </c>
      <c r="B631" s="47" t="s">
        <v>22</v>
      </c>
      <c r="C631" s="46">
        <v>5.68</v>
      </c>
      <c r="D631" s="126"/>
    </row>
    <row r="632" spans="1:4" ht="15.75" hidden="1" outlineLevel="1">
      <c r="A632" s="46" t="s">
        <v>1085</v>
      </c>
      <c r="B632" s="47" t="s">
        <v>24</v>
      </c>
      <c r="C632" s="46">
        <v>5.47</v>
      </c>
      <c r="D632" s="126"/>
    </row>
    <row r="633" spans="1:4" ht="15.75" hidden="1" outlineLevel="1">
      <c r="A633" s="46" t="s">
        <v>1085</v>
      </c>
      <c r="B633" s="47" t="s">
        <v>25</v>
      </c>
      <c r="C633" s="46">
        <v>5.48</v>
      </c>
      <c r="D633" s="126"/>
    </row>
    <row r="634" spans="1:4" ht="15.75">
      <c r="A634" s="52" t="s">
        <v>1085</v>
      </c>
      <c r="B634" s="47"/>
      <c r="C634" s="46"/>
      <c r="D634" s="126"/>
    </row>
    <row r="635" spans="1:4" ht="15.75" hidden="1" outlineLevel="1">
      <c r="A635" s="46" t="s">
        <v>1104</v>
      </c>
      <c r="B635" s="47" t="s">
        <v>0</v>
      </c>
      <c r="C635" s="46">
        <v>5.0999999999999996</v>
      </c>
      <c r="D635" s="126"/>
    </row>
    <row r="636" spans="1:4" ht="15.75" hidden="1" outlineLevel="1">
      <c r="A636" s="46" t="s">
        <v>1104</v>
      </c>
      <c r="B636" s="47" t="s">
        <v>1</v>
      </c>
      <c r="C636" s="46">
        <v>5.2</v>
      </c>
      <c r="D636" s="126"/>
    </row>
    <row r="637" spans="1:4" ht="15.75" hidden="1" outlineLevel="1">
      <c r="A637" s="46" t="s">
        <v>1104</v>
      </c>
      <c r="B637" s="47" t="s">
        <v>2</v>
      </c>
      <c r="C637" s="46">
        <v>5.3</v>
      </c>
      <c r="D637" s="126"/>
    </row>
    <row r="638" spans="1:4" ht="15.75" hidden="1" outlineLevel="1">
      <c r="A638" s="46" t="s">
        <v>1104</v>
      </c>
      <c r="B638" s="47" t="s">
        <v>47</v>
      </c>
      <c r="C638" s="46">
        <v>5.6</v>
      </c>
      <c r="D638" s="126"/>
    </row>
    <row r="639" spans="1:4" ht="15.75" hidden="1" outlineLevel="1">
      <c r="A639" s="46" t="s">
        <v>1104</v>
      </c>
      <c r="B639" s="47" t="s">
        <v>1164</v>
      </c>
      <c r="C639" s="48">
        <v>5.0999999999999996</v>
      </c>
      <c r="D639" s="126"/>
    </row>
    <row r="640" spans="1:4" ht="15.75" hidden="1" outlineLevel="1">
      <c r="A640" s="46" t="s">
        <v>1104</v>
      </c>
      <c r="B640" s="47" t="s">
        <v>59</v>
      </c>
      <c r="C640" s="46">
        <v>5.14</v>
      </c>
      <c r="D640" s="126"/>
    </row>
    <row r="641" spans="1:4" ht="15.75" hidden="1" outlineLevel="1">
      <c r="A641" s="46" t="s">
        <v>1104</v>
      </c>
      <c r="B641" s="47" t="s">
        <v>4</v>
      </c>
      <c r="C641" s="46">
        <v>5.19</v>
      </c>
      <c r="D641" s="126"/>
    </row>
    <row r="642" spans="1:4" ht="15.75" hidden="1" outlineLevel="1">
      <c r="A642" s="46" t="s">
        <v>1104</v>
      </c>
      <c r="B642" s="47" t="s">
        <v>49</v>
      </c>
      <c r="C642" s="46">
        <v>5.24</v>
      </c>
      <c r="D642" s="126"/>
    </row>
    <row r="643" spans="1:4" ht="15.75" hidden="1" outlineLevel="1">
      <c r="A643" s="46" t="s">
        <v>1104</v>
      </c>
      <c r="B643" s="47" t="s">
        <v>5</v>
      </c>
      <c r="C643" s="46">
        <v>5.26</v>
      </c>
      <c r="D643" s="126"/>
    </row>
    <row r="644" spans="1:4" ht="15.75" hidden="1" outlineLevel="1">
      <c r="A644" s="46" t="s">
        <v>1104</v>
      </c>
      <c r="B644" s="47" t="s">
        <v>6</v>
      </c>
      <c r="C644" s="46">
        <v>5.27</v>
      </c>
      <c r="D644" s="126"/>
    </row>
    <row r="645" spans="1:4" ht="15.75" hidden="1" outlineLevel="1">
      <c r="A645" s="46" t="s">
        <v>1104</v>
      </c>
      <c r="B645" s="47" t="s">
        <v>7</v>
      </c>
      <c r="C645" s="46">
        <v>5.28</v>
      </c>
      <c r="D645" s="126"/>
    </row>
    <row r="646" spans="1:4" ht="15.75" hidden="1" outlineLevel="1">
      <c r="A646" s="46" t="s">
        <v>1104</v>
      </c>
      <c r="B646" s="47" t="s">
        <v>51</v>
      </c>
      <c r="C646" s="46">
        <v>5.36</v>
      </c>
      <c r="D646" s="126"/>
    </row>
    <row r="647" spans="1:4" ht="15.75" hidden="1" outlineLevel="1">
      <c r="A647" s="46" t="s">
        <v>1104</v>
      </c>
      <c r="B647" s="47" t="s">
        <v>64</v>
      </c>
      <c r="C647" s="46">
        <v>5.33</v>
      </c>
      <c r="D647" s="126"/>
    </row>
    <row r="648" spans="1:4" ht="15.75" hidden="1" outlineLevel="1">
      <c r="A648" s="46" t="s">
        <v>1104</v>
      </c>
      <c r="B648" s="47" t="s">
        <v>81</v>
      </c>
      <c r="C648" s="46">
        <v>5.37</v>
      </c>
      <c r="D648" s="126"/>
    </row>
    <row r="649" spans="1:4" ht="15.75" hidden="1" outlineLevel="1">
      <c r="A649" s="46" t="s">
        <v>1104</v>
      </c>
      <c r="B649" s="47" t="s">
        <v>9</v>
      </c>
      <c r="C649" s="46">
        <v>5.49</v>
      </c>
      <c r="D649" s="126"/>
    </row>
    <row r="650" spans="1:4" ht="15.75" hidden="1" outlineLevel="1">
      <c r="A650" s="46" t="s">
        <v>1104</v>
      </c>
      <c r="B650" s="47" t="s">
        <v>10</v>
      </c>
      <c r="C650" s="46">
        <v>5.51</v>
      </c>
      <c r="D650" s="126"/>
    </row>
    <row r="651" spans="1:4" ht="15.75" hidden="1" outlineLevel="1">
      <c r="A651" s="46" t="s">
        <v>1104</v>
      </c>
      <c r="B651" s="47" t="s">
        <v>1165</v>
      </c>
      <c r="C651" s="46">
        <v>5.52</v>
      </c>
      <c r="D651" s="126"/>
    </row>
    <row r="652" spans="1:4" ht="15.75" hidden="1" outlineLevel="1">
      <c r="A652" s="46" t="s">
        <v>1104</v>
      </c>
      <c r="B652" s="47" t="s">
        <v>11</v>
      </c>
      <c r="C652" s="46">
        <v>5.53</v>
      </c>
      <c r="D652" s="126"/>
    </row>
    <row r="653" spans="1:4" ht="15.75" hidden="1" outlineLevel="1">
      <c r="A653" s="46" t="s">
        <v>1104</v>
      </c>
      <c r="B653" s="47" t="s">
        <v>12</v>
      </c>
      <c r="C653" s="46">
        <v>5.69</v>
      </c>
      <c r="D653" s="126"/>
    </row>
    <row r="654" spans="1:4" ht="15.75" hidden="1" outlineLevel="1">
      <c r="A654" s="46" t="s">
        <v>1104</v>
      </c>
      <c r="B654" s="47" t="s">
        <v>14</v>
      </c>
      <c r="C654" s="48">
        <v>5.7</v>
      </c>
      <c r="D654" s="126"/>
    </row>
    <row r="655" spans="1:4" ht="15.75" hidden="1" outlineLevel="1">
      <c r="A655" s="46" t="s">
        <v>1104</v>
      </c>
      <c r="B655" s="47" t="s">
        <v>15</v>
      </c>
      <c r="C655" s="46">
        <v>5.74</v>
      </c>
      <c r="D655" s="126"/>
    </row>
    <row r="656" spans="1:4" ht="15.75" hidden="1" outlineLevel="1">
      <c r="A656" s="46" t="s">
        <v>1104</v>
      </c>
      <c r="B656" s="47" t="s">
        <v>87</v>
      </c>
      <c r="C656" s="46">
        <v>5.109</v>
      </c>
      <c r="D656" s="126"/>
    </row>
    <row r="657" spans="1:4" ht="15.75" hidden="1" outlineLevel="1">
      <c r="A657" s="46" t="s">
        <v>1104</v>
      </c>
      <c r="B657" s="47" t="s">
        <v>88</v>
      </c>
      <c r="C657" s="46">
        <v>5.1109999999999998</v>
      </c>
      <c r="D657" s="126"/>
    </row>
    <row r="658" spans="1:4" ht="15.75" hidden="1" outlineLevel="1">
      <c r="A658" s="46" t="s">
        <v>1104</v>
      </c>
      <c r="B658" s="47" t="s">
        <v>90</v>
      </c>
      <c r="C658" s="46">
        <v>5.1120000000000001</v>
      </c>
      <c r="D658" s="126"/>
    </row>
    <row r="659" spans="1:4" ht="15.75" hidden="1" outlineLevel="1">
      <c r="A659" s="46" t="s">
        <v>1104</v>
      </c>
      <c r="B659" s="47" t="s">
        <v>17</v>
      </c>
      <c r="C659" s="46">
        <v>5.58</v>
      </c>
      <c r="D659" s="126"/>
    </row>
    <row r="660" spans="1:4" ht="15.75" hidden="1" outlineLevel="1">
      <c r="A660" s="46" t="s">
        <v>1104</v>
      </c>
      <c r="B660" s="47" t="s">
        <v>18</v>
      </c>
      <c r="C660" s="46">
        <v>5.54</v>
      </c>
      <c r="D660" s="126"/>
    </row>
    <row r="661" spans="1:4" ht="15.75" hidden="1" outlineLevel="1">
      <c r="A661" s="46" t="s">
        <v>1104</v>
      </c>
      <c r="B661" s="47" t="s">
        <v>19</v>
      </c>
      <c r="C661" s="46">
        <v>5.55</v>
      </c>
      <c r="D661" s="126"/>
    </row>
    <row r="662" spans="1:4" ht="15.75" hidden="1" outlineLevel="1">
      <c r="A662" s="46" t="s">
        <v>1104</v>
      </c>
      <c r="B662" s="47" t="s">
        <v>20</v>
      </c>
      <c r="C662" s="46">
        <v>5.63</v>
      </c>
      <c r="D662" s="126"/>
    </row>
    <row r="663" spans="1:4" ht="15.75" hidden="1" outlineLevel="1">
      <c r="A663" s="46" t="s">
        <v>1104</v>
      </c>
      <c r="B663" s="47" t="s">
        <v>24</v>
      </c>
      <c r="C663" s="46">
        <v>5.47</v>
      </c>
      <c r="D663" s="126"/>
    </row>
    <row r="664" spans="1:4" ht="15.75" hidden="1" outlineLevel="1">
      <c r="A664" s="46" t="s">
        <v>1104</v>
      </c>
      <c r="B664" s="47" t="s">
        <v>25</v>
      </c>
      <c r="C664" s="46">
        <v>5.48</v>
      </c>
      <c r="D664" s="126"/>
    </row>
    <row r="665" spans="1:4" ht="15.75">
      <c r="A665" s="52" t="s">
        <v>1104</v>
      </c>
      <c r="B665" s="47"/>
      <c r="C665" s="46"/>
      <c r="D665" s="126"/>
    </row>
    <row r="666" spans="1:4" ht="15.75" hidden="1" outlineLevel="1">
      <c r="A666" s="46" t="s">
        <v>1109</v>
      </c>
      <c r="B666" s="47" t="s">
        <v>0</v>
      </c>
      <c r="C666" s="46">
        <v>5.0999999999999996</v>
      </c>
      <c r="D666" s="126"/>
    </row>
    <row r="667" spans="1:4" ht="15.75" hidden="1" outlineLevel="1">
      <c r="A667" s="46" t="s">
        <v>1109</v>
      </c>
      <c r="B667" s="47" t="s">
        <v>1</v>
      </c>
      <c r="C667" s="46">
        <v>5.2</v>
      </c>
      <c r="D667" s="126"/>
    </row>
    <row r="668" spans="1:4" ht="15.75" hidden="1" outlineLevel="1">
      <c r="A668" s="46" t="s">
        <v>1109</v>
      </c>
      <c r="B668" s="47" t="s">
        <v>255</v>
      </c>
      <c r="C668" s="46">
        <v>5.4</v>
      </c>
      <c r="D668" s="126"/>
    </row>
    <row r="669" spans="1:4" ht="15.75" hidden="1" outlineLevel="1">
      <c r="A669" s="46" t="s">
        <v>1109</v>
      </c>
      <c r="B669" s="47" t="s">
        <v>256</v>
      </c>
      <c r="C669" s="46">
        <v>5.7</v>
      </c>
      <c r="D669" s="126"/>
    </row>
    <row r="670" spans="1:4" ht="15.75" hidden="1" outlineLevel="1">
      <c r="A670" s="46" t="s">
        <v>1109</v>
      </c>
      <c r="B670" s="47" t="s">
        <v>257</v>
      </c>
      <c r="C670" s="46">
        <v>5.1100000000000003</v>
      </c>
      <c r="D670" s="126"/>
    </row>
    <row r="671" spans="1:4" ht="15.75" hidden="1" outlineLevel="1">
      <c r="A671" s="46" t="s">
        <v>1109</v>
      </c>
      <c r="B671" s="47" t="s">
        <v>5</v>
      </c>
      <c r="C671" s="46">
        <v>5.26</v>
      </c>
      <c r="D671" s="126"/>
    </row>
    <row r="672" spans="1:4" ht="15.75" hidden="1" outlineLevel="1">
      <c r="A672" s="46" t="s">
        <v>1109</v>
      </c>
      <c r="B672" s="47" t="s">
        <v>258</v>
      </c>
      <c r="C672" s="46">
        <v>5.43</v>
      </c>
      <c r="D672" s="126"/>
    </row>
    <row r="673" spans="1:4" ht="15.75" hidden="1" outlineLevel="1">
      <c r="A673" s="46" t="s">
        <v>1109</v>
      </c>
      <c r="B673" s="47" t="s">
        <v>6</v>
      </c>
      <c r="C673" s="46">
        <v>5.27</v>
      </c>
      <c r="D673" s="126"/>
    </row>
    <row r="674" spans="1:4" ht="15.75" hidden="1" outlineLevel="1">
      <c r="A674" s="46" t="s">
        <v>1109</v>
      </c>
      <c r="B674" s="47" t="s">
        <v>7</v>
      </c>
      <c r="C674" s="46">
        <v>5.28</v>
      </c>
      <c r="D674" s="126"/>
    </row>
    <row r="675" spans="1:4" ht="15.75" hidden="1" outlineLevel="1">
      <c r="A675" s="46" t="s">
        <v>1109</v>
      </c>
      <c r="B675" s="47" t="s">
        <v>51</v>
      </c>
      <c r="C675" s="46">
        <v>5.36</v>
      </c>
      <c r="D675" s="126"/>
    </row>
    <row r="676" spans="1:4" ht="15.75" hidden="1" outlineLevel="1">
      <c r="A676" s="46" t="s">
        <v>1109</v>
      </c>
      <c r="B676" s="47" t="s">
        <v>259</v>
      </c>
      <c r="C676" s="48">
        <v>5.5</v>
      </c>
      <c r="D676" s="126"/>
    </row>
    <row r="677" spans="1:4" ht="15.75" hidden="1" outlineLevel="1">
      <c r="A677" s="46" t="s">
        <v>1109</v>
      </c>
      <c r="B677" s="47" t="s">
        <v>10</v>
      </c>
      <c r="C677" s="46">
        <v>5.51</v>
      </c>
      <c r="D677" s="126"/>
    </row>
    <row r="678" spans="1:4" ht="15.75" hidden="1" outlineLevel="1">
      <c r="A678" s="46" t="s">
        <v>1109</v>
      </c>
      <c r="B678" s="47" t="s">
        <v>11</v>
      </c>
      <c r="C678" s="46">
        <v>5.53</v>
      </c>
      <c r="D678" s="126"/>
    </row>
    <row r="679" spans="1:4" ht="15.75" hidden="1" outlineLevel="1">
      <c r="A679" s="46" t="s">
        <v>1109</v>
      </c>
      <c r="B679" s="47" t="s">
        <v>12</v>
      </c>
      <c r="C679" s="46">
        <v>5.69</v>
      </c>
      <c r="D679" s="126"/>
    </row>
    <row r="680" spans="1:4" ht="15.75" hidden="1" outlineLevel="1">
      <c r="A680" s="46" t="s">
        <v>1109</v>
      </c>
      <c r="B680" s="47" t="s">
        <v>14</v>
      </c>
      <c r="C680" s="48">
        <v>5.7</v>
      </c>
      <c r="D680" s="125" t="s">
        <v>1163</v>
      </c>
    </row>
    <row r="681" spans="1:4" ht="15.75" hidden="1" outlineLevel="1">
      <c r="A681" s="46" t="s">
        <v>1109</v>
      </c>
      <c r="B681" s="47" t="s">
        <v>15</v>
      </c>
      <c r="C681" s="46">
        <v>5.74</v>
      </c>
      <c r="D681" s="126"/>
    </row>
    <row r="682" spans="1:4" ht="15.75" hidden="1" outlineLevel="1">
      <c r="A682" s="46" t="s">
        <v>1109</v>
      </c>
      <c r="B682" s="47" t="s">
        <v>260</v>
      </c>
      <c r="C682" s="46">
        <v>5.59</v>
      </c>
      <c r="D682" s="126"/>
    </row>
    <row r="683" spans="1:4" ht="15.75" hidden="1" outlineLevel="1">
      <c r="A683" s="46" t="s">
        <v>1109</v>
      </c>
      <c r="B683" s="47" t="s">
        <v>18</v>
      </c>
      <c r="C683" s="46">
        <v>5.54</v>
      </c>
      <c r="D683" s="126"/>
    </row>
    <row r="684" spans="1:4" ht="15.75" hidden="1" outlineLevel="1">
      <c r="A684" s="46" t="s">
        <v>1109</v>
      </c>
      <c r="B684" s="47" t="s">
        <v>261</v>
      </c>
      <c r="C684" s="46">
        <v>5.57</v>
      </c>
      <c r="D684" s="126"/>
    </row>
    <row r="685" spans="1:4" ht="15.75" hidden="1" outlineLevel="1">
      <c r="A685" s="46" t="s">
        <v>1109</v>
      </c>
      <c r="B685" s="47" t="s">
        <v>20</v>
      </c>
      <c r="C685" s="46">
        <v>5.63</v>
      </c>
      <c r="D685" s="126"/>
    </row>
    <row r="686" spans="1:4" ht="15.75" hidden="1" outlineLevel="1">
      <c r="A686" s="46" t="s">
        <v>1109</v>
      </c>
      <c r="B686" s="47" t="s">
        <v>24</v>
      </c>
      <c r="C686" s="46">
        <v>5.47</v>
      </c>
      <c r="D686" s="126"/>
    </row>
    <row r="687" spans="1:4" ht="15.75" hidden="1" outlineLevel="1">
      <c r="A687" s="46" t="s">
        <v>1109</v>
      </c>
      <c r="B687" s="47" t="s">
        <v>25</v>
      </c>
      <c r="C687" s="46">
        <v>5.48</v>
      </c>
      <c r="D687" s="126"/>
    </row>
    <row r="688" spans="1:4" ht="15.75">
      <c r="A688" s="52" t="s">
        <v>1109</v>
      </c>
      <c r="B688" s="47"/>
      <c r="C688" s="46"/>
      <c r="D688" s="126"/>
    </row>
    <row r="689" spans="1:4" ht="15.75" hidden="1" outlineLevel="1">
      <c r="A689" s="46" t="s">
        <v>1112</v>
      </c>
      <c r="B689" s="47" t="s">
        <v>0</v>
      </c>
      <c r="C689" s="46">
        <v>5.0999999999999996</v>
      </c>
      <c r="D689" s="126"/>
    </row>
    <row r="690" spans="1:4" ht="15.75" hidden="1" outlineLevel="1">
      <c r="A690" s="46" t="s">
        <v>1112</v>
      </c>
      <c r="B690" s="47" t="s">
        <v>1</v>
      </c>
      <c r="C690" s="46">
        <v>5.2</v>
      </c>
      <c r="D690" s="126"/>
    </row>
    <row r="691" spans="1:4" ht="15.75" hidden="1" outlineLevel="1">
      <c r="A691" s="46" t="s">
        <v>1112</v>
      </c>
      <c r="B691" s="47" t="s">
        <v>262</v>
      </c>
      <c r="C691" s="46">
        <v>5.17</v>
      </c>
      <c r="D691" s="126"/>
    </row>
    <row r="692" spans="1:4" ht="15.75" hidden="1" outlineLevel="1">
      <c r="A692" s="46" t="s">
        <v>1112</v>
      </c>
      <c r="B692" s="47" t="s">
        <v>5</v>
      </c>
      <c r="C692" s="46">
        <v>5.26</v>
      </c>
      <c r="D692" s="126"/>
    </row>
    <row r="693" spans="1:4" ht="15.75" hidden="1" outlineLevel="1">
      <c r="A693" s="46" t="s">
        <v>1112</v>
      </c>
      <c r="B693" s="47" t="s">
        <v>263</v>
      </c>
      <c r="C693" s="46">
        <v>5.1029999999999998</v>
      </c>
      <c r="D693" s="126"/>
    </row>
    <row r="694" spans="1:4" ht="15.75" hidden="1" outlineLevel="1">
      <c r="A694" s="46" t="s">
        <v>1112</v>
      </c>
      <c r="B694" s="47" t="s">
        <v>51</v>
      </c>
      <c r="C694" s="46">
        <v>5.36</v>
      </c>
      <c r="D694" s="126"/>
    </row>
    <row r="695" spans="1:4" ht="15.75" hidden="1" outlineLevel="1">
      <c r="A695" s="46" t="s">
        <v>1112</v>
      </c>
      <c r="B695" s="47" t="s">
        <v>81</v>
      </c>
      <c r="C695" s="46">
        <v>5.37</v>
      </c>
      <c r="D695" s="126"/>
    </row>
    <row r="696" spans="1:4" ht="15.75" hidden="1" outlineLevel="1">
      <c r="A696" s="46" t="s">
        <v>1112</v>
      </c>
      <c r="B696" s="47" t="s">
        <v>264</v>
      </c>
      <c r="C696" s="46">
        <v>5.1040000000000001</v>
      </c>
      <c r="D696" s="126"/>
    </row>
    <row r="697" spans="1:4" ht="15.75" hidden="1" outlineLevel="1">
      <c r="A697" s="46" t="s">
        <v>1112</v>
      </c>
      <c r="B697" s="47" t="s">
        <v>265</v>
      </c>
      <c r="C697" s="46">
        <v>5.1050000000000004</v>
      </c>
      <c r="D697" s="126"/>
    </row>
    <row r="698" spans="1:4" ht="15.75" hidden="1" outlineLevel="1">
      <c r="A698" s="46" t="s">
        <v>1112</v>
      </c>
      <c r="B698" s="47" t="s">
        <v>266</v>
      </c>
      <c r="C698" s="46">
        <v>5.1059999999999999</v>
      </c>
      <c r="D698" s="126"/>
    </row>
    <row r="699" spans="1:4" ht="15.75" hidden="1" outlineLevel="1">
      <c r="A699" s="46" t="s">
        <v>1112</v>
      </c>
      <c r="B699" s="47" t="s">
        <v>267</v>
      </c>
      <c r="C699" s="46">
        <v>5.1070000000000002</v>
      </c>
      <c r="D699" s="126"/>
    </row>
    <row r="700" spans="1:4" ht="15.75" hidden="1" outlineLevel="1">
      <c r="A700" s="46" t="s">
        <v>1112</v>
      </c>
      <c r="B700" s="47" t="s">
        <v>947</v>
      </c>
      <c r="C700" s="46">
        <v>5.1079999999999997</v>
      </c>
      <c r="D700" s="125" t="s">
        <v>1163</v>
      </c>
    </row>
    <row r="701" spans="1:4" ht="15.75" hidden="1" outlineLevel="1">
      <c r="A701" s="46" t="s">
        <v>1112</v>
      </c>
      <c r="B701" s="47" t="s">
        <v>87</v>
      </c>
      <c r="C701" s="46">
        <v>5.109</v>
      </c>
      <c r="D701" s="126"/>
    </row>
    <row r="702" spans="1:4" ht="15.75" hidden="1" outlineLevel="1">
      <c r="A702" s="46" t="s">
        <v>1112</v>
      </c>
      <c r="B702" s="47" t="s">
        <v>89</v>
      </c>
      <c r="C702" s="49">
        <v>5.1100000000000003</v>
      </c>
      <c r="D702" s="125" t="s">
        <v>1163</v>
      </c>
    </row>
    <row r="703" spans="1:4" ht="15.75" hidden="1" outlineLevel="1">
      <c r="A703" s="46" t="s">
        <v>1112</v>
      </c>
      <c r="B703" s="47" t="s">
        <v>88</v>
      </c>
      <c r="C703" s="46">
        <v>5.1109999999999998</v>
      </c>
      <c r="D703" s="126"/>
    </row>
    <row r="704" spans="1:4" ht="15.75" hidden="1" outlineLevel="1">
      <c r="A704" s="46" t="s">
        <v>1112</v>
      </c>
      <c r="B704" s="47" t="s">
        <v>90</v>
      </c>
      <c r="C704" s="46">
        <v>5.1120000000000001</v>
      </c>
      <c r="D704" s="126"/>
    </row>
    <row r="705" spans="1:4" ht="15.75" hidden="1" outlineLevel="1">
      <c r="A705" s="46" t="s">
        <v>1112</v>
      </c>
      <c r="B705" s="47" t="s">
        <v>11</v>
      </c>
      <c r="C705" s="46">
        <v>5.53</v>
      </c>
      <c r="D705" s="126"/>
    </row>
    <row r="706" spans="1:4" ht="15.75" hidden="1" outlineLevel="1">
      <c r="A706" s="46" t="s">
        <v>1112</v>
      </c>
      <c r="B706" s="47" t="s">
        <v>254</v>
      </c>
      <c r="C706" s="46">
        <v>5.64</v>
      </c>
      <c r="D706" s="126"/>
    </row>
    <row r="707" spans="1:4" ht="15.75" hidden="1" outlineLevel="1">
      <c r="A707" s="46" t="s">
        <v>1112</v>
      </c>
      <c r="B707" s="47" t="s">
        <v>20</v>
      </c>
      <c r="C707" s="46">
        <v>5.63</v>
      </c>
      <c r="D707" s="126"/>
    </row>
    <row r="708" spans="1:4" ht="15.75" hidden="1" outlineLevel="1">
      <c r="A708" s="46" t="s">
        <v>1112</v>
      </c>
      <c r="B708" s="47" t="s">
        <v>21</v>
      </c>
      <c r="C708" s="46">
        <v>5.65</v>
      </c>
      <c r="D708" s="126"/>
    </row>
    <row r="709" spans="1:4" ht="15.75" hidden="1" outlineLevel="1">
      <c r="A709" s="46" t="s">
        <v>1112</v>
      </c>
      <c r="B709" s="47" t="s">
        <v>56</v>
      </c>
      <c r="C709" s="46">
        <v>5.66</v>
      </c>
      <c r="D709" s="126"/>
    </row>
    <row r="710" spans="1:4" ht="15.75" hidden="1" outlineLevel="1">
      <c r="A710" s="46" t="s">
        <v>1112</v>
      </c>
      <c r="B710" s="47" t="s">
        <v>22</v>
      </c>
      <c r="C710" s="46">
        <v>5.68</v>
      </c>
      <c r="D710" s="126"/>
    </row>
    <row r="711" spans="1:4" ht="15.75" hidden="1" outlineLevel="1">
      <c r="A711" s="46" t="s">
        <v>1112</v>
      </c>
      <c r="B711" s="47" t="s">
        <v>24</v>
      </c>
      <c r="C711" s="46">
        <v>5.47</v>
      </c>
      <c r="D711" s="126"/>
    </row>
    <row r="712" spans="1:4" ht="15.75" hidden="1" outlineLevel="1">
      <c r="A712" s="46" t="s">
        <v>1112</v>
      </c>
      <c r="B712" s="47" t="s">
        <v>25</v>
      </c>
      <c r="C712" s="46">
        <v>5.48</v>
      </c>
      <c r="D712" s="126"/>
    </row>
    <row r="713" spans="1:4" ht="15.75">
      <c r="A713" s="52" t="s">
        <v>1112</v>
      </c>
      <c r="B713" s="47"/>
      <c r="C713" s="46"/>
      <c r="D713" s="126"/>
    </row>
    <row r="714" spans="1:4" ht="15.75" hidden="1" outlineLevel="1">
      <c r="A714" s="46" t="s">
        <v>1176</v>
      </c>
      <c r="B714" s="47" t="s">
        <v>0</v>
      </c>
      <c r="C714" s="46">
        <v>5.0999999999999996</v>
      </c>
      <c r="D714" s="126"/>
    </row>
    <row r="715" spans="1:4" ht="15.75" hidden="1" outlineLevel="1">
      <c r="A715" s="46" t="s">
        <v>1176</v>
      </c>
      <c r="B715" s="47" t="s">
        <v>1</v>
      </c>
      <c r="C715" s="46">
        <v>5.2</v>
      </c>
      <c r="D715" s="126"/>
    </row>
    <row r="716" spans="1:4" ht="15.75" hidden="1" outlineLevel="1">
      <c r="A716" s="46" t="s">
        <v>1176</v>
      </c>
      <c r="B716" s="47" t="s">
        <v>2</v>
      </c>
      <c r="C716" s="46">
        <v>5.3</v>
      </c>
      <c r="D716" s="126"/>
    </row>
    <row r="717" spans="1:4" ht="15.75" hidden="1" outlineLevel="1">
      <c r="A717" s="46" t="s">
        <v>1176</v>
      </c>
      <c r="B717" s="47" t="s">
        <v>47</v>
      </c>
      <c r="C717" s="46">
        <v>5.6</v>
      </c>
      <c r="D717" s="126"/>
    </row>
    <row r="718" spans="1:4" ht="15.75" hidden="1" outlineLevel="1">
      <c r="A718" s="46" t="s">
        <v>1176</v>
      </c>
      <c r="B718" s="47" t="s">
        <v>1164</v>
      </c>
      <c r="C718" s="48">
        <v>5.0999999999999996</v>
      </c>
      <c r="D718" s="126"/>
    </row>
    <row r="719" spans="1:4" ht="15.75" hidden="1" outlineLevel="1">
      <c r="A719" s="46" t="s">
        <v>1176</v>
      </c>
      <c r="B719" s="47" t="s">
        <v>59</v>
      </c>
      <c r="C719" s="46">
        <v>5.14</v>
      </c>
      <c r="D719" s="126"/>
    </row>
    <row r="720" spans="1:4" ht="15.75" hidden="1" outlineLevel="1">
      <c r="A720" s="46" t="s">
        <v>1176</v>
      </c>
      <c r="B720" s="47" t="s">
        <v>4</v>
      </c>
      <c r="C720" s="46">
        <v>5.19</v>
      </c>
      <c r="D720" s="126"/>
    </row>
    <row r="721" spans="1:4" ht="15.75" hidden="1" outlineLevel="1">
      <c r="A721" s="46" t="s">
        <v>1176</v>
      </c>
      <c r="B721" s="47" t="s">
        <v>49</v>
      </c>
      <c r="C721" s="46">
        <v>5.24</v>
      </c>
      <c r="D721" s="126"/>
    </row>
    <row r="722" spans="1:4" ht="15.75" hidden="1" outlineLevel="1">
      <c r="A722" s="46" t="s">
        <v>1176</v>
      </c>
      <c r="B722" s="47" t="s">
        <v>5</v>
      </c>
      <c r="C722" s="46">
        <v>5.26</v>
      </c>
      <c r="D722" s="126"/>
    </row>
    <row r="723" spans="1:4" ht="15.75" hidden="1" outlineLevel="1">
      <c r="A723" s="46" t="s">
        <v>1176</v>
      </c>
      <c r="B723" s="47" t="s">
        <v>6</v>
      </c>
      <c r="C723" s="46">
        <v>5.27</v>
      </c>
      <c r="D723" s="126"/>
    </row>
    <row r="724" spans="1:4" ht="15.75" hidden="1" outlineLevel="1">
      <c r="A724" s="46" t="s">
        <v>1176</v>
      </c>
      <c r="B724" s="47" t="s">
        <v>7</v>
      </c>
      <c r="C724" s="46">
        <v>5.28</v>
      </c>
      <c r="D724" s="126"/>
    </row>
    <row r="725" spans="1:4" ht="15.75" hidden="1" outlineLevel="1">
      <c r="A725" s="46" t="s">
        <v>1176</v>
      </c>
      <c r="B725" s="47" t="s">
        <v>50</v>
      </c>
      <c r="C725" s="46">
        <v>5.31</v>
      </c>
      <c r="D725" s="126"/>
    </row>
    <row r="726" spans="1:4" ht="15.75" hidden="1" outlineLevel="1">
      <c r="A726" s="46" t="s">
        <v>1176</v>
      </c>
      <c r="B726" s="47" t="s">
        <v>51</v>
      </c>
      <c r="C726" s="46">
        <v>5.36</v>
      </c>
      <c r="D726" s="126"/>
    </row>
    <row r="727" spans="1:4" ht="15.75" hidden="1" outlineLevel="1">
      <c r="A727" s="46" t="s">
        <v>1176</v>
      </c>
      <c r="B727" s="47" t="s">
        <v>11</v>
      </c>
      <c r="C727" s="46">
        <v>5.53</v>
      </c>
      <c r="D727" s="126"/>
    </row>
    <row r="728" spans="1:4" ht="15.75" hidden="1" outlineLevel="1">
      <c r="A728" s="46" t="s">
        <v>1176</v>
      </c>
      <c r="B728" s="47" t="s">
        <v>87</v>
      </c>
      <c r="C728" s="46">
        <v>5.109</v>
      </c>
      <c r="D728" s="126"/>
    </row>
    <row r="729" spans="1:4" ht="15.75" hidden="1" outlineLevel="1">
      <c r="A729" s="46" t="s">
        <v>1176</v>
      </c>
      <c r="B729" s="47" t="s">
        <v>88</v>
      </c>
      <c r="C729" s="46">
        <v>5.1109999999999998</v>
      </c>
      <c r="D729" s="126"/>
    </row>
    <row r="730" spans="1:4" ht="15.75" hidden="1" outlineLevel="1">
      <c r="A730" s="46" t="s">
        <v>1176</v>
      </c>
      <c r="B730" s="47" t="s">
        <v>90</v>
      </c>
      <c r="C730" s="46">
        <v>5.1120000000000001</v>
      </c>
      <c r="D730" s="126"/>
    </row>
    <row r="731" spans="1:4" ht="15.75" hidden="1" outlineLevel="1">
      <c r="A731" s="46" t="s">
        <v>1176</v>
      </c>
      <c r="B731" s="47" t="s">
        <v>1169</v>
      </c>
      <c r="C731" s="46">
        <v>5.1130000000000004</v>
      </c>
      <c r="D731" s="126"/>
    </row>
    <row r="732" spans="1:4" ht="15.75" hidden="1" outlineLevel="1">
      <c r="A732" s="46" t="s">
        <v>1176</v>
      </c>
      <c r="B732" s="47" t="s">
        <v>269</v>
      </c>
      <c r="C732" s="46">
        <v>5.117</v>
      </c>
      <c r="D732" s="126"/>
    </row>
    <row r="733" spans="1:4" ht="15.75" hidden="1" outlineLevel="1">
      <c r="A733" s="46" t="s">
        <v>1176</v>
      </c>
      <c r="B733" s="47" t="s">
        <v>270</v>
      </c>
      <c r="C733" s="46">
        <v>5.67</v>
      </c>
      <c r="D733" s="126"/>
    </row>
    <row r="734" spans="1:4" ht="15.75" hidden="1" outlineLevel="1">
      <c r="A734" s="46" t="s">
        <v>1176</v>
      </c>
      <c r="B734" s="47" t="s">
        <v>20</v>
      </c>
      <c r="C734" s="46">
        <v>5.63</v>
      </c>
      <c r="D734" s="126"/>
    </row>
    <row r="735" spans="1:4" ht="15.75" hidden="1" outlineLevel="1">
      <c r="A735" s="46" t="s">
        <v>1176</v>
      </c>
      <c r="B735" s="47" t="s">
        <v>24</v>
      </c>
      <c r="C735" s="46">
        <v>5.47</v>
      </c>
      <c r="D735" s="126"/>
    </row>
    <row r="736" spans="1:4" ht="15.75" hidden="1" outlineLevel="1">
      <c r="A736" s="46" t="s">
        <v>1176</v>
      </c>
      <c r="B736" s="47" t="s">
        <v>25</v>
      </c>
      <c r="C736" s="46">
        <v>5.48</v>
      </c>
      <c r="D736" s="126"/>
    </row>
    <row r="737" spans="1:4" ht="15.75">
      <c r="A737" s="52" t="s">
        <v>1177</v>
      </c>
      <c r="B737" s="47"/>
      <c r="C737" s="46"/>
      <c r="D737" s="126"/>
    </row>
    <row r="738" spans="1:4" ht="15.75" hidden="1" outlineLevel="1">
      <c r="A738" s="46" t="s">
        <v>1115</v>
      </c>
      <c r="B738" s="47" t="s">
        <v>0</v>
      </c>
      <c r="C738" s="46">
        <v>5.0999999999999996</v>
      </c>
      <c r="D738" s="126"/>
    </row>
    <row r="739" spans="1:4" ht="15.75" hidden="1" outlineLevel="1">
      <c r="A739" s="46" t="s">
        <v>1115</v>
      </c>
      <c r="B739" s="47" t="s">
        <v>1</v>
      </c>
      <c r="C739" s="46">
        <v>5.2</v>
      </c>
      <c r="D739" s="126"/>
    </row>
    <row r="740" spans="1:4" ht="15.75" hidden="1" outlineLevel="1">
      <c r="A740" s="46" t="s">
        <v>1115</v>
      </c>
      <c r="B740" s="47" t="s">
        <v>271</v>
      </c>
      <c r="C740" s="46">
        <v>5.18</v>
      </c>
      <c r="D740" s="126"/>
    </row>
    <row r="741" spans="1:4" ht="15.75" hidden="1" outlineLevel="1">
      <c r="A741" s="46" t="s">
        <v>1115</v>
      </c>
      <c r="B741" s="47" t="s">
        <v>272</v>
      </c>
      <c r="C741" s="46">
        <v>5.23</v>
      </c>
      <c r="D741" s="126"/>
    </row>
    <row r="742" spans="1:4" ht="15.75" hidden="1" outlineLevel="1">
      <c r="A742" s="46" t="s">
        <v>1115</v>
      </c>
      <c r="B742" s="47" t="s">
        <v>5</v>
      </c>
      <c r="C742" s="46">
        <v>5.26</v>
      </c>
      <c r="D742" s="126"/>
    </row>
    <row r="743" spans="1:4" ht="15.75" hidden="1" outlineLevel="1">
      <c r="A743" s="46" t="s">
        <v>1115</v>
      </c>
      <c r="B743" s="47" t="s">
        <v>6</v>
      </c>
      <c r="C743" s="46">
        <v>5.27</v>
      </c>
      <c r="D743" s="126"/>
    </row>
    <row r="744" spans="1:4" ht="15.75" hidden="1" outlineLevel="1">
      <c r="A744" s="46" t="s">
        <v>1115</v>
      </c>
      <c r="B744" s="47" t="s">
        <v>7</v>
      </c>
      <c r="C744" s="46">
        <v>5.28</v>
      </c>
      <c r="D744" s="126"/>
    </row>
    <row r="745" spans="1:4" ht="15.75" hidden="1" outlineLevel="1">
      <c r="A745" s="46" t="s">
        <v>1115</v>
      </c>
      <c r="B745" s="47" t="s">
        <v>51</v>
      </c>
      <c r="C745" s="46">
        <v>5.36</v>
      </c>
      <c r="D745" s="126"/>
    </row>
    <row r="746" spans="1:4" ht="15.75" hidden="1" outlineLevel="1">
      <c r="A746" s="46" t="s">
        <v>1115</v>
      </c>
      <c r="B746" s="47" t="s">
        <v>273</v>
      </c>
      <c r="C746" s="46">
        <v>5.44</v>
      </c>
      <c r="D746" s="126"/>
    </row>
    <row r="747" spans="1:4" ht="15.75" hidden="1" outlineLevel="1">
      <c r="A747" s="46" t="s">
        <v>1115</v>
      </c>
      <c r="B747" s="47" t="s">
        <v>11</v>
      </c>
      <c r="C747" s="46">
        <v>5.53</v>
      </c>
      <c r="D747" s="126"/>
    </row>
    <row r="748" spans="1:4" ht="15.75" hidden="1" outlineLevel="1">
      <c r="A748" s="46" t="s">
        <v>1115</v>
      </c>
      <c r="B748" s="47" t="s">
        <v>90</v>
      </c>
      <c r="C748" s="46">
        <v>5.1120000000000001</v>
      </c>
      <c r="D748" s="126"/>
    </row>
    <row r="749" spans="1:4" ht="15.75" hidden="1" outlineLevel="1">
      <c r="A749" s="46" t="s">
        <v>1115</v>
      </c>
      <c r="B749" s="47" t="s">
        <v>260</v>
      </c>
      <c r="C749" s="46">
        <v>5.59</v>
      </c>
      <c r="D749" s="126"/>
    </row>
    <row r="750" spans="1:4" ht="15.75" hidden="1" outlineLevel="1">
      <c r="A750" s="46" t="s">
        <v>1115</v>
      </c>
      <c r="B750" s="47" t="s">
        <v>18</v>
      </c>
      <c r="C750" s="46">
        <v>5.54</v>
      </c>
      <c r="D750" s="126"/>
    </row>
    <row r="751" spans="1:4" ht="15.75" hidden="1" outlineLevel="1">
      <c r="A751" s="46" t="s">
        <v>1115</v>
      </c>
      <c r="B751" s="47" t="s">
        <v>20</v>
      </c>
      <c r="C751" s="46">
        <v>5.63</v>
      </c>
      <c r="D751" s="126"/>
    </row>
    <row r="752" spans="1:4" ht="15.75" hidden="1" outlineLevel="1">
      <c r="A752" s="46" t="s">
        <v>1115</v>
      </c>
      <c r="B752" s="47" t="s">
        <v>21</v>
      </c>
      <c r="C752" s="46">
        <v>5.65</v>
      </c>
      <c r="D752" s="126"/>
    </row>
    <row r="753" spans="1:4" ht="15.75" hidden="1" outlineLevel="1">
      <c r="A753" s="46" t="s">
        <v>1115</v>
      </c>
      <c r="B753" s="47" t="s">
        <v>22</v>
      </c>
      <c r="C753" s="46">
        <v>5.68</v>
      </c>
      <c r="D753" s="126"/>
    </row>
    <row r="754" spans="1:4" ht="15.75" hidden="1" outlineLevel="1">
      <c r="A754" s="46" t="s">
        <v>1115</v>
      </c>
      <c r="B754" s="47" t="s">
        <v>24</v>
      </c>
      <c r="C754" s="46">
        <v>5.47</v>
      </c>
      <c r="D754" s="126"/>
    </row>
    <row r="755" spans="1:4" ht="15.75" hidden="1" outlineLevel="1">
      <c r="A755" s="46" t="s">
        <v>1115</v>
      </c>
      <c r="B755" s="47" t="s">
        <v>25</v>
      </c>
      <c r="C755" s="46">
        <v>5.48</v>
      </c>
      <c r="D755" s="126"/>
    </row>
    <row r="756" spans="1:4" ht="15.75">
      <c r="A756" s="52" t="s">
        <v>1115</v>
      </c>
      <c r="B756" s="47"/>
      <c r="C756" s="46"/>
      <c r="D756" s="126"/>
    </row>
    <row r="757" spans="1:4" ht="15.75" hidden="1" outlineLevel="1">
      <c r="A757" s="46" t="s">
        <v>1178</v>
      </c>
      <c r="B757" s="47" t="s">
        <v>0</v>
      </c>
      <c r="C757" s="46">
        <v>5.0999999999999996</v>
      </c>
      <c r="D757" s="126"/>
    </row>
    <row r="758" spans="1:4" ht="15.75" hidden="1" outlineLevel="1">
      <c r="A758" s="46" t="s">
        <v>1178</v>
      </c>
      <c r="B758" s="47" t="s">
        <v>1</v>
      </c>
      <c r="C758" s="46">
        <v>5.2</v>
      </c>
      <c r="D758" s="126"/>
    </row>
    <row r="759" spans="1:4" ht="15.75" hidden="1" outlineLevel="1">
      <c r="A759" s="46" t="s">
        <v>1178</v>
      </c>
      <c r="B759" s="47" t="s">
        <v>232</v>
      </c>
      <c r="C759" s="46">
        <v>5.9</v>
      </c>
      <c r="D759" s="125" t="s">
        <v>1163</v>
      </c>
    </row>
    <row r="760" spans="1:4" ht="15.75" hidden="1" outlineLevel="1">
      <c r="A760" s="46" t="s">
        <v>1178</v>
      </c>
      <c r="B760" s="47" t="s">
        <v>233</v>
      </c>
      <c r="C760" s="46">
        <v>5.13</v>
      </c>
      <c r="D760" s="126"/>
    </row>
    <row r="761" spans="1:4" ht="15.75" hidden="1" outlineLevel="1">
      <c r="A761" s="46" t="s">
        <v>1178</v>
      </c>
      <c r="B761" s="47" t="s">
        <v>234</v>
      </c>
      <c r="C761" s="46">
        <v>5.16</v>
      </c>
      <c r="D761" s="125" t="s">
        <v>1163</v>
      </c>
    </row>
    <row r="762" spans="1:4" ht="15.75" hidden="1" outlineLevel="1">
      <c r="A762" s="46" t="s">
        <v>1178</v>
      </c>
      <c r="B762" s="47" t="s">
        <v>235</v>
      </c>
      <c r="C762" s="46">
        <v>5.22</v>
      </c>
      <c r="D762" s="125"/>
    </row>
    <row r="763" spans="1:4" ht="15.75" hidden="1" outlineLevel="1">
      <c r="A763" s="46" t="s">
        <v>1178</v>
      </c>
      <c r="B763" s="47" t="s">
        <v>277</v>
      </c>
      <c r="C763" s="46">
        <v>5.42</v>
      </c>
      <c r="D763" s="126"/>
    </row>
    <row r="764" spans="1:4" ht="15.75" hidden="1" outlineLevel="1">
      <c r="A764" s="46" t="s">
        <v>1178</v>
      </c>
      <c r="B764" s="47" t="s">
        <v>6</v>
      </c>
      <c r="C764" s="46">
        <v>5.27</v>
      </c>
      <c r="D764" s="126"/>
    </row>
    <row r="765" spans="1:4" ht="15.75" hidden="1" outlineLevel="1">
      <c r="A765" s="46" t="s">
        <v>1178</v>
      </c>
      <c r="B765" s="47" t="s">
        <v>7</v>
      </c>
      <c r="C765" s="46">
        <v>5.28</v>
      </c>
      <c r="D765" s="125" t="s">
        <v>1163</v>
      </c>
    </row>
    <row r="766" spans="1:4" ht="15.75" hidden="1" outlineLevel="1">
      <c r="A766" s="46" t="s">
        <v>1178</v>
      </c>
      <c r="B766" s="47" t="s">
        <v>51</v>
      </c>
      <c r="C766" s="46">
        <v>5.36</v>
      </c>
      <c r="D766" s="126"/>
    </row>
    <row r="767" spans="1:4" ht="15.75" hidden="1" outlineLevel="1">
      <c r="A767" s="46" t="s">
        <v>1178</v>
      </c>
      <c r="B767" s="47" t="s">
        <v>9</v>
      </c>
      <c r="C767" s="46">
        <v>5.49</v>
      </c>
      <c r="D767" s="126"/>
    </row>
    <row r="768" spans="1:4" ht="15.75" hidden="1" outlineLevel="1">
      <c r="A768" s="46" t="s">
        <v>1178</v>
      </c>
      <c r="B768" s="47" t="s">
        <v>10</v>
      </c>
      <c r="C768" s="46">
        <v>5.51</v>
      </c>
      <c r="D768" s="126"/>
    </row>
    <row r="769" spans="1:4" ht="15.75" hidden="1" outlineLevel="1">
      <c r="A769" s="46" t="s">
        <v>1178</v>
      </c>
      <c r="B769" s="47" t="s">
        <v>1175</v>
      </c>
      <c r="C769" s="46">
        <v>5.52</v>
      </c>
      <c r="D769" s="126"/>
    </row>
    <row r="770" spans="1:4" ht="15.75" hidden="1" outlineLevel="1">
      <c r="A770" s="46" t="s">
        <v>1178</v>
      </c>
      <c r="B770" s="47" t="s">
        <v>11</v>
      </c>
      <c r="C770" s="46">
        <v>5.53</v>
      </c>
      <c r="D770" s="126"/>
    </row>
    <row r="771" spans="1:4" ht="15.75" hidden="1" outlineLevel="1">
      <c r="A771" s="46" t="s">
        <v>1178</v>
      </c>
      <c r="B771" s="47" t="s">
        <v>18</v>
      </c>
      <c r="C771" s="46">
        <v>5.54</v>
      </c>
      <c r="D771" s="126"/>
    </row>
    <row r="772" spans="1:4" ht="15.75" hidden="1" outlineLevel="1">
      <c r="A772" s="46" t="s">
        <v>1178</v>
      </c>
      <c r="B772" s="47" t="s">
        <v>14</v>
      </c>
      <c r="C772" s="48">
        <v>5.7</v>
      </c>
      <c r="D772" s="126"/>
    </row>
    <row r="773" spans="1:4" ht="15.75" hidden="1" outlineLevel="1">
      <c r="A773" s="46" t="s">
        <v>1178</v>
      </c>
      <c r="B773" s="47" t="s">
        <v>241</v>
      </c>
      <c r="C773" s="46">
        <v>5.71</v>
      </c>
      <c r="D773" s="126"/>
    </row>
    <row r="774" spans="1:4" ht="15.75" hidden="1" outlineLevel="1">
      <c r="A774" s="46" t="s">
        <v>1178</v>
      </c>
      <c r="B774" s="47" t="s">
        <v>278</v>
      </c>
      <c r="C774" s="48">
        <v>5.9</v>
      </c>
      <c r="D774" s="126"/>
    </row>
    <row r="775" spans="1:4" ht="15.75" hidden="1" outlineLevel="1">
      <c r="A775" s="46" t="s">
        <v>1178</v>
      </c>
      <c r="B775" s="47" t="s">
        <v>279</v>
      </c>
      <c r="C775" s="46">
        <v>5.91</v>
      </c>
      <c r="D775" s="126"/>
    </row>
    <row r="776" spans="1:4" ht="15.75" hidden="1" outlineLevel="1">
      <c r="A776" s="46" t="s">
        <v>1178</v>
      </c>
      <c r="B776" s="47" t="s">
        <v>280</v>
      </c>
      <c r="C776" s="46">
        <v>5.97</v>
      </c>
      <c r="D776" s="126"/>
    </row>
    <row r="777" spans="1:4" ht="15.75">
      <c r="A777" s="52" t="s">
        <v>1178</v>
      </c>
      <c r="B777" s="47"/>
      <c r="C777" s="46"/>
      <c r="D777" s="126"/>
    </row>
    <row r="778" spans="1:4" ht="15.75" hidden="1" outlineLevel="1">
      <c r="A778" s="46" t="s">
        <v>1151</v>
      </c>
      <c r="B778" s="47" t="s">
        <v>0</v>
      </c>
      <c r="C778" s="46">
        <v>5.0999999999999996</v>
      </c>
      <c r="D778" s="126"/>
    </row>
    <row r="779" spans="1:4" ht="15.75" hidden="1" outlineLevel="1">
      <c r="A779" s="46" t="s">
        <v>1151</v>
      </c>
      <c r="B779" s="47" t="s">
        <v>1</v>
      </c>
      <c r="C779" s="46">
        <v>5.2</v>
      </c>
      <c r="D779" s="126"/>
    </row>
    <row r="780" spans="1:4" ht="15.75" hidden="1" outlineLevel="1">
      <c r="A780" s="46" t="s">
        <v>1151</v>
      </c>
      <c r="B780" s="47" t="s">
        <v>5</v>
      </c>
      <c r="C780" s="46">
        <v>5.26</v>
      </c>
      <c r="D780" s="126"/>
    </row>
    <row r="781" spans="1:4" ht="15.75" hidden="1" outlineLevel="1">
      <c r="A781" s="46" t="s">
        <v>1151</v>
      </c>
      <c r="B781" s="47" t="s">
        <v>124</v>
      </c>
      <c r="C781" s="46">
        <v>5.5</v>
      </c>
      <c r="D781" s="126"/>
    </row>
    <row r="782" spans="1:4" ht="15.75" hidden="1" outlineLevel="1">
      <c r="A782" s="46" t="s">
        <v>1151</v>
      </c>
      <c r="B782" s="47" t="s">
        <v>125</v>
      </c>
      <c r="C782" s="46">
        <v>5.8</v>
      </c>
      <c r="D782" s="125" t="s">
        <v>1163</v>
      </c>
    </row>
    <row r="783" spans="1:4" ht="15.75" hidden="1" outlineLevel="1">
      <c r="A783" s="46" t="s">
        <v>1151</v>
      </c>
      <c r="B783" s="47" t="s">
        <v>126</v>
      </c>
      <c r="C783" s="46">
        <v>5.12</v>
      </c>
      <c r="D783" s="46"/>
    </row>
    <row r="784" spans="1:4" ht="15.75" hidden="1" outlineLevel="1">
      <c r="A784" s="46" t="s">
        <v>1151</v>
      </c>
      <c r="B784" s="47" t="s">
        <v>127</v>
      </c>
      <c r="C784" s="46">
        <v>5.15</v>
      </c>
      <c r="D784" s="46"/>
    </row>
    <row r="785" spans="1:4" ht="15.75" hidden="1" outlineLevel="1">
      <c r="A785" s="46" t="s">
        <v>1151</v>
      </c>
      <c r="B785" s="47" t="s">
        <v>128</v>
      </c>
      <c r="C785" s="48">
        <v>5.2</v>
      </c>
      <c r="D785" s="125"/>
    </row>
    <row r="786" spans="1:4" ht="15.75" hidden="1" outlineLevel="1">
      <c r="A786" s="46" t="s">
        <v>1151</v>
      </c>
      <c r="B786" s="47" t="s">
        <v>129</v>
      </c>
      <c r="C786" s="46">
        <v>5.25</v>
      </c>
      <c r="D786" s="46"/>
    </row>
    <row r="787" spans="1:4" ht="15.75" hidden="1" outlineLevel="1">
      <c r="A787" s="46" t="s">
        <v>1151</v>
      </c>
      <c r="B787" s="47" t="s">
        <v>11</v>
      </c>
      <c r="C787" s="46">
        <v>5.53</v>
      </c>
      <c r="D787" s="46"/>
    </row>
    <row r="788" spans="1:4" ht="15.75" hidden="1" outlineLevel="1">
      <c r="A788" s="46" t="s">
        <v>1151</v>
      </c>
      <c r="B788" s="47" t="s">
        <v>281</v>
      </c>
      <c r="C788" s="48">
        <v>5.4</v>
      </c>
      <c r="D788" s="46"/>
    </row>
    <row r="789" spans="1:4" ht="31.5" hidden="1" outlineLevel="1">
      <c r="A789" s="46" t="s">
        <v>1151</v>
      </c>
      <c r="B789" s="47" t="s">
        <v>282</v>
      </c>
      <c r="C789" s="46">
        <v>5.92</v>
      </c>
      <c r="D789" s="46"/>
    </row>
    <row r="790" spans="1:4" ht="15.75" hidden="1" outlineLevel="1">
      <c r="A790" s="46" t="s">
        <v>1151</v>
      </c>
      <c r="B790" s="47" t="s">
        <v>283</v>
      </c>
      <c r="C790" s="46">
        <v>5.93</v>
      </c>
      <c r="D790" s="46"/>
    </row>
    <row r="791" spans="1:4" ht="31.5" hidden="1" outlineLevel="1">
      <c r="A791" s="46" t="s">
        <v>1151</v>
      </c>
      <c r="B791" s="47" t="s">
        <v>284</v>
      </c>
      <c r="C791" s="46">
        <v>5.94</v>
      </c>
      <c r="D791" s="46"/>
    </row>
    <row r="792" spans="1:4" ht="15.75" hidden="1" outlineLevel="1">
      <c r="A792" s="46" t="s">
        <v>1151</v>
      </c>
      <c r="B792" s="47" t="s">
        <v>285</v>
      </c>
      <c r="C792" s="46">
        <v>5.95</v>
      </c>
      <c r="D792" s="46"/>
    </row>
    <row r="793" spans="1:4" ht="15.75" hidden="1" outlineLevel="1">
      <c r="A793" s="46" t="s">
        <v>1151</v>
      </c>
      <c r="B793" s="47" t="s">
        <v>286</v>
      </c>
      <c r="C793" s="46">
        <v>5.98</v>
      </c>
      <c r="D793" s="46"/>
    </row>
    <row r="794" spans="1:4" ht="15.75" hidden="1" outlineLevel="1">
      <c r="A794" s="46" t="s">
        <v>1151</v>
      </c>
      <c r="B794" s="47" t="s">
        <v>287</v>
      </c>
      <c r="C794" s="46">
        <v>5.96</v>
      </c>
      <c r="D794" s="46"/>
    </row>
    <row r="795" spans="1:4" ht="31.5">
      <c r="A795" s="52" t="s">
        <v>1151</v>
      </c>
      <c r="B795" s="47"/>
      <c r="C795" s="46"/>
      <c r="D795" s="46"/>
    </row>
  </sheetData>
  <autoFilter ref="A1:D795" xr:uid="{00000000-0009-0000-0000-000020000000}"/>
  <pageMargins left="0.7" right="0.7" top="0.75" bottom="0.75" header="0.3" footer="0.3"/>
  <pageSetup paperSize="9" orientation="portrait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 codeName="Sheet38"/>
  <dimension ref="A2:B130"/>
  <sheetViews>
    <sheetView rightToLeft="1" topLeftCell="A130" workbookViewId="0">
      <selection activeCell="B150" sqref="B150"/>
    </sheetView>
  </sheetViews>
  <sheetFormatPr defaultRowHeight="14.25"/>
  <cols>
    <col min="1" max="1" width="63.25" bestFit="1" customWidth="1"/>
    <col min="2" max="2" width="13.75" customWidth="1"/>
  </cols>
  <sheetData>
    <row r="2" spans="1:2" ht="15">
      <c r="A2" s="27" t="s">
        <v>1179</v>
      </c>
    </row>
    <row r="3" spans="1:2">
      <c r="A3" t="s">
        <v>1180</v>
      </c>
      <c r="B3" t="s">
        <v>1181</v>
      </c>
    </row>
    <row r="4" spans="1:2">
      <c r="A4" t="s">
        <v>1182</v>
      </c>
      <c r="B4" t="s">
        <v>1183</v>
      </c>
    </row>
    <row r="5" spans="1:2">
      <c r="A5" t="s">
        <v>1184</v>
      </c>
      <c r="B5" t="s">
        <v>1185</v>
      </c>
    </row>
    <row r="6" spans="1:2">
      <c r="A6" t="s">
        <v>1186</v>
      </c>
      <c r="B6" t="s">
        <v>1187</v>
      </c>
    </row>
    <row r="7" spans="1:2">
      <c r="A7" t="s">
        <v>1188</v>
      </c>
      <c r="B7" t="s">
        <v>1189</v>
      </c>
    </row>
    <row r="8" spans="1:2">
      <c r="A8" t="s">
        <v>1190</v>
      </c>
      <c r="B8" t="s">
        <v>1191</v>
      </c>
    </row>
    <row r="10" spans="1:2" ht="15">
      <c r="A10" s="27" t="s">
        <v>1192</v>
      </c>
    </row>
    <row r="11" spans="1:2">
      <c r="A11" t="s">
        <v>1193</v>
      </c>
    </row>
    <row r="12" spans="1:2">
      <c r="A12" t="s">
        <v>1194</v>
      </c>
      <c r="B12" t="s">
        <v>1195</v>
      </c>
    </row>
    <row r="14" spans="1:2">
      <c r="A14" s="38"/>
    </row>
    <row r="15" spans="1:2" ht="15">
      <c r="A15" s="27" t="s">
        <v>1196</v>
      </c>
    </row>
    <row r="16" spans="1:2">
      <c r="A16" s="36" t="s">
        <v>1197</v>
      </c>
    </row>
    <row r="17" spans="1:2">
      <c r="A17" s="36" t="s">
        <v>1198</v>
      </c>
    </row>
    <row r="18" spans="1:2">
      <c r="A18" s="36" t="s">
        <v>1199</v>
      </c>
    </row>
    <row r="19" spans="1:2">
      <c r="A19" s="36" t="s">
        <v>1200</v>
      </c>
    </row>
    <row r="21" spans="1:2" ht="15">
      <c r="A21" s="37" t="s">
        <v>1201</v>
      </c>
    </row>
    <row r="22" spans="1:2">
      <c r="A22">
        <v>2022</v>
      </c>
      <c r="B22">
        <v>22</v>
      </c>
    </row>
    <row r="23" spans="1:2">
      <c r="A23">
        <v>2023</v>
      </c>
      <c r="B23">
        <v>23</v>
      </c>
    </row>
    <row r="24" spans="1:2">
      <c r="A24">
        <v>2024</v>
      </c>
      <c r="B24">
        <v>24</v>
      </c>
    </row>
    <row r="25" spans="1:2">
      <c r="A25">
        <v>2025</v>
      </c>
      <c r="B25">
        <v>25</v>
      </c>
    </row>
    <row r="26" spans="1:2">
      <c r="A26">
        <v>2026</v>
      </c>
      <c r="B26">
        <v>26</v>
      </c>
    </row>
    <row r="27" spans="1:2">
      <c r="A27">
        <v>2027</v>
      </c>
      <c r="B27">
        <v>27</v>
      </c>
    </row>
    <row r="28" spans="1:2">
      <c r="A28">
        <v>2028</v>
      </c>
      <c r="B28">
        <v>28</v>
      </c>
    </row>
    <row r="29" spans="1:2">
      <c r="A29">
        <v>2029</v>
      </c>
      <c r="B29">
        <v>29</v>
      </c>
    </row>
    <row r="30" spans="1:2">
      <c r="A30">
        <v>2030</v>
      </c>
      <c r="B30">
        <v>30</v>
      </c>
    </row>
    <row r="31" spans="1:2">
      <c r="A31">
        <v>2031</v>
      </c>
      <c r="B31">
        <v>31</v>
      </c>
    </row>
    <row r="34" spans="1:2" ht="15">
      <c r="A34" s="27" t="s">
        <v>1202</v>
      </c>
      <c r="B34" s="27" t="s">
        <v>67</v>
      </c>
    </row>
    <row r="35" spans="1:2">
      <c r="A35" s="148" t="s">
        <v>1203</v>
      </c>
      <c r="B35" s="149">
        <v>520023185</v>
      </c>
    </row>
    <row r="36" spans="1:2">
      <c r="A36" s="150" t="s">
        <v>1204</v>
      </c>
      <c r="B36" s="149">
        <v>520024647</v>
      </c>
    </row>
    <row r="37" spans="1:2">
      <c r="A37" s="150" t="s">
        <v>1205</v>
      </c>
      <c r="B37" s="149">
        <v>520004896</v>
      </c>
    </row>
    <row r="38" spans="1:2">
      <c r="A38" s="150" t="s">
        <v>1206</v>
      </c>
      <c r="B38" s="149">
        <v>520042540</v>
      </c>
    </row>
    <row r="39" spans="1:2">
      <c r="A39" s="150" t="s">
        <v>1207</v>
      </c>
      <c r="B39" s="149">
        <v>520021916</v>
      </c>
    </row>
    <row r="40" spans="1:2">
      <c r="A40" s="150" t="s">
        <v>1208</v>
      </c>
      <c r="B40" s="151">
        <v>510015951</v>
      </c>
    </row>
    <row r="41" spans="1:2">
      <c r="A41" s="150" t="s">
        <v>1209</v>
      </c>
      <c r="B41" s="151">
        <v>510888985</v>
      </c>
    </row>
    <row r="42" spans="1:2">
      <c r="A42" s="150" t="s">
        <v>1210</v>
      </c>
      <c r="B42" s="151">
        <v>520042177</v>
      </c>
    </row>
    <row r="43" spans="1:2">
      <c r="A43" s="150" t="s">
        <v>1211</v>
      </c>
      <c r="B43" s="150">
        <v>520031030</v>
      </c>
    </row>
    <row r="44" spans="1:2">
      <c r="A44" s="150" t="s">
        <v>1212</v>
      </c>
      <c r="B44" s="150">
        <v>520030677</v>
      </c>
    </row>
    <row r="45" spans="1:2">
      <c r="A45" s="150" t="s">
        <v>1213</v>
      </c>
      <c r="B45" s="150">
        <v>513879189</v>
      </c>
    </row>
    <row r="46" spans="1:2">
      <c r="A46" s="150" t="s">
        <v>1214</v>
      </c>
      <c r="B46" s="151">
        <v>520027848</v>
      </c>
    </row>
    <row r="47" spans="1:2">
      <c r="A47" s="150" t="s">
        <v>1215</v>
      </c>
      <c r="B47" s="151">
        <v>570003152</v>
      </c>
    </row>
    <row r="48" spans="1:2">
      <c r="A48" s="150" t="s">
        <v>1216</v>
      </c>
      <c r="B48" s="150">
        <v>513910703</v>
      </c>
    </row>
    <row r="49" spans="1:2">
      <c r="A49" s="150" t="s">
        <v>1217</v>
      </c>
      <c r="B49" s="151">
        <v>512304882</v>
      </c>
    </row>
    <row r="50" spans="1:2">
      <c r="A50" s="150" t="s">
        <v>1218</v>
      </c>
      <c r="B50" s="151">
        <v>512310509</v>
      </c>
    </row>
    <row r="51" spans="1:2">
      <c r="A51" s="150" t="s">
        <v>1219</v>
      </c>
      <c r="B51" s="151">
        <v>512904608</v>
      </c>
    </row>
    <row r="52" spans="1:2">
      <c r="A52" s="150" t="s">
        <v>1220</v>
      </c>
      <c r="B52" s="151">
        <v>500500376</v>
      </c>
    </row>
    <row r="53" spans="1:2">
      <c r="A53" s="150" t="s">
        <v>1221</v>
      </c>
      <c r="B53" s="151">
        <v>520044025</v>
      </c>
    </row>
    <row r="54" spans="1:2">
      <c r="A54" s="150" t="s">
        <v>1222</v>
      </c>
      <c r="B54" s="151">
        <v>513136895</v>
      </c>
    </row>
    <row r="55" spans="1:2">
      <c r="A55" s="150" t="s">
        <v>1223</v>
      </c>
      <c r="B55" s="151">
        <v>520004078</v>
      </c>
    </row>
    <row r="56" spans="1:2">
      <c r="A56" s="150" t="s">
        <v>1224</v>
      </c>
      <c r="B56" s="151">
        <v>515761625</v>
      </c>
    </row>
    <row r="57" spans="1:2">
      <c r="A57" s="150" t="s">
        <v>1225</v>
      </c>
      <c r="B57" s="151">
        <v>515764868</v>
      </c>
    </row>
    <row r="58" spans="1:2">
      <c r="A58" s="150" t="s">
        <v>1226</v>
      </c>
      <c r="B58" s="152">
        <v>515859379</v>
      </c>
    </row>
    <row r="59" spans="1:2">
      <c r="A59" s="150" t="s">
        <v>1227</v>
      </c>
      <c r="B59" s="151">
        <v>516687407</v>
      </c>
    </row>
    <row r="60" spans="1:2">
      <c r="A60" s="150" t="s">
        <v>1228</v>
      </c>
      <c r="B60" s="151">
        <v>516885639</v>
      </c>
    </row>
    <row r="61" spans="1:2">
      <c r="A61" s="150" t="s">
        <v>1229</v>
      </c>
      <c r="B61" s="150">
        <v>570009449</v>
      </c>
    </row>
    <row r="62" spans="1:2">
      <c r="A62" s="150" t="s">
        <v>1230</v>
      </c>
      <c r="B62" s="151">
        <v>520027954</v>
      </c>
    </row>
    <row r="63" spans="1:2">
      <c r="A63" s="150" t="s">
        <v>1231</v>
      </c>
      <c r="B63" s="151">
        <v>512362914</v>
      </c>
    </row>
    <row r="64" spans="1:2">
      <c r="A64" s="150" t="s">
        <v>1232</v>
      </c>
      <c r="B64" s="151">
        <v>511880460</v>
      </c>
    </row>
    <row r="65" spans="1:2">
      <c r="A65" s="150" t="s">
        <v>1233</v>
      </c>
      <c r="B65" s="150">
        <v>511033060</v>
      </c>
    </row>
    <row r="66" spans="1:2">
      <c r="A66" s="150" t="s">
        <v>1234</v>
      </c>
      <c r="B66" s="150">
        <v>570005850</v>
      </c>
    </row>
    <row r="67" spans="1:2">
      <c r="A67" s="150" t="s">
        <v>1235</v>
      </c>
      <c r="B67" s="151">
        <v>510694821</v>
      </c>
    </row>
    <row r="68" spans="1:2">
      <c r="A68" s="150" t="s">
        <v>1236</v>
      </c>
      <c r="B68" s="150">
        <v>520027624</v>
      </c>
    </row>
    <row r="69" spans="1:2">
      <c r="A69" s="150" t="s">
        <v>1237</v>
      </c>
      <c r="B69" s="151">
        <v>520027715</v>
      </c>
    </row>
    <row r="70" spans="1:2">
      <c r="A70" s="150" t="s">
        <v>1238</v>
      </c>
      <c r="B70" s="151">
        <v>520028861</v>
      </c>
    </row>
    <row r="71" spans="1:2">
      <c r="A71" s="150" t="s">
        <v>1239</v>
      </c>
      <c r="B71" s="151">
        <v>520029620</v>
      </c>
    </row>
    <row r="72" spans="1:2">
      <c r="A72" s="150" t="s">
        <v>1240</v>
      </c>
      <c r="B72" s="151">
        <v>520030743</v>
      </c>
    </row>
    <row r="73" spans="1:2">
      <c r="A73" s="150" t="s">
        <v>1241</v>
      </c>
      <c r="B73" s="151">
        <v>520030198</v>
      </c>
    </row>
    <row r="74" spans="1:2">
      <c r="A74" s="150" t="s">
        <v>1242</v>
      </c>
      <c r="B74" s="151">
        <v>520042631</v>
      </c>
    </row>
    <row r="75" spans="1:2">
      <c r="A75" s="150" t="s">
        <v>1243</v>
      </c>
      <c r="B75" s="151">
        <v>520030941</v>
      </c>
    </row>
    <row r="76" spans="1:2">
      <c r="A76" s="150" t="s">
        <v>1244</v>
      </c>
      <c r="B76" s="151">
        <v>520032269</v>
      </c>
    </row>
    <row r="77" spans="1:2">
      <c r="A77" s="150" t="s">
        <v>1245</v>
      </c>
      <c r="B77" s="150">
        <v>510806870</v>
      </c>
    </row>
    <row r="78" spans="1:2">
      <c r="A78" s="150" t="s">
        <v>1246</v>
      </c>
      <c r="B78" s="150">
        <v>520031824</v>
      </c>
    </row>
    <row r="79" spans="1:2">
      <c r="A79" s="150" t="s">
        <v>1247</v>
      </c>
      <c r="B79" s="151">
        <v>510927536</v>
      </c>
    </row>
    <row r="80" spans="1:2">
      <c r="A80" s="150" t="s">
        <v>1248</v>
      </c>
      <c r="B80" s="151">
        <v>510930654</v>
      </c>
    </row>
    <row r="81" spans="1:2">
      <c r="A81" s="150" t="s">
        <v>1249</v>
      </c>
      <c r="B81" s="150">
        <v>510930670</v>
      </c>
    </row>
    <row r="82" spans="1:2">
      <c r="A82" s="150" t="s">
        <v>1250</v>
      </c>
      <c r="B82" s="151">
        <v>520034968</v>
      </c>
    </row>
    <row r="83" spans="1:2">
      <c r="A83" s="150" t="s">
        <v>1251</v>
      </c>
      <c r="B83" s="151">
        <v>520024985</v>
      </c>
    </row>
    <row r="84" spans="1:2">
      <c r="A84" s="150" t="s">
        <v>1252</v>
      </c>
      <c r="B84" s="150">
        <v>520030990</v>
      </c>
    </row>
    <row r="85" spans="1:2">
      <c r="A85" s="150" t="s">
        <v>1253</v>
      </c>
      <c r="B85" s="151">
        <v>520042615</v>
      </c>
    </row>
    <row r="86" spans="1:2">
      <c r="A86" s="150" t="s">
        <v>1254</v>
      </c>
      <c r="B86" s="151">
        <v>520042607</v>
      </c>
    </row>
    <row r="87" spans="1:2">
      <c r="A87" s="150" t="s">
        <v>1255</v>
      </c>
      <c r="B87" s="151">
        <v>520019688</v>
      </c>
    </row>
    <row r="88" spans="1:2">
      <c r="A88" s="150" t="s">
        <v>1256</v>
      </c>
      <c r="B88" s="151">
        <v>570014928</v>
      </c>
    </row>
    <row r="89" spans="1:2">
      <c r="A89" s="150" t="s">
        <v>1257</v>
      </c>
      <c r="B89" s="151">
        <v>510960586</v>
      </c>
    </row>
    <row r="90" spans="1:2">
      <c r="A90" s="150" t="s">
        <v>1258</v>
      </c>
      <c r="B90" s="150">
        <v>520042581</v>
      </c>
    </row>
    <row r="91" spans="1:2">
      <c r="A91" s="150" t="s">
        <v>1259</v>
      </c>
      <c r="B91" s="151">
        <v>570005959</v>
      </c>
    </row>
    <row r="92" spans="1:2">
      <c r="A92" s="150" t="s">
        <v>1260</v>
      </c>
      <c r="B92" s="151">
        <v>570002618</v>
      </c>
    </row>
    <row r="93" spans="1:2">
      <c r="A93" s="150" t="s">
        <v>1261</v>
      </c>
      <c r="B93" s="151">
        <v>511789190</v>
      </c>
    </row>
    <row r="94" spans="1:2">
      <c r="A94" s="150" t="s">
        <v>1262</v>
      </c>
      <c r="B94" s="151">
        <v>520022518</v>
      </c>
    </row>
    <row r="95" spans="1:2">
      <c r="A95" s="150" t="s">
        <v>1263</v>
      </c>
      <c r="B95" s="151">
        <v>520031659</v>
      </c>
    </row>
    <row r="96" spans="1:2">
      <c r="A96" s="150" t="s">
        <v>1264</v>
      </c>
      <c r="B96" s="151">
        <v>570007476</v>
      </c>
    </row>
    <row r="97" spans="1:2">
      <c r="A97" s="150" t="s">
        <v>1265</v>
      </c>
      <c r="B97" s="151">
        <v>570009852</v>
      </c>
    </row>
    <row r="98" spans="1:2">
      <c r="A98" s="150" t="s">
        <v>1266</v>
      </c>
      <c r="B98" s="151">
        <v>510800402</v>
      </c>
    </row>
    <row r="99" spans="1:2">
      <c r="A99" s="150" t="s">
        <v>1267</v>
      </c>
      <c r="B99" s="151">
        <v>510773922</v>
      </c>
    </row>
    <row r="100" spans="1:2">
      <c r="A100" s="150" t="s">
        <v>1268</v>
      </c>
      <c r="B100" s="151">
        <v>512008335</v>
      </c>
    </row>
    <row r="101" spans="1:2">
      <c r="A101" s="150" t="s">
        <v>1269</v>
      </c>
      <c r="B101" s="151">
        <v>510142789</v>
      </c>
    </row>
    <row r="102" spans="1:2">
      <c r="A102" s="150" t="s">
        <v>1270</v>
      </c>
      <c r="B102" s="151">
        <v>520028556</v>
      </c>
    </row>
    <row r="103" spans="1:2">
      <c r="A103" s="150" t="s">
        <v>1271</v>
      </c>
      <c r="B103" s="151">
        <v>520030693</v>
      </c>
    </row>
    <row r="104" spans="1:2">
      <c r="A104" s="150" t="s">
        <v>1272</v>
      </c>
      <c r="B104" s="151">
        <v>520042573</v>
      </c>
    </row>
    <row r="105" spans="1:2">
      <c r="A105" s="150" t="s">
        <v>1273</v>
      </c>
      <c r="B105" s="151">
        <v>511423048</v>
      </c>
    </row>
    <row r="106" spans="1:2">
      <c r="A106" s="150" t="s">
        <v>1274</v>
      </c>
      <c r="B106" s="151">
        <v>570011767</v>
      </c>
    </row>
    <row r="107" spans="1:2">
      <c r="A107" s="150" t="s">
        <v>1275</v>
      </c>
      <c r="B107" s="151">
        <v>512065202</v>
      </c>
    </row>
    <row r="108" spans="1:2">
      <c r="A108" s="150" t="s">
        <v>1276</v>
      </c>
      <c r="B108" s="151">
        <v>512711409</v>
      </c>
    </row>
    <row r="109" spans="1:2">
      <c r="A109" s="150" t="s">
        <v>1277</v>
      </c>
      <c r="B109" s="151">
        <v>520005497</v>
      </c>
    </row>
    <row r="110" spans="1:2">
      <c r="A110" s="150" t="s">
        <v>1278</v>
      </c>
      <c r="B110" s="151">
        <v>570024109</v>
      </c>
    </row>
    <row r="111" spans="1:2">
      <c r="A111" s="150" t="s">
        <v>1279</v>
      </c>
      <c r="B111" s="151">
        <v>520020447</v>
      </c>
    </row>
    <row r="112" spans="1:2">
      <c r="A112" s="150" t="s">
        <v>1280</v>
      </c>
      <c r="B112" s="151">
        <v>520023094</v>
      </c>
    </row>
    <row r="113" spans="1:2">
      <c r="A113" s="150" t="s">
        <v>1281</v>
      </c>
      <c r="B113" s="151">
        <v>520028812</v>
      </c>
    </row>
    <row r="114" spans="1:2">
      <c r="A114" s="150" t="s">
        <v>1282</v>
      </c>
      <c r="B114" s="151">
        <v>520022963</v>
      </c>
    </row>
    <row r="115" spans="1:2">
      <c r="A115" s="150" t="s">
        <v>1283</v>
      </c>
      <c r="B115" s="151">
        <v>520027251</v>
      </c>
    </row>
    <row r="116" spans="1:2">
      <c r="A116" s="150" t="s">
        <v>1284</v>
      </c>
      <c r="B116" s="151">
        <v>520028390</v>
      </c>
    </row>
    <row r="117" spans="1:2">
      <c r="A117" s="150" t="s">
        <v>1285</v>
      </c>
      <c r="B117" s="151">
        <v>513026484</v>
      </c>
    </row>
    <row r="118" spans="1:2">
      <c r="A118" s="150" t="s">
        <v>1286</v>
      </c>
      <c r="B118" s="151">
        <v>513173393</v>
      </c>
    </row>
    <row r="119" spans="1:2">
      <c r="A119" s="150" t="s">
        <v>1287</v>
      </c>
      <c r="B119" s="151">
        <v>513452003</v>
      </c>
    </row>
    <row r="120" spans="1:2">
      <c r="A120" s="150" t="s">
        <v>1288</v>
      </c>
      <c r="B120" s="151">
        <v>513611509</v>
      </c>
    </row>
    <row r="121" spans="1:2">
      <c r="A121" s="150" t="s">
        <v>1289</v>
      </c>
      <c r="B121" s="151">
        <v>513621110</v>
      </c>
    </row>
    <row r="122" spans="1:2">
      <c r="A122" s="150" t="s">
        <v>1290</v>
      </c>
      <c r="B122" s="150">
        <v>512244146</v>
      </c>
    </row>
    <row r="123" spans="1:2">
      <c r="A123" s="150" t="s">
        <v>1291</v>
      </c>
      <c r="B123" s="151">
        <v>512237744</v>
      </c>
    </row>
    <row r="124" spans="1:2">
      <c r="A124" s="150" t="s">
        <v>1292</v>
      </c>
      <c r="B124" s="151">
        <v>512267592</v>
      </c>
    </row>
    <row r="125" spans="1:2">
      <c r="A125" s="150" t="s">
        <v>1293</v>
      </c>
      <c r="B125" s="151">
        <v>514767490</v>
      </c>
    </row>
    <row r="126" spans="1:2">
      <c r="A126" s="150" t="s">
        <v>1294</v>
      </c>
      <c r="B126" s="151">
        <v>514956465</v>
      </c>
    </row>
    <row r="127" spans="1:2">
      <c r="A127" s="150" t="s">
        <v>1295</v>
      </c>
      <c r="B127" s="151">
        <v>512245812</v>
      </c>
    </row>
    <row r="128" spans="1:2">
      <c r="A128" s="150" t="s">
        <v>1296</v>
      </c>
      <c r="B128" s="151">
        <v>515447035</v>
      </c>
    </row>
    <row r="129" spans="1:2">
      <c r="A129" s="150" t="s">
        <v>1297</v>
      </c>
      <c r="B129" s="151">
        <v>516463635</v>
      </c>
    </row>
    <row r="130" spans="1:2">
      <c r="A130" s="150" t="s">
        <v>1298</v>
      </c>
      <c r="B130" s="151">
        <v>515977338</v>
      </c>
    </row>
  </sheetData>
  <sortState xmlns:xlrd2="http://schemas.microsoft.com/office/spreadsheetml/2017/richdata2" ref="A34:B133">
    <sortCondition ref="A34:A133"/>
  </sortState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34</vt:i4>
      </vt:variant>
      <vt:variant>
        <vt:lpstr>טווחים בעלי שם</vt:lpstr>
      </vt:variant>
      <vt:variant>
        <vt:i4>77</vt:i4>
      </vt:variant>
    </vt:vector>
  </HeadingPairs>
  <TitlesOfParts>
    <vt:vector size="111" baseType="lpstr">
      <vt:lpstr>עמוד פתיחה</vt:lpstr>
      <vt:lpstr>סכום נכסים</vt:lpstr>
      <vt:lpstr>מזומנים ושווי מזומנים</vt:lpstr>
      <vt:lpstr>איגרות חוב ממשלתיות</vt:lpstr>
      <vt:lpstr>ניירות ערך מסחריים</vt:lpstr>
      <vt:lpstr>איגרות חוב</vt:lpstr>
      <vt:lpstr>מניות מבכ ויהש</vt:lpstr>
      <vt:lpstr>קרנות סל</vt:lpstr>
      <vt:lpstr>קרנות נאמנות</vt:lpstr>
      <vt:lpstr>כתבי אופציה</vt:lpstr>
      <vt:lpstr>אופציות</vt:lpstr>
      <vt:lpstr>חוזים עתידיים</vt:lpstr>
      <vt:lpstr>מוצרים מובנים</vt:lpstr>
      <vt:lpstr>לא סחיר איגרות חוב ממשלתיות</vt:lpstr>
      <vt:lpstr>לא סחיר איגרות חוב מיועדות</vt:lpstr>
      <vt:lpstr>אפיק השקעה מובטח תשואה</vt:lpstr>
      <vt:lpstr>לא סחיר ניירות ערך מסחריים</vt:lpstr>
      <vt:lpstr>לא סחיר איגרות חוב</vt:lpstr>
      <vt:lpstr>לא סחיר מניות מבכ ויהש</vt:lpstr>
      <vt:lpstr>קרנות השקעה</vt:lpstr>
      <vt:lpstr>לא סחיר כתבי אופציה</vt:lpstr>
      <vt:lpstr>לא סחיר אופציות</vt:lpstr>
      <vt:lpstr>לא סחיר נגזרים אחרים</vt:lpstr>
      <vt:lpstr>הלוואות</vt:lpstr>
      <vt:lpstr>לא סחיר מוצרים מובנים</vt:lpstr>
      <vt:lpstr>פיקדונות מעל 3 חודשים</vt:lpstr>
      <vt:lpstr>זכויות מקרקעין</vt:lpstr>
      <vt:lpstr>השקעה בחברות מוחזקות</vt:lpstr>
      <vt:lpstr>נכסים אחרים</vt:lpstr>
      <vt:lpstr>מסגרות אשראי</vt:lpstr>
      <vt:lpstr>יתרות התחייבות להשקעה</vt:lpstr>
      <vt:lpstr>אפשרויות בחירה</vt:lpstr>
      <vt:lpstr>מיפוי סעיפים</vt:lpstr>
      <vt:lpstr>File Name Info</vt:lpstr>
      <vt:lpstr>Additional_Factor</vt:lpstr>
      <vt:lpstr>Amoritization</vt:lpstr>
      <vt:lpstr>Capsule</vt:lpstr>
      <vt:lpstr>Company_Name</vt:lpstr>
      <vt:lpstr>Company_Name_ID</vt:lpstr>
      <vt:lpstr>Consortium</vt:lpstr>
      <vt:lpstr>Country_list</vt:lpstr>
      <vt:lpstr>Country_list_funds</vt:lpstr>
      <vt:lpstr>CSA</vt:lpstr>
      <vt:lpstr>Delivery</vt:lpstr>
      <vt:lpstr>Dependence_Independence</vt:lpstr>
      <vt:lpstr>Duration_Underlying_Interest_Rate</vt:lpstr>
      <vt:lpstr>File_Type</vt:lpstr>
      <vt:lpstr>Full_File_Type</vt:lpstr>
      <vt:lpstr>Full_Type</vt:lpstr>
      <vt:lpstr>Full_Type_Nostro</vt:lpstr>
      <vt:lpstr>Full_Year</vt:lpstr>
      <vt:lpstr>Fund_Strategy</vt:lpstr>
      <vt:lpstr>Fund_type</vt:lpstr>
      <vt:lpstr>Holding_interest</vt:lpstr>
      <vt:lpstr>In_the_books</vt:lpstr>
      <vt:lpstr>Industry_Sector</vt:lpstr>
      <vt:lpstr>Industry_sector_all</vt:lpstr>
      <vt:lpstr>Industry_sectors</vt:lpstr>
      <vt:lpstr>israel_abroad</vt:lpstr>
      <vt:lpstr>Issuer_Number_Banks</vt:lpstr>
      <vt:lpstr>Issuer_Number_Fund</vt:lpstr>
      <vt:lpstr>issuer_number_loan</vt:lpstr>
      <vt:lpstr>Issuer_Number_Type</vt:lpstr>
      <vt:lpstr>Issuer_Number_Type_2</vt:lpstr>
      <vt:lpstr>Issuer_Number_Type_3</vt:lpstr>
      <vt:lpstr>'אפשרויות בחירה'!Issuer_Number_Type_V2</vt:lpstr>
      <vt:lpstr>Issuer_Type_TFunds</vt:lpstr>
      <vt:lpstr>Leading_factor</vt:lpstr>
      <vt:lpstr>Linked_Type</vt:lpstr>
      <vt:lpstr>other_investments</vt:lpstr>
      <vt:lpstr>Penalty</vt:lpstr>
      <vt:lpstr>QTR</vt:lpstr>
      <vt:lpstr>Rating_Agency</vt:lpstr>
      <vt:lpstr>real_estate_lifestage</vt:lpstr>
      <vt:lpstr>real_estate_loans</vt:lpstr>
      <vt:lpstr>Real_Estate_Main_Use</vt:lpstr>
      <vt:lpstr>Recourse_Nonrecourse</vt:lpstr>
      <vt:lpstr>Repayment_Rights</vt:lpstr>
      <vt:lpstr>Reset_frequency</vt:lpstr>
      <vt:lpstr>Security_ID_Number_Type</vt:lpstr>
      <vt:lpstr>'אפשרויות בחירה'!Security_Number_Loans</vt:lpstr>
      <vt:lpstr>Stock_Exchange</vt:lpstr>
      <vt:lpstr>Stock_Exchange_Gov_Bonds</vt:lpstr>
      <vt:lpstr>Subordination_Risk</vt:lpstr>
      <vt:lpstr>Tradeable_Status</vt:lpstr>
      <vt:lpstr>Tradeable_Status_All</vt:lpstr>
      <vt:lpstr>tradeable_status_bonds</vt:lpstr>
      <vt:lpstr>tradeable_status_funds</vt:lpstr>
      <vt:lpstr>tradeable_status_stock</vt:lpstr>
      <vt:lpstr>Tradeable_Status_v2</vt:lpstr>
      <vt:lpstr>tradeable_status_warrants</vt:lpstr>
      <vt:lpstr>tradeable_status_warrants_v2</vt:lpstr>
      <vt:lpstr>'אפשרויות בחירה'!Transaction</vt:lpstr>
      <vt:lpstr>Type</vt:lpstr>
      <vt:lpstr>Type_of_Interest_Rate</vt:lpstr>
      <vt:lpstr>Type_of_Security</vt:lpstr>
      <vt:lpstr>Type_of_Security_ID</vt:lpstr>
      <vt:lpstr>Type_of_Security_ID_Fund</vt:lpstr>
      <vt:lpstr>'אפשרויות בחירה'!Type_of_Security_ID_V2</vt:lpstr>
      <vt:lpstr>Underlying_Asset</vt:lpstr>
      <vt:lpstr>Underlying_Asset_Structured</vt:lpstr>
      <vt:lpstr>Underlying_Interest_Rates</vt:lpstr>
      <vt:lpstr>'אפשרויות בחירה'!Underlying_Interest_Rates_Der</vt:lpstr>
      <vt:lpstr>Valuation</vt:lpstr>
      <vt:lpstr>Valuation_Loans</vt:lpstr>
      <vt:lpstr>Valuation_Method</vt:lpstr>
      <vt:lpstr>Valuation_Realestate</vt:lpstr>
      <vt:lpstr>What_is_rated</vt:lpstr>
      <vt:lpstr>what_is_rated_loans</vt:lpstr>
      <vt:lpstr>YEAR</vt:lpstr>
      <vt:lpstr>Yes_No_Bad_Debt</vt:lpstr>
    </vt:vector>
  </TitlesOfParts>
  <Company>MOF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עדכון 4.12.2023</dc:title>
  <dc:creator>נירית שימרון</dc:creator>
  <cp:lastModifiedBy>Dori meshulam Metial</cp:lastModifiedBy>
  <cp:lastPrinted>2022-08-08T09:16:18Z</cp:lastPrinted>
  <dcterms:created xsi:type="dcterms:W3CDTF">2021-05-03T04:41:48Z</dcterms:created>
  <dcterms:modified xsi:type="dcterms:W3CDTF">2026-03-01T08:49:16Z</dcterms:modified>
</cp:coreProperties>
</file>