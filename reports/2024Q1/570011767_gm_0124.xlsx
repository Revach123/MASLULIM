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Dropbox (AllNet Office)\roy2\דוחות לאוצר\אלעל\2024\03\רשימת נכסים\"/>
    </mc:Choice>
  </mc:AlternateContent>
  <bookViews>
    <workbookView xWindow="-120" yWindow="-120" windowWidth="29040" windowHeight="15840" tabRatio="100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ב&quot;כ ויה&quot;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גרות חוב ממשלתיות" sheetId="14" r:id="rId14"/>
    <sheet name="לא סחיר א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ב&quot;כ ויה&quot;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</sheets>
  <definedNames>
    <definedName name="_xlnm._FilterDatabase" localSheetId="5" hidden="1">'איגרות חוב'!$A$2:$AK$230</definedName>
    <definedName name="_xlnm._FilterDatabase" localSheetId="3" hidden="1">'איגרות חוב ממשלתיות'!$A$2:$AC$52</definedName>
    <definedName name="_xlnm._FilterDatabase" localSheetId="30" hidden="1">'יתרות התחייבות להשקעה'!$A$2:$S$27</definedName>
    <definedName name="_xlnm._FilterDatabase" localSheetId="6" hidden="1">'מניות, מב"כ ויה"ש'!$A$2:$AA$194</definedName>
    <definedName name="_xlnm._FilterDatabase" localSheetId="19" hidden="1">'קרנות השקעה'!$A$2:$AC$72</definedName>
    <definedName name="_xlnm._FilterDatabase" localSheetId="7" hidden="1">'קרנות סל'!$A$2:$AA$150</definedName>
  </definedNames>
  <calcPr calcId="162913"/>
</workbook>
</file>

<file path=xl/calcChain.xml><?xml version="1.0" encoding="utf-8"?>
<calcChain xmlns="http://schemas.openxmlformats.org/spreadsheetml/2006/main">
  <c r="B33" i="2" l="1"/>
  <c r="E33" i="2" s="1"/>
  <c r="T196" i="7" l="1"/>
  <c r="T195" i="7"/>
  <c r="T4" i="3" l="1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3" i="3"/>
  <c r="AA35" i="8"/>
  <c r="AA114" i="8"/>
  <c r="AA53" i="8"/>
  <c r="AA21" i="8"/>
  <c r="AA51" i="8"/>
  <c r="AC4" i="10"/>
  <c r="AA129" i="8"/>
  <c r="AA93" i="8"/>
  <c r="AS9" i="23"/>
  <c r="AA57" i="8"/>
  <c r="AA101" i="8"/>
  <c r="AA48" i="8"/>
  <c r="AA5" i="9"/>
  <c r="AA141" i="8"/>
  <c r="AA29" i="8"/>
  <c r="AA52" i="8"/>
  <c r="AA64" i="8"/>
  <c r="AA97" i="8"/>
  <c r="AA121" i="8"/>
  <c r="AS8" i="23"/>
  <c r="AA58" i="8"/>
  <c r="AA92" i="8"/>
  <c r="AA22" i="8"/>
  <c r="AA83" i="8"/>
  <c r="AA99" i="8"/>
  <c r="AA18" i="8"/>
  <c r="AA94" i="8"/>
  <c r="AA38" i="8"/>
  <c r="AA136" i="8"/>
  <c r="AS6" i="23"/>
  <c r="AA45" i="8"/>
  <c r="AS5" i="23"/>
  <c r="AA4" i="9"/>
  <c r="AA100" i="8"/>
  <c r="AA124" i="8"/>
  <c r="AA125" i="8"/>
  <c r="AA5" i="8"/>
  <c r="AA142" i="8"/>
  <c r="AA85" i="8"/>
  <c r="AA71" i="8"/>
  <c r="AA84" i="8"/>
  <c r="AA60" i="8"/>
  <c r="AA62" i="8"/>
  <c r="AA30" i="8"/>
  <c r="AA105" i="8"/>
  <c r="AA28" i="8"/>
  <c r="AC5" i="10"/>
  <c r="AA73" i="8"/>
  <c r="AA111" i="8"/>
  <c r="AA12" i="8"/>
  <c r="AA91" i="8"/>
  <c r="AA31" i="8"/>
  <c r="AA130" i="8"/>
  <c r="AA74" i="8"/>
  <c r="AA140" i="8"/>
  <c r="AA3" i="9"/>
  <c r="AA133" i="8"/>
  <c r="AA112" i="8"/>
  <c r="AA146" i="8"/>
  <c r="AA139" i="8"/>
  <c r="AA8" i="8"/>
  <c r="AA119" i="8"/>
  <c r="AA115" i="8"/>
  <c r="AA26" i="8"/>
  <c r="AA86" i="8"/>
  <c r="AA147" i="8"/>
  <c r="AA17" i="8"/>
  <c r="AA3" i="8"/>
  <c r="AA106" i="8"/>
  <c r="AA131" i="8"/>
  <c r="AA37" i="8"/>
  <c r="AA78" i="8"/>
  <c r="AA87" i="8"/>
  <c r="AA145" i="8"/>
  <c r="AA10" i="8"/>
  <c r="AA24" i="8"/>
  <c r="AA90" i="8"/>
  <c r="AA34" i="8"/>
  <c r="AA79" i="8"/>
  <c r="AA127" i="8"/>
  <c r="AA9" i="8"/>
  <c r="AS10" i="23"/>
  <c r="AA4" i="8"/>
  <c r="AA77" i="8"/>
  <c r="AA65" i="8"/>
  <c r="AA7" i="8"/>
  <c r="AA108" i="8"/>
  <c r="AA40" i="8"/>
  <c r="AA46" i="8"/>
  <c r="AA19" i="8"/>
  <c r="AA138" i="8"/>
  <c r="AA13" i="8"/>
  <c r="AA88" i="8"/>
  <c r="AA89" i="8"/>
  <c r="AA10" i="9"/>
  <c r="AA50" i="8"/>
  <c r="AC3" i="10"/>
  <c r="AA72" i="8"/>
  <c r="AA132" i="8"/>
  <c r="AA144" i="8"/>
  <c r="AA9" i="9"/>
  <c r="AA15" i="8"/>
  <c r="AA81" i="8"/>
  <c r="AA11" i="8"/>
  <c r="AA66" i="8"/>
  <c r="AA16" i="8"/>
  <c r="AA54" i="8"/>
  <c r="AA67" i="8"/>
  <c r="AA126" i="8"/>
  <c r="AA7" i="9"/>
  <c r="AA27" i="8"/>
  <c r="AA109" i="8"/>
  <c r="AC6" i="10"/>
  <c r="AA39" i="8"/>
  <c r="AA116" i="8"/>
  <c r="AA11" i="9"/>
  <c r="AA6" i="9"/>
  <c r="AA96" i="8"/>
  <c r="AA110" i="8"/>
  <c r="AS3" i="23"/>
  <c r="AA25" i="8"/>
  <c r="AA122" i="8"/>
  <c r="AA23" i="8"/>
  <c r="AA107" i="8"/>
  <c r="AA137" i="8"/>
  <c r="AA41" i="8"/>
  <c r="AA61" i="8"/>
  <c r="AA95" i="8"/>
  <c r="AA55" i="8"/>
  <c r="AA143" i="8"/>
  <c r="AA47" i="8"/>
  <c r="AA82" i="8"/>
  <c r="AA123" i="8"/>
  <c r="AA59" i="8"/>
  <c r="AA103" i="8"/>
  <c r="AA6" i="8"/>
  <c r="AA113" i="8"/>
  <c r="AA32" i="8"/>
  <c r="AA20" i="8"/>
  <c r="AA8" i="9"/>
  <c r="AA80" i="8"/>
  <c r="AA43" i="8"/>
  <c r="AA76" i="8"/>
  <c r="AA70" i="8"/>
  <c r="AA98" i="8"/>
  <c r="AA134" i="8"/>
  <c r="AA69" i="8"/>
  <c r="AA56" i="8"/>
  <c r="AA75" i="8"/>
  <c r="AA117" i="8"/>
  <c r="AA14" i="8"/>
  <c r="AA33" i="8"/>
  <c r="AA128" i="8"/>
  <c r="AA68" i="8"/>
  <c r="AA135" i="8"/>
  <c r="AS7" i="23"/>
  <c r="AA63" i="8"/>
  <c r="AA44" i="8"/>
  <c r="AA120" i="8"/>
  <c r="AA49" i="8"/>
  <c r="AA36" i="8"/>
  <c r="AA118" i="8"/>
  <c r="AA104" i="8"/>
  <c r="AS4" i="23"/>
  <c r="AA42" i="8"/>
  <c r="AA102" i="8"/>
</calcChain>
</file>

<file path=xl/sharedStrings.xml><?xml version="1.0" encoding="utf-8"?>
<sst xmlns="http://schemas.openxmlformats.org/spreadsheetml/2006/main" count="20332" uniqueCount="1340">
  <si>
    <t>התחלת טבלה</t>
  </si>
  <si>
    <t>סוף צידי קובץ</t>
  </si>
  <si>
    <t>קובץ דיווח עבור רשימת נכסים ברמת הנכס הבודד (חוזר גופים מוסדיים 2015-9-14)</t>
  </si>
  <si>
    <t/>
  </si>
  <si>
    <t>סוף צידי טבלה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</si>
  <si>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</si>
  <si>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</si>
  <si>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</si>
  <si>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</si>
  <si>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</si>
  <si>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 xml:space="preserve">01 </t>
  </si>
  <si>
    <t>יש לבחור את שנת הדיווח:</t>
  </si>
  <si>
    <t xml:space="preserve">2024 </t>
  </si>
  <si>
    <t>יש לבחור את הגוף המוסדי:</t>
  </si>
  <si>
    <t>קופת תגמולים של עובדי אל על נתיבי אוויר לישראל בע"מ אגודה שיתופית</t>
  </si>
  <si>
    <t>ח.פ. הגוף המוסדי:</t>
  </si>
  <si>
    <t xml:space="preserve">570011767        </t>
  </si>
  <si>
    <t>שם הקובץ לשמירה</t>
  </si>
  <si>
    <t>פרטי האחראי על הדיווח בגוף המוסדי</t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</si>
  <si>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</si>
  <si>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</si>
  <si>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</si>
  <si>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</si>
  <si>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</si>
  <si>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סוף טבלה</t>
  </si>
  <si>
    <t>סוף מידע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</si>
  <si>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</si>
  <si>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</si>
  <si>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</si>
  <si>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</si>
  <si>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</si>
  <si>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</si>
  <si>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</si>
  <si>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</si>
  <si>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</si>
  <si>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</si>
  <si>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</si>
  <si>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</si>
  <si>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</si>
  <si>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</si>
  <si>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</si>
  <si>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</si>
  <si>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</si>
  <si>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</si>
  <si>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</si>
  <si>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</si>
  <si>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</si>
  <si>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</si>
  <si>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</si>
  <si>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</si>
  <si>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</si>
  <si>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</si>
  <si>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</si>
  <si>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</si>
  <si>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</si>
  <si>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</si>
  <si>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</si>
  <si>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</si>
  <si>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</si>
  <si>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</si>
  <si>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</si>
  <si>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</si>
  <si>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</si>
  <si>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</si>
  <si>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</si>
  <si>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</si>
  <si>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</si>
  <si>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</si>
  <si>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</si>
  <si>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</si>
  <si>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</si>
  <si>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</si>
  <si>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</si>
  <si>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</si>
  <si>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</si>
  <si>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 ש"ח)</t>
  </si>
  <si>
    <t>שיעור מנכסי אפיק ההשקעה</t>
  </si>
  <si>
    <t>שיעור מסך נכסי ההשקעה</t>
  </si>
  <si>
    <t xml:space="preserve">1526 </t>
  </si>
  <si>
    <t xml:space="preserve">1476 </t>
  </si>
  <si>
    <t>12-509</t>
  </si>
  <si>
    <t>סימול בנק</t>
  </si>
  <si>
    <t>פח"ק/פר"י</t>
  </si>
  <si>
    <t>ישראל</t>
  </si>
  <si>
    <t>לא</t>
  </si>
  <si>
    <t>ilAA+</t>
  </si>
  <si>
    <t>מעלות S&amp;P</t>
  </si>
  <si>
    <t>שקל חדש</t>
  </si>
  <si>
    <t>מזומן ועו"ש בש"ח</t>
  </si>
  <si>
    <t>מזומן ועו"ש נקוב במט"ח</t>
  </si>
  <si>
    <t>אירו</t>
  </si>
  <si>
    <t>דולר אמריקאי</t>
  </si>
  <si>
    <t>פרנק שווצרי</t>
  </si>
  <si>
    <t>יואן סיני</t>
  </si>
  <si>
    <t xml:space="preserve">9755 </t>
  </si>
  <si>
    <t>לירה שטרלינג</t>
  </si>
  <si>
    <t xml:space="preserve">9756 </t>
  </si>
  <si>
    <t>דולר אוסטרלי</t>
  </si>
  <si>
    <t xml:space="preserve">9930 </t>
  </si>
  <si>
    <t>דולר הונג קונג</t>
  </si>
  <si>
    <t xml:space="preserve">206 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</si>
  <si>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</si>
  <si>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</si>
  <si>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</si>
  <si>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</si>
  <si>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</si>
  <si>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</si>
  <si>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</si>
  <si>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</si>
  <si>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</si>
  <si>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</si>
  <si>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</si>
  <si>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</si>
  <si>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</si>
  <si>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</si>
  <si>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</si>
  <si>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</si>
  <si>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צמוד למדד המחירים לצרכן בריבית קבועה</t>
  </si>
  <si>
    <t>TASE</t>
  </si>
  <si>
    <t>RF</t>
  </si>
  <si>
    <t>NR</t>
  </si>
  <si>
    <t>30/05/2036</t>
  </si>
  <si>
    <t>ממשל שקלית 0142</t>
  </si>
  <si>
    <t>לא צמוד למדד המחירים לצרכן ריבית קבועה</t>
  </si>
  <si>
    <t>31/01/2042</t>
  </si>
  <si>
    <t>ממשל שקלית 0825</t>
  </si>
  <si>
    <t>31/08/2025</t>
  </si>
  <si>
    <t>ממשל שקלית 0327</t>
  </si>
  <si>
    <t>31/03/2027</t>
  </si>
  <si>
    <t>ממשל שקלית 0347</t>
  </si>
  <si>
    <t>31/03/2047</t>
  </si>
  <si>
    <t>ממשל צמודה 0527</t>
  </si>
  <si>
    <t>31/05/2027</t>
  </si>
  <si>
    <t>ממשל שקלית 0928</t>
  </si>
  <si>
    <t>28/09/2028</t>
  </si>
  <si>
    <t>ממשל צמודה 0529</t>
  </si>
  <si>
    <t>31/05/2029</t>
  </si>
  <si>
    <t>ממשל שקלית 0330</t>
  </si>
  <si>
    <t>31/03/2030</t>
  </si>
  <si>
    <t>ממשל צמודה 0726</t>
  </si>
  <si>
    <t>31/07/2026</t>
  </si>
  <si>
    <t>ממשל שקלית 0432</t>
  </si>
  <si>
    <t>30/04/2032</t>
  </si>
  <si>
    <t>ממשל צמודה 1028</t>
  </si>
  <si>
    <t>31/10/2028</t>
  </si>
  <si>
    <t>ISRAEL 7 1/4 12</t>
  </si>
  <si>
    <t xml:space="preserve">US465138ZR91 </t>
  </si>
  <si>
    <t>נקוב במט"ח</t>
  </si>
  <si>
    <t>חו"ל</t>
  </si>
  <si>
    <t>אחר</t>
  </si>
  <si>
    <t>A2</t>
  </si>
  <si>
    <t>MOODYS</t>
  </si>
  <si>
    <t>15/12/2028</t>
  </si>
  <si>
    <t>UNITED STATES OF AMERICA</t>
  </si>
  <si>
    <t>T 4.125% 07/28</t>
  </si>
  <si>
    <t xml:space="preserve">US91282CHQ78 </t>
  </si>
  <si>
    <t>ארה"ב</t>
  </si>
  <si>
    <t>AMEX</t>
  </si>
  <si>
    <t>Aaa</t>
  </si>
  <si>
    <t>31/07/2028</t>
  </si>
  <si>
    <t>T 3.875% 08/33</t>
  </si>
  <si>
    <t xml:space="preserve">US91282CHT18 </t>
  </si>
  <si>
    <t>15/08/2033</t>
  </si>
  <si>
    <t>ממשל שקלית 0229</t>
  </si>
  <si>
    <t>28/02/2029</t>
  </si>
  <si>
    <t>B ZCP 10/24</t>
  </si>
  <si>
    <t xml:space="preserve">US912797HE00 </t>
  </si>
  <si>
    <t>31/10/2024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</si>
  <si>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</si>
  <si>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</si>
  <si>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</si>
  <si>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</si>
  <si>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</si>
  <si>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</si>
  <si>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</si>
  <si>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</si>
  <si>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</si>
  <si>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</si>
  <si>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</si>
  <si>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JPMORGAN CHASE</t>
  </si>
  <si>
    <t xml:space="preserve">99374 </t>
  </si>
  <si>
    <t>JPM 4.08 04/26/26</t>
  </si>
  <si>
    <t xml:space="preserve">US46647PCZ71 </t>
  </si>
  <si>
    <t>ISIN</t>
  </si>
  <si>
    <t>צמוד למט"ח</t>
  </si>
  <si>
    <t>סחיר</t>
  </si>
  <si>
    <t>Banks</t>
  </si>
  <si>
    <t>A-</t>
  </si>
  <si>
    <t>S&amp;P</t>
  </si>
  <si>
    <t>נייר ערך</t>
  </si>
  <si>
    <t>26/04/2026</t>
  </si>
  <si>
    <t>החוב לא נחות</t>
  </si>
  <si>
    <t>גירון פיתוח</t>
  </si>
  <si>
    <t xml:space="preserve">520044520 </t>
  </si>
  <si>
    <t>ח.פ.</t>
  </si>
  <si>
    <t>גירון אגח ו</t>
  </si>
  <si>
    <t>צמוד למדד המחירים לצרכן</t>
  </si>
  <si>
    <t>נדל"ן מניב בישראל</t>
  </si>
  <si>
    <t>A1.il</t>
  </si>
  <si>
    <t>מידרוג Moodys</t>
  </si>
  <si>
    <t>31/12/2025</t>
  </si>
  <si>
    <t>דמרי</t>
  </si>
  <si>
    <t xml:space="preserve">511399388 </t>
  </si>
  <si>
    <t>דמרי אגח ט</t>
  </si>
  <si>
    <t>לא צמוד למדד המחירים לצרכן</t>
  </si>
  <si>
    <t>בנייה</t>
  </si>
  <si>
    <t>31/12/2027</t>
  </si>
  <si>
    <t>מיטב דש השקעות בע"מ</t>
  </si>
  <si>
    <t xml:space="preserve">520043795 </t>
  </si>
  <si>
    <t>מיטב דש אגח ג</t>
  </si>
  <si>
    <t>שרותים פיננסיים</t>
  </si>
  <si>
    <t>10/12/2025</t>
  </si>
  <si>
    <t>אנלייט אנרגיה</t>
  </si>
  <si>
    <t xml:space="preserve">520041146 </t>
  </si>
  <si>
    <t>אנלייט אנ אגח ד</t>
  </si>
  <si>
    <t>אנרגיה מתחדשת</t>
  </si>
  <si>
    <t>A2.il</t>
  </si>
  <si>
    <t>02/09/2029</t>
  </si>
  <si>
    <t>אנלייט אנר אגחו</t>
  </si>
  <si>
    <t>01/09/2026</t>
  </si>
  <si>
    <t>דור אלון</t>
  </si>
  <si>
    <t xml:space="preserve">520043878 </t>
  </si>
  <si>
    <t>דור אלון אגח ז</t>
  </si>
  <si>
    <t>אנרגיה</t>
  </si>
  <si>
    <t>30/09/2027</t>
  </si>
  <si>
    <t xml:space="preserve">פתאל נכסים אירופה </t>
  </si>
  <si>
    <t xml:space="preserve">515328250 </t>
  </si>
  <si>
    <t>פתאל אגח ג</t>
  </si>
  <si>
    <t>נדל"ן מניב בחו"ל</t>
  </si>
  <si>
    <t>30/08/2027</t>
  </si>
  <si>
    <t>פתאל החזקות</t>
  </si>
  <si>
    <t xml:space="preserve">512607888 </t>
  </si>
  <si>
    <t>פתאל החז אגח ב</t>
  </si>
  <si>
    <t>מלונאות ותיירות</t>
  </si>
  <si>
    <t>31/12/2026</t>
  </si>
  <si>
    <t>בית זיקוק אשדוד</t>
  </si>
  <si>
    <t xml:space="preserve">513775163 </t>
  </si>
  <si>
    <t>בית זיקוק אגח 2</t>
  </si>
  <si>
    <t>A3.il</t>
  </si>
  <si>
    <t>30/04/2029</t>
  </si>
  <si>
    <t>שוב אנרגיה</t>
  </si>
  <si>
    <t xml:space="preserve">510459928 </t>
  </si>
  <si>
    <t>שוב אנרגיה אגחא</t>
  </si>
  <si>
    <t>30/06/2034</t>
  </si>
  <si>
    <t>חברת החשמל לישראל בע"מ</t>
  </si>
  <si>
    <t xml:space="preserve">520000472 </t>
  </si>
  <si>
    <t>חשמל אגח 33</t>
  </si>
  <si>
    <t>Aa1.il</t>
  </si>
  <si>
    <t>עזריאלי קבוצה</t>
  </si>
  <si>
    <t xml:space="preserve">510960719 </t>
  </si>
  <si>
    <t>עזריאלי אגח ה</t>
  </si>
  <si>
    <t>30/06/2028</t>
  </si>
  <si>
    <t>הראל השקעות</t>
  </si>
  <si>
    <t xml:space="preserve">520033986 </t>
  </si>
  <si>
    <t>הראל השק אגח א</t>
  </si>
  <si>
    <t>ביטוח</t>
  </si>
  <si>
    <t>Aa2.il</t>
  </si>
  <si>
    <t>31/12/2035</t>
  </si>
  <si>
    <t>ישרס</t>
  </si>
  <si>
    <t xml:space="preserve">520017807 </t>
  </si>
  <si>
    <t>ישרס אגח יד</t>
  </si>
  <si>
    <t>Aa3.il</t>
  </si>
  <si>
    <t>01/03/2027</t>
  </si>
  <si>
    <t>DELL</t>
  </si>
  <si>
    <t xml:space="preserve">99998 </t>
  </si>
  <si>
    <t>DELL 5 1/4 02/01/28</t>
  </si>
  <si>
    <t xml:space="preserve">US24703DBJ90 </t>
  </si>
  <si>
    <t>Technology Hardware &amp; Equipment</t>
  </si>
  <si>
    <t>BBB</t>
  </si>
  <si>
    <t>01/02/2028</t>
  </si>
  <si>
    <t>GENERAL MOTORS</t>
  </si>
  <si>
    <t xml:space="preserve">98756 </t>
  </si>
  <si>
    <t>GM 4.35 04/09/25</t>
  </si>
  <si>
    <t xml:space="preserve">US37045XCK00 </t>
  </si>
  <si>
    <t>Automobiles &amp; Components</t>
  </si>
  <si>
    <t>09/04/2025</t>
  </si>
  <si>
    <t>BOEING</t>
  </si>
  <si>
    <t xml:space="preserve">99107 </t>
  </si>
  <si>
    <t>BA 2.196 02/04/26</t>
  </si>
  <si>
    <t xml:space="preserve">US097023DG73 </t>
  </si>
  <si>
    <t>BBB-</t>
  </si>
  <si>
    <t>04/02/2026</t>
  </si>
  <si>
    <t>CITIGROUP</t>
  </si>
  <si>
    <t xml:space="preserve">99201 </t>
  </si>
  <si>
    <t>C 4.14 05/24/25</t>
  </si>
  <si>
    <t xml:space="preserve">US172967NQ03 </t>
  </si>
  <si>
    <t>BBB+</t>
  </si>
  <si>
    <t>24/05/2025</t>
  </si>
  <si>
    <t>DR HORTON</t>
  </si>
  <si>
    <t xml:space="preserve">97191 </t>
  </si>
  <si>
    <t>DHI 2.6 10/15/25</t>
  </si>
  <si>
    <t xml:space="preserve">US23331ABN81 </t>
  </si>
  <si>
    <t>Real Estate</t>
  </si>
  <si>
    <t>15/10/2025</t>
  </si>
  <si>
    <t>אנרגיקס</t>
  </si>
  <si>
    <t xml:space="preserve">513901371 </t>
  </si>
  <si>
    <t>אנרג'יקס אגח א</t>
  </si>
  <si>
    <t>ilA</t>
  </si>
  <si>
    <t>01/08/2030</t>
  </si>
  <si>
    <t>אשטרום קבוצה</t>
  </si>
  <si>
    <t xml:space="preserve">510381601 </t>
  </si>
  <si>
    <t>אשטרום קבוצה אגח ג</t>
  </si>
  <si>
    <t>15/01/2029</t>
  </si>
  <si>
    <t>ג'י סיטי בעמ</t>
  </si>
  <si>
    <t xml:space="preserve">520033234 </t>
  </si>
  <si>
    <t>ג'י סיטי אגח יב</t>
  </si>
  <si>
    <t>ilA-</t>
  </si>
  <si>
    <t>30/06/2027</t>
  </si>
  <si>
    <t>הכשרת הישוב בישראל בע"מ</t>
  </si>
  <si>
    <t xml:space="preserve">520020116 </t>
  </si>
  <si>
    <t>הכשרת ישוב אגח 22</t>
  </si>
  <si>
    <t>אלקטרה</t>
  </si>
  <si>
    <t xml:space="preserve">520028911 </t>
  </si>
  <si>
    <t>אלקטרה אגח ד</t>
  </si>
  <si>
    <t>השקעה ואחזקות</t>
  </si>
  <si>
    <t>ilA+</t>
  </si>
  <si>
    <t>30/06/2026</t>
  </si>
  <si>
    <t>אלקטרה אגח ה</t>
  </si>
  <si>
    <t>10/01/2031</t>
  </si>
  <si>
    <t>בתי זיקוק</t>
  </si>
  <si>
    <t xml:space="preserve">520036658 </t>
  </si>
  <si>
    <t>בזן אגח י</t>
  </si>
  <si>
    <t>25/09/2031</t>
  </si>
  <si>
    <t>חברה לישראל</t>
  </si>
  <si>
    <t xml:space="preserve">520028010 </t>
  </si>
  <si>
    <t>חברה לישראל אגח 14</t>
  </si>
  <si>
    <t>מגה אור</t>
  </si>
  <si>
    <t xml:space="preserve">513257873 </t>
  </si>
  <si>
    <t>מגה אור אגח ז</t>
  </si>
  <si>
    <t>סלקום</t>
  </si>
  <si>
    <t xml:space="preserve">511930125 </t>
  </si>
  <si>
    <t>סלקום אגח יב</t>
  </si>
  <si>
    <t>תקשורת ומדיה</t>
  </si>
  <si>
    <t>05/01/2028</t>
  </si>
  <si>
    <t>פז נפט</t>
  </si>
  <si>
    <t xml:space="preserve">510216054 </t>
  </si>
  <si>
    <t>פז נפט אגח ו</t>
  </si>
  <si>
    <t>30/11/2028</t>
  </si>
  <si>
    <t>פרטנר</t>
  </si>
  <si>
    <t xml:space="preserve">520044314 </t>
  </si>
  <si>
    <t>פרטנר אגח ז</t>
  </si>
  <si>
    <t>25/06/2026</t>
  </si>
  <si>
    <t>אמות</t>
  </si>
  <si>
    <t xml:space="preserve">520026683 </t>
  </si>
  <si>
    <t>אמות אגח ד</t>
  </si>
  <si>
    <t>ilAA</t>
  </si>
  <si>
    <t>02/07/2028</t>
  </si>
  <si>
    <t>איירפורט סיטי</t>
  </si>
  <si>
    <t xml:space="preserve">511659401 </t>
  </si>
  <si>
    <t>ארפורט אגח ה</t>
  </si>
  <si>
    <t>גב ים</t>
  </si>
  <si>
    <t xml:space="preserve">520001736 </t>
  </si>
  <si>
    <t>גב ים אגח ט</t>
  </si>
  <si>
    <t>30/06/2033</t>
  </si>
  <si>
    <t>מבנה</t>
  </si>
  <si>
    <t xml:space="preserve">520024126 </t>
  </si>
  <si>
    <t>מבני תעש אגח כג</t>
  </si>
  <si>
    <t>31/12/2030</t>
  </si>
  <si>
    <t>מליסרון</t>
  </si>
  <si>
    <t xml:space="preserve">520037789 </t>
  </si>
  <si>
    <t>מליסרון אגח יא</t>
  </si>
  <si>
    <t>10/07/2025</t>
  </si>
  <si>
    <t>מליסרון אגח יד</t>
  </si>
  <si>
    <t>27/04/2026</t>
  </si>
  <si>
    <t>מליסרון אגח יז</t>
  </si>
  <si>
    <t>01/01/2032</t>
  </si>
  <si>
    <t>מליסרון אגח יח</t>
  </si>
  <si>
    <t>מליסרון אגח יט</t>
  </si>
  <si>
    <t>01/07/2029</t>
  </si>
  <si>
    <t>מליסרון אגח כ</t>
  </si>
  <si>
    <t>01/07/2030</t>
  </si>
  <si>
    <t>אלוני חץ</t>
  </si>
  <si>
    <t xml:space="preserve">520038506 </t>
  </si>
  <si>
    <t>אלוני חץ אגח ט</t>
  </si>
  <si>
    <t>ilAA-</t>
  </si>
  <si>
    <t>28/02/2027</t>
  </si>
  <si>
    <t>אלוני חץ אגח טו</t>
  </si>
  <si>
    <t>01/03/2037</t>
  </si>
  <si>
    <t>בזק</t>
  </si>
  <si>
    <t xml:space="preserve">520031931 </t>
  </si>
  <si>
    <t>בזק אגח 10</t>
  </si>
  <si>
    <t>01/12/2025</t>
  </si>
  <si>
    <t>הראל הנפקות</t>
  </si>
  <si>
    <t xml:space="preserve">513834200 </t>
  </si>
  <si>
    <t>הראל הנפ אגח יט</t>
  </si>
  <si>
    <t>31/12/2032</t>
  </si>
  <si>
    <t>יוניברסל מוטורס</t>
  </si>
  <si>
    <t xml:space="preserve">511809071 </t>
  </si>
  <si>
    <t>יוניברסל אגח ד</t>
  </si>
  <si>
    <t>מסחר</t>
  </si>
  <si>
    <t>11/02/2029</t>
  </si>
  <si>
    <t>רבוע כחול נדלן</t>
  </si>
  <si>
    <t xml:space="preserve">513765859 </t>
  </si>
  <si>
    <t>רבוע נדלן אגח ו</t>
  </si>
  <si>
    <t>30/11/2026</t>
  </si>
  <si>
    <t>עזריאלי אגח ז</t>
  </si>
  <si>
    <t>02/07/2036</t>
  </si>
  <si>
    <t>דיסקונט מנפיקים</t>
  </si>
  <si>
    <t xml:space="preserve">520029935 </t>
  </si>
  <si>
    <t>דיסק מנ אגח טז</t>
  </si>
  <si>
    <t>בנקים</t>
  </si>
  <si>
    <t>ilAAA</t>
  </si>
  <si>
    <t>20/03/2035</t>
  </si>
  <si>
    <t>לאומי</t>
  </si>
  <si>
    <t xml:space="preserve">520018078 </t>
  </si>
  <si>
    <t>לאומי אגח 186</t>
  </si>
  <si>
    <t>30/11/2033</t>
  </si>
  <si>
    <t>מזרחי טפחות הנפ</t>
  </si>
  <si>
    <t xml:space="preserve">520032046 </t>
  </si>
  <si>
    <t>מז טפ הנ אגח 68</t>
  </si>
  <si>
    <t>25/12/2033</t>
  </si>
  <si>
    <t>תמר פטרוליום</t>
  </si>
  <si>
    <t xml:space="preserve">515334662 </t>
  </si>
  <si>
    <t>תמר פטרו אגח א</t>
  </si>
  <si>
    <t>חיפושי נפט וגז</t>
  </si>
  <si>
    <t>30/08/2028</t>
  </si>
  <si>
    <t>חשמל אגח 31</t>
  </si>
  <si>
    <t>21/09/2031</t>
  </si>
  <si>
    <t>נכסים ובנין</t>
  </si>
  <si>
    <t xml:space="preserve">520025438 </t>
  </si>
  <si>
    <t>נכסים ובנין אגח ד</t>
  </si>
  <si>
    <t>ג'י סיטי אגח יא</t>
  </si>
  <si>
    <t>30/09/2024</t>
  </si>
  <si>
    <t>פז נפט אגח ד</t>
  </si>
  <si>
    <t>31/05/2024</t>
  </si>
  <si>
    <t>פז נפט אגח ז</t>
  </si>
  <si>
    <t>01/12/2030</t>
  </si>
  <si>
    <t>שפיר הנדסה</t>
  </si>
  <si>
    <t xml:space="preserve">514892801 </t>
  </si>
  <si>
    <t>שפיר הנדסה אגח א</t>
  </si>
  <si>
    <t>מתכת ומוצרי בניה</t>
  </si>
  <si>
    <t>01/04/2025</t>
  </si>
  <si>
    <t>1 ריט</t>
  </si>
  <si>
    <t xml:space="preserve">513821488 </t>
  </si>
  <si>
    <t>ריט 1 אגח ה</t>
  </si>
  <si>
    <t>20/09/2028</t>
  </si>
  <si>
    <t>הראל הנפ אגח טז</t>
  </si>
  <si>
    <t>לאומי אגח 179</t>
  </si>
  <si>
    <t>מז טפ הנ אגח 62</t>
  </si>
  <si>
    <t>22/10/2028</t>
  </si>
  <si>
    <t>מז טפ הנ אגח 67</t>
  </si>
  <si>
    <t>12/06/2033</t>
  </si>
  <si>
    <t>מז טפ הנפק 45</t>
  </si>
  <si>
    <t>29/09/2024</t>
  </si>
  <si>
    <t>תמר פטרו אגח ב</t>
  </si>
  <si>
    <t>חברת חשמל אגח 27</t>
  </si>
  <si>
    <t>12/04/2029</t>
  </si>
  <si>
    <t>חשמל אגח 29</t>
  </si>
  <si>
    <t>01/03/2026</t>
  </si>
  <si>
    <t>עזריאלי אגח ד</t>
  </si>
  <si>
    <t>05/07/2030</t>
  </si>
  <si>
    <t>ARGENTUM NETHERLANDS BV</t>
  </si>
  <si>
    <t xml:space="preserve">997573 </t>
  </si>
  <si>
    <t>SRENVX 5 5/8 08/15/52</t>
  </si>
  <si>
    <t xml:space="preserve">XS1423777215 </t>
  </si>
  <si>
    <t>הולנד</t>
  </si>
  <si>
    <t>ISE</t>
  </si>
  <si>
    <t>Insurance</t>
  </si>
  <si>
    <t>הכשרת ישוב אגח 21</t>
  </si>
  <si>
    <t>שיכון ובינוי</t>
  </si>
  <si>
    <t xml:space="preserve">520036104 </t>
  </si>
  <si>
    <t>שכון ובינוי אגח 8</t>
  </si>
  <si>
    <t>01/05/2029</t>
  </si>
  <si>
    <t>סלקום אגח ט</t>
  </si>
  <si>
    <t>06/07/2025</t>
  </si>
  <si>
    <t>ישרס אגח טו</t>
  </si>
  <si>
    <t>16/05/2027</t>
  </si>
  <si>
    <t>רבוע נדלן אגח ז</t>
  </si>
  <si>
    <t>שופרסל</t>
  </si>
  <si>
    <t xml:space="preserve">520022732 </t>
  </si>
  <si>
    <t>שופרסל אגח ד</t>
  </si>
  <si>
    <t>רשתות שיווק</t>
  </si>
  <si>
    <t>08/10/2029</t>
  </si>
  <si>
    <t>כללביט</t>
  </si>
  <si>
    <t xml:space="preserve">513754069 </t>
  </si>
  <si>
    <t>כללביט אגח י</t>
  </si>
  <si>
    <t>01/08/2027</t>
  </si>
  <si>
    <t>כללביט אגח יא</t>
  </si>
  <si>
    <t>31/03/2033</t>
  </si>
  <si>
    <t>מז טפ הנפק 46</t>
  </si>
  <si>
    <t>28/09/2027</t>
  </si>
  <si>
    <t>דור אלון אגח ו</t>
  </si>
  <si>
    <t>01/06/2025</t>
  </si>
  <si>
    <t>CENCOSUD S.A.</t>
  </si>
  <si>
    <t xml:space="preserve">97501 </t>
  </si>
  <si>
    <t>CENSUD 6 5/8 02/12/45</t>
  </si>
  <si>
    <t xml:space="preserve">USP2205JAL46 </t>
  </si>
  <si>
    <t>צילה</t>
  </si>
  <si>
    <t>Food Beverage &amp; Tobacco</t>
  </si>
  <si>
    <t>Baa3</t>
  </si>
  <si>
    <t>12/02/2045</t>
  </si>
  <si>
    <t>ANGLO AMERICAN</t>
  </si>
  <si>
    <t xml:space="preserve">98109 </t>
  </si>
  <si>
    <t>AALLN 4 3/4 04/10/27</t>
  </si>
  <si>
    <t xml:space="preserve">USG0446NAL85 </t>
  </si>
  <si>
    <t>בריטניה</t>
  </si>
  <si>
    <t>DAX</t>
  </si>
  <si>
    <t>Other</t>
  </si>
  <si>
    <t>10/04/2027</t>
  </si>
  <si>
    <t>MEXICO GENERADORA DE ENE</t>
  </si>
  <si>
    <t xml:space="preserve">93017 </t>
  </si>
  <si>
    <t>GMEXIB 5 1/2 12/06/32</t>
  </si>
  <si>
    <t xml:space="preserve">USP66208AA02 </t>
  </si>
  <si>
    <t>אמריקה הצפונית</t>
  </si>
  <si>
    <t>Energy</t>
  </si>
  <si>
    <t>פנימי</t>
  </si>
  <si>
    <t>06/12/2032</t>
  </si>
  <si>
    <t>AUSTRALIA AND NEW ZEALAND BANKING GROUP LTD</t>
  </si>
  <si>
    <t xml:space="preserve">99420 </t>
  </si>
  <si>
    <t>ANZ 4.4 05/19/26</t>
  </si>
  <si>
    <t xml:space="preserve">USQ0426RND62 </t>
  </si>
  <si>
    <t>אוסטרליה</t>
  </si>
  <si>
    <t>19/05/2026</t>
  </si>
  <si>
    <t>ISRAEL ELECTRIC CORP</t>
  </si>
  <si>
    <t xml:space="preserve">99189 </t>
  </si>
  <si>
    <t>ISRELE 7 3/4 12/15/27</t>
  </si>
  <si>
    <t xml:space="preserve">US46507WAB63 </t>
  </si>
  <si>
    <t>15/12/2027</t>
  </si>
  <si>
    <t>ISRELE 8.1 12/15/2096</t>
  </si>
  <si>
    <t xml:space="preserve">USM60170AC79 </t>
  </si>
  <si>
    <t>15/12/2096</t>
  </si>
  <si>
    <t>ביג</t>
  </si>
  <si>
    <t xml:space="preserve">513623314 </t>
  </si>
  <si>
    <t>ביג אגח יד</t>
  </si>
  <si>
    <t>30/11/2025</t>
  </si>
  <si>
    <t>שופרסל אגח ו</t>
  </si>
  <si>
    <t>08/10/2028</t>
  </si>
  <si>
    <t>מיטרוניקס</t>
  </si>
  <si>
    <t xml:space="preserve">511527202 </t>
  </si>
  <si>
    <t>מניות</t>
  </si>
  <si>
    <t>רובוטיקה ותלת מימד</t>
  </si>
  <si>
    <t>פורמולה מערכות</t>
  </si>
  <si>
    <t xml:space="preserve">520036690 </t>
  </si>
  <si>
    <t>1 .פורמולה מ.ר</t>
  </si>
  <si>
    <t>שרותי מידע</t>
  </si>
  <si>
    <t>כלל עסקי ביטוח</t>
  </si>
  <si>
    <t xml:space="preserve">520036120 </t>
  </si>
  <si>
    <t>כלל עיסקי ביטוח</t>
  </si>
  <si>
    <t>ניו-מד אנרג'י- שותפות מוגבלת</t>
  </si>
  <si>
    <t xml:space="preserve">550013098 </t>
  </si>
  <si>
    <t>ניו-מד אנרג יהש</t>
  </si>
  <si>
    <t>נייס</t>
  </si>
  <si>
    <t xml:space="preserve">520036872 </t>
  </si>
  <si>
    <t>נייס מערכות</t>
  </si>
  <si>
    <t>תוכנה ואינטרנט</t>
  </si>
  <si>
    <t>הפניקס אחזקות</t>
  </si>
  <si>
    <t xml:space="preserve">520017450 </t>
  </si>
  <si>
    <t>הפניקס</t>
  </si>
  <si>
    <t>מטריקס</t>
  </si>
  <si>
    <t xml:space="preserve">520039413 </t>
  </si>
  <si>
    <t>דיסקונט</t>
  </si>
  <si>
    <t xml:space="preserve">520007030 </t>
  </si>
  <si>
    <t>מזרחי טפחות</t>
  </si>
  <si>
    <t xml:space="preserve">520000522 </t>
  </si>
  <si>
    <t>אלביט מערכות</t>
  </si>
  <si>
    <t xml:space="preserve">520043027 </t>
  </si>
  <si>
    <t>ביטחוניות</t>
  </si>
  <si>
    <t>אלוני-חץ</t>
  </si>
  <si>
    <t>פועלים</t>
  </si>
  <si>
    <t xml:space="preserve">520000118 </t>
  </si>
  <si>
    <t>הפועלים</t>
  </si>
  <si>
    <t>מליסרון מ"ר 1 ש"ח</t>
  </si>
  <si>
    <t>פוקס</t>
  </si>
  <si>
    <t xml:space="preserve">512157603 </t>
  </si>
  <si>
    <t>פוקס-ויזל בע"מ</t>
  </si>
  <si>
    <t>דמרי בניה ופיתוח מ"ר</t>
  </si>
  <si>
    <t>. אנרג'יקס-אנרגיות מתחדשות</t>
  </si>
  <si>
    <t>תדיראן גרופ</t>
  </si>
  <si>
    <t xml:space="preserve">520036732 </t>
  </si>
  <si>
    <t>תדיראן הולדינגס מ"ר 1</t>
  </si>
  <si>
    <t>ישראל קנדה</t>
  </si>
  <si>
    <t xml:space="preserve">520039298 </t>
  </si>
  <si>
    <t>ישראל קנדה מ"ר 1</t>
  </si>
  <si>
    <t>. אנלייט אנרגיה מתחדשת בעמ</t>
  </si>
  <si>
    <t>מניבים ריט</t>
  </si>
  <si>
    <t xml:space="preserve">515327120 </t>
  </si>
  <si>
    <t>מור השקעות</t>
  </si>
  <si>
    <t xml:space="preserve">513834606 </t>
  </si>
  <si>
    <t>טרמינל איקס</t>
  </si>
  <si>
    <t xml:space="preserve">515722536 </t>
  </si>
  <si>
    <t>ALPHABET</t>
  </si>
  <si>
    <t xml:space="preserve">99915 </t>
  </si>
  <si>
    <t>ALPHABET INC-CL A</t>
  </si>
  <si>
    <t xml:space="preserve">US02079K3059 </t>
  </si>
  <si>
    <t>NYSE</t>
  </si>
  <si>
    <t>Telecommunication Services</t>
  </si>
  <si>
    <t>MICROSOFT</t>
  </si>
  <si>
    <t xml:space="preserve">99275 </t>
  </si>
  <si>
    <t>MICROSOFT CORP</t>
  </si>
  <si>
    <t xml:space="preserve">US5949181045 </t>
  </si>
  <si>
    <t>NASDAQ</t>
  </si>
  <si>
    <t>Software &amp; Services</t>
  </si>
  <si>
    <t>JOHNSON &amp; JOHNSON</t>
  </si>
  <si>
    <t xml:space="preserve">99918 </t>
  </si>
  <si>
    <t xml:space="preserve">US4781601046 </t>
  </si>
  <si>
    <t>Pharmaceuticals &amp; Biotechnology</t>
  </si>
  <si>
    <t>אורמת טכנולוגיות</t>
  </si>
  <si>
    <t xml:space="preserve">98659 </t>
  </si>
  <si>
    <t>ORMAT TECHNOLOGIES INC</t>
  </si>
  <si>
    <t xml:space="preserve">US6866881021 </t>
  </si>
  <si>
    <t>WAL-MART STORES</t>
  </si>
  <si>
    <t xml:space="preserve">99324 </t>
  </si>
  <si>
    <t>WALMART INC</t>
  </si>
  <si>
    <t xml:space="preserve">US9311421039 </t>
  </si>
  <si>
    <t>Retailing</t>
  </si>
  <si>
    <t>BANK OF AMERICA</t>
  </si>
  <si>
    <t xml:space="preserve">99204 </t>
  </si>
  <si>
    <t>BANK OF AMERICA CORP</t>
  </si>
  <si>
    <t xml:space="preserve">US0605051046 </t>
  </si>
  <si>
    <t>ORACLE</t>
  </si>
  <si>
    <t xml:space="preserve">98000 </t>
  </si>
  <si>
    <t>ORACLE CORP</t>
  </si>
  <si>
    <t xml:space="preserve">US68389X1054 </t>
  </si>
  <si>
    <t>VISA</t>
  </si>
  <si>
    <t xml:space="preserve">98108 </t>
  </si>
  <si>
    <t>VISA INC-CLASS A SHARES</t>
  </si>
  <si>
    <t xml:space="preserve">US92826C8394 </t>
  </si>
  <si>
    <t>Diversified Financials</t>
  </si>
  <si>
    <t>NVIDIA CORP</t>
  </si>
  <si>
    <t xml:space="preserve">99456 </t>
  </si>
  <si>
    <t xml:space="preserve">US67066G1040 </t>
  </si>
  <si>
    <t>Semiconductors &amp; Semiconductor Equipment</t>
  </si>
  <si>
    <t>SAMSUNG</t>
  </si>
  <si>
    <t xml:space="preserve">99868 </t>
  </si>
  <si>
    <t>SAMSUNG ELECTR-GDR REG S</t>
  </si>
  <si>
    <t xml:space="preserve">US7960508882 </t>
  </si>
  <si>
    <t>דרום קוראה</t>
  </si>
  <si>
    <t>LSE</t>
  </si>
  <si>
    <t>AMAZON.COM</t>
  </si>
  <si>
    <t xml:space="preserve">99122 </t>
  </si>
  <si>
    <t>AMAZON.COM INC</t>
  </si>
  <si>
    <t xml:space="preserve">US0231351067 </t>
  </si>
  <si>
    <t>נובה</t>
  </si>
  <si>
    <t xml:space="preserve">2177 </t>
  </si>
  <si>
    <t>NOVA LTD</t>
  </si>
  <si>
    <t xml:space="preserve">IL0010845571 </t>
  </si>
  <si>
    <t>ASML HOLDINGS</t>
  </si>
  <si>
    <t xml:space="preserve">98565 </t>
  </si>
  <si>
    <t>ASML HOLDING NV-NY REG SHS</t>
  </si>
  <si>
    <t xml:space="preserve">USN070592100 </t>
  </si>
  <si>
    <t>TESLA</t>
  </si>
  <si>
    <t xml:space="preserve">97979 </t>
  </si>
  <si>
    <t>TESLA MOTORS INC</t>
  </si>
  <si>
    <t xml:space="preserve">US88160R1014 </t>
  </si>
  <si>
    <t>PAYPAL</t>
  </si>
  <si>
    <t xml:space="preserve">97912 </t>
  </si>
  <si>
    <t>PAYPAL HOLDINGS INC</t>
  </si>
  <si>
    <t xml:space="preserve">US70450Y1038 </t>
  </si>
  <si>
    <t>MASTERCARD</t>
  </si>
  <si>
    <t xml:space="preserve">98509 </t>
  </si>
  <si>
    <t>MASTERCARD INC - A</t>
  </si>
  <si>
    <t xml:space="preserve">US57636Q1040 </t>
  </si>
  <si>
    <t>COSTCO WHOLESALE CORP</t>
  </si>
  <si>
    <t xml:space="preserve">98906 </t>
  </si>
  <si>
    <t xml:space="preserve">US22160K1051 </t>
  </si>
  <si>
    <t xml:space="preserve">FIVERR INTERNATIONAL </t>
  </si>
  <si>
    <t xml:space="preserve">2328 </t>
  </si>
  <si>
    <t>FIVERR INTERNATIONAL LTD</t>
  </si>
  <si>
    <t xml:space="preserve">IL0011582033 </t>
  </si>
  <si>
    <t>ADVANCED MICRO DEVICES</t>
  </si>
  <si>
    <t xml:space="preserve">97676 </t>
  </si>
  <si>
    <t xml:space="preserve">US0079031078 </t>
  </si>
  <si>
    <t>קמטק</t>
  </si>
  <si>
    <t xml:space="preserve">2174 </t>
  </si>
  <si>
    <t>CAMTEK LTD</t>
  </si>
  <si>
    <t xml:space="preserve">IL0010952641 </t>
  </si>
  <si>
    <t>Household &amp; Personal Products</t>
  </si>
  <si>
    <t>JD.COM</t>
  </si>
  <si>
    <t xml:space="preserve">997692 </t>
  </si>
  <si>
    <t>JD.COM INC-CLASS A</t>
  </si>
  <si>
    <t xml:space="preserve">KYG8208B1014 </t>
  </si>
  <si>
    <t>סין</t>
  </si>
  <si>
    <t>HKSE</t>
  </si>
  <si>
    <t>SHELL PLC</t>
  </si>
  <si>
    <t xml:space="preserve">98258 </t>
  </si>
  <si>
    <t xml:space="preserve">GB00BP6MXD84 </t>
  </si>
  <si>
    <t>NUTRIEN LTD</t>
  </si>
  <si>
    <t xml:space="preserve">94162 </t>
  </si>
  <si>
    <t xml:space="preserve">CA67077M1086 </t>
  </si>
  <si>
    <t>קנדה</t>
  </si>
  <si>
    <t>Materials</t>
  </si>
  <si>
    <t>BROADCOM CORP</t>
  </si>
  <si>
    <t xml:space="preserve">99119 </t>
  </si>
  <si>
    <t>BROADCOM INC</t>
  </si>
  <si>
    <t xml:space="preserve">US11135F1012 </t>
  </si>
  <si>
    <t xml:space="preserve">97149 </t>
  </si>
  <si>
    <t>META PLATFORMS INC-CLASS A</t>
  </si>
  <si>
    <t xml:space="preserve">US30303M1027 </t>
  </si>
  <si>
    <t>ALPHABET INC-CL C</t>
  </si>
  <si>
    <t xml:space="preserve">US02079K1079 </t>
  </si>
  <si>
    <t>PALO ALTO NETWORKS</t>
  </si>
  <si>
    <t xml:space="preserve">97141 </t>
  </si>
  <si>
    <t>PALO ALTO NETWORKS INC</t>
  </si>
  <si>
    <t xml:space="preserve">US6974351057 </t>
  </si>
  <si>
    <t>בינלאומי</t>
  </si>
  <si>
    <t xml:space="preserve">520029083 </t>
  </si>
  <si>
    <t>הבנק הבינלאומי</t>
  </si>
  <si>
    <t>איי.סי.אל</t>
  </si>
  <si>
    <t xml:space="preserve">520027830 </t>
  </si>
  <si>
    <t>כימיה גומי ופלסטיק</t>
  </si>
  <si>
    <t>סיווג הקרן</t>
  </si>
  <si>
    <t>קסם קרנות נאמנות</t>
  </si>
  <si>
    <t xml:space="preserve">510938608 </t>
  </si>
  <si>
    <t>) תל בונד 6000) יETF קסם</t>
  </si>
  <si>
    <t>עוקב אחר מדדים אחרים בישראל</t>
  </si>
  <si>
    <t>אג"ח בארץ - חברות והמרה-תל בונד צמוד מדד-תל בונד צ</t>
  </si>
  <si>
    <t>מיטב ניהול קרנות נאמנות</t>
  </si>
  <si>
    <t xml:space="preserve">513534974 </t>
  </si>
  <si>
    <t>) תל בונד תשואות00) תכלית סל</t>
  </si>
  <si>
    <t>) תל בונד צמודות-בנקים00) יETF קסם</t>
  </si>
  <si>
    <t>הראל קרנות מדד</t>
  </si>
  <si>
    <t xml:space="preserve">511776783 </t>
  </si>
  <si>
    <t>הרל.תל בונד שקלי</t>
  </si>
  <si>
    <t>אג"ח בארץ - חברות והמרה-תל בונד שקלי-תל בונד- שקלי</t>
  </si>
  <si>
    <t>) תל בונד שקלי 5000) יETF קסם</t>
  </si>
  <si>
    <t>ISHARES INC</t>
  </si>
  <si>
    <t xml:space="preserve">99341 </t>
  </si>
  <si>
    <t>ISHARES USD SHORT DUR USD A</t>
  </si>
  <si>
    <t xml:space="preserve">IE00BYXYYP94 </t>
  </si>
  <si>
    <t>עוקב אחר מדדים אחרים בחו"ל</t>
  </si>
  <si>
    <t>Bond/Fixed Income Funds</t>
  </si>
  <si>
    <t>ISHARES USD CORP BOND USD A</t>
  </si>
  <si>
    <t xml:space="preserve">IE00BYXYYJ35 </t>
  </si>
  <si>
    <t>VANGUARD GROUP</t>
  </si>
  <si>
    <t xml:space="preserve">99237 </t>
  </si>
  <si>
    <t>Vanguard USD Corporate Bond UC</t>
  </si>
  <si>
    <t xml:space="preserve">IE00BGYWFK87 </t>
  </si>
  <si>
    <t>SPDR TRUST</t>
  </si>
  <si>
    <t xml:space="preserve">99343 </t>
  </si>
  <si>
    <t>SPDR BLOOMBERG SASB US CORP</t>
  </si>
  <si>
    <t xml:space="preserve">IE00BLF7VX27 </t>
  </si>
  <si>
    <t>Indxx US Industrial R )י4D) תכלית סל</t>
  </si>
  <si>
    <t>עוקב אחר מדדי מניות בחו"ל</t>
  </si>
  <si>
    <t>מניות בחו"ל - מניות לפי ענפים בחו"ל - חשופת מט"ח-ע</t>
  </si>
  <si>
    <t>מגדל קרנות נאמנות בע"מ</t>
  </si>
  <si>
    <t xml:space="preserve">511303661 </t>
  </si>
  <si>
    <t>) ת"א 904Aסל )mtf</t>
  </si>
  <si>
    <t>עוקב אחר מדדי מניות בישראל</t>
  </si>
  <si>
    <t>90 מניות בארץ - מניות כללי-ת"א</t>
  </si>
  <si>
    <t>מור ניהול קרנות נאמנות</t>
  </si>
  <si>
    <t xml:space="preserve">514884485 </t>
  </si>
  <si>
    <t>) מנוטרלת מטחS&amp;P 500(4A מור סל</t>
  </si>
  <si>
    <t>S&amp;P 500 - מניות בחו"ל - מניות גיאוגרפי - מנוטרלת מ</t>
  </si>
  <si>
    <t>(NASDAQ 100 (4D מור סל</t>
  </si>
  <si>
    <t>NASDAQ 100 - מניות בחו"ל - מניות גיאוגרפי - חשופת</t>
  </si>
  <si>
    <t>) מנוטרלת מט"חNASDAQ 100 (4A מור סל</t>
  </si>
  <si>
    <t>NASDAQ 100 - מניות בחו"ל - מניות גיאוגרפי - מנוטרל</t>
  </si>
  <si>
    <t>ISHARES CHINA LARGE-CAP ETF</t>
  </si>
  <si>
    <t xml:space="preserve">US4642871846 </t>
  </si>
  <si>
    <t>Equity Funds</t>
  </si>
  <si>
    <t>VANECK VECTORS</t>
  </si>
  <si>
    <t xml:space="preserve">5391 </t>
  </si>
  <si>
    <t>VANECK SEMICONDUCTOR ETF</t>
  </si>
  <si>
    <t xml:space="preserve">US92189F6768 </t>
  </si>
  <si>
    <t>INVESCO</t>
  </si>
  <si>
    <t xml:space="preserve">97153 </t>
  </si>
  <si>
    <t>INVESCO QQQ TRUST SERIES 1</t>
  </si>
  <si>
    <t xml:space="preserve">US46090E1038 </t>
  </si>
  <si>
    <t>SPDR S&amp;P 500 ETF TRUST</t>
  </si>
  <si>
    <t xml:space="preserve">US78462F1030 </t>
  </si>
  <si>
    <t>TECHNOLOGY SELECT SECT SPDR</t>
  </si>
  <si>
    <t xml:space="preserve">US81369Y8030 </t>
  </si>
  <si>
    <t>ISHARES DJ EURO STOXX 50 DE</t>
  </si>
  <si>
    <t xml:space="preserve">DE0005933956 </t>
  </si>
  <si>
    <t>אירופה</t>
  </si>
  <si>
    <t>ISHARES SEMICONDUCTOR ETF</t>
  </si>
  <si>
    <t xml:space="preserve">US4642875235 </t>
  </si>
  <si>
    <t>INDUSTRIAL SELECT SECT SPDR</t>
  </si>
  <si>
    <t xml:space="preserve">US81369Y7040 </t>
  </si>
  <si>
    <t>ISHARES CORE S&amp;P 500 ETF</t>
  </si>
  <si>
    <t xml:space="preserve">US4642872000 </t>
  </si>
  <si>
    <t>ISHARES U.S. HOME CONSTRUCTI</t>
  </si>
  <si>
    <t xml:space="preserve">US4642887529 </t>
  </si>
  <si>
    <t>VANGUARD S&amp;P 500 ETF</t>
  </si>
  <si>
    <t xml:space="preserve">US9229083632 </t>
  </si>
  <si>
    <t>ISHARES MSCI ALL COUNTRY ASI</t>
  </si>
  <si>
    <t xml:space="preserve">US4642881829 </t>
  </si>
  <si>
    <t>אסיה</t>
  </si>
  <si>
    <t>WISDOMTREE</t>
  </si>
  <si>
    <t xml:space="preserve">99939 </t>
  </si>
  <si>
    <t>WIDSOMTREE JAPAN DIVIDEND</t>
  </si>
  <si>
    <t xml:space="preserve">US97717W8516 </t>
  </si>
  <si>
    <t>יפן</t>
  </si>
  <si>
    <t>CHINA ASSET MANAGEMENT</t>
  </si>
  <si>
    <t xml:space="preserve">97495 </t>
  </si>
  <si>
    <t>CHINAAMC ETF SERIES - CH-HKD</t>
  </si>
  <si>
    <t xml:space="preserve">HK0000123577 </t>
  </si>
  <si>
    <t>FIRST TRUST ADVISORS</t>
  </si>
  <si>
    <t xml:space="preserve">98322 </t>
  </si>
  <si>
    <t>FIRST TRUST CLOUD COMPUTING</t>
  </si>
  <si>
    <t xml:space="preserve">US33734X1928 </t>
  </si>
  <si>
    <t>INVESCO S&amp;P 500 ACC</t>
  </si>
  <si>
    <t xml:space="preserve">IE00B3YCGJ38 </t>
  </si>
  <si>
    <t>KRANESHARES ETF</t>
  </si>
  <si>
    <t xml:space="preserve">93170 </t>
  </si>
  <si>
    <t>KRANESHARES CSI CHINA INTERN</t>
  </si>
  <si>
    <t xml:space="preserve">US5007673065 </t>
  </si>
  <si>
    <t>SPDR S&amp;P US ENERGY SELECT</t>
  </si>
  <si>
    <t xml:space="preserve">IE00BWBXM492 </t>
  </si>
  <si>
    <t xml:space="preserve">WISDOMTREE </t>
  </si>
  <si>
    <t xml:space="preserve">97330 </t>
  </si>
  <si>
    <t>WISDOMTREE JAPAN USD HGD ACC</t>
  </si>
  <si>
    <t xml:space="preserve">IE00BYQCZD50 </t>
  </si>
  <si>
    <t>GLOBAL X MANAGEMENT</t>
  </si>
  <si>
    <t xml:space="preserve">98677 </t>
  </si>
  <si>
    <t>GLOBAL X CYBERSECURITY ETF</t>
  </si>
  <si>
    <t xml:space="preserve">US37954Y3844 </t>
  </si>
  <si>
    <t>גלובלי</t>
  </si>
  <si>
    <t>LYXOR</t>
  </si>
  <si>
    <t xml:space="preserve">99964 </t>
  </si>
  <si>
    <t>LYXOR MSCI CHINA A DR UCITS</t>
  </si>
  <si>
    <t xml:space="preserve">FR0011720911 </t>
  </si>
  <si>
    <t>LYX ETF S&amp;P 500</t>
  </si>
  <si>
    <t xml:space="preserve">LU1135865084 </t>
  </si>
  <si>
    <t>LYXOR MSCI CHINA UCITS ETF</t>
  </si>
  <si>
    <t xml:space="preserve">LU1841731745 </t>
  </si>
  <si>
    <t>SPDR PORTFOLIO S&amp;P 500 ETF</t>
  </si>
  <si>
    <t xml:space="preserve">US78464A8541 </t>
  </si>
  <si>
    <t>SPDR S&amp;P US TECH SELECT</t>
  </si>
  <si>
    <t xml:space="preserve">IE00BWBXM948 </t>
  </si>
  <si>
    <t>VANG FTSE EM USDD</t>
  </si>
  <si>
    <t xml:space="preserve">IE00B3VVMM84 </t>
  </si>
  <si>
    <t>שווקים מתעוררים</t>
  </si>
  <si>
    <t>SPDR S&amp;P US FINANCIAL SELECT</t>
  </si>
  <si>
    <t xml:space="preserve">IE00BWBXM500 </t>
  </si>
  <si>
    <t>SPDR S&amp;P 500 UCITS ETF DIST</t>
  </si>
  <si>
    <t xml:space="preserve">IE000XZSV718 </t>
  </si>
  <si>
    <t>) ת"א 1254A) ETF קסם</t>
  </si>
  <si>
    <t>125 מניות בארץ - מניות כללי-ת"א</t>
  </si>
  <si>
    <t>)ת"א נדל"ן4A) הראל סל</t>
  </si>
  <si>
    <t>מניות בארץ - מניות לפי ענפים</t>
  </si>
  <si>
    <t>ממ 50 E STOXX )י4A) תכ. סל</t>
  </si>
  <si>
    <t>STOXX EUROPE 600 - מניות בחו"ל - מניות גיאוגרפי -</t>
  </si>
  <si>
    <t>מנוטרלת מט"ח .500SPלהר</t>
  </si>
  <si>
    <t>(S&amp;P500(4D מור סל</t>
  </si>
  <si>
    <t>S&amp;P 500 - מניות בחו"ל - מניות גיאוגרפי - חשופת מט"</t>
  </si>
  <si>
    <t>) תל בונד צמודות בנ00) תכלית סל</t>
  </si>
  <si>
    <t>FINANCIAL SELECT SECTOR SPDR</t>
  </si>
  <si>
    <t xml:space="preserve">US81369Y6059 </t>
  </si>
  <si>
    <t>ISHARES RUSSELL 2000 ETF</t>
  </si>
  <si>
    <t xml:space="preserve">US4642876555 </t>
  </si>
  <si>
    <t>AMUNDI INVESTMENT</t>
  </si>
  <si>
    <t xml:space="preserve">98403 </t>
  </si>
  <si>
    <t>AMUNDI S&amp;P 500 UCITS ETF</t>
  </si>
  <si>
    <t xml:space="preserve">LU1681049018 </t>
  </si>
  <si>
    <t>מנוטרלת מט"חSPTF500.M</t>
  </si>
  <si>
    <t>.300CSIetf קסם</t>
  </si>
  <si>
    <t>מניות בחו"ל - מניות גיאוגרפי-מניות גיאוגרפי אחר חש</t>
  </si>
  <si>
    <t>CIFC</t>
  </si>
  <si>
    <t xml:space="preserve">93164 </t>
  </si>
  <si>
    <t>CIFC SENIOR SECURED CORPORATEL</t>
  </si>
  <si>
    <t xml:space="preserve">KYG213931143 </t>
  </si>
  <si>
    <t>אג"ח קונצרני</t>
  </si>
  <si>
    <t>KOTAK</t>
  </si>
  <si>
    <t xml:space="preserve">98869 </t>
  </si>
  <si>
    <t>KOTAK FUNDS-IND MIDCP-JA USD</t>
  </si>
  <si>
    <t xml:space="preserve">LU0675383409 </t>
  </si>
  <si>
    <t>הודו</t>
  </si>
  <si>
    <t>INVESCO US SENIOR LOAN-G</t>
  </si>
  <si>
    <t xml:space="preserve">LU0564079282 </t>
  </si>
  <si>
    <t>CIFC SENIOR SEC.COR.LOAN CL E</t>
  </si>
  <si>
    <t xml:space="preserve">KYG213931226 </t>
  </si>
  <si>
    <t>אי.בי.אי קרנות נאמנות</t>
  </si>
  <si>
    <t xml:space="preserve">510791031 </t>
  </si>
  <si>
    <t>איביאי טכ עילית</t>
  </si>
  <si>
    <t>קרן סגורה-קרן טכנולוגיה עילית</t>
  </si>
  <si>
    <t>כן</t>
  </si>
  <si>
    <t>מנוטרלת מט"ח4a) 500s&amp;p קסם</t>
  </si>
  <si>
    <t>מניות בחו"ל - מניות גיאוגרפי - מנוטרלת מט"ח-שווקים</t>
  </si>
  <si>
    <t>COMGEST ASSET MANAGEMENT</t>
  </si>
  <si>
    <t xml:space="preserve">93263 </t>
  </si>
  <si>
    <t>COMGEST GROWTH EURO OP-EURIA</t>
  </si>
  <si>
    <t xml:space="preserve">IE00BHWQNN83 </t>
  </si>
  <si>
    <t>נכס בסיס(כתב אופציה)</t>
  </si>
  <si>
    <t>תאריך פקיעה</t>
  </si>
  <si>
    <t>שער מימוש</t>
  </si>
  <si>
    <t>יחס המרה</t>
  </si>
  <si>
    <t>דמרי אפ 3</t>
  </si>
  <si>
    <t xml:space="preserve">1090315 </t>
  </si>
  <si>
    <t>נדלן ובינוי</t>
  </si>
  <si>
    <t>2024-08-03</t>
  </si>
  <si>
    <t>נכס בסיס</t>
  </si>
  <si>
    <t>S&amp;P500</t>
  </si>
  <si>
    <t xml:space="preserve">98727 </t>
  </si>
  <si>
    <t>MINI S&amp;P 500 FUTURES 06/2024</t>
  </si>
  <si>
    <t>ES1 INDEX</t>
  </si>
  <si>
    <t>מניות לרבות מדדי מניות</t>
  </si>
  <si>
    <t>NASDAQ100</t>
  </si>
  <si>
    <t xml:space="preserve">99079 </t>
  </si>
  <si>
    <t>MINI NASDAQ 100 06/2024</t>
  </si>
  <si>
    <t>NQ1 INDEX</t>
  </si>
  <si>
    <t>אלה פקדונות בע"מ</t>
  </si>
  <si>
    <t xml:space="preserve">515666881 </t>
  </si>
  <si>
    <t>אלה פקדון אגח ד</t>
  </si>
  <si>
    <t>קרן לא מובטחת</t>
  </si>
  <si>
    <t>ריבית ואג"ח</t>
  </si>
  <si>
    <t>6.22%</t>
  </si>
  <si>
    <t>אלה פקדון אגח ה</t>
  </si>
  <si>
    <t>0.05%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</si>
  <si>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</si>
  <si>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</si>
  <si>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</si>
  <si>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</si>
  <si>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</si>
  <si>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</si>
  <si>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</si>
  <si>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</si>
  <si>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</si>
  <si>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</si>
  <si>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</si>
  <si>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 xml:space="preserve">תאריך אחרון בו נבחנה בפועל ירידת ערך </t>
  </si>
  <si>
    <t>רפאל</t>
  </si>
  <si>
    <t xml:space="preserve">520042185 </t>
  </si>
  <si>
    <t>רפאל אגח ד-רמ</t>
  </si>
  <si>
    <t>לא סחיר</t>
  </si>
  <si>
    <t xml:space="preserve">02/03/2017 </t>
  </si>
  <si>
    <t>Aaa.il</t>
  </si>
  <si>
    <t>15/09/2034</t>
  </si>
  <si>
    <t>חברת ציטוט</t>
  </si>
  <si>
    <t>אי תלות</t>
  </si>
  <si>
    <t xml:space="preserve">31/03/2024 </t>
  </si>
  <si>
    <t>אגרקסקו</t>
  </si>
  <si>
    <t xml:space="preserve">510155625 </t>
  </si>
  <si>
    <t>אגרקסקו אגח רמ-א</t>
  </si>
  <si>
    <t xml:space="preserve">27/12/2007 </t>
  </si>
  <si>
    <t>D.il</t>
  </si>
  <si>
    <t xml:space="preserve">30/04/2020 </t>
  </si>
  <si>
    <t>התפלה אשקלון</t>
  </si>
  <si>
    <t xml:space="preserve">513102384 </t>
  </si>
  <si>
    <t>וי אי די מאוחד 0706 לס נשר</t>
  </si>
  <si>
    <t xml:space="preserve">22/04/2006 </t>
  </si>
  <si>
    <t>22/10/2025</t>
  </si>
  <si>
    <t>אלון חברת הלק</t>
  </si>
  <si>
    <t xml:space="preserve">520041690 </t>
  </si>
  <si>
    <t>אלון דלק אגח א' לס</t>
  </si>
  <si>
    <t xml:space="preserve">31/08/2016 </t>
  </si>
  <si>
    <t>ויולה ג'נריישין קפיטל</t>
  </si>
  <si>
    <t xml:space="preserve">96120 </t>
  </si>
  <si>
    <t>ויולה ג'נריישן ניהול בע"מ(אל על)</t>
  </si>
  <si>
    <t>מניות לא סחירות</t>
  </si>
  <si>
    <t xml:space="preserve">13/09/2018 </t>
  </si>
  <si>
    <t>דיווח מנהל הקרן</t>
  </si>
  <si>
    <t xml:space="preserve">30/11/2023 </t>
  </si>
  <si>
    <t>מקסטק</t>
  </si>
  <si>
    <t xml:space="preserve">97222 </t>
  </si>
  <si>
    <t>מאקסטק רשתות תקשורת בע"מ</t>
  </si>
  <si>
    <t>ציוד תקשורת</t>
  </si>
  <si>
    <t xml:space="preserve">27/11/2013 </t>
  </si>
  <si>
    <t xml:space="preserve">06/12/2023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</si>
  <si>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</si>
  <si>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</si>
  <si>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</si>
  <si>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</si>
  <si>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</si>
  <si>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06/05/2020 </t>
  </si>
  <si>
    <t xml:space="preserve">26/04/2020 </t>
  </si>
  <si>
    <t>אדאקום</t>
  </si>
  <si>
    <t xml:space="preserve">520036419 </t>
  </si>
  <si>
    <t>אדאקום מ"ר 1 ש"ח</t>
  </si>
  <si>
    <t>חשמל</t>
  </si>
  <si>
    <t xml:space="preserve">10/09/2019 </t>
  </si>
  <si>
    <t>איילות</t>
  </si>
  <si>
    <t xml:space="preserve">511585176 </t>
  </si>
  <si>
    <t>איילות מניות רגילות ב</t>
  </si>
  <si>
    <t xml:space="preserve">31/01/2023 </t>
  </si>
  <si>
    <t>DEVELOGEN AG</t>
  </si>
  <si>
    <t xml:space="preserve">99402 </t>
  </si>
  <si>
    <t>DEVELGEN</t>
  </si>
  <si>
    <t xml:space="preserve">14/03/2024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</si>
  <si>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</si>
  <si>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</si>
  <si>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</si>
  <si>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</si>
  <si>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</si>
  <si>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</si>
  <si>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</si>
  <si>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</si>
  <si>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</si>
  <si>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NAV(במטבע הדיווח של קרן ההשקעה)</t>
  </si>
  <si>
    <t>שיעור החזקה בקרן השקעה</t>
  </si>
  <si>
    <t>הפניקס ואליו</t>
  </si>
  <si>
    <t xml:space="preserve">550254445 </t>
  </si>
  <si>
    <t>קרן התחדשות עירונית הלמן אלדובי</t>
  </si>
  <si>
    <t>קרן נדל"ן</t>
  </si>
  <si>
    <t>Venture Debt</t>
  </si>
  <si>
    <t xml:space="preserve">22/12/2019 </t>
  </si>
  <si>
    <t xml:space="preserve">20/03/2024 </t>
  </si>
  <si>
    <t>הלמן אלדובי השתתפות רגילה</t>
  </si>
  <si>
    <t>קרן גידור (Hedge Fund)</t>
  </si>
  <si>
    <t>Buyout</t>
  </si>
  <si>
    <t>הרוקמים 26  חולון</t>
  </si>
  <si>
    <t xml:space="preserve">28/03/2024 </t>
  </si>
  <si>
    <t xml:space="preserve">550268627 </t>
  </si>
  <si>
    <t>הלמן אלדובי אשראי צרכני</t>
  </si>
  <si>
    <t xml:space="preserve">31/12/2018 </t>
  </si>
  <si>
    <t>IBI</t>
  </si>
  <si>
    <t>IBI CONSUMER CR</t>
  </si>
  <si>
    <t>איי קיימן</t>
  </si>
  <si>
    <t xml:space="preserve">19/11/2018 </t>
  </si>
  <si>
    <t>Colchis</t>
  </si>
  <si>
    <t>COLCHIS INCOME FUND</t>
  </si>
  <si>
    <t xml:space="preserve">05/03/2019 </t>
  </si>
  <si>
    <t>SBL איביאי</t>
  </si>
  <si>
    <t xml:space="preserve">24/01/2019 </t>
  </si>
  <si>
    <t>נוקד</t>
  </si>
  <si>
    <t xml:space="preserve">550258947 </t>
  </si>
  <si>
    <t>קרן נוקד מניות</t>
  </si>
  <si>
    <t xml:space="preserve">23/11/2016 </t>
  </si>
  <si>
    <t>קרן נוקד לונג</t>
  </si>
  <si>
    <t xml:space="preserve">27/06/2018 </t>
  </si>
  <si>
    <t xml:space="preserve">17/03/2024 </t>
  </si>
  <si>
    <t>קרן נוקד קרן גידור</t>
  </si>
  <si>
    <t xml:space="preserve">03/06/2018 </t>
  </si>
  <si>
    <t xml:space="preserve">29/11/2016 </t>
  </si>
  <si>
    <t>יסודות נדלן</t>
  </si>
  <si>
    <t xml:space="preserve">540290103 </t>
  </si>
  <si>
    <t>יסודות נדל"ן ג' פיתוח ושותפות</t>
  </si>
  <si>
    <t xml:space="preserve">03/12/2019 </t>
  </si>
  <si>
    <t>Klirmark</t>
  </si>
  <si>
    <t>KLIRMARK III</t>
  </si>
  <si>
    <t>קרן השקעה אחרת</t>
  </si>
  <si>
    <t>Special Situations Debt</t>
  </si>
  <si>
    <t xml:space="preserve">13/11/2019 </t>
  </si>
  <si>
    <t>קרן נוקד אקווטי 2</t>
  </si>
  <si>
    <t xml:space="preserve">23/01/2019 </t>
  </si>
  <si>
    <t xml:space="preserve">27/12/2018 </t>
  </si>
  <si>
    <t>פורטיסימו</t>
  </si>
  <si>
    <t xml:space="preserve">530278514 </t>
  </si>
  <si>
    <t>FORTTISSIMO V</t>
  </si>
  <si>
    <t>Co-Investment/Direct</t>
  </si>
  <si>
    <t xml:space="preserve">16/04/2020 </t>
  </si>
  <si>
    <t xml:space="preserve">06/03/2019 </t>
  </si>
  <si>
    <t xml:space="preserve">22/01/2019 </t>
  </si>
  <si>
    <t>Vintage</t>
  </si>
  <si>
    <t>VINTAGE V ACESS</t>
  </si>
  <si>
    <t>Value Added Infrastructure</t>
  </si>
  <si>
    <t xml:space="preserve">14/11/2018 </t>
  </si>
  <si>
    <t>Electra</t>
  </si>
  <si>
    <t>Electra Multifamily II</t>
  </si>
  <si>
    <t>Value Added Real Estate</t>
  </si>
  <si>
    <t>פורמה</t>
  </si>
  <si>
    <t>Forma Fund I</t>
  </si>
  <si>
    <t xml:space="preserve">17/08/2017 </t>
  </si>
  <si>
    <t>Blue Atlantic PTNR</t>
  </si>
  <si>
    <t>BLUE ATLANTIC PARTNERS II</t>
  </si>
  <si>
    <t xml:space="preserve">22/06/2017 </t>
  </si>
  <si>
    <t>Alto</t>
  </si>
  <si>
    <t>ALTO III</t>
  </si>
  <si>
    <t xml:space="preserve">10/01/2017 </t>
  </si>
  <si>
    <t>פאגאיה</t>
  </si>
  <si>
    <t>קרן פאגאיה אופורטוניטי</t>
  </si>
  <si>
    <t xml:space="preserve">24/02/2022 </t>
  </si>
  <si>
    <t>ארבל</t>
  </si>
  <si>
    <t xml:space="preserve">550274542 </t>
  </si>
  <si>
    <t>קרן ארבל פאנד בע"מ</t>
  </si>
  <si>
    <t xml:space="preserve">07/07/2020 </t>
  </si>
  <si>
    <t>ברוש</t>
  </si>
  <si>
    <t>קרן ברוש בע"מ</t>
  </si>
  <si>
    <t xml:space="preserve">26/06/2017 </t>
  </si>
  <si>
    <t>מונטה</t>
  </si>
  <si>
    <t xml:space="preserve">540278751 </t>
  </si>
  <si>
    <t>MONETA CAPITAL LIMITED PARTNERSHIP</t>
  </si>
  <si>
    <t xml:space="preserve">31/03/2022 </t>
  </si>
  <si>
    <t>Somv</t>
  </si>
  <si>
    <t>SOMV II</t>
  </si>
  <si>
    <t xml:space="preserve">27/03/2018 </t>
  </si>
  <si>
    <t xml:space="preserve">09/01/2022 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</si>
  <si>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</si>
  <si>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</si>
  <si>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</si>
  <si>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</si>
  <si>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</si>
  <si>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</si>
  <si>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</si>
  <si>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 xml:space="preserve">XS2255DDD223 </t>
  </si>
  <si>
    <t xml:space="preserve">21/11/2018 </t>
  </si>
  <si>
    <t>BREP</t>
  </si>
  <si>
    <t>BLACKSTONE ASIA</t>
  </si>
  <si>
    <t xml:space="preserve">XS5444XXX555 </t>
  </si>
  <si>
    <t xml:space="preserve">05/05/2016 </t>
  </si>
  <si>
    <t>BLACKS REAL VII</t>
  </si>
  <si>
    <t xml:space="preserve">XS2552966XXX </t>
  </si>
  <si>
    <t xml:space="preserve">08/12/2020 </t>
  </si>
  <si>
    <t>מידאל</t>
  </si>
  <si>
    <t xml:space="preserve">550270045 </t>
  </si>
  <si>
    <t>MIDEAL FUND E</t>
  </si>
  <si>
    <t xml:space="preserve">08/08/2017 </t>
  </si>
  <si>
    <t xml:space="preserve">21/08/2017 </t>
  </si>
  <si>
    <t>Ami Opportunities</t>
  </si>
  <si>
    <t>AMI OPP(ELAL)</t>
  </si>
  <si>
    <t xml:space="preserve">19/06/2017 </t>
  </si>
  <si>
    <t>TENE GRW CAPIII</t>
  </si>
  <si>
    <t xml:space="preserve">16/02/2022 </t>
  </si>
  <si>
    <t>Direct Lending</t>
  </si>
  <si>
    <t>BLUE BAY NEW</t>
  </si>
  <si>
    <t>לוכסמבורג</t>
  </si>
  <si>
    <t xml:space="preserve">09/11/2020 </t>
  </si>
  <si>
    <t>BLACKSTONE REAL ESTATE PARTNER</t>
  </si>
  <si>
    <t xml:space="preserve">05/05/2020 </t>
  </si>
  <si>
    <t xml:space="preserve">20/07/2020 </t>
  </si>
  <si>
    <t>LLCP</t>
  </si>
  <si>
    <t>LEVINE LEICHTMAN CAPITAL PARTN</t>
  </si>
  <si>
    <t xml:space="preserve">14/07/2020 </t>
  </si>
  <si>
    <t xml:space="preserve">10/02/2022 </t>
  </si>
  <si>
    <t xml:space="preserve">24/08/2022 </t>
  </si>
  <si>
    <t xml:space="preserve">29/09/2020 </t>
  </si>
  <si>
    <t xml:space="preserve">09/05/2021 </t>
  </si>
  <si>
    <t>blackstone real estate partners e v</t>
  </si>
  <si>
    <t>PHOENIX CO INVEST</t>
  </si>
  <si>
    <t xml:space="preserve">15/08/2019 </t>
  </si>
  <si>
    <t>BLUE ATLAN PTNR</t>
  </si>
  <si>
    <t>P2P הלמן אלדובי</t>
  </si>
  <si>
    <t xml:space="preserve">16/03/2022 </t>
  </si>
  <si>
    <t>רוטשילד</t>
  </si>
  <si>
    <t>רוטשילד קרן נדלן</t>
  </si>
  <si>
    <t>נכס בסיס (כתב אופציה)</t>
  </si>
  <si>
    <t xml:space="preserve">נכס בסיס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</si>
  <si>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</si>
  <si>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</si>
  <si>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</si>
  <si>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</si>
  <si>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</si>
  <si>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</si>
  <si>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</si>
  <si>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</si>
  <si>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</si>
  <si>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</si>
  <si>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</si>
  <si>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</si>
  <si>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</si>
  <si>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</si>
  <si>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</si>
  <si>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</si>
  <si>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</si>
  <si>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</si>
  <si>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</si>
  <si>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</si>
  <si>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</si>
  <si>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</si>
  <si>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</si>
  <si>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</si>
  <si>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</si>
  <si>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</si>
  <si>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</si>
  <si>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</si>
  <si>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</si>
  <si>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</si>
  <si>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</si>
  <si>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</si>
  <si>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</si>
  <si>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USD/ILS FW 3.650000 28/06/24</t>
  </si>
  <si>
    <t>26/03/2024</t>
  </si>
  <si>
    <t>28/06/2024</t>
  </si>
  <si>
    <t>רבעוני</t>
  </si>
  <si>
    <t>Delivery</t>
  </si>
  <si>
    <t>גורם אחר</t>
  </si>
  <si>
    <t>0.000%</t>
  </si>
  <si>
    <t>POALILIT</t>
  </si>
  <si>
    <t>EUR/ILS FW 3.979000 28/06/24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</si>
  <si>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</si>
  <si>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</si>
  <si>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</si>
  <si>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</si>
  <si>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</si>
  <si>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</si>
  <si>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</si>
  <si>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</si>
  <si>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</si>
  <si>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</si>
  <si>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</si>
  <si>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</si>
  <si>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</si>
  <si>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</si>
  <si>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</si>
  <si>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</si>
  <si>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</si>
  <si>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</si>
  <si>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</si>
  <si>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תאריך אחרון בו נבחנה בפועל ירידת ערך</t>
  </si>
  <si>
    <t>שיעור ריבית בגין אי-ניצול מסגרת האשראי</t>
  </si>
  <si>
    <t>ערך נקוב</t>
  </si>
  <si>
    <t>שער הלוואה</t>
  </si>
  <si>
    <t>שווי הוגן  (במטבע הפעילות)</t>
  </si>
  <si>
    <t xml:space="preserve">99608 </t>
  </si>
  <si>
    <t>הלוואה לעמיתים1</t>
  </si>
  <si>
    <t>עמית/מבוטח</t>
  </si>
  <si>
    <t xml:space="preserve">14/06/2015 </t>
  </si>
  <si>
    <t>AA+</t>
  </si>
  <si>
    <t>הלוואה</t>
  </si>
  <si>
    <t>לא צמוד</t>
  </si>
  <si>
    <t>ריבית פריים</t>
  </si>
  <si>
    <t>אשראי צרכני</t>
  </si>
  <si>
    <t>מרווח הוגן</t>
  </si>
  <si>
    <t xml:space="preserve">24/04/2018 </t>
  </si>
  <si>
    <t xml:space="preserve">15/08/2016 </t>
  </si>
  <si>
    <t xml:space="preserve">12/03/2015 </t>
  </si>
  <si>
    <t>DALTON CDO</t>
  </si>
  <si>
    <t xml:space="preserve">99597 </t>
  </si>
  <si>
    <t>DALT 2007-1X C</t>
  </si>
  <si>
    <t xml:space="preserve">USG2645NAD15 </t>
  </si>
  <si>
    <t>JUPITER ASSET MAN</t>
  </si>
  <si>
    <t xml:space="preserve">98014 </t>
  </si>
  <si>
    <t>JUPITER HG CDO</t>
  </si>
  <si>
    <t xml:space="preserve">KYG5208L2040 </t>
  </si>
  <si>
    <t>CBO</t>
  </si>
  <si>
    <t xml:space="preserve">97519 </t>
  </si>
  <si>
    <t>CBO BOND</t>
  </si>
  <si>
    <t xml:space="preserve">27/03/2024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</si>
  <si>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</si>
  <si>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</si>
  <si>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</si>
  <si>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</si>
  <si>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</si>
  <si>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</si>
  <si>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</si>
  <si>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</si>
  <si>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</si>
  <si>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</si>
  <si>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</si>
  <si>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</si>
  <si>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</si>
  <si>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</si>
  <si>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</si>
  <si>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 xml:space="preserve">30/06/2020 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</si>
  <si>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</si>
  <si>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</si>
  <si>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</si>
  <si>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</si>
  <si>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</si>
  <si>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</si>
  <si>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</si>
  <si>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</si>
  <si>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</si>
  <si>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</si>
  <si>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</si>
  <si>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</si>
  <si>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גיליון(רלוונטי לגיליונות עם עמודה "מאפיין עיקרי")</t>
  </si>
  <si>
    <t>שם עמודה</t>
  </si>
  <si>
    <t>אפשרות בחירה</t>
  </si>
  <si>
    <t>הערות והסברים</t>
  </si>
  <si>
    <t>שם גיליון</t>
  </si>
  <si>
    <t>שם סעיף</t>
  </si>
  <si>
    <t>מספר סעיף</t>
  </si>
  <si>
    <t>מידע שניתן לדווח רק לרשות</t>
  </si>
  <si>
    <t>משתנה</t>
  </si>
  <si>
    <t>META</t>
  </si>
  <si>
    <t xml:space="preserve"> הרוקמים 26 , חולון</t>
  </si>
  <si>
    <t xml:space="preserve">  אחד העם 9 תל אביב</t>
  </si>
  <si>
    <t xml:space="preserve">  הארבעה 30 תל אביב</t>
  </si>
  <si>
    <t xml:space="preserve"> בר כוכבא 23, בני ברק, ישראל</t>
  </si>
  <si>
    <t xml:space="preserve"> ז'בוטינסקי 2 , רמת גן , ישראל</t>
  </si>
  <si>
    <t xml:space="preserve"> הארבעה 30 , תל אביב, ישראל</t>
  </si>
  <si>
    <t xml:space="preserve"> אבא אבן 12 , הרצליה פיתוח , ישראל</t>
  </si>
  <si>
    <t xml:space="preserve"> אריאל שרון 4 , גבעתיים, ישראל</t>
  </si>
  <si>
    <t xml:space="preserve"> אריאל שרון 4 , גבעתיים</t>
  </si>
  <si>
    <t xml:space="preserve"> וייצמן 2 , תל אביב , ישראל</t>
  </si>
  <si>
    <t xml:space="preserve"> מדינת היהודים 85 , הרצליה, ישראל</t>
  </si>
  <si>
    <t xml:space="preserve"> ראול ולנברג 20 , תל אביב , ישראל</t>
  </si>
  <si>
    <t xml:space="preserve">  ברקוביץ 4 , תל אביב</t>
  </si>
  <si>
    <t xml:space="preserve"> דרך השלום 53 , גבעתיים</t>
  </si>
  <si>
    <t xml:space="preserve"> 1331 South Killian Drive, Suite A, Lake Park, FL 33403</t>
  </si>
  <si>
    <t xml:space="preserve"> 20 Raul Valenberg , Tel Aviv, Israel</t>
  </si>
  <si>
    <t xml:space="preserve"> 2875 NE 191st Street, Aventura, Florida 33180</t>
  </si>
  <si>
    <t xml:space="preserve"> 8 Raul Valenberg , Tel Aviv , Israel</t>
  </si>
  <si>
    <t xml:space="preserve"> P.O. Box 309, Ugland House, Grand Cayman, KY1-1104, Cayman Islands</t>
  </si>
  <si>
    <t xml:space="preserve"> 300 Park Avenue, New York, NY 10022</t>
  </si>
  <si>
    <t xml:space="preserve"> 345 Park Avenue New York NY 10154</t>
  </si>
  <si>
    <t xml:space="preserve"> 1 Glategny Esplanade , St Peter Port , Guernsey , GY12HJ</t>
  </si>
  <si>
    <t xml:space="preserve">  11-13 Boulevard de la Foire, L-1528, Luxembourg</t>
  </si>
  <si>
    <t xml:space="preserve"> 345 N Maple Dr. Ste. 300 Beverly Hills, CA 90210</t>
  </si>
  <si>
    <t xml:space="preserve"> 20, Boulevard Emmanuel Servais, L-2535 Luxembourg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</si>
  <si>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</si>
  <si>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</si>
  <si>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</si>
  <si>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</si>
  <si>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</si>
  <si>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</si>
  <si>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</si>
  <si>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</si>
  <si>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משכנתאות או תיקי משכנתאות</t>
  </si>
  <si>
    <t>נגזרי אשראי</t>
  </si>
  <si>
    <t>נדל"ן אחר - נדל"ן מניב</t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</si>
  <si>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</si>
  <si>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</si>
  <si>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</si>
  <si>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</si>
  <si>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</si>
  <si>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</si>
  <si>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</si>
  <si>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</si>
  <si>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</si>
  <si>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תשתיות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</si>
  <si>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</si>
  <si>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</si>
  <si>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</si>
  <si>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</si>
  <si>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</si>
  <si>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29/12/0222</t>
  </si>
  <si>
    <t>- 50 California st, San Francisco, CA</t>
  </si>
  <si>
    <t>הארבעה 30 ת"א</t>
  </si>
  <si>
    <r>
      <t xml:space="preserve">- 50 </t>
    </r>
    <r>
      <rPr>
        <sz val="11"/>
        <color indexed="8"/>
        <rFont val="Calibri"/>
        <family val="2"/>
      </rPr>
      <t>California st, San Francisco, CA</t>
    </r>
  </si>
  <si>
    <t>חוב בעייתי</t>
  </si>
  <si>
    <t>514290345</t>
  </si>
  <si>
    <t>29849</t>
  </si>
  <si>
    <t>30294</t>
  </si>
  <si>
    <t>516014008</t>
  </si>
  <si>
    <t>515419356</t>
  </si>
  <si>
    <t>30303</t>
  </si>
  <si>
    <t>MC-96011</t>
  </si>
  <si>
    <t>מספר שותפות</t>
  </si>
  <si>
    <t>30430</t>
  </si>
  <si>
    <t>30067</t>
  </si>
  <si>
    <t>29584</t>
  </si>
  <si>
    <t>30220</t>
  </si>
  <si>
    <t>29533</t>
  </si>
  <si>
    <t>29901</t>
  </si>
  <si>
    <t>2030</t>
  </si>
  <si>
    <t>מספר תאגיד או שותפות בחו"ל</t>
  </si>
  <si>
    <t>29212</t>
  </si>
  <si>
    <t>30676</t>
  </si>
  <si>
    <t>30208</t>
  </si>
  <si>
    <t>בנק הפועלים בע"מ</t>
  </si>
  <si>
    <t>N/A</t>
  </si>
  <si>
    <t>Alto III</t>
  </si>
  <si>
    <t>דולר</t>
  </si>
  <si>
    <t>Blackstone ASIA</t>
  </si>
  <si>
    <t>Blackstone EUROPE  V</t>
  </si>
  <si>
    <t>Blackstone Real VII</t>
  </si>
  <si>
    <t>Blackstone VIII</t>
  </si>
  <si>
    <t>Blue Atlantic PTNR II</t>
  </si>
  <si>
    <t>LLCP  VI</t>
  </si>
  <si>
    <t>Vintage V Acess</t>
  </si>
  <si>
    <t>אלקטרה II</t>
  </si>
  <si>
    <t>הפניקס קו אינווסט</t>
  </si>
  <si>
    <t>טנא הון III</t>
  </si>
  <si>
    <t>יורו</t>
  </si>
  <si>
    <t>פורטיסימו V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</si>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</sst>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00"/>
    <numFmt numFmtId="165" formatCode="#,##0.000%"/>
  </numFmts>
  <fonts count="47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scheme val="minor"/>
    </font>
    <font>
      <sz val="10"/>
      <color rgb="FF000000"/>
      <name val="Ariel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/>
    <xf numFmtId="43" fontId="45" fillId="0" borderId="0" applyFont="0" applyFill="0" applyBorder="0" applyAlignment="0" applyProtection="0"/>
  </cellStyleXfs>
  <cellXfs count="8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 wrapText="1"/>
    </xf>
    <xf numFmtId="164" fontId="6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 applyProtection="1">
      <alignment horizontal="right"/>
      <protection locked="0"/>
    </xf>
    <xf numFmtId="14" fontId="2" fillId="2" borderId="1" xfId="0" applyNumberFormat="1" applyFont="1" applyFill="1" applyBorder="1" applyAlignment="1">
      <alignment horizontal="right" wrapText="1"/>
    </xf>
    <xf numFmtId="14" fontId="2" fillId="2" borderId="1" xfId="0" applyNumberFormat="1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center" wrapText="1"/>
    </xf>
    <xf numFmtId="0" fontId="15" fillId="0" borderId="0" xfId="0" applyFont="1" applyAlignment="1">
      <alignment wrapText="1"/>
    </xf>
    <xf numFmtId="0" fontId="5" fillId="5" borderId="0" xfId="0" applyFont="1" applyFill="1" applyAlignment="1">
      <alignment horizontal="right" wrapText="1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43" fillId="6" borderId="5" xfId="0" applyFont="1" applyFill="1" applyBorder="1" applyAlignment="1">
      <alignment horizontal="right" vertical="top"/>
    </xf>
    <xf numFmtId="0" fontId="0" fillId="6" borderId="6" xfId="0" applyFill="1" applyBorder="1" applyAlignment="1">
      <alignment horizontal="right"/>
    </xf>
    <xf numFmtId="0" fontId="43" fillId="6" borderId="4" xfId="0" applyFont="1" applyFill="1" applyBorder="1" applyAlignment="1">
      <alignment horizontal="right" vertical="top"/>
    </xf>
    <xf numFmtId="0" fontId="0" fillId="6" borderId="3" xfId="0" applyFill="1" applyBorder="1" applyAlignment="1">
      <alignment horizontal="right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right" wrapText="1"/>
    </xf>
    <xf numFmtId="10" fontId="7" fillId="2" borderId="1" xfId="0" applyNumberFormat="1" applyFon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4" fontId="2" fillId="7" borderId="1" xfId="0" applyNumberFormat="1" applyFont="1" applyFill="1" applyBorder="1" applyAlignment="1">
      <alignment wrapText="1"/>
    </xf>
    <xf numFmtId="0" fontId="0" fillId="0" borderId="0" xfId="0" applyFill="1"/>
    <xf numFmtId="0" fontId="46" fillId="0" borderId="0" xfId="0" applyFont="1" applyFill="1" applyAlignment="1">
      <alignment horizontal="right"/>
    </xf>
    <xf numFmtId="43" fontId="0" fillId="0" borderId="0" xfId="1" applyFont="1" applyFill="1"/>
    <xf numFmtId="43" fontId="46" fillId="0" borderId="0" xfId="1" applyFont="1" applyFill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46" fillId="0" borderId="0" xfId="0" applyFont="1" applyFill="1" applyAlignment="1">
      <alignment horizontal="right" readingOrder="1"/>
    </xf>
    <xf numFmtId="0" fontId="46" fillId="0" borderId="0" xfId="0" applyFont="1" applyFill="1" applyAlignment="1">
      <alignment horizontal="right" readingOrder="2"/>
    </xf>
    <xf numFmtId="1" fontId="12" fillId="0" borderId="1" xfId="0" applyNumberFormat="1" applyFont="1" applyFill="1" applyBorder="1" applyAlignment="1" applyProtection="1">
      <alignment horizontal="right"/>
      <protection locked="0"/>
    </xf>
    <xf numFmtId="164" fontId="6" fillId="0" borderId="1" xfId="0" applyNumberFormat="1" applyFont="1" applyFill="1" applyBorder="1" applyAlignment="1">
      <alignment horizontal="right"/>
    </xf>
    <xf numFmtId="165" fontId="7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wrapText="1"/>
    </xf>
    <xf numFmtId="14" fontId="2" fillId="0" borderId="1" xfId="0" applyNumberFormat="1" applyFont="1" applyFill="1" applyBorder="1" applyAlignment="1">
      <alignment wrapText="1"/>
    </xf>
    <xf numFmtId="14" fontId="2" fillId="0" borderId="1" xfId="0" applyNumberFormat="1" applyFont="1" applyFill="1" applyBorder="1" applyAlignment="1">
      <alignment horizontal="left" wrapText="1"/>
    </xf>
    <xf numFmtId="0" fontId="0" fillId="0" borderId="0" xfId="0" applyFill="1"/>
    <xf numFmtId="10" fontId="46" fillId="0" borderId="0" xfId="0" applyNumberFormat="1" applyFont="1" applyFill="1" applyAlignment="1">
      <alignment horizontal="right"/>
    </xf>
    <xf numFmtId="0" fontId="46" fillId="0" borderId="0" xfId="0" applyFont="1" applyFill="1" applyBorder="1" applyAlignment="1">
      <alignment horizontal="right"/>
    </xf>
    <xf numFmtId="14" fontId="44" fillId="0" borderId="0" xfId="0" applyNumberFormat="1" applyFont="1" applyFill="1" applyBorder="1" applyAlignment="1" applyProtection="1">
      <alignment horizontal="right" vertical="center" wrapText="1"/>
    </xf>
    <xf numFmtId="0" fontId="46" fillId="0" borderId="0" xfId="0" applyFont="1" applyFill="1" applyBorder="1" applyAlignment="1">
      <alignment horizontal="right" readingOrder="2"/>
    </xf>
    <xf numFmtId="0" fontId="0" fillId="0" borderId="0" xfId="0" applyFill="1" applyBorder="1"/>
    <xf numFmtId="0" fontId="0" fillId="0" borderId="0" xfId="0" applyBorder="1"/>
    <xf numFmtId="1" fontId="2" fillId="2" borderId="1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0" fillId="0" borderId="0" xfId="0" applyFill="1"/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29" fillId="0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3" fillId="0" borderId="7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42" fillId="0" borderId="0" xfId="0" applyFont="1" applyAlignment="1">
      <alignment horizontal="center" wrapText="1"/>
    </xf>
    <xf numFmtId="1" fontId="2" fillId="0" borderId="1" xfId="0" applyNumberFormat="1" applyFont="1" applyFill="1" applyBorder="1" applyAlignment="1" applyProtection="1">
      <alignment horizontal="right"/>
      <protection locked="0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F26"/>
  <sheetViews>
    <sheetView rightToLeft="1" tabSelected="1" workbookViewId="0">
      <selection activeCell="A21" sqref="A21"/>
    </sheetView>
  </sheetViews>
  <sheetFormatPr defaultRowHeight="14.25"/>
  <cols>
    <col min="1" max="1" width="76" customWidth="1"/>
    <col min="2" max="2" width="13" customWidth="1"/>
    <col min="3" max="3" width="2" customWidth="1"/>
    <col min="4" max="4" width="81" customWidth="1"/>
  </cols>
  <sheetData>
    <row r="1" spans="1:6">
      <c r="B1" s="50" t="s">
        <v>0</v>
      </c>
      <c r="C1" s="51"/>
      <c r="D1" s="51"/>
      <c r="F1" s="50" t="s">
        <v>1</v>
      </c>
    </row>
    <row r="2" spans="1:6">
      <c r="A2" s="1" t="s">
        <v>2</v>
      </c>
      <c r="B2" s="1" t="s">
        <v>3</v>
      </c>
      <c r="C2" s="1" t="s">
        <v>3</v>
      </c>
      <c r="D2" s="1" t="s">
        <v>3</v>
      </c>
      <c r="E2" s="50" t="s">
        <v>4</v>
      </c>
      <c r="F2" s="50" t="s">
        <v>1</v>
      </c>
    </row>
    <row r="3" spans="1:6">
      <c r="A3" s="1" t="s">
        <v>3</v>
      </c>
      <c r="B3" s="1" t="s">
        <v>3</v>
      </c>
      <c r="C3" s="1" t="s">
        <v>3</v>
      </c>
      <c r="D3" s="1" t="s">
        <v>3</v>
      </c>
      <c r="E3" s="50" t="s">
        <v>4</v>
      </c>
      <c r="F3" s="50" t="s">
        <v>1</v>
      </c>
    </row>
    <row r="4" spans="1:6">
      <c r="A4" s="2" t="s">
        <v>5</v>
      </c>
      <c r="B4" s="1" t="s">
        <v>3</v>
      </c>
      <c r="C4" s="1" t="s">
        <v>3</v>
      </c>
      <c r="D4" s="2" t="s">
        <v>6</v>
      </c>
      <c r="E4" s="50" t="s">
        <v>4</v>
      </c>
      <c r="F4" s="50" t="s">
        <v>1</v>
      </c>
    </row>
    <row r="5" spans="1:6">
      <c r="A5" s="1" t="s">
        <v>3</v>
      </c>
      <c r="B5" s="1" t="s">
        <v>3</v>
      </c>
      <c r="C5" s="1" t="s">
        <v>3</v>
      </c>
      <c r="D5" s="1" t="s">
        <v>3</v>
      </c>
      <c r="E5" s="50" t="s">
        <v>4</v>
      </c>
      <c r="F5" s="50" t="s">
        <v>1</v>
      </c>
    </row>
    <row r="6" spans="1:6">
      <c r="A6" s="2" t="s">
        <v>7</v>
      </c>
      <c r="B6" s="1" t="s">
        <v>3</v>
      </c>
      <c r="C6" s="1" t="s">
        <v>3</v>
      </c>
      <c r="D6" s="2" t="s">
        <v>8</v>
      </c>
      <c r="E6" s="50" t="s">
        <v>4</v>
      </c>
      <c r="F6" s="50" t="s">
        <v>1</v>
      </c>
    </row>
    <row r="7" spans="1:6">
      <c r="A7" s="1" t="s">
        <v>3</v>
      </c>
      <c r="B7" s="1" t="s">
        <v>3</v>
      </c>
      <c r="C7" s="1" t="s">
        <v>3</v>
      </c>
      <c r="D7" s="1" t="s">
        <v>3</v>
      </c>
      <c r="E7" s="50" t="s">
        <v>4</v>
      </c>
      <c r="F7" s="50" t="s">
        <v>1</v>
      </c>
    </row>
    <row r="8" spans="1:6">
      <c r="A8" s="2" t="s">
        <v>9</v>
      </c>
      <c r="B8" s="1" t="s">
        <v>3</v>
      </c>
      <c r="C8" s="1" t="s">
        <v>3</v>
      </c>
      <c r="D8" s="2" t="s">
        <v>10</v>
      </c>
      <c r="E8" s="50" t="s">
        <v>4</v>
      </c>
      <c r="F8" s="50" t="s">
        <v>1</v>
      </c>
    </row>
    <row r="9" spans="1:6">
      <c r="A9" s="1" t="s">
        <v>3</v>
      </c>
      <c r="B9" s="1" t="s">
        <v>3</v>
      </c>
      <c r="C9" s="1" t="s">
        <v>3</v>
      </c>
      <c r="D9" s="1" t="s">
        <v>3</v>
      </c>
      <c r="E9" s="50" t="s">
        <v>4</v>
      </c>
      <c r="F9" s="50" t="s">
        <v>1</v>
      </c>
    </row>
    <row r="10" spans="1:6">
      <c r="A10" s="2" t="s">
        <v>11</v>
      </c>
      <c r="B10" s="1" t="s">
        <v>3</v>
      </c>
      <c r="C10" s="1" t="s">
        <v>3</v>
      </c>
      <c r="D10" s="2" t="s">
        <v>12</v>
      </c>
      <c r="E10" s="50" t="s">
        <v>4</v>
      </c>
      <c r="F10" s="50" t="s">
        <v>1</v>
      </c>
    </row>
    <row r="11" spans="1:6">
      <c r="A11" s="1" t="s">
        <v>3</v>
      </c>
      <c r="B11" s="1" t="s">
        <v>3</v>
      </c>
      <c r="C11" s="1" t="s">
        <v>3</v>
      </c>
      <c r="D11" s="1" t="s">
        <v>3</v>
      </c>
      <c r="E11" s="50" t="s">
        <v>4</v>
      </c>
      <c r="F11" s="50" t="s">
        <v>1</v>
      </c>
    </row>
    <row r="12" spans="1:6">
      <c r="A12" s="2" t="s">
        <v>13</v>
      </c>
      <c r="B12" s="1" t="s">
        <v>3</v>
      </c>
      <c r="C12" s="1" t="s">
        <v>3</v>
      </c>
      <c r="D12" s="2" t="s">
        <v>14</v>
      </c>
      <c r="E12" s="50" t="s">
        <v>4</v>
      </c>
      <c r="F12" s="50" t="s">
        <v>1</v>
      </c>
    </row>
    <row r="13" spans="1:6">
      <c r="A13" s="1" t="s">
        <v>3</v>
      </c>
      <c r="B13" s="1" t="s">
        <v>3</v>
      </c>
      <c r="C13" s="1" t="s">
        <v>3</v>
      </c>
      <c r="D13" s="1" t="s">
        <v>3</v>
      </c>
      <c r="E13" s="50" t="s">
        <v>4</v>
      </c>
      <c r="F13" s="50" t="s">
        <v>1</v>
      </c>
    </row>
    <row r="14" spans="1:6">
      <c r="A14" s="2" t="s">
        <v>15</v>
      </c>
      <c r="B14" s="1" t="s">
        <v>3</v>
      </c>
      <c r="C14" s="1" t="s">
        <v>3</v>
      </c>
      <c r="D14" s="2" t="s">
        <v>16</v>
      </c>
      <c r="E14" s="50" t="s">
        <v>4</v>
      </c>
      <c r="F14" s="50" t="s">
        <v>1</v>
      </c>
    </row>
    <row r="15" spans="1:6">
      <c r="A15" s="1" t="s">
        <v>3</v>
      </c>
      <c r="B15" s="1" t="s">
        <v>3</v>
      </c>
      <c r="C15" s="1" t="s">
        <v>3</v>
      </c>
      <c r="D15" s="1" t="s">
        <v>3</v>
      </c>
      <c r="E15" s="50" t="s">
        <v>4</v>
      </c>
      <c r="F15" s="50" t="s">
        <v>1</v>
      </c>
    </row>
    <row r="16" spans="1:6">
      <c r="A16" s="1" t="s">
        <v>17</v>
      </c>
      <c r="B16" s="1" t="s">
        <v>3</v>
      </c>
      <c r="C16" s="1" t="s">
        <v>3</v>
      </c>
      <c r="D16" s="2" t="s">
        <v>3</v>
      </c>
      <c r="E16" s="50" t="s">
        <v>4</v>
      </c>
      <c r="F16" s="50" t="s">
        <v>1</v>
      </c>
    </row>
    <row r="17" spans="1:6">
      <c r="A17" s="1" t="s">
        <v>3</v>
      </c>
      <c r="B17" s="1" t="s">
        <v>3</v>
      </c>
      <c r="C17" s="1" t="s">
        <v>3</v>
      </c>
      <c r="D17" s="1" t="s">
        <v>3</v>
      </c>
      <c r="E17" s="50" t="s">
        <v>4</v>
      </c>
      <c r="F17" s="50" t="s">
        <v>1</v>
      </c>
    </row>
    <row r="18" spans="1:6">
      <c r="A18" s="1" t="s">
        <v>18</v>
      </c>
      <c r="B18" s="2" t="s">
        <v>19</v>
      </c>
      <c r="C18" s="1" t="s">
        <v>3</v>
      </c>
      <c r="D18" s="2" t="s">
        <v>1337</v>
      </c>
      <c r="E18" s="50" t="s">
        <v>4</v>
      </c>
      <c r="F18" s="50" t="s">
        <v>1</v>
      </c>
    </row>
    <row r="19" spans="1:6">
      <c r="A19" s="1" t="s">
        <v>3</v>
      </c>
      <c r="B19" s="1" t="s">
        <v>3</v>
      </c>
      <c r="C19" s="1" t="s">
        <v>3</v>
      </c>
      <c r="D19" s="1" t="s">
        <v>3</v>
      </c>
      <c r="E19" s="50" t="s">
        <v>4</v>
      </c>
      <c r="F19" s="50" t="s">
        <v>1</v>
      </c>
    </row>
    <row r="20" spans="1:6">
      <c r="A20" s="1" t="s">
        <v>3</v>
      </c>
      <c r="B20" s="2" t="s">
        <v>20</v>
      </c>
      <c r="C20" s="1" t="s">
        <v>3</v>
      </c>
      <c r="D20" s="2" t="s">
        <v>1338</v>
      </c>
      <c r="E20" s="50" t="s">
        <v>4</v>
      </c>
      <c r="F20" s="50" t="s">
        <v>1</v>
      </c>
    </row>
    <row r="21" spans="1:6">
      <c r="A21" s="1" t="s">
        <v>3</v>
      </c>
      <c r="B21" s="1" t="s">
        <v>3</v>
      </c>
      <c r="C21" s="1" t="s">
        <v>3</v>
      </c>
      <c r="D21" s="1" t="s">
        <v>3</v>
      </c>
      <c r="E21" s="50" t="s">
        <v>4</v>
      </c>
      <c r="F21" s="50" t="s">
        <v>1</v>
      </c>
    </row>
    <row r="22" spans="1:6">
      <c r="A22" s="1" t="s">
        <v>3</v>
      </c>
      <c r="B22" s="2" t="s">
        <v>21</v>
      </c>
      <c r="C22" s="1" t="s">
        <v>3</v>
      </c>
      <c r="D22" s="2" t="s">
        <v>1339</v>
      </c>
      <c r="E22" s="50" t="s">
        <v>4</v>
      </c>
      <c r="F22" s="50" t="s">
        <v>1</v>
      </c>
    </row>
    <row r="23" spans="1:6">
      <c r="A23" s="3" t="s">
        <v>3</v>
      </c>
      <c r="B23" s="3" t="s">
        <v>3</v>
      </c>
      <c r="C23" s="3" t="s">
        <v>3</v>
      </c>
      <c r="D23" s="3" t="s">
        <v>3</v>
      </c>
      <c r="E23" s="50" t="s">
        <v>4</v>
      </c>
      <c r="F23" s="50" t="s">
        <v>1</v>
      </c>
    </row>
    <row r="24" spans="1:6">
      <c r="A24" s="3" t="s">
        <v>22</v>
      </c>
      <c r="B24" s="3" t="s">
        <v>3</v>
      </c>
      <c r="C24" s="3" t="s">
        <v>3</v>
      </c>
      <c r="D24" s="3" t="s">
        <v>23</v>
      </c>
      <c r="E24" s="50" t="s">
        <v>4</v>
      </c>
      <c r="F24" s="50" t="s">
        <v>1</v>
      </c>
    </row>
    <row r="25" spans="1:6">
      <c r="B25" s="50" t="s">
        <v>24</v>
      </c>
      <c r="C25" s="51"/>
      <c r="D25" s="51"/>
    </row>
    <row r="26" spans="1:6">
      <c r="B26" s="50" t="s">
        <v>25</v>
      </c>
      <c r="C26" s="51"/>
      <c r="D26" s="51"/>
    </row>
  </sheetData>
  <mergeCells count="5">
    <mergeCell ref="B1:D1"/>
    <mergeCell ref="B25:D25"/>
    <mergeCell ref="B26:D26"/>
    <mergeCell ref="E2:E24"/>
    <mergeCell ref="F1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G35"/>
  <sheetViews>
    <sheetView rightToLeft="1" topLeftCell="A16" workbookViewId="0">
      <selection activeCell="C15" sqref="C15"/>
    </sheetView>
  </sheetViews>
  <sheetFormatPr defaultRowHeight="14.25"/>
  <cols>
    <col min="1" max="1" width="43" customWidth="1"/>
    <col min="2" max="2" width="13" customWidth="1"/>
    <col min="3" max="3" width="31" customWidth="1"/>
    <col min="4" max="4" width="25" customWidth="1"/>
    <col min="5" max="5" width="22" customWidth="1"/>
  </cols>
  <sheetData>
    <row r="1" spans="1:7">
      <c r="B1" s="52" t="s">
        <v>0</v>
      </c>
      <c r="C1" s="51"/>
      <c r="D1" s="51"/>
      <c r="E1" s="51"/>
      <c r="G1" s="52" t="s">
        <v>1</v>
      </c>
    </row>
    <row r="2" spans="1:7">
      <c r="A2" s="4" t="s">
        <v>3</v>
      </c>
      <c r="B2" s="4" t="s">
        <v>3</v>
      </c>
      <c r="C2" s="4" t="s">
        <v>26</v>
      </c>
      <c r="D2" s="4" t="s">
        <v>3</v>
      </c>
      <c r="E2" s="4" t="s">
        <v>3</v>
      </c>
      <c r="F2" s="52" t="s">
        <v>4</v>
      </c>
      <c r="G2" s="52" t="s">
        <v>1</v>
      </c>
    </row>
    <row r="3" spans="1:7">
      <c r="A3" s="2" t="s">
        <v>3</v>
      </c>
      <c r="B3" s="4" t="s">
        <v>27</v>
      </c>
      <c r="C3" s="4" t="s">
        <v>28</v>
      </c>
      <c r="D3" s="4" t="s">
        <v>29</v>
      </c>
      <c r="E3" s="4" t="s">
        <v>30</v>
      </c>
      <c r="F3" s="52" t="s">
        <v>4</v>
      </c>
      <c r="G3" s="52" t="s">
        <v>1</v>
      </c>
    </row>
    <row r="4" spans="1:7">
      <c r="A4" s="2" t="s">
        <v>31</v>
      </c>
      <c r="B4" s="5">
        <v>22464.473679999999</v>
      </c>
      <c r="C4" s="2" t="s">
        <v>3</v>
      </c>
      <c r="D4" s="2" t="s">
        <v>27</v>
      </c>
      <c r="E4" s="6">
        <v>2.69082E-2</v>
      </c>
      <c r="F4" s="52" t="s">
        <v>4</v>
      </c>
      <c r="G4" s="52" t="s">
        <v>1</v>
      </c>
    </row>
    <row r="5" spans="1:7">
      <c r="A5" s="2" t="s">
        <v>32</v>
      </c>
      <c r="B5" s="5">
        <v>145354.53083999999</v>
      </c>
      <c r="C5" s="2" t="s">
        <v>3</v>
      </c>
      <c r="D5" s="2" t="s">
        <v>27</v>
      </c>
      <c r="E5" s="6">
        <v>0.17410730000000002</v>
      </c>
      <c r="F5" s="52" t="s">
        <v>4</v>
      </c>
      <c r="G5" s="52" t="s">
        <v>1</v>
      </c>
    </row>
    <row r="6" spans="1:7">
      <c r="A6" s="2" t="s">
        <v>33</v>
      </c>
      <c r="B6" s="5">
        <v>0</v>
      </c>
      <c r="C6" s="2" t="s">
        <v>3</v>
      </c>
      <c r="D6" s="2" t="s">
        <v>27</v>
      </c>
      <c r="E6" s="6">
        <v>0</v>
      </c>
      <c r="F6" s="52" t="s">
        <v>4</v>
      </c>
      <c r="G6" s="52" t="s">
        <v>1</v>
      </c>
    </row>
    <row r="7" spans="1:7">
      <c r="A7" s="2" t="s">
        <v>34</v>
      </c>
      <c r="B7" s="5">
        <v>148487.36410999999</v>
      </c>
      <c r="C7" s="2" t="s">
        <v>3</v>
      </c>
      <c r="D7" s="2" t="s">
        <v>27</v>
      </c>
      <c r="E7" s="6">
        <v>0.17785979999999998</v>
      </c>
      <c r="F7" s="52" t="s">
        <v>4</v>
      </c>
      <c r="G7" s="52" t="s">
        <v>1</v>
      </c>
    </row>
    <row r="8" spans="1:7">
      <c r="A8" s="2" t="s">
        <v>35</v>
      </c>
      <c r="B8" s="5">
        <v>97997.639729999995</v>
      </c>
      <c r="C8" s="2" t="s">
        <v>3</v>
      </c>
      <c r="D8" s="2" t="s">
        <v>27</v>
      </c>
      <c r="E8" s="6">
        <v>0.11738270000000001</v>
      </c>
      <c r="F8" s="52" t="s">
        <v>4</v>
      </c>
      <c r="G8" s="52" t="s">
        <v>1</v>
      </c>
    </row>
    <row r="9" spans="1:7">
      <c r="A9" s="2" t="s">
        <v>36</v>
      </c>
      <c r="B9" s="5">
        <v>262881.63017999998</v>
      </c>
      <c r="C9" s="2" t="s">
        <v>3</v>
      </c>
      <c r="D9" s="2" t="s">
        <v>27</v>
      </c>
      <c r="E9" s="6">
        <v>0.31488260000000001</v>
      </c>
      <c r="F9" s="52" t="s">
        <v>4</v>
      </c>
      <c r="G9" s="52" t="s">
        <v>1</v>
      </c>
    </row>
    <row r="10" spans="1:7">
      <c r="A10" s="2" t="s">
        <v>37</v>
      </c>
      <c r="B10" s="5">
        <v>10963.225759999999</v>
      </c>
      <c r="C10" s="2" t="s">
        <v>3</v>
      </c>
      <c r="D10" s="2" t="s">
        <v>27</v>
      </c>
      <c r="E10" s="6">
        <v>1.31319E-2</v>
      </c>
      <c r="F10" s="52" t="s">
        <v>4</v>
      </c>
      <c r="G10" s="52" t="s">
        <v>1</v>
      </c>
    </row>
    <row r="11" spans="1:7">
      <c r="A11" s="2" t="s">
        <v>38</v>
      </c>
      <c r="B11" s="5">
        <v>40.099499999999999</v>
      </c>
      <c r="C11" s="2" t="s">
        <v>3</v>
      </c>
      <c r="D11" s="2" t="s">
        <v>27</v>
      </c>
      <c r="E11" s="6">
        <v>4.7999999999999994E-5</v>
      </c>
      <c r="F11" s="52" t="s">
        <v>4</v>
      </c>
      <c r="G11" s="52" t="s">
        <v>1</v>
      </c>
    </row>
    <row r="12" spans="1:7">
      <c r="A12" s="2" t="s">
        <v>39</v>
      </c>
      <c r="B12" s="5">
        <v>0</v>
      </c>
      <c r="C12" s="2" t="s">
        <v>3</v>
      </c>
      <c r="D12" s="2" t="s">
        <v>27</v>
      </c>
      <c r="E12" s="6">
        <v>0</v>
      </c>
      <c r="F12" s="52" t="s">
        <v>4</v>
      </c>
      <c r="G12" s="52" t="s">
        <v>1</v>
      </c>
    </row>
    <row r="13" spans="1:7">
      <c r="A13" s="2" t="s">
        <v>40</v>
      </c>
      <c r="B13" s="5">
        <v>809.31554000000006</v>
      </c>
      <c r="C13" s="2" t="s">
        <v>3</v>
      </c>
      <c r="D13" s="2" t="s">
        <v>27</v>
      </c>
      <c r="E13" s="6">
        <v>9.6940000000000004E-4</v>
      </c>
      <c r="F13" s="52" t="s">
        <v>4</v>
      </c>
      <c r="G13" s="52" t="s">
        <v>1</v>
      </c>
    </row>
    <row r="14" spans="1:7">
      <c r="A14" s="2" t="s">
        <v>41</v>
      </c>
      <c r="B14" s="5">
        <v>3638.8852400000001</v>
      </c>
      <c r="C14" s="2" t="s">
        <v>3</v>
      </c>
      <c r="D14" s="2" t="s">
        <v>27</v>
      </c>
      <c r="E14" s="6">
        <v>4.3587000000000001E-3</v>
      </c>
      <c r="F14" s="52" t="s">
        <v>4</v>
      </c>
      <c r="G14" s="52" t="s">
        <v>1</v>
      </c>
    </row>
    <row r="15" spans="1:7">
      <c r="A15" s="2" t="s">
        <v>42</v>
      </c>
      <c r="B15" s="5">
        <v>0</v>
      </c>
      <c r="C15" s="2" t="s">
        <v>3</v>
      </c>
      <c r="D15" s="2" t="s">
        <v>27</v>
      </c>
      <c r="E15" s="6">
        <v>0</v>
      </c>
      <c r="F15" s="52" t="s">
        <v>4</v>
      </c>
      <c r="G15" s="52" t="s">
        <v>1</v>
      </c>
    </row>
    <row r="16" spans="1:7">
      <c r="A16" s="2" t="s">
        <v>43</v>
      </c>
      <c r="B16" s="5">
        <v>0</v>
      </c>
      <c r="C16" s="2" t="s">
        <v>3</v>
      </c>
      <c r="D16" s="2" t="s">
        <v>27</v>
      </c>
      <c r="E16" s="6">
        <v>0</v>
      </c>
      <c r="F16" s="52" t="s">
        <v>4</v>
      </c>
      <c r="G16" s="52" t="s">
        <v>1</v>
      </c>
    </row>
    <row r="17" spans="1:7">
      <c r="A17" s="2" t="s">
        <v>44</v>
      </c>
      <c r="B17" s="5">
        <v>0</v>
      </c>
      <c r="C17" s="2" t="s">
        <v>3</v>
      </c>
      <c r="D17" s="2" t="s">
        <v>27</v>
      </c>
      <c r="E17" s="6">
        <v>0</v>
      </c>
      <c r="F17" s="52" t="s">
        <v>4</v>
      </c>
      <c r="G17" s="52" t="s">
        <v>1</v>
      </c>
    </row>
    <row r="18" spans="1:7">
      <c r="A18" s="2" t="s">
        <v>45</v>
      </c>
      <c r="B18" s="5">
        <v>0</v>
      </c>
      <c r="C18" s="2" t="s">
        <v>3</v>
      </c>
      <c r="D18" s="2" t="s">
        <v>27</v>
      </c>
      <c r="E18" s="6">
        <v>0</v>
      </c>
      <c r="F18" s="52" t="s">
        <v>4</v>
      </c>
      <c r="G18" s="52" t="s">
        <v>1</v>
      </c>
    </row>
    <row r="19" spans="1:7">
      <c r="A19" s="2" t="s">
        <v>46</v>
      </c>
      <c r="B19" s="5">
        <v>890.59163000000001</v>
      </c>
      <c r="C19" s="2" t="s">
        <v>3</v>
      </c>
      <c r="D19" s="2" t="s">
        <v>27</v>
      </c>
      <c r="E19" s="6">
        <v>1.0667999999999999E-3</v>
      </c>
      <c r="F19" s="52" t="s">
        <v>4</v>
      </c>
      <c r="G19" s="52" t="s">
        <v>1</v>
      </c>
    </row>
    <row r="20" spans="1:7">
      <c r="A20" s="2" t="s">
        <v>47</v>
      </c>
      <c r="B20" s="5">
        <v>1535.9544100000001</v>
      </c>
      <c r="C20" s="2" t="s">
        <v>3</v>
      </c>
      <c r="D20" s="2" t="s">
        <v>27</v>
      </c>
      <c r="E20" s="6">
        <v>1.8397999999999999E-3</v>
      </c>
      <c r="F20" s="52" t="s">
        <v>4</v>
      </c>
      <c r="G20" s="52" t="s">
        <v>1</v>
      </c>
    </row>
    <row r="21" spans="1:7">
      <c r="A21" s="2" t="s">
        <v>48</v>
      </c>
      <c r="B21" s="5">
        <v>128780.55769</v>
      </c>
      <c r="C21" s="2" t="s">
        <v>3</v>
      </c>
      <c r="D21" s="2" t="s">
        <v>27</v>
      </c>
      <c r="E21" s="6">
        <v>0.1542548</v>
      </c>
      <c r="F21" s="52" t="s">
        <v>4</v>
      </c>
      <c r="G21" s="52" t="s">
        <v>1</v>
      </c>
    </row>
    <row r="22" spans="1:7">
      <c r="A22" s="2" t="s">
        <v>49</v>
      </c>
      <c r="B22" s="5">
        <v>0</v>
      </c>
      <c r="C22" s="2" t="s">
        <v>3</v>
      </c>
      <c r="D22" s="2" t="s">
        <v>27</v>
      </c>
      <c r="E22" s="6">
        <v>0</v>
      </c>
      <c r="F22" s="52" t="s">
        <v>4</v>
      </c>
      <c r="G22" s="52" t="s">
        <v>1</v>
      </c>
    </row>
    <row r="23" spans="1:7">
      <c r="A23" s="2" t="s">
        <v>50</v>
      </c>
      <c r="B23" s="5">
        <v>0</v>
      </c>
      <c r="C23" s="2" t="s">
        <v>3</v>
      </c>
      <c r="D23" s="2" t="s">
        <v>27</v>
      </c>
      <c r="E23" s="6">
        <v>0</v>
      </c>
      <c r="F23" s="52" t="s">
        <v>4</v>
      </c>
      <c r="G23" s="52" t="s">
        <v>1</v>
      </c>
    </row>
    <row r="24" spans="1:7">
      <c r="A24" s="2" t="s">
        <v>51</v>
      </c>
      <c r="B24" s="5">
        <v>-1239.5349900000001</v>
      </c>
      <c r="C24" s="2" t="s">
        <v>3</v>
      </c>
      <c r="D24" s="2" t="s">
        <v>27</v>
      </c>
      <c r="E24" s="6">
        <v>-1.4846999999999998E-3</v>
      </c>
      <c r="F24" s="52" t="s">
        <v>4</v>
      </c>
      <c r="G24" s="52" t="s">
        <v>1</v>
      </c>
    </row>
    <row r="25" spans="1:7">
      <c r="A25" s="2" t="s">
        <v>52</v>
      </c>
      <c r="B25" s="5">
        <v>12190.860129999999</v>
      </c>
      <c r="C25" s="2" t="s">
        <v>3</v>
      </c>
      <c r="D25" s="2" t="s">
        <v>27</v>
      </c>
      <c r="E25" s="6">
        <v>1.4602299999999999E-2</v>
      </c>
      <c r="F25" s="52" t="s">
        <v>4</v>
      </c>
      <c r="G25" s="52" t="s">
        <v>1</v>
      </c>
    </row>
    <row r="26" spans="1:7">
      <c r="A26" s="2" t="s">
        <v>53</v>
      </c>
      <c r="B26" s="5">
        <v>0.11</v>
      </c>
      <c r="C26" s="2" t="s">
        <v>3</v>
      </c>
      <c r="D26" s="2" t="s">
        <v>27</v>
      </c>
      <c r="E26" s="6">
        <v>1.0000000000000001E-7</v>
      </c>
      <c r="F26" s="52" t="s">
        <v>4</v>
      </c>
      <c r="G26" s="52" t="s">
        <v>1</v>
      </c>
    </row>
    <row r="27" spans="1:7">
      <c r="A27" s="2" t="s">
        <v>54</v>
      </c>
      <c r="B27" s="5">
        <v>0</v>
      </c>
      <c r="C27" s="2" t="s">
        <v>3</v>
      </c>
      <c r="D27" s="2" t="s">
        <v>27</v>
      </c>
      <c r="E27" s="6">
        <v>0</v>
      </c>
      <c r="F27" s="52" t="s">
        <v>4</v>
      </c>
      <c r="G27" s="52" t="s">
        <v>1</v>
      </c>
    </row>
    <row r="28" spans="1:7">
      <c r="A28" s="2" t="s">
        <v>55</v>
      </c>
      <c r="B28" s="5">
        <v>0</v>
      </c>
      <c r="C28" s="2" t="s">
        <v>3</v>
      </c>
      <c r="D28" s="2" t="s">
        <v>27</v>
      </c>
      <c r="E28" s="6">
        <v>0</v>
      </c>
      <c r="F28" s="52" t="s">
        <v>4</v>
      </c>
      <c r="G28" s="52" t="s">
        <v>1</v>
      </c>
    </row>
    <row r="29" spans="1:7">
      <c r="A29" s="2" t="s">
        <v>56</v>
      </c>
      <c r="B29" s="5">
        <v>0</v>
      </c>
      <c r="C29" s="2" t="s">
        <v>3</v>
      </c>
      <c r="D29" s="2" t="s">
        <v>27</v>
      </c>
      <c r="E29" s="6">
        <v>0</v>
      </c>
      <c r="F29" s="52" t="s">
        <v>4</v>
      </c>
      <c r="G29" s="52" t="s">
        <v>1</v>
      </c>
    </row>
    <row r="30" spans="1:7">
      <c r="A30" s="2" t="s">
        <v>57</v>
      </c>
      <c r="B30" s="5">
        <v>60.366340000000001</v>
      </c>
      <c r="C30" s="2" t="s">
        <v>3</v>
      </c>
      <c r="D30" s="2" t="s">
        <v>27</v>
      </c>
      <c r="E30" s="6">
        <v>7.2300000000000009E-5</v>
      </c>
      <c r="F30" s="52" t="s">
        <v>4</v>
      </c>
      <c r="G30" s="52" t="s">
        <v>1</v>
      </c>
    </row>
    <row r="31" spans="1:7">
      <c r="A31" s="4" t="s">
        <v>58</v>
      </c>
      <c r="B31" s="7">
        <v>834856.06978999998</v>
      </c>
      <c r="C31" s="1" t="s">
        <v>3</v>
      </c>
      <c r="D31" s="1" t="s">
        <v>27</v>
      </c>
      <c r="E31" s="8">
        <v>1</v>
      </c>
      <c r="F31" s="52" t="s">
        <v>4</v>
      </c>
      <c r="G31" s="52" t="s">
        <v>1</v>
      </c>
    </row>
    <row r="32" spans="1:7">
      <c r="A32" s="2" t="s">
        <v>59</v>
      </c>
      <c r="B32" s="5">
        <v>0</v>
      </c>
      <c r="C32" s="2" t="s">
        <v>3</v>
      </c>
      <c r="D32" s="2" t="s">
        <v>27</v>
      </c>
      <c r="E32" s="6">
        <v>0</v>
      </c>
      <c r="F32" s="52" t="s">
        <v>4</v>
      </c>
      <c r="G32" s="52" t="s">
        <v>1</v>
      </c>
    </row>
    <row r="33" spans="1:7">
      <c r="A33" s="2" t="s">
        <v>60</v>
      </c>
      <c r="B33" s="5">
        <f>SUM('יתרות התחייבות להשקעה'!O:O)</f>
        <v>7327.295982650001</v>
      </c>
      <c r="C33" s="2" t="s">
        <v>3</v>
      </c>
      <c r="D33" s="2" t="s">
        <v>27</v>
      </c>
      <c r="E33" s="6">
        <f>+B33/B31</f>
        <v>8.7767176257017715E-3</v>
      </c>
      <c r="F33" s="52" t="s">
        <v>4</v>
      </c>
      <c r="G33" s="52" t="s">
        <v>1</v>
      </c>
    </row>
    <row r="34" spans="1:7">
      <c r="B34" s="52" t="s">
        <v>24</v>
      </c>
      <c r="C34" s="51"/>
      <c r="D34" s="51"/>
      <c r="E34" s="51"/>
    </row>
    <row r="35" spans="1:7">
      <c r="B35" s="52" t="s">
        <v>25</v>
      </c>
      <c r="C35" s="51"/>
      <c r="D35" s="51"/>
      <c r="E35" s="51"/>
    </row>
  </sheetData>
  <mergeCells count="5">
    <mergeCell ref="B1:E1"/>
    <mergeCell ref="B34:E34"/>
    <mergeCell ref="B35:E35"/>
    <mergeCell ref="F2:F33"/>
    <mergeCell ref="G1: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T31"/>
  <sheetViews>
    <sheetView rightToLeft="1" zoomScale="70" zoomScaleNormal="70" workbookViewId="0">
      <selection activeCell="A26" sqref="A26"/>
    </sheetView>
  </sheetViews>
  <sheetFormatPr defaultRowHeight="14.25"/>
  <cols>
    <col min="1" max="1" width="36" customWidth="1"/>
    <col min="2" max="2" width="12" customWidth="1"/>
    <col min="3" max="3" width="13" customWidth="1"/>
    <col min="4" max="4" width="15" customWidth="1"/>
    <col min="5" max="5" width="19" customWidth="1"/>
    <col min="6" max="6" width="24" customWidth="1"/>
    <col min="7" max="7" width="12" customWidth="1"/>
    <col min="8" max="8" width="18" customWidth="1"/>
    <col min="9" max="9" width="12" customWidth="1"/>
    <col min="10" max="10" width="11" customWidth="1"/>
    <col min="11" max="11" width="16" customWidth="1"/>
    <col min="12" max="13" width="12" customWidth="1"/>
    <col min="14" max="14" width="13" customWidth="1"/>
    <col min="15" max="15" width="24" customWidth="1"/>
    <col min="16" max="16" width="25" customWidth="1"/>
    <col min="17" max="17" width="23" customWidth="1"/>
  </cols>
  <sheetData>
    <row r="1" spans="1:20">
      <c r="B1" s="53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S1" s="53" t="s">
        <v>1</v>
      </c>
    </row>
    <row r="2" spans="1:20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75</v>
      </c>
      <c r="P2" s="4" t="s">
        <v>76</v>
      </c>
      <c r="Q2" s="4" t="s">
        <v>77</v>
      </c>
      <c r="R2" s="53" t="s">
        <v>4</v>
      </c>
      <c r="S2" s="53" t="s">
        <v>1</v>
      </c>
    </row>
    <row r="3" spans="1:20">
      <c r="A3" s="2" t="s">
        <v>78</v>
      </c>
      <c r="B3" s="2" t="s">
        <v>79</v>
      </c>
      <c r="C3" s="2" t="s">
        <v>1321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  <c r="L3" s="5">
        <v>255.1284</v>
      </c>
      <c r="M3" s="5">
        <v>1</v>
      </c>
      <c r="N3" s="6">
        <v>4.0300000000000002E-2</v>
      </c>
      <c r="O3" s="5">
        <v>255.12849</v>
      </c>
      <c r="P3" s="6">
        <v>1.1356999999999999E-2</v>
      </c>
      <c r="Q3" s="6">
        <v>3.056E-4</v>
      </c>
      <c r="R3" s="53" t="s">
        <v>4</v>
      </c>
      <c r="S3" s="53" t="s">
        <v>1</v>
      </c>
      <c r="T3">
        <f>COUNTBLANK(C3:Q3)</f>
        <v>0</v>
      </c>
    </row>
    <row r="4" spans="1:20">
      <c r="A4" s="2" t="s">
        <v>78</v>
      </c>
      <c r="B4" s="2" t="s">
        <v>79</v>
      </c>
      <c r="C4" s="2" t="s">
        <v>1321</v>
      </c>
      <c r="D4" s="2" t="s">
        <v>80</v>
      </c>
      <c r="E4" s="2" t="s">
        <v>81</v>
      </c>
      <c r="F4" s="2" t="s">
        <v>88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5">
        <v>1.3152999999999999</v>
      </c>
      <c r="M4" s="5">
        <v>1</v>
      </c>
      <c r="N4" s="6">
        <v>0</v>
      </c>
      <c r="O4" s="5">
        <v>1.3153300000000001</v>
      </c>
      <c r="P4" s="6">
        <v>5.8599999999999995E-5</v>
      </c>
      <c r="Q4" s="6">
        <v>1.6000000000000001E-6</v>
      </c>
      <c r="R4" s="53" t="s">
        <v>4</v>
      </c>
      <c r="S4" s="53" t="s">
        <v>1</v>
      </c>
      <c r="T4">
        <f t="shared" ref="T4:T28" si="0">COUNTBLANK(C4:Q4)</f>
        <v>0</v>
      </c>
    </row>
    <row r="5" spans="1:20">
      <c r="A5" s="2" t="s">
        <v>78</v>
      </c>
      <c r="B5" s="2" t="s">
        <v>79</v>
      </c>
      <c r="C5" s="2" t="s">
        <v>1321</v>
      </c>
      <c r="D5" s="2" t="s">
        <v>80</v>
      </c>
      <c r="E5" s="2" t="s">
        <v>81</v>
      </c>
      <c r="F5" s="2" t="s">
        <v>89</v>
      </c>
      <c r="G5" s="2" t="s">
        <v>83</v>
      </c>
      <c r="H5" s="2" t="s">
        <v>84</v>
      </c>
      <c r="I5" s="2" t="s">
        <v>85</v>
      </c>
      <c r="J5" s="2" t="s">
        <v>86</v>
      </c>
      <c r="K5" s="2" t="s">
        <v>90</v>
      </c>
      <c r="L5" s="5">
        <v>6.4999999999999997E-3</v>
      </c>
      <c r="M5" s="5">
        <v>3.9790999999999999</v>
      </c>
      <c r="N5" s="6">
        <v>0</v>
      </c>
      <c r="O5" s="5">
        <v>2.5899999999999999E-2</v>
      </c>
      <c r="P5" s="6">
        <v>1.1999999999999999E-6</v>
      </c>
      <c r="Q5" s="6">
        <v>0</v>
      </c>
      <c r="R5" s="53" t="s">
        <v>4</v>
      </c>
      <c r="S5" s="53" t="s">
        <v>1</v>
      </c>
      <c r="T5">
        <f t="shared" si="0"/>
        <v>0</v>
      </c>
    </row>
    <row r="6" spans="1:20">
      <c r="A6" s="2" t="s">
        <v>78</v>
      </c>
      <c r="B6" s="2" t="s">
        <v>79</v>
      </c>
      <c r="C6" s="2" t="s">
        <v>1321</v>
      </c>
      <c r="D6" s="2" t="s">
        <v>80</v>
      </c>
      <c r="E6" s="2" t="s">
        <v>81</v>
      </c>
      <c r="F6" s="2" t="s">
        <v>89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91</v>
      </c>
      <c r="L6" s="5">
        <v>115.14279999999999</v>
      </c>
      <c r="M6" s="5">
        <v>3.681</v>
      </c>
      <c r="N6" s="6">
        <v>0</v>
      </c>
      <c r="O6" s="5">
        <v>423.84089999999998</v>
      </c>
      <c r="P6" s="6">
        <v>1.8867200000000001E-2</v>
      </c>
      <c r="Q6" s="6">
        <v>5.0770000000000003E-4</v>
      </c>
      <c r="R6" s="53" t="s">
        <v>4</v>
      </c>
      <c r="S6" s="53" t="s">
        <v>1</v>
      </c>
      <c r="T6">
        <f t="shared" si="0"/>
        <v>0</v>
      </c>
    </row>
    <row r="7" spans="1:20">
      <c r="A7" s="2" t="s">
        <v>78</v>
      </c>
      <c r="B7" s="2" t="s">
        <v>78</v>
      </c>
      <c r="C7" s="2" t="s">
        <v>1321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5">
        <v>1515.8449000000001</v>
      </c>
      <c r="M7" s="5">
        <v>1</v>
      </c>
      <c r="N7" s="6">
        <v>4.0300000000000002E-2</v>
      </c>
      <c r="O7" s="5">
        <v>1515.8449000000001</v>
      </c>
      <c r="P7" s="6">
        <v>6.7477400000000007E-2</v>
      </c>
      <c r="Q7" s="6">
        <v>1.8157000000000002E-3</v>
      </c>
      <c r="R7" s="53" t="s">
        <v>4</v>
      </c>
      <c r="S7" s="53" t="s">
        <v>1</v>
      </c>
      <c r="T7">
        <f t="shared" si="0"/>
        <v>0</v>
      </c>
    </row>
    <row r="8" spans="1:20">
      <c r="A8" s="2" t="s">
        <v>78</v>
      </c>
      <c r="B8" s="2" t="s">
        <v>78</v>
      </c>
      <c r="C8" s="2" t="s">
        <v>1321</v>
      </c>
      <c r="D8" s="2" t="s">
        <v>80</v>
      </c>
      <c r="E8" s="2" t="s">
        <v>81</v>
      </c>
      <c r="F8" s="2" t="s">
        <v>89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90</v>
      </c>
      <c r="L8" s="5">
        <v>4.0762</v>
      </c>
      <c r="M8" s="5">
        <v>3.9790999999999999</v>
      </c>
      <c r="N8" s="6">
        <v>0</v>
      </c>
      <c r="O8" s="5">
        <v>16.219840000000001</v>
      </c>
      <c r="P8" s="6">
        <v>7.2199999999999999E-4</v>
      </c>
      <c r="Q8" s="6">
        <v>1.9400000000000001E-5</v>
      </c>
      <c r="R8" s="53" t="s">
        <v>4</v>
      </c>
      <c r="S8" s="53" t="s">
        <v>1</v>
      </c>
      <c r="T8">
        <f t="shared" si="0"/>
        <v>0</v>
      </c>
    </row>
    <row r="9" spans="1:20">
      <c r="A9" s="2" t="s">
        <v>78</v>
      </c>
      <c r="B9" s="2" t="s">
        <v>78</v>
      </c>
      <c r="C9" s="2" t="s">
        <v>1321</v>
      </c>
      <c r="D9" s="2" t="s">
        <v>80</v>
      </c>
      <c r="E9" s="2" t="s">
        <v>81</v>
      </c>
      <c r="F9" s="2" t="s">
        <v>89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92</v>
      </c>
      <c r="L9" s="5">
        <v>6.9999999999999999E-4</v>
      </c>
      <c r="M9" s="5">
        <v>4.0739999999999998</v>
      </c>
      <c r="N9" s="6">
        <v>0</v>
      </c>
      <c r="O9" s="5">
        <v>2.8900000000000002E-3</v>
      </c>
      <c r="P9" s="6">
        <v>1.0000000000000001E-7</v>
      </c>
      <c r="Q9" s="6">
        <v>0</v>
      </c>
      <c r="R9" s="53" t="s">
        <v>4</v>
      </c>
      <c r="S9" s="53" t="s">
        <v>1</v>
      </c>
      <c r="T9">
        <f t="shared" si="0"/>
        <v>0</v>
      </c>
    </row>
    <row r="10" spans="1:20">
      <c r="A10" s="2" t="s">
        <v>78</v>
      </c>
      <c r="B10" s="2" t="s">
        <v>78</v>
      </c>
      <c r="C10" s="2" t="s">
        <v>1321</v>
      </c>
      <c r="D10" s="2" t="s">
        <v>80</v>
      </c>
      <c r="E10" s="2" t="s">
        <v>81</v>
      </c>
      <c r="F10" s="2" t="s">
        <v>89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91</v>
      </c>
      <c r="L10" s="5">
        <v>27.965900000000001</v>
      </c>
      <c r="M10" s="5">
        <v>3.681</v>
      </c>
      <c r="N10" s="6">
        <v>0</v>
      </c>
      <c r="O10" s="5">
        <v>102.94251</v>
      </c>
      <c r="P10" s="6">
        <v>4.5824999999999998E-3</v>
      </c>
      <c r="Q10" s="6">
        <v>1.2330000000000002E-4</v>
      </c>
      <c r="R10" s="53" t="s">
        <v>4</v>
      </c>
      <c r="S10" s="53" t="s">
        <v>1</v>
      </c>
      <c r="T10">
        <f t="shared" si="0"/>
        <v>0</v>
      </c>
    </row>
    <row r="11" spans="1:20">
      <c r="A11" s="2" t="s">
        <v>78</v>
      </c>
      <c r="B11" s="2" t="s">
        <v>78</v>
      </c>
      <c r="C11" s="2" t="s">
        <v>1321</v>
      </c>
      <c r="D11" s="2" t="s">
        <v>80</v>
      </c>
      <c r="E11" s="2" t="s">
        <v>81</v>
      </c>
      <c r="F11" s="2" t="s">
        <v>89</v>
      </c>
      <c r="G11" s="2" t="s">
        <v>83</v>
      </c>
      <c r="H11" s="2" t="s">
        <v>84</v>
      </c>
      <c r="I11" s="2" t="s">
        <v>85</v>
      </c>
      <c r="J11" s="2" t="s">
        <v>86</v>
      </c>
      <c r="K11" s="2" t="s">
        <v>93</v>
      </c>
      <c r="L11" s="5">
        <v>0.8518</v>
      </c>
      <c r="M11" s="5">
        <v>0.50680000000000003</v>
      </c>
      <c r="N11" s="6">
        <v>0</v>
      </c>
      <c r="O11" s="5">
        <v>0.43169999999999997</v>
      </c>
      <c r="P11" s="6">
        <v>1.9199999999999999E-5</v>
      </c>
      <c r="Q11" s="6">
        <v>4.9999999999999998E-7</v>
      </c>
      <c r="R11" s="53" t="s">
        <v>4</v>
      </c>
      <c r="S11" s="53" t="s">
        <v>1</v>
      </c>
      <c r="T11">
        <f t="shared" si="0"/>
        <v>0</v>
      </c>
    </row>
    <row r="12" spans="1:20">
      <c r="A12" s="2" t="s">
        <v>78</v>
      </c>
      <c r="B12" s="2" t="s">
        <v>94</v>
      </c>
      <c r="C12" s="2" t="s">
        <v>1321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  <c r="J12" s="2" t="s">
        <v>86</v>
      </c>
      <c r="K12" s="2" t="s">
        <v>87</v>
      </c>
      <c r="L12" s="5">
        <v>662.20740000000001</v>
      </c>
      <c r="M12" s="5">
        <v>1</v>
      </c>
      <c r="N12" s="6">
        <v>4.0300000000000002E-2</v>
      </c>
      <c r="O12" s="5">
        <v>662.20740999999998</v>
      </c>
      <c r="P12" s="6">
        <v>2.9478000000000001E-2</v>
      </c>
      <c r="Q12" s="6">
        <v>7.9319999999999998E-4</v>
      </c>
      <c r="R12" s="53" t="s">
        <v>4</v>
      </c>
      <c r="S12" s="53" t="s">
        <v>1</v>
      </c>
      <c r="T12">
        <f t="shared" si="0"/>
        <v>0</v>
      </c>
    </row>
    <row r="13" spans="1:20">
      <c r="A13" s="2" t="s">
        <v>78</v>
      </c>
      <c r="B13" s="2" t="s">
        <v>94</v>
      </c>
      <c r="C13" s="2" t="s">
        <v>1321</v>
      </c>
      <c r="D13" s="2" t="s">
        <v>80</v>
      </c>
      <c r="E13" s="2" t="s">
        <v>81</v>
      </c>
      <c r="F13" s="2" t="s">
        <v>89</v>
      </c>
      <c r="G13" s="2" t="s">
        <v>83</v>
      </c>
      <c r="H13" s="2" t="s">
        <v>84</v>
      </c>
      <c r="I13" s="2" t="s">
        <v>85</v>
      </c>
      <c r="J13" s="2" t="s">
        <v>86</v>
      </c>
      <c r="K13" s="2" t="s">
        <v>90</v>
      </c>
      <c r="L13" s="5">
        <v>3.6833999999999998</v>
      </c>
      <c r="M13" s="5">
        <v>3.9790999999999999</v>
      </c>
      <c r="N13" s="6">
        <v>0</v>
      </c>
      <c r="O13" s="5">
        <v>14.656890000000001</v>
      </c>
      <c r="P13" s="6">
        <v>6.5240000000000003E-4</v>
      </c>
      <c r="Q13" s="6">
        <v>1.7600000000000001E-5</v>
      </c>
      <c r="R13" s="53" t="s">
        <v>4</v>
      </c>
      <c r="S13" s="53" t="s">
        <v>1</v>
      </c>
      <c r="T13">
        <f t="shared" si="0"/>
        <v>0</v>
      </c>
    </row>
    <row r="14" spans="1:20">
      <c r="A14" s="2" t="s">
        <v>78</v>
      </c>
      <c r="B14" s="2" t="s">
        <v>94</v>
      </c>
      <c r="C14" s="2" t="s">
        <v>1321</v>
      </c>
      <c r="D14" s="2" t="s">
        <v>80</v>
      </c>
      <c r="E14" s="2" t="s">
        <v>81</v>
      </c>
      <c r="F14" s="2" t="s">
        <v>89</v>
      </c>
      <c r="G14" s="2" t="s">
        <v>83</v>
      </c>
      <c r="H14" s="2" t="s">
        <v>84</v>
      </c>
      <c r="I14" s="2" t="s">
        <v>85</v>
      </c>
      <c r="J14" s="2" t="s">
        <v>86</v>
      </c>
      <c r="K14" s="2" t="s">
        <v>95</v>
      </c>
      <c r="L14" s="5">
        <v>8.0000000000000004E-4</v>
      </c>
      <c r="M14" s="5">
        <v>4.6535000000000002</v>
      </c>
      <c r="N14" s="6">
        <v>0</v>
      </c>
      <c r="O14" s="5">
        <v>4.0899999999999999E-3</v>
      </c>
      <c r="P14" s="6">
        <v>2.0000000000000002E-7</v>
      </c>
      <c r="Q14" s="6">
        <v>0</v>
      </c>
      <c r="R14" s="53" t="s">
        <v>4</v>
      </c>
      <c r="S14" s="53" t="s">
        <v>1</v>
      </c>
      <c r="T14">
        <f t="shared" si="0"/>
        <v>0</v>
      </c>
    </row>
    <row r="15" spans="1:20">
      <c r="A15" s="2" t="s">
        <v>78</v>
      </c>
      <c r="B15" s="2" t="s">
        <v>94</v>
      </c>
      <c r="C15" s="2" t="s">
        <v>1321</v>
      </c>
      <c r="D15" s="2" t="s">
        <v>80</v>
      </c>
      <c r="E15" s="2" t="s">
        <v>81</v>
      </c>
      <c r="F15" s="2" t="s">
        <v>89</v>
      </c>
      <c r="G15" s="2" t="s">
        <v>83</v>
      </c>
      <c r="H15" s="2" t="s">
        <v>84</v>
      </c>
      <c r="I15" s="2" t="s">
        <v>85</v>
      </c>
      <c r="J15" s="2" t="s">
        <v>86</v>
      </c>
      <c r="K15" s="2" t="s">
        <v>91</v>
      </c>
      <c r="L15" s="5">
        <v>16.1891</v>
      </c>
      <c r="M15" s="5">
        <v>3.681</v>
      </c>
      <c r="N15" s="6">
        <v>0</v>
      </c>
      <c r="O15" s="5">
        <v>59.592440000000003</v>
      </c>
      <c r="P15" s="6">
        <v>2.6527E-3</v>
      </c>
      <c r="Q15" s="6">
        <v>7.1400000000000001E-5</v>
      </c>
      <c r="R15" s="53" t="s">
        <v>4</v>
      </c>
      <c r="S15" s="53" t="s">
        <v>1</v>
      </c>
      <c r="T15">
        <f t="shared" si="0"/>
        <v>0</v>
      </c>
    </row>
    <row r="16" spans="1:20">
      <c r="A16" s="2" t="s">
        <v>78</v>
      </c>
      <c r="B16" s="2" t="s">
        <v>94</v>
      </c>
      <c r="C16" s="2" t="s">
        <v>1321</v>
      </c>
      <c r="D16" s="2" t="s">
        <v>80</v>
      </c>
      <c r="E16" s="2" t="s">
        <v>81</v>
      </c>
      <c r="F16" s="2" t="s">
        <v>89</v>
      </c>
      <c r="G16" s="2" t="s">
        <v>83</v>
      </c>
      <c r="H16" s="2" t="s">
        <v>84</v>
      </c>
      <c r="I16" s="2" t="s">
        <v>85</v>
      </c>
      <c r="J16" s="2" t="s">
        <v>86</v>
      </c>
      <c r="K16" s="2" t="s">
        <v>93</v>
      </c>
      <c r="L16" s="5">
        <v>1.1889000000000001</v>
      </c>
      <c r="M16" s="5">
        <v>0.50680000000000003</v>
      </c>
      <c r="N16" s="6">
        <v>0</v>
      </c>
      <c r="O16" s="5">
        <v>0.60255000000000003</v>
      </c>
      <c r="P16" s="6">
        <v>2.6800000000000001E-5</v>
      </c>
      <c r="Q16" s="6">
        <v>6.9999999999999997E-7</v>
      </c>
      <c r="R16" s="53" t="s">
        <v>4</v>
      </c>
      <c r="S16" s="53" t="s">
        <v>1</v>
      </c>
      <c r="T16">
        <f t="shared" si="0"/>
        <v>0</v>
      </c>
    </row>
    <row r="17" spans="1:20">
      <c r="A17" s="2" t="s">
        <v>78</v>
      </c>
      <c r="B17" s="2" t="s">
        <v>96</v>
      </c>
      <c r="C17" s="2" t="s">
        <v>1321</v>
      </c>
      <c r="D17" s="2" t="s">
        <v>80</v>
      </c>
      <c r="E17" s="2" t="s">
        <v>81</v>
      </c>
      <c r="F17" s="2" t="s">
        <v>82</v>
      </c>
      <c r="G17" s="2" t="s">
        <v>83</v>
      </c>
      <c r="H17" s="2" t="s">
        <v>84</v>
      </c>
      <c r="I17" s="2" t="s">
        <v>85</v>
      </c>
      <c r="J17" s="2" t="s">
        <v>86</v>
      </c>
      <c r="K17" s="2" t="s">
        <v>87</v>
      </c>
      <c r="L17" s="5">
        <v>2129.6804999999999</v>
      </c>
      <c r="M17" s="5">
        <v>1</v>
      </c>
      <c r="N17" s="6">
        <v>4.0300000000000002E-2</v>
      </c>
      <c r="O17" s="5">
        <v>2129.6804999999999</v>
      </c>
      <c r="P17" s="6">
        <v>9.4802199999999989E-2</v>
      </c>
      <c r="Q17" s="6">
        <v>2.5509999999999999E-3</v>
      </c>
      <c r="R17" s="53" t="s">
        <v>4</v>
      </c>
      <c r="S17" s="53" t="s">
        <v>1</v>
      </c>
      <c r="T17">
        <f t="shared" si="0"/>
        <v>0</v>
      </c>
    </row>
    <row r="18" spans="1:20">
      <c r="A18" s="2" t="s">
        <v>78</v>
      </c>
      <c r="B18" s="2" t="s">
        <v>96</v>
      </c>
      <c r="C18" s="2" t="s">
        <v>1321</v>
      </c>
      <c r="D18" s="2" t="s">
        <v>80</v>
      </c>
      <c r="E18" s="2" t="s">
        <v>81</v>
      </c>
      <c r="F18" s="2" t="s">
        <v>89</v>
      </c>
      <c r="G18" s="2" t="s">
        <v>83</v>
      </c>
      <c r="H18" s="2" t="s">
        <v>84</v>
      </c>
      <c r="I18" s="2" t="s">
        <v>85</v>
      </c>
      <c r="J18" s="2" t="s">
        <v>86</v>
      </c>
      <c r="K18" s="2" t="s">
        <v>90</v>
      </c>
      <c r="L18" s="5">
        <v>21.797799999999999</v>
      </c>
      <c r="M18" s="5">
        <v>3.9790999999999999</v>
      </c>
      <c r="N18" s="6">
        <v>0</v>
      </c>
      <c r="O18" s="5">
        <v>86.735979999999998</v>
      </c>
      <c r="P18" s="6">
        <v>3.8609999999999998E-3</v>
      </c>
      <c r="Q18" s="6">
        <v>1.039E-4</v>
      </c>
      <c r="R18" s="53" t="s">
        <v>4</v>
      </c>
      <c r="S18" s="53" t="s">
        <v>1</v>
      </c>
      <c r="T18">
        <f t="shared" si="0"/>
        <v>0</v>
      </c>
    </row>
    <row r="19" spans="1:20">
      <c r="A19" s="2" t="s">
        <v>78</v>
      </c>
      <c r="B19" s="2" t="s">
        <v>96</v>
      </c>
      <c r="C19" s="2" t="s">
        <v>1321</v>
      </c>
      <c r="D19" s="2" t="s">
        <v>80</v>
      </c>
      <c r="E19" s="2" t="s">
        <v>81</v>
      </c>
      <c r="F19" s="2" t="s">
        <v>89</v>
      </c>
      <c r="G19" s="2" t="s">
        <v>83</v>
      </c>
      <c r="H19" s="2" t="s">
        <v>84</v>
      </c>
      <c r="I19" s="2" t="s">
        <v>85</v>
      </c>
      <c r="J19" s="2" t="s">
        <v>86</v>
      </c>
      <c r="K19" s="2" t="s">
        <v>97</v>
      </c>
      <c r="L19" s="5">
        <v>5.9999999999999995E-4</v>
      </c>
      <c r="M19" s="5">
        <v>2.3961999999999999</v>
      </c>
      <c r="N19" s="6">
        <v>0</v>
      </c>
      <c r="O19" s="5">
        <v>1.58E-3</v>
      </c>
      <c r="P19" s="6">
        <v>1.0000000000000001E-7</v>
      </c>
      <c r="Q19" s="6">
        <v>0</v>
      </c>
      <c r="R19" s="53" t="s">
        <v>4</v>
      </c>
      <c r="S19" s="53" t="s">
        <v>1</v>
      </c>
      <c r="T19">
        <f t="shared" si="0"/>
        <v>0</v>
      </c>
    </row>
    <row r="20" spans="1:20">
      <c r="A20" s="2" t="s">
        <v>78</v>
      </c>
      <c r="B20" s="2" t="s">
        <v>96</v>
      </c>
      <c r="C20" s="2" t="s">
        <v>1321</v>
      </c>
      <c r="D20" s="2" t="s">
        <v>80</v>
      </c>
      <c r="E20" s="2" t="s">
        <v>81</v>
      </c>
      <c r="F20" s="2" t="s">
        <v>89</v>
      </c>
      <c r="G20" s="2" t="s">
        <v>83</v>
      </c>
      <c r="H20" s="2" t="s">
        <v>84</v>
      </c>
      <c r="I20" s="2" t="s">
        <v>85</v>
      </c>
      <c r="J20" s="2" t="s">
        <v>86</v>
      </c>
      <c r="K20" s="2" t="s">
        <v>91</v>
      </c>
      <c r="L20" s="5">
        <v>259.88369999999998</v>
      </c>
      <c r="M20" s="5">
        <v>3.681</v>
      </c>
      <c r="N20" s="6">
        <v>0</v>
      </c>
      <c r="O20" s="5">
        <v>956.63215000000002</v>
      </c>
      <c r="P20" s="6">
        <v>4.2584200000000003E-2</v>
      </c>
      <c r="Q20" s="6">
        <v>1.1459E-3</v>
      </c>
      <c r="R20" s="53" t="s">
        <v>4</v>
      </c>
      <c r="S20" s="53" t="s">
        <v>1</v>
      </c>
      <c r="T20">
        <f t="shared" si="0"/>
        <v>0</v>
      </c>
    </row>
    <row r="21" spans="1:20">
      <c r="A21" s="2" t="s">
        <v>78</v>
      </c>
      <c r="B21" s="2" t="s">
        <v>98</v>
      </c>
      <c r="C21" s="2" t="s">
        <v>1321</v>
      </c>
      <c r="D21" s="2" t="s">
        <v>80</v>
      </c>
      <c r="E21" s="2" t="s">
        <v>81</v>
      </c>
      <c r="F21" s="2" t="s">
        <v>88</v>
      </c>
      <c r="G21" s="2" t="s">
        <v>83</v>
      </c>
      <c r="H21" s="2" t="s">
        <v>84</v>
      </c>
      <c r="I21" s="2" t="s">
        <v>85</v>
      </c>
      <c r="J21" s="2" t="s">
        <v>86</v>
      </c>
      <c r="K21" s="2" t="s">
        <v>87</v>
      </c>
      <c r="L21" s="5">
        <v>3.6122000000000001</v>
      </c>
      <c r="M21" s="5">
        <v>1</v>
      </c>
      <c r="N21" s="6">
        <v>0</v>
      </c>
      <c r="O21" s="5">
        <v>3.6122100000000001</v>
      </c>
      <c r="P21" s="6">
        <v>1.6080000000000001E-4</v>
      </c>
      <c r="Q21" s="6">
        <v>4.2999999999999995E-6</v>
      </c>
      <c r="R21" s="53" t="s">
        <v>4</v>
      </c>
      <c r="S21" s="53" t="s">
        <v>1</v>
      </c>
      <c r="T21">
        <f t="shared" si="0"/>
        <v>0</v>
      </c>
    </row>
    <row r="22" spans="1:20">
      <c r="A22" s="2" t="s">
        <v>78</v>
      </c>
      <c r="B22" s="2" t="s">
        <v>98</v>
      </c>
      <c r="C22" s="2" t="s">
        <v>1321</v>
      </c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  <c r="I22" s="2" t="s">
        <v>85</v>
      </c>
      <c r="J22" s="2" t="s">
        <v>86</v>
      </c>
      <c r="K22" s="2" t="s">
        <v>87</v>
      </c>
      <c r="L22" s="5">
        <v>9420.8857000000007</v>
      </c>
      <c r="M22" s="5">
        <v>1</v>
      </c>
      <c r="N22" s="6">
        <v>4.0300000000000002E-2</v>
      </c>
      <c r="O22" s="5">
        <v>9420.8857499999995</v>
      </c>
      <c r="P22" s="6">
        <v>0.41936819999999997</v>
      </c>
      <c r="Q22" s="6">
        <v>1.1284400000000002E-2</v>
      </c>
      <c r="R22" s="53" t="s">
        <v>4</v>
      </c>
      <c r="S22" s="53" t="s">
        <v>1</v>
      </c>
      <c r="T22">
        <f t="shared" si="0"/>
        <v>0</v>
      </c>
    </row>
    <row r="23" spans="1:20">
      <c r="A23" s="2" t="s">
        <v>78</v>
      </c>
      <c r="B23" s="2" t="s">
        <v>98</v>
      </c>
      <c r="C23" s="2" t="s">
        <v>1321</v>
      </c>
      <c r="D23" s="2" t="s">
        <v>80</v>
      </c>
      <c r="E23" s="2" t="s">
        <v>81</v>
      </c>
      <c r="F23" s="2" t="s">
        <v>89</v>
      </c>
      <c r="G23" s="2" t="s">
        <v>83</v>
      </c>
      <c r="H23" s="2" t="s">
        <v>84</v>
      </c>
      <c r="I23" s="2" t="s">
        <v>85</v>
      </c>
      <c r="J23" s="2" t="s">
        <v>86</v>
      </c>
      <c r="K23" s="2" t="s">
        <v>90</v>
      </c>
      <c r="L23" s="5">
        <v>170.73410000000001</v>
      </c>
      <c r="M23" s="5">
        <v>3.9790999999999999</v>
      </c>
      <c r="N23" s="6">
        <v>0</v>
      </c>
      <c r="O23" s="5">
        <v>679.36837000000003</v>
      </c>
      <c r="P23" s="6">
        <v>3.0241899999999999E-2</v>
      </c>
      <c r="Q23" s="6">
        <v>8.1379999999999994E-4</v>
      </c>
      <c r="R23" s="53" t="s">
        <v>4</v>
      </c>
      <c r="S23" s="53" t="s">
        <v>1</v>
      </c>
      <c r="T23">
        <f t="shared" si="0"/>
        <v>0</v>
      </c>
    </row>
    <row r="24" spans="1:20">
      <c r="A24" s="2" t="s">
        <v>78</v>
      </c>
      <c r="B24" s="2" t="s">
        <v>98</v>
      </c>
      <c r="C24" s="2" t="s">
        <v>1321</v>
      </c>
      <c r="D24" s="2" t="s">
        <v>80</v>
      </c>
      <c r="E24" s="2" t="s">
        <v>81</v>
      </c>
      <c r="F24" s="2" t="s">
        <v>89</v>
      </c>
      <c r="G24" s="2" t="s">
        <v>83</v>
      </c>
      <c r="H24" s="2" t="s">
        <v>84</v>
      </c>
      <c r="I24" s="2" t="s">
        <v>85</v>
      </c>
      <c r="J24" s="2" t="s">
        <v>86</v>
      </c>
      <c r="K24" s="2" t="s">
        <v>95</v>
      </c>
      <c r="L24" s="5">
        <v>4.0000000000000002E-4</v>
      </c>
      <c r="M24" s="5">
        <v>4.6535000000000002</v>
      </c>
      <c r="N24" s="6">
        <v>0</v>
      </c>
      <c r="O24" s="5">
        <v>1.9499999999999999E-3</v>
      </c>
      <c r="P24" s="6">
        <v>1.0000000000000001E-7</v>
      </c>
      <c r="Q24" s="6">
        <v>0</v>
      </c>
      <c r="R24" s="53" t="s">
        <v>4</v>
      </c>
      <c r="S24" s="53" t="s">
        <v>1</v>
      </c>
      <c r="T24">
        <f t="shared" si="0"/>
        <v>0</v>
      </c>
    </row>
    <row r="25" spans="1:20">
      <c r="A25" s="2" t="s">
        <v>78</v>
      </c>
      <c r="B25" s="2" t="s">
        <v>98</v>
      </c>
      <c r="C25" s="2" t="s">
        <v>1321</v>
      </c>
      <c r="D25" s="2" t="s">
        <v>80</v>
      </c>
      <c r="E25" s="2" t="s">
        <v>81</v>
      </c>
      <c r="F25" s="2" t="s">
        <v>89</v>
      </c>
      <c r="G25" s="2" t="s">
        <v>83</v>
      </c>
      <c r="H25" s="2" t="s">
        <v>84</v>
      </c>
      <c r="I25" s="2" t="s">
        <v>85</v>
      </c>
      <c r="J25" s="2" t="s">
        <v>86</v>
      </c>
      <c r="K25" s="2" t="s">
        <v>97</v>
      </c>
      <c r="L25" s="5">
        <v>6.9999999999999999E-4</v>
      </c>
      <c r="M25" s="5">
        <v>2.3961999999999999</v>
      </c>
      <c r="N25" s="6">
        <v>0</v>
      </c>
      <c r="O25" s="5">
        <v>1.6999999999999999E-3</v>
      </c>
      <c r="P25" s="6">
        <v>1.0000000000000001E-7</v>
      </c>
      <c r="Q25" s="6">
        <v>0</v>
      </c>
      <c r="R25" s="53" t="s">
        <v>4</v>
      </c>
      <c r="S25" s="53" t="s">
        <v>1</v>
      </c>
      <c r="T25">
        <f t="shared" si="0"/>
        <v>0</v>
      </c>
    </row>
    <row r="26" spans="1:20">
      <c r="A26" s="2" t="s">
        <v>78</v>
      </c>
      <c r="B26" s="2" t="s">
        <v>98</v>
      </c>
      <c r="C26" s="2" t="s">
        <v>1321</v>
      </c>
      <c r="D26" s="2" t="s">
        <v>80</v>
      </c>
      <c r="E26" s="2" t="s">
        <v>81</v>
      </c>
      <c r="F26" s="2" t="s">
        <v>89</v>
      </c>
      <c r="G26" s="2" t="s">
        <v>83</v>
      </c>
      <c r="H26" s="2" t="s">
        <v>84</v>
      </c>
      <c r="I26" s="2" t="s">
        <v>85</v>
      </c>
      <c r="J26" s="2" t="s">
        <v>86</v>
      </c>
      <c r="K26" s="2" t="s">
        <v>91</v>
      </c>
      <c r="L26" s="5">
        <v>1666.5953</v>
      </c>
      <c r="M26" s="5">
        <v>3.681</v>
      </c>
      <c r="N26" s="6">
        <v>0</v>
      </c>
      <c r="O26" s="5">
        <v>6134.7373699999998</v>
      </c>
      <c r="P26" s="6">
        <v>0.2730862</v>
      </c>
      <c r="Q26" s="6">
        <v>7.3482999999999995E-3</v>
      </c>
      <c r="R26" s="53" t="s">
        <v>4</v>
      </c>
      <c r="S26" s="53" t="s">
        <v>1</v>
      </c>
      <c r="T26">
        <f t="shared" si="0"/>
        <v>0</v>
      </c>
    </row>
    <row r="27" spans="1:20">
      <c r="A27" s="2" t="s">
        <v>78</v>
      </c>
      <c r="B27" s="2" t="s">
        <v>98</v>
      </c>
      <c r="C27" s="2" t="s">
        <v>1321</v>
      </c>
      <c r="D27" s="2" t="s">
        <v>80</v>
      </c>
      <c r="E27" s="2" t="s">
        <v>81</v>
      </c>
      <c r="F27" s="2" t="s">
        <v>89</v>
      </c>
      <c r="G27" s="2" t="s">
        <v>83</v>
      </c>
      <c r="H27" s="2" t="s">
        <v>84</v>
      </c>
      <c r="I27" s="2" t="s">
        <v>85</v>
      </c>
      <c r="J27" s="2" t="s">
        <v>86</v>
      </c>
      <c r="K27" s="2" t="s">
        <v>99</v>
      </c>
      <c r="L27" s="5">
        <v>2.9999999999999997E-4</v>
      </c>
      <c r="M27" s="5">
        <v>0.47039999999999998</v>
      </c>
      <c r="N27" s="6">
        <v>0</v>
      </c>
      <c r="O27" s="5">
        <v>1.8000000000000001E-4</v>
      </c>
      <c r="P27" s="6">
        <v>0</v>
      </c>
      <c r="Q27" s="6">
        <v>0</v>
      </c>
      <c r="R27" s="53" t="s">
        <v>4</v>
      </c>
      <c r="S27" s="53" t="s">
        <v>1</v>
      </c>
      <c r="T27">
        <f t="shared" si="0"/>
        <v>0</v>
      </c>
    </row>
    <row r="28" spans="1:20">
      <c r="A28" s="2" t="s">
        <v>78</v>
      </c>
      <c r="B28" s="2" t="s">
        <v>98</v>
      </c>
      <c r="C28" s="2" t="s">
        <v>1321</v>
      </c>
      <c r="D28" s="2" t="s">
        <v>80</v>
      </c>
      <c r="E28" s="2" t="s">
        <v>81</v>
      </c>
      <c r="F28" s="2" t="s">
        <v>89</v>
      </c>
      <c r="G28" s="2" t="s">
        <v>83</v>
      </c>
      <c r="H28" s="2" t="s">
        <v>84</v>
      </c>
      <c r="I28" s="2" t="s">
        <v>85</v>
      </c>
      <c r="J28" s="2" t="s">
        <v>86</v>
      </c>
      <c r="K28" s="2" t="s">
        <v>93</v>
      </c>
      <c r="L28" s="5">
        <v>1E-4</v>
      </c>
      <c r="M28" s="5">
        <v>0.50680000000000003</v>
      </c>
      <c r="N28" s="6">
        <v>0</v>
      </c>
      <c r="O28" s="5">
        <v>1E-4</v>
      </c>
      <c r="P28" s="6">
        <v>0</v>
      </c>
      <c r="Q28" s="6">
        <v>0</v>
      </c>
      <c r="R28" s="53" t="s">
        <v>4</v>
      </c>
      <c r="S28" s="53" t="s">
        <v>1</v>
      </c>
      <c r="T28">
        <f t="shared" si="0"/>
        <v>0</v>
      </c>
    </row>
    <row r="29" spans="1:20">
      <c r="A29" s="2" t="s">
        <v>3</v>
      </c>
      <c r="B29" s="2" t="s">
        <v>100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Q29" s="2" t="s">
        <v>3</v>
      </c>
      <c r="R29" s="53" t="s">
        <v>4</v>
      </c>
      <c r="S29" s="53" t="s">
        <v>1</v>
      </c>
    </row>
    <row r="30" spans="1:20">
      <c r="B30" s="53" t="s">
        <v>24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</row>
    <row r="31" spans="1:20">
      <c r="B31" s="53" t="s">
        <v>25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</row>
  </sheetData>
  <mergeCells count="5">
    <mergeCell ref="B1:Q1"/>
    <mergeCell ref="B30:Q30"/>
    <mergeCell ref="B31:Q31"/>
    <mergeCell ref="R2:R29"/>
    <mergeCell ref="S1:S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AC52"/>
  <sheetViews>
    <sheetView rightToLeft="1" topLeftCell="B1" zoomScale="55" zoomScaleNormal="55" workbookViewId="0">
      <selection activeCell="Q2" sqref="Q2"/>
    </sheetView>
  </sheetViews>
  <sheetFormatPr defaultRowHeight="14.25"/>
  <cols>
    <col min="1" max="1" width="36" customWidth="1"/>
    <col min="2" max="2" width="12" customWidth="1"/>
    <col min="3" max="3" width="26" customWidth="1"/>
    <col min="4" max="4" width="17" customWidth="1"/>
    <col min="5" max="5" width="15" customWidth="1"/>
    <col min="6" max="6" width="40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4" customWidth="1"/>
    <col min="13" max="13" width="8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4" customWidth="1"/>
    <col min="22" max="23" width="25" customWidth="1"/>
    <col min="24" max="24" width="23" customWidth="1"/>
    <col min="25" max="25" width="25" customWidth="1"/>
    <col min="26" max="26" width="23" customWidth="1"/>
    <col min="27" max="27" width="11" customWidth="1"/>
  </cols>
  <sheetData>
    <row r="1" spans="1:29">
      <c r="B1" s="54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C1" s="54" t="s">
        <v>1</v>
      </c>
    </row>
    <row r="2" spans="1:29">
      <c r="A2" s="4" t="s">
        <v>61</v>
      </c>
      <c r="B2" s="4" t="s">
        <v>62</v>
      </c>
      <c r="C2" s="4" t="s">
        <v>101</v>
      </c>
      <c r="D2" s="4" t="s">
        <v>102</v>
      </c>
      <c r="E2" s="4" t="s">
        <v>103</v>
      </c>
      <c r="F2" s="4" t="s">
        <v>66</v>
      </c>
      <c r="G2" s="4" t="s">
        <v>67</v>
      </c>
      <c r="H2" s="4" t="s">
        <v>104</v>
      </c>
      <c r="I2" s="4" t="s">
        <v>105</v>
      </c>
      <c r="J2" s="4" t="s">
        <v>106</v>
      </c>
      <c r="K2" s="4" t="s">
        <v>70</v>
      </c>
      <c r="L2" s="4" t="s">
        <v>71</v>
      </c>
      <c r="M2" s="4" t="s">
        <v>107</v>
      </c>
      <c r="N2" s="4" t="s">
        <v>108</v>
      </c>
      <c r="O2" s="4" t="s">
        <v>74</v>
      </c>
      <c r="P2" s="4" t="s">
        <v>109</v>
      </c>
      <c r="Q2" s="4" t="s">
        <v>110</v>
      </c>
      <c r="R2" s="4" t="s">
        <v>111</v>
      </c>
      <c r="S2" s="4" t="s">
        <v>73</v>
      </c>
      <c r="T2" s="4" t="s">
        <v>112</v>
      </c>
      <c r="U2" s="4" t="s">
        <v>75</v>
      </c>
      <c r="V2" s="4" t="s">
        <v>113</v>
      </c>
      <c r="W2" s="4" t="s">
        <v>29</v>
      </c>
      <c r="X2" s="4" t="s">
        <v>114</v>
      </c>
      <c r="Y2" s="4" t="s">
        <v>76</v>
      </c>
      <c r="Z2" s="4" t="s">
        <v>77</v>
      </c>
      <c r="AA2" s="4" t="s">
        <v>3</v>
      </c>
      <c r="AB2" s="54" t="s">
        <v>4</v>
      </c>
      <c r="AC2" s="54" t="s">
        <v>1</v>
      </c>
    </row>
    <row r="3" spans="1:29">
      <c r="A3" s="2" t="s">
        <v>78</v>
      </c>
      <c r="B3" s="2" t="s">
        <v>79</v>
      </c>
      <c r="C3" s="2" t="s">
        <v>115</v>
      </c>
      <c r="D3" s="2" t="s">
        <v>116</v>
      </c>
      <c r="E3" s="9">
        <v>1097708</v>
      </c>
      <c r="F3" s="2" t="s">
        <v>117</v>
      </c>
      <c r="G3" s="2" t="s">
        <v>83</v>
      </c>
      <c r="H3" s="2" t="s">
        <v>83</v>
      </c>
      <c r="I3" s="2" t="s">
        <v>118</v>
      </c>
      <c r="J3" s="2" t="s">
        <v>119</v>
      </c>
      <c r="K3" s="2" t="s">
        <v>120</v>
      </c>
      <c r="L3" s="2" t="s">
        <v>87</v>
      </c>
      <c r="M3" s="5">
        <v>9.89</v>
      </c>
      <c r="N3" s="2" t="s">
        <v>121</v>
      </c>
      <c r="O3" s="6">
        <v>0.04</v>
      </c>
      <c r="P3" s="6">
        <v>1.7000000000000001E-2</v>
      </c>
      <c r="Q3" s="5">
        <v>0</v>
      </c>
      <c r="R3" s="5">
        <v>219124</v>
      </c>
      <c r="S3" s="5">
        <v>1</v>
      </c>
      <c r="T3" s="5">
        <v>170.66</v>
      </c>
      <c r="U3" s="5">
        <v>373.95701000000003</v>
      </c>
      <c r="V3" s="2" t="s">
        <v>3</v>
      </c>
      <c r="W3" s="2" t="s">
        <v>27</v>
      </c>
      <c r="X3" s="6">
        <v>1.3699999999999999E-5</v>
      </c>
      <c r="Y3" s="6">
        <v>2.5726999999999998E-3</v>
      </c>
      <c r="Z3" s="6">
        <v>4.4790000000000005E-4</v>
      </c>
      <c r="AA3" s="2" t="s">
        <v>3</v>
      </c>
      <c r="AB3" s="54" t="s">
        <v>4</v>
      </c>
      <c r="AC3" s="54" t="s">
        <v>1</v>
      </c>
    </row>
    <row r="4" spans="1:29">
      <c r="A4" s="2" t="s">
        <v>78</v>
      </c>
      <c r="B4" s="2" t="s">
        <v>79</v>
      </c>
      <c r="C4" s="2" t="s">
        <v>115</v>
      </c>
      <c r="D4" s="2" t="s">
        <v>122</v>
      </c>
      <c r="E4" s="9">
        <v>1125400</v>
      </c>
      <c r="F4" s="2" t="s">
        <v>123</v>
      </c>
      <c r="G4" s="2" t="s">
        <v>83</v>
      </c>
      <c r="H4" s="2" t="s">
        <v>83</v>
      </c>
      <c r="I4" s="2" t="s">
        <v>118</v>
      </c>
      <c r="J4" s="2" t="s">
        <v>119</v>
      </c>
      <c r="K4" s="2" t="s">
        <v>120</v>
      </c>
      <c r="L4" s="2" t="s">
        <v>87</v>
      </c>
      <c r="M4" s="5">
        <v>12</v>
      </c>
      <c r="N4" s="2" t="s">
        <v>124</v>
      </c>
      <c r="O4" s="6">
        <v>5.5E-2</v>
      </c>
      <c r="P4" s="6">
        <v>4.7100000000000003E-2</v>
      </c>
      <c r="Q4" s="5">
        <v>0</v>
      </c>
      <c r="R4" s="5">
        <v>123401</v>
      </c>
      <c r="S4" s="5">
        <v>1</v>
      </c>
      <c r="T4" s="5">
        <v>110.25</v>
      </c>
      <c r="U4" s="5">
        <v>136.0496</v>
      </c>
      <c r="V4" s="2" t="s">
        <v>3</v>
      </c>
      <c r="W4" s="2" t="s">
        <v>27</v>
      </c>
      <c r="X4" s="6">
        <v>6.3000000000000007E-6</v>
      </c>
      <c r="Y4" s="6">
        <v>9.3599999999999998E-4</v>
      </c>
      <c r="Z4" s="6">
        <v>1.6299999999999998E-4</v>
      </c>
      <c r="AA4" s="2" t="s">
        <v>3</v>
      </c>
      <c r="AB4" s="54" t="s">
        <v>4</v>
      </c>
      <c r="AC4" s="54" t="s">
        <v>1</v>
      </c>
    </row>
    <row r="5" spans="1:29">
      <c r="A5" s="2" t="s">
        <v>78</v>
      </c>
      <c r="B5" s="2" t="s">
        <v>79</v>
      </c>
      <c r="C5" s="2" t="s">
        <v>115</v>
      </c>
      <c r="D5" s="2" t="s">
        <v>125</v>
      </c>
      <c r="E5" s="9">
        <v>1135557</v>
      </c>
      <c r="F5" s="2" t="s">
        <v>123</v>
      </c>
      <c r="G5" s="2" t="s">
        <v>83</v>
      </c>
      <c r="H5" s="2" t="s">
        <v>83</v>
      </c>
      <c r="I5" s="2" t="s">
        <v>118</v>
      </c>
      <c r="J5" s="2" t="s">
        <v>119</v>
      </c>
      <c r="K5" s="2" t="s">
        <v>120</v>
      </c>
      <c r="L5" s="2" t="s">
        <v>87</v>
      </c>
      <c r="M5" s="5">
        <v>1.4</v>
      </c>
      <c r="N5" s="2" t="s">
        <v>126</v>
      </c>
      <c r="O5" s="6">
        <v>1.7500000000000002E-2</v>
      </c>
      <c r="P5" s="6">
        <v>4.0099999999999997E-2</v>
      </c>
      <c r="Q5" s="5">
        <v>0</v>
      </c>
      <c r="R5" s="5">
        <v>492000</v>
      </c>
      <c r="S5" s="5">
        <v>1</v>
      </c>
      <c r="T5" s="5">
        <v>97.96</v>
      </c>
      <c r="U5" s="5">
        <v>481.96319999999997</v>
      </c>
      <c r="V5" s="2" t="s">
        <v>3</v>
      </c>
      <c r="W5" s="2" t="s">
        <v>27</v>
      </c>
      <c r="X5" s="6">
        <v>2.0600000000000003E-5</v>
      </c>
      <c r="Y5" s="6">
        <v>3.3157999999999998E-3</v>
      </c>
      <c r="Z5" s="6">
        <v>5.7729999999999999E-4</v>
      </c>
      <c r="AA5" s="2" t="s">
        <v>3</v>
      </c>
      <c r="AB5" s="54" t="s">
        <v>4</v>
      </c>
      <c r="AC5" s="54" t="s">
        <v>1</v>
      </c>
    </row>
    <row r="6" spans="1:29">
      <c r="A6" s="2" t="s">
        <v>78</v>
      </c>
      <c r="B6" s="2" t="s">
        <v>79</v>
      </c>
      <c r="C6" s="2" t="s">
        <v>115</v>
      </c>
      <c r="D6" s="2" t="s">
        <v>127</v>
      </c>
      <c r="E6" s="9">
        <v>1139344</v>
      </c>
      <c r="F6" s="2" t="s">
        <v>123</v>
      </c>
      <c r="G6" s="2" t="s">
        <v>83</v>
      </c>
      <c r="H6" s="2" t="s">
        <v>83</v>
      </c>
      <c r="I6" s="2" t="s">
        <v>118</v>
      </c>
      <c r="J6" s="2" t="s">
        <v>119</v>
      </c>
      <c r="K6" s="2" t="s">
        <v>120</v>
      </c>
      <c r="L6" s="2" t="s">
        <v>87</v>
      </c>
      <c r="M6" s="5">
        <v>2.94</v>
      </c>
      <c r="N6" s="2" t="s">
        <v>128</v>
      </c>
      <c r="O6" s="6">
        <v>0.02</v>
      </c>
      <c r="P6" s="6">
        <v>4.0099999999999997E-2</v>
      </c>
      <c r="Q6" s="5">
        <v>0</v>
      </c>
      <c r="R6" s="5">
        <v>1494807</v>
      </c>
      <c r="S6" s="5">
        <v>1</v>
      </c>
      <c r="T6" s="5">
        <v>94.43</v>
      </c>
      <c r="U6" s="5">
        <v>1411.5462500000001</v>
      </c>
      <c r="V6" s="2" t="s">
        <v>3</v>
      </c>
      <c r="W6" s="2" t="s">
        <v>27</v>
      </c>
      <c r="X6" s="6">
        <v>5.7800000000000002E-5</v>
      </c>
      <c r="Y6" s="6">
        <v>9.7111000000000003E-3</v>
      </c>
      <c r="Z6" s="6">
        <v>1.6908000000000001E-3</v>
      </c>
      <c r="AA6" s="2" t="s">
        <v>3</v>
      </c>
      <c r="AB6" s="54" t="s">
        <v>4</v>
      </c>
      <c r="AC6" s="54" t="s">
        <v>1</v>
      </c>
    </row>
    <row r="7" spans="1:29">
      <c r="A7" s="2" t="s">
        <v>78</v>
      </c>
      <c r="B7" s="2" t="s">
        <v>79</v>
      </c>
      <c r="C7" s="2" t="s">
        <v>115</v>
      </c>
      <c r="D7" s="2" t="s">
        <v>129</v>
      </c>
      <c r="E7" s="9">
        <v>1140193</v>
      </c>
      <c r="F7" s="2" t="s">
        <v>123</v>
      </c>
      <c r="G7" s="2" t="s">
        <v>83</v>
      </c>
      <c r="H7" s="2" t="s">
        <v>83</v>
      </c>
      <c r="I7" s="2" t="s">
        <v>118</v>
      </c>
      <c r="J7" s="2" t="s">
        <v>119</v>
      </c>
      <c r="K7" s="2" t="s">
        <v>120</v>
      </c>
      <c r="L7" s="2" t="s">
        <v>87</v>
      </c>
      <c r="M7" s="5">
        <v>15.14</v>
      </c>
      <c r="N7" s="2" t="s">
        <v>130</v>
      </c>
      <c r="O7" s="6">
        <v>3.7499999999999999E-2</v>
      </c>
      <c r="P7" s="6">
        <v>4.82E-2</v>
      </c>
      <c r="Q7" s="5">
        <v>0</v>
      </c>
      <c r="R7" s="5">
        <v>204445</v>
      </c>
      <c r="S7" s="5">
        <v>1</v>
      </c>
      <c r="T7" s="5">
        <v>85.26</v>
      </c>
      <c r="U7" s="5">
        <v>174.3098</v>
      </c>
      <c r="V7" s="2" t="s">
        <v>3</v>
      </c>
      <c r="W7" s="2" t="s">
        <v>27</v>
      </c>
      <c r="X7" s="6">
        <v>8.1000000000000004E-6</v>
      </c>
      <c r="Y7" s="6">
        <v>1.1992000000000001E-3</v>
      </c>
      <c r="Z7" s="6">
        <v>2.0879999999999998E-4</v>
      </c>
      <c r="AA7" s="2" t="s">
        <v>3</v>
      </c>
      <c r="AB7" s="54" t="s">
        <v>4</v>
      </c>
      <c r="AC7" s="54" t="s">
        <v>1</v>
      </c>
    </row>
    <row r="8" spans="1:29">
      <c r="A8" s="2" t="s">
        <v>78</v>
      </c>
      <c r="B8" s="2" t="s">
        <v>79</v>
      </c>
      <c r="C8" s="2" t="s">
        <v>115</v>
      </c>
      <c r="D8" s="2" t="s">
        <v>131</v>
      </c>
      <c r="E8" s="9">
        <v>1140847</v>
      </c>
      <c r="F8" s="2" t="s">
        <v>117</v>
      </c>
      <c r="G8" s="2" t="s">
        <v>83</v>
      </c>
      <c r="H8" s="2" t="s">
        <v>83</v>
      </c>
      <c r="I8" s="2" t="s">
        <v>118</v>
      </c>
      <c r="J8" s="2" t="s">
        <v>119</v>
      </c>
      <c r="K8" s="2" t="s">
        <v>120</v>
      </c>
      <c r="L8" s="2" t="s">
        <v>87</v>
      </c>
      <c r="M8" s="5">
        <v>3.12</v>
      </c>
      <c r="N8" s="2" t="s">
        <v>132</v>
      </c>
      <c r="O8" s="6">
        <v>7.4999999999999997E-3</v>
      </c>
      <c r="P8" s="6">
        <v>1.26E-2</v>
      </c>
      <c r="Q8" s="5">
        <v>0</v>
      </c>
      <c r="R8" s="5">
        <v>1275000</v>
      </c>
      <c r="S8" s="5">
        <v>1</v>
      </c>
      <c r="T8" s="5">
        <v>111.88</v>
      </c>
      <c r="U8" s="5">
        <v>1426.47</v>
      </c>
      <c r="V8" s="2" t="s">
        <v>3</v>
      </c>
      <c r="W8" s="2" t="s">
        <v>27</v>
      </c>
      <c r="X8" s="6">
        <v>5.7099999999999999E-5</v>
      </c>
      <c r="Y8" s="6">
        <v>9.8136999999999999E-3</v>
      </c>
      <c r="Z8" s="6">
        <v>1.7086000000000002E-3</v>
      </c>
      <c r="AA8" s="2" t="s">
        <v>3</v>
      </c>
      <c r="AB8" s="54" t="s">
        <v>4</v>
      </c>
      <c r="AC8" s="54" t="s">
        <v>1</v>
      </c>
    </row>
    <row r="9" spans="1:29">
      <c r="A9" s="2" t="s">
        <v>78</v>
      </c>
      <c r="B9" s="2" t="s">
        <v>79</v>
      </c>
      <c r="C9" s="2" t="s">
        <v>115</v>
      </c>
      <c r="D9" s="2" t="s">
        <v>133</v>
      </c>
      <c r="E9" s="9">
        <v>1150879</v>
      </c>
      <c r="F9" s="2" t="s">
        <v>123</v>
      </c>
      <c r="G9" s="2" t="s">
        <v>83</v>
      </c>
      <c r="H9" s="2" t="s">
        <v>83</v>
      </c>
      <c r="I9" s="2" t="s">
        <v>118</v>
      </c>
      <c r="J9" s="2" t="s">
        <v>119</v>
      </c>
      <c r="K9" s="2" t="s">
        <v>120</v>
      </c>
      <c r="L9" s="2" t="s">
        <v>87</v>
      </c>
      <c r="M9" s="5">
        <v>4.2699999999999996</v>
      </c>
      <c r="N9" s="2" t="s">
        <v>134</v>
      </c>
      <c r="O9" s="6">
        <v>2.2499999999999999E-2</v>
      </c>
      <c r="P9" s="6">
        <v>4.07E-2</v>
      </c>
      <c r="Q9" s="5">
        <v>0</v>
      </c>
      <c r="R9" s="5">
        <v>1313483</v>
      </c>
      <c r="S9" s="5">
        <v>1</v>
      </c>
      <c r="T9" s="5">
        <v>93.79</v>
      </c>
      <c r="U9" s="5">
        <v>1231.9157</v>
      </c>
      <c r="V9" s="2" t="s">
        <v>3</v>
      </c>
      <c r="W9" s="2" t="s">
        <v>27</v>
      </c>
      <c r="X9" s="6">
        <v>4.5300000000000003E-5</v>
      </c>
      <c r="Y9" s="6">
        <v>8.4752000000000004E-3</v>
      </c>
      <c r="Z9" s="6">
        <v>1.4755999999999999E-3</v>
      </c>
      <c r="AA9" s="2" t="s">
        <v>3</v>
      </c>
      <c r="AB9" s="54" t="s">
        <v>4</v>
      </c>
      <c r="AC9" s="54" t="s">
        <v>1</v>
      </c>
    </row>
    <row r="10" spans="1:29">
      <c r="A10" s="2" t="s">
        <v>78</v>
      </c>
      <c r="B10" s="2" t="s">
        <v>79</v>
      </c>
      <c r="C10" s="2" t="s">
        <v>115</v>
      </c>
      <c r="D10" s="2" t="s">
        <v>135</v>
      </c>
      <c r="E10" s="9">
        <v>1157023</v>
      </c>
      <c r="F10" s="2" t="s">
        <v>117</v>
      </c>
      <c r="G10" s="2" t="s">
        <v>83</v>
      </c>
      <c r="H10" s="2" t="s">
        <v>83</v>
      </c>
      <c r="I10" s="2" t="s">
        <v>118</v>
      </c>
      <c r="J10" s="2" t="s">
        <v>119</v>
      </c>
      <c r="K10" s="2" t="s">
        <v>120</v>
      </c>
      <c r="L10" s="2" t="s">
        <v>87</v>
      </c>
      <c r="M10" s="5">
        <v>5.09</v>
      </c>
      <c r="N10" s="2" t="s">
        <v>136</v>
      </c>
      <c r="O10" s="6">
        <v>5.0000000000000001E-3</v>
      </c>
      <c r="P10" s="6">
        <v>1.4199999999999999E-2</v>
      </c>
      <c r="Q10" s="5">
        <v>0</v>
      </c>
      <c r="R10" s="5">
        <v>2701384</v>
      </c>
      <c r="S10" s="5">
        <v>1</v>
      </c>
      <c r="T10" s="5">
        <v>107.2</v>
      </c>
      <c r="U10" s="5">
        <v>2895.88364</v>
      </c>
      <c r="V10" s="2" t="s">
        <v>3</v>
      </c>
      <c r="W10" s="2" t="s">
        <v>27</v>
      </c>
      <c r="X10" s="6">
        <v>1.171E-4</v>
      </c>
      <c r="Y10" s="6">
        <v>1.99229E-2</v>
      </c>
      <c r="Z10" s="6">
        <v>3.4686999999999999E-3</v>
      </c>
      <c r="AA10" s="2" t="s">
        <v>3</v>
      </c>
      <c r="AB10" s="54" t="s">
        <v>4</v>
      </c>
      <c r="AC10" s="54" t="s">
        <v>1</v>
      </c>
    </row>
    <row r="11" spans="1:29">
      <c r="A11" s="2" t="s">
        <v>78</v>
      </c>
      <c r="B11" s="2" t="s">
        <v>79</v>
      </c>
      <c r="C11" s="2" t="s">
        <v>115</v>
      </c>
      <c r="D11" s="2" t="s">
        <v>137</v>
      </c>
      <c r="E11" s="9">
        <v>1160985</v>
      </c>
      <c r="F11" s="2" t="s">
        <v>123</v>
      </c>
      <c r="G11" s="2" t="s">
        <v>83</v>
      </c>
      <c r="H11" s="2" t="s">
        <v>83</v>
      </c>
      <c r="I11" s="2" t="s">
        <v>118</v>
      </c>
      <c r="J11" s="2" t="s">
        <v>119</v>
      </c>
      <c r="K11" s="2" t="s">
        <v>120</v>
      </c>
      <c r="L11" s="2" t="s">
        <v>87</v>
      </c>
      <c r="M11" s="5">
        <v>5.84</v>
      </c>
      <c r="N11" s="2" t="s">
        <v>138</v>
      </c>
      <c r="O11" s="6">
        <v>0.01</v>
      </c>
      <c r="P11" s="6">
        <v>4.1700000000000001E-2</v>
      </c>
      <c r="Q11" s="5">
        <v>0</v>
      </c>
      <c r="R11" s="5">
        <v>940000</v>
      </c>
      <c r="S11" s="5">
        <v>1</v>
      </c>
      <c r="T11" s="5">
        <v>83.47</v>
      </c>
      <c r="U11" s="5">
        <v>784.61800000000005</v>
      </c>
      <c r="V11" s="2" t="s">
        <v>3</v>
      </c>
      <c r="W11" s="2" t="s">
        <v>27</v>
      </c>
      <c r="X11" s="6">
        <v>2.48E-5</v>
      </c>
      <c r="Y11" s="6">
        <v>5.3979999999999992E-3</v>
      </c>
      <c r="Z11" s="6">
        <v>9.3979999999999997E-4</v>
      </c>
      <c r="AA11" s="2" t="s">
        <v>3</v>
      </c>
      <c r="AB11" s="54" t="s">
        <v>4</v>
      </c>
      <c r="AC11" s="54" t="s">
        <v>1</v>
      </c>
    </row>
    <row r="12" spans="1:29">
      <c r="A12" s="2" t="s">
        <v>78</v>
      </c>
      <c r="B12" s="2" t="s">
        <v>79</v>
      </c>
      <c r="C12" s="2" t="s">
        <v>115</v>
      </c>
      <c r="D12" s="2" t="s">
        <v>139</v>
      </c>
      <c r="E12" s="9">
        <v>1169564</v>
      </c>
      <c r="F12" s="2" t="s">
        <v>117</v>
      </c>
      <c r="G12" s="2" t="s">
        <v>83</v>
      </c>
      <c r="H12" s="2" t="s">
        <v>83</v>
      </c>
      <c r="I12" s="2" t="s">
        <v>118</v>
      </c>
      <c r="J12" s="2" t="s">
        <v>119</v>
      </c>
      <c r="K12" s="2" t="s">
        <v>120</v>
      </c>
      <c r="L12" s="2" t="s">
        <v>87</v>
      </c>
      <c r="M12" s="5">
        <v>2.33</v>
      </c>
      <c r="N12" s="2" t="s">
        <v>140</v>
      </c>
      <c r="O12" s="6">
        <v>1E-3</v>
      </c>
      <c r="P12" s="6">
        <v>1.15E-2</v>
      </c>
      <c r="Q12" s="5">
        <v>0</v>
      </c>
      <c r="R12" s="5">
        <v>269977</v>
      </c>
      <c r="S12" s="5">
        <v>1</v>
      </c>
      <c r="T12" s="5">
        <v>109.23</v>
      </c>
      <c r="U12" s="5">
        <v>294.89587</v>
      </c>
      <c r="V12" s="2" t="s">
        <v>3</v>
      </c>
      <c r="W12" s="2" t="s">
        <v>27</v>
      </c>
      <c r="X12" s="6">
        <v>1.33E-5</v>
      </c>
      <c r="Y12" s="6">
        <v>2.0287999999999999E-3</v>
      </c>
      <c r="Z12" s="6">
        <v>3.5319999999999997E-4</v>
      </c>
      <c r="AA12" s="2" t="s">
        <v>3</v>
      </c>
      <c r="AB12" s="54" t="s">
        <v>4</v>
      </c>
      <c r="AC12" s="54" t="s">
        <v>1</v>
      </c>
    </row>
    <row r="13" spans="1:29">
      <c r="A13" s="2" t="s">
        <v>78</v>
      </c>
      <c r="B13" s="2" t="s">
        <v>79</v>
      </c>
      <c r="C13" s="2" t="s">
        <v>115</v>
      </c>
      <c r="D13" s="2" t="s">
        <v>141</v>
      </c>
      <c r="E13" s="9">
        <v>1180660</v>
      </c>
      <c r="F13" s="2" t="s">
        <v>123</v>
      </c>
      <c r="G13" s="2" t="s">
        <v>83</v>
      </c>
      <c r="H13" s="2" t="s">
        <v>83</v>
      </c>
      <c r="I13" s="2" t="s">
        <v>118</v>
      </c>
      <c r="J13" s="2" t="s">
        <v>119</v>
      </c>
      <c r="K13" s="2" t="s">
        <v>120</v>
      </c>
      <c r="L13" s="2" t="s">
        <v>87</v>
      </c>
      <c r="M13" s="5">
        <v>7.56</v>
      </c>
      <c r="N13" s="2" t="s">
        <v>142</v>
      </c>
      <c r="O13" s="6">
        <v>1.3000000000000001E-2</v>
      </c>
      <c r="P13" s="6">
        <v>4.3099999999999999E-2</v>
      </c>
      <c r="Q13" s="5">
        <v>0</v>
      </c>
      <c r="R13" s="5">
        <v>604000</v>
      </c>
      <c r="S13" s="5">
        <v>1</v>
      </c>
      <c r="T13" s="5">
        <v>81.010000000000005</v>
      </c>
      <c r="U13" s="5">
        <v>489.30040000000002</v>
      </c>
      <c r="V13" s="2" t="s">
        <v>3</v>
      </c>
      <c r="W13" s="2" t="s">
        <v>27</v>
      </c>
      <c r="X13" s="6">
        <v>2.0300000000000002E-5</v>
      </c>
      <c r="Y13" s="6">
        <v>3.3663E-3</v>
      </c>
      <c r="Z13" s="6">
        <v>5.8609999999999999E-4</v>
      </c>
      <c r="AA13" s="2" t="s">
        <v>3</v>
      </c>
      <c r="AB13" s="54" t="s">
        <v>4</v>
      </c>
      <c r="AC13" s="54" t="s">
        <v>1</v>
      </c>
    </row>
    <row r="14" spans="1:29">
      <c r="A14" s="2" t="s">
        <v>78</v>
      </c>
      <c r="B14" s="2" t="s">
        <v>79</v>
      </c>
      <c r="C14" s="2" t="s">
        <v>115</v>
      </c>
      <c r="D14" s="2" t="s">
        <v>143</v>
      </c>
      <c r="E14" s="9">
        <v>1197326</v>
      </c>
      <c r="F14" s="2" t="s">
        <v>117</v>
      </c>
      <c r="G14" s="2" t="s">
        <v>83</v>
      </c>
      <c r="H14" s="2" t="s">
        <v>83</v>
      </c>
      <c r="I14" s="2" t="s">
        <v>118</v>
      </c>
      <c r="J14" s="2" t="s">
        <v>119</v>
      </c>
      <c r="K14" s="2" t="s">
        <v>120</v>
      </c>
      <c r="L14" s="2" t="s">
        <v>87</v>
      </c>
      <c r="M14" s="5">
        <v>4.4800000000000004</v>
      </c>
      <c r="N14" s="2" t="s">
        <v>144</v>
      </c>
      <c r="O14" s="6">
        <v>1.1000000000000001E-2</v>
      </c>
      <c r="P14" s="6">
        <v>1.3999999999999999E-2</v>
      </c>
      <c r="Q14" s="5">
        <v>0</v>
      </c>
      <c r="R14" s="5">
        <v>90000</v>
      </c>
      <c r="S14" s="5">
        <v>1</v>
      </c>
      <c r="T14" s="5">
        <v>100.29</v>
      </c>
      <c r="U14" s="5">
        <v>90.260999999999996</v>
      </c>
      <c r="V14" s="2" t="s">
        <v>3</v>
      </c>
      <c r="W14" s="2" t="s">
        <v>27</v>
      </c>
      <c r="X14" s="6">
        <v>7.9000000000000006E-6</v>
      </c>
      <c r="Y14" s="6">
        <v>6.2100000000000002E-4</v>
      </c>
      <c r="Z14" s="6">
        <v>1.081E-4</v>
      </c>
      <c r="AA14" s="2" t="s">
        <v>3</v>
      </c>
      <c r="AB14" s="54" t="s">
        <v>4</v>
      </c>
      <c r="AC14" s="54" t="s">
        <v>1</v>
      </c>
    </row>
    <row r="15" spans="1:29">
      <c r="A15" s="2" t="s">
        <v>78</v>
      </c>
      <c r="B15" s="2" t="s">
        <v>79</v>
      </c>
      <c r="C15" s="2" t="s">
        <v>115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83</v>
      </c>
      <c r="I15" s="2" t="s">
        <v>149</v>
      </c>
      <c r="J15" s="2" t="s">
        <v>150</v>
      </c>
      <c r="K15" s="2" t="s">
        <v>151</v>
      </c>
      <c r="L15" s="2" t="s">
        <v>91</v>
      </c>
      <c r="M15" s="5">
        <v>3.9089999999999998</v>
      </c>
      <c r="N15" s="2" t="s">
        <v>152</v>
      </c>
      <c r="O15" s="6">
        <v>7.2499999999999995E-2</v>
      </c>
      <c r="P15" s="6">
        <v>5.3940000000000002E-2</v>
      </c>
      <c r="Q15" s="5">
        <v>0</v>
      </c>
      <c r="R15" s="5">
        <v>127000</v>
      </c>
      <c r="S15" s="5">
        <v>3.681</v>
      </c>
      <c r="T15" s="5">
        <v>109.61386</v>
      </c>
      <c r="U15" s="5">
        <v>512.43053999999995</v>
      </c>
      <c r="V15" s="2" t="s">
        <v>3</v>
      </c>
      <c r="W15" s="2" t="s">
        <v>27</v>
      </c>
      <c r="X15" s="6">
        <v>5.0799999999999999E-4</v>
      </c>
      <c r="Y15" s="6">
        <v>3.5254000000000001E-3</v>
      </c>
      <c r="Z15" s="6">
        <v>6.1379999999999996E-4</v>
      </c>
      <c r="AA15" s="9">
        <v>71071369</v>
      </c>
      <c r="AB15" s="54" t="s">
        <v>4</v>
      </c>
      <c r="AC15" s="54" t="s">
        <v>1</v>
      </c>
    </row>
    <row r="16" spans="1:29">
      <c r="A16" s="2" t="s">
        <v>78</v>
      </c>
      <c r="B16" s="2" t="s">
        <v>79</v>
      </c>
      <c r="C16" s="2" t="s">
        <v>153</v>
      </c>
      <c r="D16" s="2" t="s">
        <v>154</v>
      </c>
      <c r="E16" s="2" t="s">
        <v>155</v>
      </c>
      <c r="F16" s="2" t="s">
        <v>147</v>
      </c>
      <c r="G16" s="2" t="s">
        <v>148</v>
      </c>
      <c r="H16" s="2" t="s">
        <v>156</v>
      </c>
      <c r="I16" s="2" t="s">
        <v>157</v>
      </c>
      <c r="J16" s="2" t="s">
        <v>158</v>
      </c>
      <c r="K16" s="2" t="s">
        <v>151</v>
      </c>
      <c r="L16" s="2" t="s">
        <v>91</v>
      </c>
      <c r="M16" s="5">
        <v>3.899</v>
      </c>
      <c r="N16" s="2" t="s">
        <v>159</v>
      </c>
      <c r="O16" s="6">
        <v>4.1250000000000002E-2</v>
      </c>
      <c r="P16" s="6">
        <v>4.2419999999999999E-2</v>
      </c>
      <c r="Q16" s="5">
        <v>0</v>
      </c>
      <c r="R16" s="5">
        <v>83000</v>
      </c>
      <c r="S16" s="5">
        <v>3.681</v>
      </c>
      <c r="T16" s="5">
        <v>100.10917999999999</v>
      </c>
      <c r="U16" s="5">
        <v>305.85656999999998</v>
      </c>
      <c r="V16" s="2" t="s">
        <v>3</v>
      </c>
      <c r="W16" s="2" t="s">
        <v>27</v>
      </c>
      <c r="X16" s="6">
        <v>1.9E-6</v>
      </c>
      <c r="Y16" s="6">
        <v>2.1042000000000001E-3</v>
      </c>
      <c r="Z16" s="6">
        <v>3.6640000000000002E-4</v>
      </c>
      <c r="AA16" s="9">
        <v>72931405</v>
      </c>
      <c r="AB16" s="54" t="s">
        <v>4</v>
      </c>
      <c r="AC16" s="54" t="s">
        <v>1</v>
      </c>
    </row>
    <row r="17" spans="1:29">
      <c r="A17" s="2" t="s">
        <v>78</v>
      </c>
      <c r="B17" s="2" t="s">
        <v>79</v>
      </c>
      <c r="C17" s="2" t="s">
        <v>153</v>
      </c>
      <c r="D17" s="2" t="s">
        <v>160</v>
      </c>
      <c r="E17" s="2" t="s">
        <v>161</v>
      </c>
      <c r="F17" s="2" t="s">
        <v>147</v>
      </c>
      <c r="G17" s="2" t="s">
        <v>148</v>
      </c>
      <c r="H17" s="2" t="s">
        <v>156</v>
      </c>
      <c r="I17" s="2" t="s">
        <v>157</v>
      </c>
      <c r="J17" s="2" t="s">
        <v>158</v>
      </c>
      <c r="K17" s="2" t="s">
        <v>151</v>
      </c>
      <c r="L17" s="2" t="s">
        <v>91</v>
      </c>
      <c r="M17" s="5">
        <v>7.7229999999999999</v>
      </c>
      <c r="N17" s="2" t="s">
        <v>162</v>
      </c>
      <c r="O17" s="6">
        <v>3.875E-2</v>
      </c>
      <c r="P17" s="6">
        <v>4.1980000000000003E-2</v>
      </c>
      <c r="Q17" s="5">
        <v>0</v>
      </c>
      <c r="R17" s="5">
        <v>99000</v>
      </c>
      <c r="S17" s="5">
        <v>3.681</v>
      </c>
      <c r="T17" s="5">
        <v>97.903700000000001</v>
      </c>
      <c r="U17" s="5">
        <v>356.77967999999998</v>
      </c>
      <c r="V17" s="2" t="s">
        <v>3</v>
      </c>
      <c r="W17" s="2" t="s">
        <v>27</v>
      </c>
      <c r="X17" s="6">
        <v>2.5999999999999997E-6</v>
      </c>
      <c r="Y17" s="6">
        <v>2.4545000000000001E-3</v>
      </c>
      <c r="Z17" s="6">
        <v>4.2739999999999998E-4</v>
      </c>
      <c r="AA17" s="9">
        <v>72932478</v>
      </c>
      <c r="AB17" s="54" t="s">
        <v>4</v>
      </c>
      <c r="AC17" s="54" t="s">
        <v>1</v>
      </c>
    </row>
    <row r="18" spans="1:29">
      <c r="A18" s="2" t="s">
        <v>78</v>
      </c>
      <c r="B18" s="2" t="s">
        <v>94</v>
      </c>
      <c r="C18" s="2" t="s">
        <v>115</v>
      </c>
      <c r="D18" s="2" t="s">
        <v>133</v>
      </c>
      <c r="E18" s="9">
        <v>1150879</v>
      </c>
      <c r="F18" s="2" t="s">
        <v>123</v>
      </c>
      <c r="G18" s="2" t="s">
        <v>83</v>
      </c>
      <c r="H18" s="2" t="s">
        <v>83</v>
      </c>
      <c r="I18" s="2" t="s">
        <v>118</v>
      </c>
      <c r="J18" s="2" t="s">
        <v>119</v>
      </c>
      <c r="K18" s="2" t="s">
        <v>120</v>
      </c>
      <c r="L18" s="2" t="s">
        <v>87</v>
      </c>
      <c r="M18" s="5">
        <v>4.2699999999999996</v>
      </c>
      <c r="N18" s="2" t="s">
        <v>134</v>
      </c>
      <c r="O18" s="6">
        <v>2.2499999999999999E-2</v>
      </c>
      <c r="P18" s="6">
        <v>4.07E-2</v>
      </c>
      <c r="Q18" s="5">
        <v>0</v>
      </c>
      <c r="R18" s="5">
        <v>445000</v>
      </c>
      <c r="S18" s="5">
        <v>1</v>
      </c>
      <c r="T18" s="5">
        <v>93.79</v>
      </c>
      <c r="U18" s="5">
        <v>417.3655</v>
      </c>
      <c r="V18" s="2" t="s">
        <v>3</v>
      </c>
      <c r="W18" s="2" t="s">
        <v>27</v>
      </c>
      <c r="X18" s="6">
        <v>1.5299999999999999E-5</v>
      </c>
      <c r="Y18" s="6">
        <v>2.8714000000000001E-3</v>
      </c>
      <c r="Z18" s="6">
        <v>4.9989999999999995E-4</v>
      </c>
      <c r="AA18" s="2" t="s">
        <v>3</v>
      </c>
      <c r="AB18" s="54" t="s">
        <v>4</v>
      </c>
      <c r="AC18" s="54" t="s">
        <v>1</v>
      </c>
    </row>
    <row r="19" spans="1:29">
      <c r="A19" s="2" t="s">
        <v>78</v>
      </c>
      <c r="B19" s="2" t="s">
        <v>94</v>
      </c>
      <c r="C19" s="2" t="s">
        <v>115</v>
      </c>
      <c r="D19" s="2" t="s">
        <v>135</v>
      </c>
      <c r="E19" s="9">
        <v>1157023</v>
      </c>
      <c r="F19" s="2" t="s">
        <v>117</v>
      </c>
      <c r="G19" s="2" t="s">
        <v>83</v>
      </c>
      <c r="H19" s="2" t="s">
        <v>83</v>
      </c>
      <c r="I19" s="2" t="s">
        <v>118</v>
      </c>
      <c r="J19" s="2" t="s">
        <v>119</v>
      </c>
      <c r="K19" s="2" t="s">
        <v>120</v>
      </c>
      <c r="L19" s="2" t="s">
        <v>87</v>
      </c>
      <c r="M19" s="5">
        <v>5.09</v>
      </c>
      <c r="N19" s="2" t="s">
        <v>136</v>
      </c>
      <c r="O19" s="6">
        <v>5.0000000000000001E-3</v>
      </c>
      <c r="P19" s="6">
        <v>1.4199999999999999E-2</v>
      </c>
      <c r="Q19" s="5">
        <v>0</v>
      </c>
      <c r="R19" s="5">
        <v>640000</v>
      </c>
      <c r="S19" s="5">
        <v>1</v>
      </c>
      <c r="T19" s="5">
        <v>107.2</v>
      </c>
      <c r="U19" s="5">
        <v>686.08</v>
      </c>
      <c r="V19" s="2" t="s">
        <v>3</v>
      </c>
      <c r="W19" s="2" t="s">
        <v>27</v>
      </c>
      <c r="X19" s="6">
        <v>2.7699999999999999E-5</v>
      </c>
      <c r="Y19" s="6">
        <v>4.7199999999999994E-3</v>
      </c>
      <c r="Z19" s="6">
        <v>8.2180000000000003E-4</v>
      </c>
      <c r="AA19" s="2" t="s">
        <v>3</v>
      </c>
      <c r="AB19" s="54" t="s">
        <v>4</v>
      </c>
      <c r="AC19" s="54" t="s">
        <v>1</v>
      </c>
    </row>
    <row r="20" spans="1:29">
      <c r="A20" s="2" t="s">
        <v>78</v>
      </c>
      <c r="B20" s="2" t="s">
        <v>94</v>
      </c>
      <c r="C20" s="2" t="s">
        <v>115</v>
      </c>
      <c r="D20" s="2" t="s">
        <v>141</v>
      </c>
      <c r="E20" s="9">
        <v>1180660</v>
      </c>
      <c r="F20" s="2" t="s">
        <v>123</v>
      </c>
      <c r="G20" s="2" t="s">
        <v>83</v>
      </c>
      <c r="H20" s="2" t="s">
        <v>83</v>
      </c>
      <c r="I20" s="2" t="s">
        <v>118</v>
      </c>
      <c r="J20" s="2" t="s">
        <v>119</v>
      </c>
      <c r="K20" s="2" t="s">
        <v>120</v>
      </c>
      <c r="L20" s="2" t="s">
        <v>87</v>
      </c>
      <c r="M20" s="5">
        <v>7.56</v>
      </c>
      <c r="N20" s="2" t="s">
        <v>142</v>
      </c>
      <c r="O20" s="6">
        <v>1.3000000000000001E-2</v>
      </c>
      <c r="P20" s="6">
        <v>4.3099999999999999E-2</v>
      </c>
      <c r="Q20" s="5">
        <v>0</v>
      </c>
      <c r="R20" s="5">
        <v>700000</v>
      </c>
      <c r="S20" s="5">
        <v>1</v>
      </c>
      <c r="T20" s="5">
        <v>81.010000000000005</v>
      </c>
      <c r="U20" s="5">
        <v>567.07000000000005</v>
      </c>
      <c r="V20" s="2" t="s">
        <v>3</v>
      </c>
      <c r="W20" s="2" t="s">
        <v>27</v>
      </c>
      <c r="X20" s="6">
        <v>2.3600000000000001E-5</v>
      </c>
      <c r="Y20" s="6">
        <v>3.9012999999999999E-3</v>
      </c>
      <c r="Z20" s="6">
        <v>6.7919999999999992E-4</v>
      </c>
      <c r="AA20" s="2" t="s">
        <v>3</v>
      </c>
      <c r="AB20" s="54" t="s">
        <v>4</v>
      </c>
      <c r="AC20" s="54" t="s">
        <v>1</v>
      </c>
    </row>
    <row r="21" spans="1:29">
      <c r="A21" s="2" t="s">
        <v>78</v>
      </c>
      <c r="B21" s="2" t="s">
        <v>94</v>
      </c>
      <c r="C21" s="2" t="s">
        <v>115</v>
      </c>
      <c r="D21" s="2" t="s">
        <v>163</v>
      </c>
      <c r="E21" s="9">
        <v>1194802</v>
      </c>
      <c r="F21" s="2" t="s">
        <v>123</v>
      </c>
      <c r="G21" s="2" t="s">
        <v>83</v>
      </c>
      <c r="H21" s="2" t="s">
        <v>83</v>
      </c>
      <c r="I21" s="2" t="s">
        <v>118</v>
      </c>
      <c r="J21" s="2" t="s">
        <v>119</v>
      </c>
      <c r="K21" s="2" t="s">
        <v>120</v>
      </c>
      <c r="L21" s="2" t="s">
        <v>87</v>
      </c>
      <c r="M21" s="5">
        <v>4.5599999999999996</v>
      </c>
      <c r="N21" s="2" t="s">
        <v>164</v>
      </c>
      <c r="O21" s="6">
        <v>3.7499999999999999E-2</v>
      </c>
      <c r="P21" s="6">
        <v>4.0899999999999999E-2</v>
      </c>
      <c r="Q21" s="5">
        <v>0</v>
      </c>
      <c r="R21" s="5">
        <v>320000</v>
      </c>
      <c r="S21" s="5">
        <v>1</v>
      </c>
      <c r="T21" s="5">
        <v>98.83</v>
      </c>
      <c r="U21" s="5">
        <v>316.25599999999997</v>
      </c>
      <c r="V21" s="2" t="s">
        <v>3</v>
      </c>
      <c r="W21" s="2" t="s">
        <v>27</v>
      </c>
      <c r="X21" s="6">
        <v>1.59E-5</v>
      </c>
      <c r="Y21" s="6">
        <v>2.1757999999999999E-3</v>
      </c>
      <c r="Z21" s="6">
        <v>3.7879999999999999E-4</v>
      </c>
      <c r="AA21" s="2" t="s">
        <v>3</v>
      </c>
      <c r="AB21" s="54" t="s">
        <v>4</v>
      </c>
      <c r="AC21" s="54" t="s">
        <v>1</v>
      </c>
    </row>
    <row r="22" spans="1:29">
      <c r="A22" s="2" t="s">
        <v>78</v>
      </c>
      <c r="B22" s="2" t="s">
        <v>94</v>
      </c>
      <c r="C22" s="2" t="s">
        <v>115</v>
      </c>
      <c r="D22" s="2" t="s">
        <v>143</v>
      </c>
      <c r="E22" s="9">
        <v>1197326</v>
      </c>
      <c r="F22" s="2" t="s">
        <v>117</v>
      </c>
      <c r="G22" s="2" t="s">
        <v>83</v>
      </c>
      <c r="H22" s="2" t="s">
        <v>83</v>
      </c>
      <c r="I22" s="2" t="s">
        <v>118</v>
      </c>
      <c r="J22" s="2" t="s">
        <v>119</v>
      </c>
      <c r="K22" s="2" t="s">
        <v>120</v>
      </c>
      <c r="L22" s="2" t="s">
        <v>87</v>
      </c>
      <c r="M22" s="5">
        <v>4.4800000000000004</v>
      </c>
      <c r="N22" s="2" t="s">
        <v>144</v>
      </c>
      <c r="O22" s="6">
        <v>1.1000000000000001E-2</v>
      </c>
      <c r="P22" s="6">
        <v>1.3999999999999999E-2</v>
      </c>
      <c r="Q22" s="5">
        <v>0</v>
      </c>
      <c r="R22" s="5">
        <v>745000</v>
      </c>
      <c r="S22" s="5">
        <v>1</v>
      </c>
      <c r="T22" s="5">
        <v>100.29</v>
      </c>
      <c r="U22" s="5">
        <v>747.16049999999996</v>
      </c>
      <c r="V22" s="2" t="s">
        <v>3</v>
      </c>
      <c r="W22" s="2" t="s">
        <v>27</v>
      </c>
      <c r="X22" s="6">
        <v>6.6000000000000005E-5</v>
      </c>
      <c r="Y22" s="6">
        <v>5.1402999999999996E-3</v>
      </c>
      <c r="Z22" s="6">
        <v>8.9499999999999996E-4</v>
      </c>
      <c r="AA22" s="2" t="s">
        <v>3</v>
      </c>
      <c r="AB22" s="54" t="s">
        <v>4</v>
      </c>
      <c r="AC22" s="54" t="s">
        <v>1</v>
      </c>
    </row>
    <row r="23" spans="1:29">
      <c r="A23" s="2" t="s">
        <v>78</v>
      </c>
      <c r="B23" s="2" t="s">
        <v>94</v>
      </c>
      <c r="C23" s="2" t="s">
        <v>115</v>
      </c>
      <c r="D23" s="2" t="s">
        <v>145</v>
      </c>
      <c r="E23" s="2" t="s">
        <v>146</v>
      </c>
      <c r="F23" s="2" t="s">
        <v>147</v>
      </c>
      <c r="G23" s="2" t="s">
        <v>148</v>
      </c>
      <c r="H23" s="2" t="s">
        <v>83</v>
      </c>
      <c r="I23" s="2" t="s">
        <v>149</v>
      </c>
      <c r="J23" s="2" t="s">
        <v>150</v>
      </c>
      <c r="K23" s="2" t="s">
        <v>151</v>
      </c>
      <c r="L23" s="2" t="s">
        <v>91</v>
      </c>
      <c r="M23" s="5">
        <v>3.9089999999999998</v>
      </c>
      <c r="N23" s="2" t="s">
        <v>152</v>
      </c>
      <c r="O23" s="6">
        <v>7.2499999999999995E-2</v>
      </c>
      <c r="P23" s="6">
        <v>5.3940000000000002E-2</v>
      </c>
      <c r="Q23" s="5">
        <v>0</v>
      </c>
      <c r="R23" s="5">
        <v>20000</v>
      </c>
      <c r="S23" s="5">
        <v>3.681</v>
      </c>
      <c r="T23" s="5">
        <v>109.61386</v>
      </c>
      <c r="U23" s="5">
        <v>80.697720000000004</v>
      </c>
      <c r="V23" s="2" t="s">
        <v>3</v>
      </c>
      <c r="W23" s="2" t="s">
        <v>27</v>
      </c>
      <c r="X23" s="6">
        <v>8.0000000000000007E-5</v>
      </c>
      <c r="Y23" s="6">
        <v>5.5520000000000005E-4</v>
      </c>
      <c r="Z23" s="6">
        <v>9.6699999999999992E-5</v>
      </c>
      <c r="AA23" s="9">
        <v>71071369</v>
      </c>
      <c r="AB23" s="54" t="s">
        <v>4</v>
      </c>
      <c r="AC23" s="54" t="s">
        <v>1</v>
      </c>
    </row>
    <row r="24" spans="1:29">
      <c r="A24" s="2" t="s">
        <v>78</v>
      </c>
      <c r="B24" s="2" t="s">
        <v>94</v>
      </c>
      <c r="C24" s="2" t="s">
        <v>153</v>
      </c>
      <c r="D24" s="2" t="s">
        <v>154</v>
      </c>
      <c r="E24" s="2" t="s">
        <v>155</v>
      </c>
      <c r="F24" s="2" t="s">
        <v>147</v>
      </c>
      <c r="G24" s="2" t="s">
        <v>148</v>
      </c>
      <c r="H24" s="2" t="s">
        <v>156</v>
      </c>
      <c r="I24" s="2" t="s">
        <v>157</v>
      </c>
      <c r="J24" s="2" t="s">
        <v>158</v>
      </c>
      <c r="K24" s="2" t="s">
        <v>151</v>
      </c>
      <c r="L24" s="2" t="s">
        <v>91</v>
      </c>
      <c r="M24" s="5">
        <v>3.899</v>
      </c>
      <c r="N24" s="2" t="s">
        <v>159</v>
      </c>
      <c r="O24" s="6">
        <v>4.1250000000000002E-2</v>
      </c>
      <c r="P24" s="6">
        <v>4.2419999999999999E-2</v>
      </c>
      <c r="Q24" s="5">
        <v>0</v>
      </c>
      <c r="R24" s="5">
        <v>50000</v>
      </c>
      <c r="S24" s="5">
        <v>3.681</v>
      </c>
      <c r="T24" s="5">
        <v>100.10917999999999</v>
      </c>
      <c r="U24" s="5">
        <v>184.25094999999999</v>
      </c>
      <c r="V24" s="2" t="s">
        <v>3</v>
      </c>
      <c r="W24" s="2" t="s">
        <v>27</v>
      </c>
      <c r="X24" s="6">
        <v>1.1000000000000001E-6</v>
      </c>
      <c r="Y24" s="6">
        <v>1.2676E-3</v>
      </c>
      <c r="Z24" s="6">
        <v>2.207E-4</v>
      </c>
      <c r="AA24" s="9">
        <v>72931405</v>
      </c>
      <c r="AB24" s="54" t="s">
        <v>4</v>
      </c>
      <c r="AC24" s="54" t="s">
        <v>1</v>
      </c>
    </row>
    <row r="25" spans="1:29">
      <c r="A25" s="2" t="s">
        <v>78</v>
      </c>
      <c r="B25" s="2" t="s">
        <v>94</v>
      </c>
      <c r="C25" s="2" t="s">
        <v>153</v>
      </c>
      <c r="D25" s="2" t="s">
        <v>160</v>
      </c>
      <c r="E25" s="2" t="s">
        <v>161</v>
      </c>
      <c r="F25" s="2" t="s">
        <v>147</v>
      </c>
      <c r="G25" s="2" t="s">
        <v>148</v>
      </c>
      <c r="H25" s="2" t="s">
        <v>156</v>
      </c>
      <c r="I25" s="2" t="s">
        <v>157</v>
      </c>
      <c r="J25" s="2" t="s">
        <v>158</v>
      </c>
      <c r="K25" s="2" t="s">
        <v>151</v>
      </c>
      <c r="L25" s="2" t="s">
        <v>91</v>
      </c>
      <c r="M25" s="5">
        <v>7.7229999999999999</v>
      </c>
      <c r="N25" s="2" t="s">
        <v>162</v>
      </c>
      <c r="O25" s="6">
        <v>3.875E-2</v>
      </c>
      <c r="P25" s="6">
        <v>4.1980000000000003E-2</v>
      </c>
      <c r="Q25" s="5">
        <v>0</v>
      </c>
      <c r="R25" s="5">
        <v>138000</v>
      </c>
      <c r="S25" s="5">
        <v>3.681</v>
      </c>
      <c r="T25" s="5">
        <v>97.903700000000001</v>
      </c>
      <c r="U25" s="5">
        <v>497.32925</v>
      </c>
      <c r="V25" s="2" t="s">
        <v>3</v>
      </c>
      <c r="W25" s="2" t="s">
        <v>27</v>
      </c>
      <c r="X25" s="6">
        <v>3.6000000000000003E-6</v>
      </c>
      <c r="Y25" s="6">
        <v>3.4215000000000001E-3</v>
      </c>
      <c r="Z25" s="6">
        <v>5.9570000000000001E-4</v>
      </c>
      <c r="AA25" s="9">
        <v>72932478</v>
      </c>
      <c r="AB25" s="54" t="s">
        <v>4</v>
      </c>
      <c r="AC25" s="54" t="s">
        <v>1</v>
      </c>
    </row>
    <row r="26" spans="1:29">
      <c r="A26" s="2" t="s">
        <v>78</v>
      </c>
      <c r="B26" s="2" t="s">
        <v>96</v>
      </c>
      <c r="C26" s="2" t="s">
        <v>115</v>
      </c>
      <c r="D26" s="2" t="s">
        <v>116</v>
      </c>
      <c r="E26" s="9">
        <v>1097708</v>
      </c>
      <c r="F26" s="2" t="s">
        <v>117</v>
      </c>
      <c r="G26" s="2" t="s">
        <v>83</v>
      </c>
      <c r="H26" s="2" t="s">
        <v>83</v>
      </c>
      <c r="I26" s="2" t="s">
        <v>118</v>
      </c>
      <c r="J26" s="2" t="s">
        <v>119</v>
      </c>
      <c r="K26" s="2" t="s">
        <v>120</v>
      </c>
      <c r="L26" s="2" t="s">
        <v>87</v>
      </c>
      <c r="M26" s="5">
        <v>9.89</v>
      </c>
      <c r="N26" s="2" t="s">
        <v>121</v>
      </c>
      <c r="O26" s="6">
        <v>0.04</v>
      </c>
      <c r="P26" s="6">
        <v>1.7000000000000001E-2</v>
      </c>
      <c r="Q26" s="5">
        <v>0</v>
      </c>
      <c r="R26" s="5">
        <v>534738</v>
      </c>
      <c r="S26" s="5">
        <v>1</v>
      </c>
      <c r="T26" s="5">
        <v>170.66</v>
      </c>
      <c r="U26" s="5">
        <v>912.58387000000005</v>
      </c>
      <c r="V26" s="2" t="s">
        <v>3</v>
      </c>
      <c r="W26" s="2" t="s">
        <v>27</v>
      </c>
      <c r="X26" s="6">
        <v>3.3500000000000001E-5</v>
      </c>
      <c r="Y26" s="6">
        <v>6.2782999999999997E-3</v>
      </c>
      <c r="Z26" s="6">
        <v>1.0931000000000001E-3</v>
      </c>
      <c r="AA26" s="2" t="s">
        <v>3</v>
      </c>
      <c r="AB26" s="54" t="s">
        <v>4</v>
      </c>
      <c r="AC26" s="54" t="s">
        <v>1</v>
      </c>
    </row>
    <row r="27" spans="1:29">
      <c r="A27" s="2" t="s">
        <v>78</v>
      </c>
      <c r="B27" s="2" t="s">
        <v>96</v>
      </c>
      <c r="C27" s="2" t="s">
        <v>115</v>
      </c>
      <c r="D27" s="2" t="s">
        <v>125</v>
      </c>
      <c r="E27" s="9">
        <v>1135557</v>
      </c>
      <c r="F27" s="2" t="s">
        <v>123</v>
      </c>
      <c r="G27" s="2" t="s">
        <v>83</v>
      </c>
      <c r="H27" s="2" t="s">
        <v>83</v>
      </c>
      <c r="I27" s="2" t="s">
        <v>118</v>
      </c>
      <c r="J27" s="2" t="s">
        <v>119</v>
      </c>
      <c r="K27" s="2" t="s">
        <v>120</v>
      </c>
      <c r="L27" s="2" t="s">
        <v>87</v>
      </c>
      <c r="M27" s="5">
        <v>1.4</v>
      </c>
      <c r="N27" s="2" t="s">
        <v>126</v>
      </c>
      <c r="O27" s="6">
        <v>1.7500000000000002E-2</v>
      </c>
      <c r="P27" s="6">
        <v>4.0099999999999997E-2</v>
      </c>
      <c r="Q27" s="5">
        <v>0</v>
      </c>
      <c r="R27" s="5">
        <v>3000000</v>
      </c>
      <c r="S27" s="5">
        <v>1</v>
      </c>
      <c r="T27" s="5">
        <v>97.96</v>
      </c>
      <c r="U27" s="5">
        <v>2938.8</v>
      </c>
      <c r="V27" s="2" t="s">
        <v>3</v>
      </c>
      <c r="W27" s="2" t="s">
        <v>27</v>
      </c>
      <c r="X27" s="6">
        <v>1.261E-4</v>
      </c>
      <c r="Y27" s="6">
        <v>2.0218199999999999E-2</v>
      </c>
      <c r="Z27" s="6">
        <v>3.5201E-3</v>
      </c>
      <c r="AA27" s="2" t="s">
        <v>3</v>
      </c>
      <c r="AB27" s="54" t="s">
        <v>4</v>
      </c>
      <c r="AC27" s="54" t="s">
        <v>1</v>
      </c>
    </row>
    <row r="28" spans="1:29">
      <c r="A28" s="2" t="s">
        <v>78</v>
      </c>
      <c r="B28" s="2" t="s">
        <v>96</v>
      </c>
      <c r="C28" s="2" t="s">
        <v>115</v>
      </c>
      <c r="D28" s="2" t="s">
        <v>127</v>
      </c>
      <c r="E28" s="9">
        <v>1139344</v>
      </c>
      <c r="F28" s="2" t="s">
        <v>123</v>
      </c>
      <c r="G28" s="2" t="s">
        <v>83</v>
      </c>
      <c r="H28" s="2" t="s">
        <v>83</v>
      </c>
      <c r="I28" s="2" t="s">
        <v>118</v>
      </c>
      <c r="J28" s="2" t="s">
        <v>119</v>
      </c>
      <c r="K28" s="2" t="s">
        <v>120</v>
      </c>
      <c r="L28" s="2" t="s">
        <v>87</v>
      </c>
      <c r="M28" s="5">
        <v>2.94</v>
      </c>
      <c r="N28" s="2" t="s">
        <v>128</v>
      </c>
      <c r="O28" s="6">
        <v>0.02</v>
      </c>
      <c r="P28" s="6">
        <v>4.0099999999999997E-2</v>
      </c>
      <c r="Q28" s="5">
        <v>0</v>
      </c>
      <c r="R28" s="5">
        <v>4800000</v>
      </c>
      <c r="S28" s="5">
        <v>1</v>
      </c>
      <c r="T28" s="5">
        <v>94.43</v>
      </c>
      <c r="U28" s="5">
        <v>4532.6400000000003</v>
      </c>
      <c r="V28" s="2" t="s">
        <v>3</v>
      </c>
      <c r="W28" s="2" t="s">
        <v>27</v>
      </c>
      <c r="X28" s="6">
        <v>1.8569999999999999E-4</v>
      </c>
      <c r="Y28" s="6">
        <v>3.1183299999999997E-2</v>
      </c>
      <c r="Z28" s="6">
        <v>5.4291999999999995E-3</v>
      </c>
      <c r="AA28" s="2" t="s">
        <v>3</v>
      </c>
      <c r="AB28" s="54" t="s">
        <v>4</v>
      </c>
      <c r="AC28" s="54" t="s">
        <v>1</v>
      </c>
    </row>
    <row r="29" spans="1:29">
      <c r="A29" s="2" t="s">
        <v>78</v>
      </c>
      <c r="B29" s="2" t="s">
        <v>96</v>
      </c>
      <c r="C29" s="2" t="s">
        <v>115</v>
      </c>
      <c r="D29" s="2" t="s">
        <v>129</v>
      </c>
      <c r="E29" s="9">
        <v>1140193</v>
      </c>
      <c r="F29" s="2" t="s">
        <v>123</v>
      </c>
      <c r="G29" s="2" t="s">
        <v>83</v>
      </c>
      <c r="H29" s="2" t="s">
        <v>83</v>
      </c>
      <c r="I29" s="2" t="s">
        <v>118</v>
      </c>
      <c r="J29" s="2" t="s">
        <v>119</v>
      </c>
      <c r="K29" s="2" t="s">
        <v>120</v>
      </c>
      <c r="L29" s="2" t="s">
        <v>87</v>
      </c>
      <c r="M29" s="5">
        <v>15.14</v>
      </c>
      <c r="N29" s="2" t="s">
        <v>130</v>
      </c>
      <c r="O29" s="6">
        <v>3.7499999999999999E-2</v>
      </c>
      <c r="P29" s="6">
        <v>4.82E-2</v>
      </c>
      <c r="Q29" s="5">
        <v>0</v>
      </c>
      <c r="R29" s="5">
        <v>453900</v>
      </c>
      <c r="S29" s="5">
        <v>1</v>
      </c>
      <c r="T29" s="5">
        <v>85.26</v>
      </c>
      <c r="U29" s="5">
        <v>386.99513999999999</v>
      </c>
      <c r="V29" s="2" t="s">
        <v>3</v>
      </c>
      <c r="W29" s="2" t="s">
        <v>27</v>
      </c>
      <c r="X29" s="6">
        <v>1.7899999999999998E-5</v>
      </c>
      <c r="Y29" s="6">
        <v>2.6623999999999997E-3</v>
      </c>
      <c r="Z29" s="6">
        <v>4.6350000000000004E-4</v>
      </c>
      <c r="AA29" s="2" t="s">
        <v>3</v>
      </c>
      <c r="AB29" s="54" t="s">
        <v>4</v>
      </c>
      <c r="AC29" s="54" t="s">
        <v>1</v>
      </c>
    </row>
    <row r="30" spans="1:29">
      <c r="A30" s="2" t="s">
        <v>78</v>
      </c>
      <c r="B30" s="2" t="s">
        <v>96</v>
      </c>
      <c r="C30" s="2" t="s">
        <v>115</v>
      </c>
      <c r="D30" s="2" t="s">
        <v>131</v>
      </c>
      <c r="E30" s="9">
        <v>1140847</v>
      </c>
      <c r="F30" s="2" t="s">
        <v>117</v>
      </c>
      <c r="G30" s="2" t="s">
        <v>83</v>
      </c>
      <c r="H30" s="2" t="s">
        <v>83</v>
      </c>
      <c r="I30" s="2" t="s">
        <v>118</v>
      </c>
      <c r="J30" s="2" t="s">
        <v>119</v>
      </c>
      <c r="K30" s="2" t="s">
        <v>120</v>
      </c>
      <c r="L30" s="2" t="s">
        <v>87</v>
      </c>
      <c r="M30" s="5">
        <v>3.12</v>
      </c>
      <c r="N30" s="2" t="s">
        <v>132</v>
      </c>
      <c r="O30" s="6">
        <v>7.4999999999999997E-3</v>
      </c>
      <c r="P30" s="6">
        <v>1.26E-2</v>
      </c>
      <c r="Q30" s="5">
        <v>0</v>
      </c>
      <c r="R30" s="5">
        <v>3750000</v>
      </c>
      <c r="S30" s="5">
        <v>1</v>
      </c>
      <c r="T30" s="5">
        <v>111.88</v>
      </c>
      <c r="U30" s="5">
        <v>4195.5</v>
      </c>
      <c r="V30" s="2" t="s">
        <v>3</v>
      </c>
      <c r="W30" s="2" t="s">
        <v>27</v>
      </c>
      <c r="X30" s="6">
        <v>1.6820000000000002E-4</v>
      </c>
      <c r="Y30" s="6">
        <v>2.8863900000000001E-2</v>
      </c>
      <c r="Z30" s="6">
        <v>5.0254000000000002E-3</v>
      </c>
      <c r="AA30" s="2" t="s">
        <v>3</v>
      </c>
      <c r="AB30" s="54" t="s">
        <v>4</v>
      </c>
      <c r="AC30" s="54" t="s">
        <v>1</v>
      </c>
    </row>
    <row r="31" spans="1:29">
      <c r="A31" s="2" t="s">
        <v>78</v>
      </c>
      <c r="B31" s="2" t="s">
        <v>96</v>
      </c>
      <c r="C31" s="2" t="s">
        <v>115</v>
      </c>
      <c r="D31" s="2" t="s">
        <v>133</v>
      </c>
      <c r="E31" s="9">
        <v>1150879</v>
      </c>
      <c r="F31" s="2" t="s">
        <v>123</v>
      </c>
      <c r="G31" s="2" t="s">
        <v>83</v>
      </c>
      <c r="H31" s="2" t="s">
        <v>83</v>
      </c>
      <c r="I31" s="2" t="s">
        <v>118</v>
      </c>
      <c r="J31" s="2" t="s">
        <v>119</v>
      </c>
      <c r="K31" s="2" t="s">
        <v>120</v>
      </c>
      <c r="L31" s="2" t="s">
        <v>87</v>
      </c>
      <c r="M31" s="5">
        <v>4.2699999999999996</v>
      </c>
      <c r="N31" s="2" t="s">
        <v>134</v>
      </c>
      <c r="O31" s="6">
        <v>2.2499999999999999E-2</v>
      </c>
      <c r="P31" s="6">
        <v>4.07E-2</v>
      </c>
      <c r="Q31" s="5">
        <v>0</v>
      </c>
      <c r="R31" s="5">
        <v>13569385</v>
      </c>
      <c r="S31" s="5">
        <v>1</v>
      </c>
      <c r="T31" s="5">
        <v>93.79</v>
      </c>
      <c r="U31" s="5">
        <v>12726.726189999999</v>
      </c>
      <c r="V31" s="2" t="s">
        <v>3</v>
      </c>
      <c r="W31" s="2" t="s">
        <v>27</v>
      </c>
      <c r="X31" s="6">
        <v>4.6890000000000001E-4</v>
      </c>
      <c r="Y31" s="6">
        <v>8.7556399999999993E-2</v>
      </c>
      <c r="Z31" s="6">
        <v>1.5244200000000001E-2</v>
      </c>
      <c r="AA31" s="2" t="s">
        <v>3</v>
      </c>
      <c r="AB31" s="54" t="s">
        <v>4</v>
      </c>
      <c r="AC31" s="54" t="s">
        <v>1</v>
      </c>
    </row>
    <row r="32" spans="1:29">
      <c r="A32" s="2" t="s">
        <v>78</v>
      </c>
      <c r="B32" s="2" t="s">
        <v>96</v>
      </c>
      <c r="C32" s="2" t="s">
        <v>115</v>
      </c>
      <c r="D32" s="2" t="s">
        <v>135</v>
      </c>
      <c r="E32" s="9">
        <v>1157023</v>
      </c>
      <c r="F32" s="2" t="s">
        <v>117</v>
      </c>
      <c r="G32" s="2" t="s">
        <v>83</v>
      </c>
      <c r="H32" s="2" t="s">
        <v>83</v>
      </c>
      <c r="I32" s="2" t="s">
        <v>118</v>
      </c>
      <c r="J32" s="2" t="s">
        <v>119</v>
      </c>
      <c r="K32" s="2" t="s">
        <v>120</v>
      </c>
      <c r="L32" s="2" t="s">
        <v>87</v>
      </c>
      <c r="M32" s="5">
        <v>5.09</v>
      </c>
      <c r="N32" s="2" t="s">
        <v>136</v>
      </c>
      <c r="O32" s="6">
        <v>5.0000000000000001E-3</v>
      </c>
      <c r="P32" s="6">
        <v>1.4199999999999999E-2</v>
      </c>
      <c r="Q32" s="5">
        <v>0</v>
      </c>
      <c r="R32" s="5">
        <v>8404207</v>
      </c>
      <c r="S32" s="5">
        <v>1</v>
      </c>
      <c r="T32" s="5">
        <v>107.2</v>
      </c>
      <c r="U32" s="5">
        <v>9009.3099000000002</v>
      </c>
      <c r="V32" s="2" t="s">
        <v>3</v>
      </c>
      <c r="W32" s="2" t="s">
        <v>27</v>
      </c>
      <c r="X32" s="6">
        <v>3.6440000000000002E-4</v>
      </c>
      <c r="Y32" s="6">
        <v>6.1981599999999998E-2</v>
      </c>
      <c r="Z32" s="6">
        <v>1.0791500000000001E-2</v>
      </c>
      <c r="AA32" s="2" t="s">
        <v>3</v>
      </c>
      <c r="AB32" s="54" t="s">
        <v>4</v>
      </c>
      <c r="AC32" s="54" t="s">
        <v>1</v>
      </c>
    </row>
    <row r="33" spans="1:29">
      <c r="A33" s="2" t="s">
        <v>78</v>
      </c>
      <c r="B33" s="2" t="s">
        <v>96</v>
      </c>
      <c r="C33" s="2" t="s">
        <v>115</v>
      </c>
      <c r="D33" s="2" t="s">
        <v>139</v>
      </c>
      <c r="E33" s="9">
        <v>1169564</v>
      </c>
      <c r="F33" s="2" t="s">
        <v>117</v>
      </c>
      <c r="G33" s="2" t="s">
        <v>83</v>
      </c>
      <c r="H33" s="2" t="s">
        <v>83</v>
      </c>
      <c r="I33" s="2" t="s">
        <v>118</v>
      </c>
      <c r="J33" s="2" t="s">
        <v>119</v>
      </c>
      <c r="K33" s="2" t="s">
        <v>120</v>
      </c>
      <c r="L33" s="2" t="s">
        <v>87</v>
      </c>
      <c r="M33" s="5">
        <v>2.33</v>
      </c>
      <c r="N33" s="2" t="s">
        <v>140</v>
      </c>
      <c r="O33" s="6">
        <v>1E-3</v>
      </c>
      <c r="P33" s="6">
        <v>1.15E-2</v>
      </c>
      <c r="Q33" s="5">
        <v>0</v>
      </c>
      <c r="R33" s="5">
        <v>1599025</v>
      </c>
      <c r="S33" s="5">
        <v>1</v>
      </c>
      <c r="T33" s="5">
        <v>109.23</v>
      </c>
      <c r="U33" s="5">
        <v>1746.615</v>
      </c>
      <c r="V33" s="2" t="s">
        <v>3</v>
      </c>
      <c r="W33" s="2" t="s">
        <v>27</v>
      </c>
      <c r="X33" s="6">
        <v>7.9099999999999998E-5</v>
      </c>
      <c r="Y33" s="6">
        <v>1.2016199999999999E-2</v>
      </c>
      <c r="Z33" s="6">
        <v>2.0920999999999999E-3</v>
      </c>
      <c r="AA33" s="2" t="s">
        <v>3</v>
      </c>
      <c r="AB33" s="54" t="s">
        <v>4</v>
      </c>
      <c r="AC33" s="54" t="s">
        <v>1</v>
      </c>
    </row>
    <row r="34" spans="1:29">
      <c r="A34" s="2" t="s">
        <v>78</v>
      </c>
      <c r="B34" s="2" t="s">
        <v>96</v>
      </c>
      <c r="C34" s="2" t="s">
        <v>115</v>
      </c>
      <c r="D34" s="2" t="s">
        <v>141</v>
      </c>
      <c r="E34" s="9">
        <v>1180660</v>
      </c>
      <c r="F34" s="2" t="s">
        <v>123</v>
      </c>
      <c r="G34" s="2" t="s">
        <v>83</v>
      </c>
      <c r="H34" s="2" t="s">
        <v>83</v>
      </c>
      <c r="I34" s="2" t="s">
        <v>118</v>
      </c>
      <c r="J34" s="2" t="s">
        <v>119</v>
      </c>
      <c r="K34" s="2" t="s">
        <v>120</v>
      </c>
      <c r="L34" s="2" t="s">
        <v>87</v>
      </c>
      <c r="M34" s="5">
        <v>7.56</v>
      </c>
      <c r="N34" s="2" t="s">
        <v>142</v>
      </c>
      <c r="O34" s="6">
        <v>1.3000000000000001E-2</v>
      </c>
      <c r="P34" s="6">
        <v>4.3099999999999999E-2</v>
      </c>
      <c r="Q34" s="5">
        <v>0</v>
      </c>
      <c r="R34" s="5">
        <v>1452000</v>
      </c>
      <c r="S34" s="5">
        <v>1</v>
      </c>
      <c r="T34" s="5">
        <v>81.010000000000005</v>
      </c>
      <c r="U34" s="5">
        <v>1176.2652</v>
      </c>
      <c r="V34" s="2" t="s">
        <v>3</v>
      </c>
      <c r="W34" s="2" t="s">
        <v>27</v>
      </c>
      <c r="X34" s="6">
        <v>4.8999999999999998E-5</v>
      </c>
      <c r="Y34" s="6">
        <v>8.0923999999999996E-3</v>
      </c>
      <c r="Z34" s="6">
        <v>1.4088999999999998E-3</v>
      </c>
      <c r="AA34" s="2" t="s">
        <v>3</v>
      </c>
      <c r="AB34" s="54" t="s">
        <v>4</v>
      </c>
      <c r="AC34" s="54" t="s">
        <v>1</v>
      </c>
    </row>
    <row r="35" spans="1:29">
      <c r="A35" s="2" t="s">
        <v>78</v>
      </c>
      <c r="B35" s="2" t="s">
        <v>96</v>
      </c>
      <c r="C35" s="2" t="s">
        <v>115</v>
      </c>
      <c r="D35" s="2" t="s">
        <v>143</v>
      </c>
      <c r="E35" s="9">
        <v>1197326</v>
      </c>
      <c r="F35" s="2" t="s">
        <v>117</v>
      </c>
      <c r="G35" s="2" t="s">
        <v>83</v>
      </c>
      <c r="H35" s="2" t="s">
        <v>83</v>
      </c>
      <c r="I35" s="2" t="s">
        <v>118</v>
      </c>
      <c r="J35" s="2" t="s">
        <v>119</v>
      </c>
      <c r="K35" s="2" t="s">
        <v>120</v>
      </c>
      <c r="L35" s="2" t="s">
        <v>87</v>
      </c>
      <c r="M35" s="5">
        <v>4.4800000000000004</v>
      </c>
      <c r="N35" s="2" t="s">
        <v>144</v>
      </c>
      <c r="O35" s="6">
        <v>1.1000000000000001E-2</v>
      </c>
      <c r="P35" s="6">
        <v>1.3999999999999999E-2</v>
      </c>
      <c r="Q35" s="5">
        <v>0</v>
      </c>
      <c r="R35" s="5">
        <v>1680000</v>
      </c>
      <c r="S35" s="5">
        <v>1</v>
      </c>
      <c r="T35" s="5">
        <v>100.29</v>
      </c>
      <c r="U35" s="5">
        <v>1684.8720000000001</v>
      </c>
      <c r="V35" s="2" t="s">
        <v>3</v>
      </c>
      <c r="W35" s="2" t="s">
        <v>27</v>
      </c>
      <c r="X35" s="6">
        <v>1.4880000000000001E-4</v>
      </c>
      <c r="Y35" s="6">
        <v>1.1591499999999999E-2</v>
      </c>
      <c r="Z35" s="6">
        <v>2.0181999999999999E-3</v>
      </c>
      <c r="AA35" s="2" t="s">
        <v>3</v>
      </c>
      <c r="AB35" s="54" t="s">
        <v>4</v>
      </c>
      <c r="AC35" s="54" t="s">
        <v>1</v>
      </c>
    </row>
    <row r="36" spans="1:29">
      <c r="A36" s="2" t="s">
        <v>78</v>
      </c>
      <c r="B36" s="2" t="s">
        <v>96</v>
      </c>
      <c r="C36" s="2" t="s">
        <v>115</v>
      </c>
      <c r="D36" s="2" t="s">
        <v>145</v>
      </c>
      <c r="E36" s="2" t="s">
        <v>146</v>
      </c>
      <c r="F36" s="2" t="s">
        <v>147</v>
      </c>
      <c r="G36" s="2" t="s">
        <v>148</v>
      </c>
      <c r="H36" s="2" t="s">
        <v>83</v>
      </c>
      <c r="I36" s="2" t="s">
        <v>149</v>
      </c>
      <c r="J36" s="2" t="s">
        <v>150</v>
      </c>
      <c r="K36" s="2" t="s">
        <v>151</v>
      </c>
      <c r="L36" s="2" t="s">
        <v>91</v>
      </c>
      <c r="M36" s="5">
        <v>3.9089999999999998</v>
      </c>
      <c r="N36" s="2" t="s">
        <v>152</v>
      </c>
      <c r="O36" s="6">
        <v>7.2499999999999995E-2</v>
      </c>
      <c r="P36" s="6">
        <v>5.3940000000000002E-2</v>
      </c>
      <c r="Q36" s="5">
        <v>0</v>
      </c>
      <c r="R36" s="5">
        <v>146000</v>
      </c>
      <c r="S36" s="5">
        <v>3.681</v>
      </c>
      <c r="T36" s="5">
        <v>109.61386</v>
      </c>
      <c r="U36" s="5">
        <v>589.09338000000002</v>
      </c>
      <c r="V36" s="2" t="s">
        <v>3</v>
      </c>
      <c r="W36" s="2" t="s">
        <v>27</v>
      </c>
      <c r="X36" s="6">
        <v>5.8399999999999999E-4</v>
      </c>
      <c r="Y36" s="6">
        <v>4.0527999999999996E-3</v>
      </c>
      <c r="Z36" s="6">
        <v>7.0560000000000002E-4</v>
      </c>
      <c r="AA36" s="9">
        <v>71071369</v>
      </c>
      <c r="AB36" s="54" t="s">
        <v>4</v>
      </c>
      <c r="AC36" s="54" t="s">
        <v>1</v>
      </c>
    </row>
    <row r="37" spans="1:29">
      <c r="A37" s="2" t="s">
        <v>78</v>
      </c>
      <c r="B37" s="2" t="s">
        <v>96</v>
      </c>
      <c r="C37" s="2" t="s">
        <v>153</v>
      </c>
      <c r="D37" s="2" t="s">
        <v>154</v>
      </c>
      <c r="E37" s="2" t="s">
        <v>155</v>
      </c>
      <c r="F37" s="2" t="s">
        <v>147</v>
      </c>
      <c r="G37" s="2" t="s">
        <v>148</v>
      </c>
      <c r="H37" s="2" t="s">
        <v>156</v>
      </c>
      <c r="I37" s="2" t="s">
        <v>157</v>
      </c>
      <c r="J37" s="2" t="s">
        <v>158</v>
      </c>
      <c r="K37" s="2" t="s">
        <v>151</v>
      </c>
      <c r="L37" s="2" t="s">
        <v>91</v>
      </c>
      <c r="M37" s="5">
        <v>3.899</v>
      </c>
      <c r="N37" s="2" t="s">
        <v>159</v>
      </c>
      <c r="O37" s="6">
        <v>4.1250000000000002E-2</v>
      </c>
      <c r="P37" s="6">
        <v>4.2419999999999999E-2</v>
      </c>
      <c r="Q37" s="5">
        <v>0</v>
      </c>
      <c r="R37" s="5">
        <v>320000</v>
      </c>
      <c r="S37" s="5">
        <v>3.681</v>
      </c>
      <c r="T37" s="5">
        <v>100.10917999999999</v>
      </c>
      <c r="U37" s="5">
        <v>1179.2060799999999</v>
      </c>
      <c r="V37" s="2" t="s">
        <v>3</v>
      </c>
      <c r="W37" s="2" t="s">
        <v>27</v>
      </c>
      <c r="X37" s="6">
        <v>7.4000000000000003E-6</v>
      </c>
      <c r="Y37" s="6">
        <v>8.1125999999999993E-3</v>
      </c>
      <c r="Z37" s="6">
        <v>1.4124999999999999E-3</v>
      </c>
      <c r="AA37" s="9">
        <v>72931405</v>
      </c>
      <c r="AB37" s="54" t="s">
        <v>4</v>
      </c>
      <c r="AC37" s="54" t="s">
        <v>1</v>
      </c>
    </row>
    <row r="38" spans="1:29">
      <c r="A38" s="2" t="s">
        <v>78</v>
      </c>
      <c r="B38" s="2" t="s">
        <v>96</v>
      </c>
      <c r="C38" s="2" t="s">
        <v>153</v>
      </c>
      <c r="D38" s="2" t="s">
        <v>160</v>
      </c>
      <c r="E38" s="2" t="s">
        <v>161</v>
      </c>
      <c r="F38" s="2" t="s">
        <v>147</v>
      </c>
      <c r="G38" s="2" t="s">
        <v>148</v>
      </c>
      <c r="H38" s="2" t="s">
        <v>156</v>
      </c>
      <c r="I38" s="2" t="s">
        <v>157</v>
      </c>
      <c r="J38" s="2" t="s">
        <v>158</v>
      </c>
      <c r="K38" s="2" t="s">
        <v>151</v>
      </c>
      <c r="L38" s="2" t="s">
        <v>91</v>
      </c>
      <c r="M38" s="5">
        <v>7.7229999999999999</v>
      </c>
      <c r="N38" s="2" t="s">
        <v>162</v>
      </c>
      <c r="O38" s="6">
        <v>3.875E-2</v>
      </c>
      <c r="P38" s="6">
        <v>4.1980000000000003E-2</v>
      </c>
      <c r="Q38" s="5">
        <v>0</v>
      </c>
      <c r="R38" s="5">
        <v>756000</v>
      </c>
      <c r="S38" s="5">
        <v>3.681</v>
      </c>
      <c r="T38" s="5">
        <v>97.903700000000001</v>
      </c>
      <c r="U38" s="5">
        <v>2724.4994099999999</v>
      </c>
      <c r="V38" s="2" t="s">
        <v>3</v>
      </c>
      <c r="W38" s="2" t="s">
        <v>27</v>
      </c>
      <c r="X38" s="6">
        <v>1.98E-5</v>
      </c>
      <c r="Y38" s="6">
        <v>1.8743799999999998E-2</v>
      </c>
      <c r="Z38" s="6">
        <v>3.2634000000000001E-3</v>
      </c>
      <c r="AA38" s="9">
        <v>72932478</v>
      </c>
      <c r="AB38" s="54" t="s">
        <v>4</v>
      </c>
      <c r="AC38" s="54" t="s">
        <v>1</v>
      </c>
    </row>
    <row r="39" spans="1:29">
      <c r="A39" s="2" t="s">
        <v>78</v>
      </c>
      <c r="B39" s="2" t="s">
        <v>98</v>
      </c>
      <c r="C39" s="2" t="s">
        <v>115</v>
      </c>
      <c r="D39" s="2" t="s">
        <v>129</v>
      </c>
      <c r="E39" s="9">
        <v>1140193</v>
      </c>
      <c r="F39" s="2" t="s">
        <v>123</v>
      </c>
      <c r="G39" s="2" t="s">
        <v>83</v>
      </c>
      <c r="H39" s="2" t="s">
        <v>83</v>
      </c>
      <c r="I39" s="2" t="s">
        <v>118</v>
      </c>
      <c r="J39" s="2" t="s">
        <v>119</v>
      </c>
      <c r="K39" s="2" t="s">
        <v>120</v>
      </c>
      <c r="L39" s="2" t="s">
        <v>87</v>
      </c>
      <c r="M39" s="5">
        <v>15.14</v>
      </c>
      <c r="N39" s="2" t="s">
        <v>130</v>
      </c>
      <c r="O39" s="6">
        <v>3.7499999999999999E-2</v>
      </c>
      <c r="P39" s="6">
        <v>4.82E-2</v>
      </c>
      <c r="Q39" s="5">
        <v>0</v>
      </c>
      <c r="R39" s="5">
        <v>2859802</v>
      </c>
      <c r="S39" s="5">
        <v>1</v>
      </c>
      <c r="T39" s="5">
        <v>85.26</v>
      </c>
      <c r="U39" s="5">
        <v>2438.2671799999998</v>
      </c>
      <c r="V39" s="2" t="s">
        <v>3</v>
      </c>
      <c r="W39" s="2" t="s">
        <v>27</v>
      </c>
      <c r="X39" s="6">
        <v>1.133E-4</v>
      </c>
      <c r="Y39" s="6">
        <v>1.6774600000000001E-2</v>
      </c>
      <c r="Z39" s="6">
        <v>2.9205999999999998E-3</v>
      </c>
      <c r="AA39" s="2" t="s">
        <v>3</v>
      </c>
      <c r="AB39" s="54" t="s">
        <v>4</v>
      </c>
      <c r="AC39" s="54" t="s">
        <v>1</v>
      </c>
    </row>
    <row r="40" spans="1:29">
      <c r="A40" s="2" t="s">
        <v>78</v>
      </c>
      <c r="B40" s="2" t="s">
        <v>98</v>
      </c>
      <c r="C40" s="2" t="s">
        <v>115</v>
      </c>
      <c r="D40" s="2" t="s">
        <v>131</v>
      </c>
      <c r="E40" s="9">
        <v>1140847</v>
      </c>
      <c r="F40" s="2" t="s">
        <v>117</v>
      </c>
      <c r="G40" s="2" t="s">
        <v>83</v>
      </c>
      <c r="H40" s="2" t="s">
        <v>83</v>
      </c>
      <c r="I40" s="2" t="s">
        <v>118</v>
      </c>
      <c r="J40" s="2" t="s">
        <v>119</v>
      </c>
      <c r="K40" s="2" t="s">
        <v>120</v>
      </c>
      <c r="L40" s="2" t="s">
        <v>87</v>
      </c>
      <c r="M40" s="5">
        <v>3.12</v>
      </c>
      <c r="N40" s="2" t="s">
        <v>132</v>
      </c>
      <c r="O40" s="6">
        <v>7.4999999999999997E-3</v>
      </c>
      <c r="P40" s="6">
        <v>1.26E-2</v>
      </c>
      <c r="Q40" s="5">
        <v>0</v>
      </c>
      <c r="R40" s="5">
        <v>3100000</v>
      </c>
      <c r="S40" s="5">
        <v>1</v>
      </c>
      <c r="T40" s="5">
        <v>111.88</v>
      </c>
      <c r="U40" s="5">
        <v>3468.28</v>
      </c>
      <c r="V40" s="2" t="s">
        <v>3</v>
      </c>
      <c r="W40" s="2" t="s">
        <v>27</v>
      </c>
      <c r="X40" s="6">
        <v>1.3899999999999999E-4</v>
      </c>
      <c r="Y40" s="6">
        <v>2.3860800000000001E-2</v>
      </c>
      <c r="Z40" s="6">
        <v>4.1543000000000005E-3</v>
      </c>
      <c r="AA40" s="2" t="s">
        <v>3</v>
      </c>
      <c r="AB40" s="54" t="s">
        <v>4</v>
      </c>
      <c r="AC40" s="54" t="s">
        <v>1</v>
      </c>
    </row>
    <row r="41" spans="1:29">
      <c r="A41" s="2" t="s">
        <v>78</v>
      </c>
      <c r="B41" s="2" t="s">
        <v>98</v>
      </c>
      <c r="C41" s="2" t="s">
        <v>115</v>
      </c>
      <c r="D41" s="2" t="s">
        <v>133</v>
      </c>
      <c r="E41" s="9">
        <v>1150879</v>
      </c>
      <c r="F41" s="2" t="s">
        <v>123</v>
      </c>
      <c r="G41" s="2" t="s">
        <v>83</v>
      </c>
      <c r="H41" s="2" t="s">
        <v>83</v>
      </c>
      <c r="I41" s="2" t="s">
        <v>118</v>
      </c>
      <c r="J41" s="2" t="s">
        <v>119</v>
      </c>
      <c r="K41" s="2" t="s">
        <v>120</v>
      </c>
      <c r="L41" s="2" t="s">
        <v>87</v>
      </c>
      <c r="M41" s="5">
        <v>4.2699999999999996</v>
      </c>
      <c r="N41" s="2" t="s">
        <v>134</v>
      </c>
      <c r="O41" s="6">
        <v>2.2499999999999999E-2</v>
      </c>
      <c r="P41" s="6">
        <v>4.07E-2</v>
      </c>
      <c r="Q41" s="5">
        <v>0</v>
      </c>
      <c r="R41" s="5">
        <v>15280556</v>
      </c>
      <c r="S41" s="5">
        <v>1</v>
      </c>
      <c r="T41" s="5">
        <v>93.79</v>
      </c>
      <c r="U41" s="5">
        <v>14331.633470000001</v>
      </c>
      <c r="V41" s="2" t="s">
        <v>3</v>
      </c>
      <c r="W41" s="2" t="s">
        <v>27</v>
      </c>
      <c r="X41" s="6">
        <v>5.2800000000000004E-4</v>
      </c>
      <c r="Y41" s="6">
        <v>9.8597800000000013E-2</v>
      </c>
      <c r="Z41" s="6">
        <v>1.7166600000000001E-2</v>
      </c>
      <c r="AA41" s="2" t="s">
        <v>3</v>
      </c>
      <c r="AB41" s="54" t="s">
        <v>4</v>
      </c>
      <c r="AC41" s="54" t="s">
        <v>1</v>
      </c>
    </row>
    <row r="42" spans="1:29">
      <c r="A42" s="2" t="s">
        <v>78</v>
      </c>
      <c r="B42" s="2" t="s">
        <v>98</v>
      </c>
      <c r="C42" s="2" t="s">
        <v>115</v>
      </c>
      <c r="D42" s="2" t="s">
        <v>135</v>
      </c>
      <c r="E42" s="9">
        <v>1157023</v>
      </c>
      <c r="F42" s="2" t="s">
        <v>117</v>
      </c>
      <c r="G42" s="2" t="s">
        <v>83</v>
      </c>
      <c r="H42" s="2" t="s">
        <v>83</v>
      </c>
      <c r="I42" s="2" t="s">
        <v>118</v>
      </c>
      <c r="J42" s="2" t="s">
        <v>119</v>
      </c>
      <c r="K42" s="2" t="s">
        <v>120</v>
      </c>
      <c r="L42" s="2" t="s">
        <v>87</v>
      </c>
      <c r="M42" s="5">
        <v>5.09</v>
      </c>
      <c r="N42" s="2" t="s">
        <v>136</v>
      </c>
      <c r="O42" s="6">
        <v>5.0000000000000001E-3</v>
      </c>
      <c r="P42" s="6">
        <v>1.4199999999999999E-2</v>
      </c>
      <c r="Q42" s="5">
        <v>0</v>
      </c>
      <c r="R42" s="5">
        <v>30898747</v>
      </c>
      <c r="S42" s="5">
        <v>1</v>
      </c>
      <c r="T42" s="5">
        <v>107.2</v>
      </c>
      <c r="U42" s="5">
        <v>33123.45678</v>
      </c>
      <c r="V42" s="2" t="s">
        <v>3</v>
      </c>
      <c r="W42" s="2" t="s">
        <v>27</v>
      </c>
      <c r="X42" s="6">
        <v>1.34E-3</v>
      </c>
      <c r="Y42" s="6">
        <v>0.22788049999999999</v>
      </c>
      <c r="Z42" s="6">
        <v>3.9675600000000005E-2</v>
      </c>
      <c r="AA42" s="2" t="s">
        <v>3</v>
      </c>
      <c r="AB42" s="54" t="s">
        <v>4</v>
      </c>
      <c r="AC42" s="54" t="s">
        <v>1</v>
      </c>
    </row>
    <row r="43" spans="1:29">
      <c r="A43" s="2" t="s">
        <v>78</v>
      </c>
      <c r="B43" s="2" t="s">
        <v>98</v>
      </c>
      <c r="C43" s="2" t="s">
        <v>115</v>
      </c>
      <c r="D43" s="2" t="s">
        <v>141</v>
      </c>
      <c r="E43" s="9">
        <v>1180660</v>
      </c>
      <c r="F43" s="2" t="s">
        <v>123</v>
      </c>
      <c r="G43" s="2" t="s">
        <v>83</v>
      </c>
      <c r="H43" s="2" t="s">
        <v>83</v>
      </c>
      <c r="I43" s="2" t="s">
        <v>118</v>
      </c>
      <c r="J43" s="2" t="s">
        <v>119</v>
      </c>
      <c r="K43" s="2" t="s">
        <v>120</v>
      </c>
      <c r="L43" s="2" t="s">
        <v>87</v>
      </c>
      <c r="M43" s="5">
        <v>7.56</v>
      </c>
      <c r="N43" s="2" t="s">
        <v>142</v>
      </c>
      <c r="O43" s="6">
        <v>1.3000000000000001E-2</v>
      </c>
      <c r="P43" s="6">
        <v>4.3099999999999999E-2</v>
      </c>
      <c r="Q43" s="5">
        <v>0</v>
      </c>
      <c r="R43" s="5">
        <v>6810000</v>
      </c>
      <c r="S43" s="5">
        <v>1</v>
      </c>
      <c r="T43" s="5">
        <v>81.010000000000005</v>
      </c>
      <c r="U43" s="5">
        <v>5516.7809999999999</v>
      </c>
      <c r="V43" s="2" t="s">
        <v>3</v>
      </c>
      <c r="W43" s="2" t="s">
        <v>27</v>
      </c>
      <c r="X43" s="6">
        <v>2.299E-4</v>
      </c>
      <c r="Y43" s="6">
        <v>3.7954000000000002E-2</v>
      </c>
      <c r="Z43" s="6">
        <v>6.6081000000000004E-3</v>
      </c>
      <c r="AA43" s="2" t="s">
        <v>3</v>
      </c>
      <c r="AB43" s="54" t="s">
        <v>4</v>
      </c>
      <c r="AC43" s="54" t="s">
        <v>1</v>
      </c>
    </row>
    <row r="44" spans="1:29">
      <c r="A44" s="2" t="s">
        <v>78</v>
      </c>
      <c r="B44" s="2" t="s">
        <v>98</v>
      </c>
      <c r="C44" s="2" t="s">
        <v>115</v>
      </c>
      <c r="D44" s="2" t="s">
        <v>143</v>
      </c>
      <c r="E44" s="9">
        <v>1197326</v>
      </c>
      <c r="F44" s="2" t="s">
        <v>117</v>
      </c>
      <c r="G44" s="2" t="s">
        <v>83</v>
      </c>
      <c r="H44" s="2" t="s">
        <v>83</v>
      </c>
      <c r="I44" s="2" t="s">
        <v>118</v>
      </c>
      <c r="J44" s="2" t="s">
        <v>119</v>
      </c>
      <c r="K44" s="2" t="s">
        <v>120</v>
      </c>
      <c r="L44" s="2" t="s">
        <v>87</v>
      </c>
      <c r="M44" s="5">
        <v>4.4800000000000004</v>
      </c>
      <c r="N44" s="2" t="s">
        <v>144</v>
      </c>
      <c r="O44" s="6">
        <v>1.1000000000000001E-2</v>
      </c>
      <c r="P44" s="6">
        <v>1.3999999999999999E-2</v>
      </c>
      <c r="Q44" s="5">
        <v>0</v>
      </c>
      <c r="R44" s="5">
        <v>1700000</v>
      </c>
      <c r="S44" s="5">
        <v>1</v>
      </c>
      <c r="T44" s="5">
        <v>100.29</v>
      </c>
      <c r="U44" s="5">
        <v>1704.93</v>
      </c>
      <c r="V44" s="2" t="s">
        <v>3</v>
      </c>
      <c r="W44" s="2" t="s">
        <v>27</v>
      </c>
      <c r="X44" s="6">
        <v>1.506E-4</v>
      </c>
      <c r="Y44" s="6">
        <v>1.1729499999999999E-2</v>
      </c>
      <c r="Z44" s="6">
        <v>2.0422000000000001E-3</v>
      </c>
      <c r="AA44" s="2" t="s">
        <v>3</v>
      </c>
      <c r="AB44" s="54" t="s">
        <v>4</v>
      </c>
      <c r="AC44" s="54" t="s">
        <v>1</v>
      </c>
    </row>
    <row r="45" spans="1:29">
      <c r="A45" s="2" t="s">
        <v>78</v>
      </c>
      <c r="B45" s="2" t="s">
        <v>98</v>
      </c>
      <c r="C45" s="2" t="s">
        <v>115</v>
      </c>
      <c r="D45" s="2" t="s">
        <v>145</v>
      </c>
      <c r="E45" s="2" t="s">
        <v>146</v>
      </c>
      <c r="F45" s="2" t="s">
        <v>147</v>
      </c>
      <c r="G45" s="2" t="s">
        <v>148</v>
      </c>
      <c r="H45" s="2" t="s">
        <v>83</v>
      </c>
      <c r="I45" s="2" t="s">
        <v>149</v>
      </c>
      <c r="J45" s="2" t="s">
        <v>150</v>
      </c>
      <c r="K45" s="2" t="s">
        <v>151</v>
      </c>
      <c r="L45" s="2" t="s">
        <v>91</v>
      </c>
      <c r="M45" s="5">
        <v>3.9089999999999998</v>
      </c>
      <c r="N45" s="2" t="s">
        <v>152</v>
      </c>
      <c r="O45" s="6">
        <v>7.2499999999999995E-2</v>
      </c>
      <c r="P45" s="6">
        <v>5.3940000000000002E-2</v>
      </c>
      <c r="Q45" s="5">
        <v>0</v>
      </c>
      <c r="R45" s="5">
        <v>653000</v>
      </c>
      <c r="S45" s="5">
        <v>3.681</v>
      </c>
      <c r="T45" s="5">
        <v>109.61386</v>
      </c>
      <c r="U45" s="5">
        <v>2634.7806799999998</v>
      </c>
      <c r="V45" s="2" t="s">
        <v>3</v>
      </c>
      <c r="W45" s="2" t="s">
        <v>27</v>
      </c>
      <c r="X45" s="6">
        <v>2.6119999999999997E-3</v>
      </c>
      <c r="Y45" s="6">
        <v>1.81266E-2</v>
      </c>
      <c r="Z45" s="6">
        <v>3.156E-3</v>
      </c>
      <c r="AA45" s="9">
        <v>71071369</v>
      </c>
      <c r="AB45" s="54" t="s">
        <v>4</v>
      </c>
      <c r="AC45" s="54" t="s">
        <v>1</v>
      </c>
    </row>
    <row r="46" spans="1:29">
      <c r="A46" s="2" t="s">
        <v>78</v>
      </c>
      <c r="B46" s="2" t="s">
        <v>98</v>
      </c>
      <c r="C46" s="2" t="s">
        <v>153</v>
      </c>
      <c r="D46" s="2" t="s">
        <v>154</v>
      </c>
      <c r="E46" s="2" t="s">
        <v>155</v>
      </c>
      <c r="F46" s="2" t="s">
        <v>147</v>
      </c>
      <c r="G46" s="2" t="s">
        <v>148</v>
      </c>
      <c r="H46" s="2" t="s">
        <v>156</v>
      </c>
      <c r="I46" s="2" t="s">
        <v>157</v>
      </c>
      <c r="J46" s="2" t="s">
        <v>158</v>
      </c>
      <c r="K46" s="2" t="s">
        <v>151</v>
      </c>
      <c r="L46" s="2" t="s">
        <v>91</v>
      </c>
      <c r="M46" s="5">
        <v>3.899</v>
      </c>
      <c r="N46" s="2" t="s">
        <v>159</v>
      </c>
      <c r="O46" s="6">
        <v>4.1250000000000002E-2</v>
      </c>
      <c r="P46" s="6">
        <v>4.2419999999999999E-2</v>
      </c>
      <c r="Q46" s="5">
        <v>0</v>
      </c>
      <c r="R46" s="5">
        <v>1495000</v>
      </c>
      <c r="S46" s="5">
        <v>3.681</v>
      </c>
      <c r="T46" s="5">
        <v>100.10917999999999</v>
      </c>
      <c r="U46" s="5">
        <v>5509.1034</v>
      </c>
      <c r="V46" s="2" t="s">
        <v>3</v>
      </c>
      <c r="W46" s="2" t="s">
        <v>27</v>
      </c>
      <c r="X46" s="6">
        <v>3.4700000000000003E-5</v>
      </c>
      <c r="Y46" s="6">
        <v>3.79011E-2</v>
      </c>
      <c r="Z46" s="6">
        <v>6.5988999999999996E-3</v>
      </c>
      <c r="AA46" s="9">
        <v>72931405</v>
      </c>
      <c r="AB46" s="54" t="s">
        <v>4</v>
      </c>
      <c r="AC46" s="54" t="s">
        <v>1</v>
      </c>
    </row>
    <row r="47" spans="1:29">
      <c r="A47" s="2" t="s">
        <v>78</v>
      </c>
      <c r="B47" s="2" t="s">
        <v>98</v>
      </c>
      <c r="C47" s="2" t="s">
        <v>153</v>
      </c>
      <c r="D47" s="2" t="s">
        <v>160</v>
      </c>
      <c r="E47" s="2" t="s">
        <v>161</v>
      </c>
      <c r="F47" s="2" t="s">
        <v>147</v>
      </c>
      <c r="G47" s="2" t="s">
        <v>148</v>
      </c>
      <c r="H47" s="2" t="s">
        <v>156</v>
      </c>
      <c r="I47" s="2" t="s">
        <v>157</v>
      </c>
      <c r="J47" s="2" t="s">
        <v>158</v>
      </c>
      <c r="K47" s="2" t="s">
        <v>151</v>
      </c>
      <c r="L47" s="2" t="s">
        <v>91</v>
      </c>
      <c r="M47" s="5">
        <v>7.7229999999999999</v>
      </c>
      <c r="N47" s="2" t="s">
        <v>162</v>
      </c>
      <c r="O47" s="6">
        <v>3.875E-2</v>
      </c>
      <c r="P47" s="6">
        <v>4.1980000000000003E-2</v>
      </c>
      <c r="Q47" s="5">
        <v>0</v>
      </c>
      <c r="R47" s="5">
        <v>4500000</v>
      </c>
      <c r="S47" s="5">
        <v>3.681</v>
      </c>
      <c r="T47" s="5">
        <v>97.903700000000001</v>
      </c>
      <c r="U47" s="5">
        <v>16217.258400000001</v>
      </c>
      <c r="V47" s="2" t="s">
        <v>3</v>
      </c>
      <c r="W47" s="2" t="s">
        <v>27</v>
      </c>
      <c r="X47" s="6">
        <v>1.184E-4</v>
      </c>
      <c r="Y47" s="6">
        <v>0.1115704</v>
      </c>
      <c r="Z47" s="6">
        <v>1.94252E-2</v>
      </c>
      <c r="AA47" s="9">
        <v>72932478</v>
      </c>
      <c r="AB47" s="54" t="s">
        <v>4</v>
      </c>
      <c r="AC47" s="54" t="s">
        <v>1</v>
      </c>
    </row>
    <row r="48" spans="1:29">
      <c r="A48" s="2" t="s">
        <v>78</v>
      </c>
      <c r="B48" s="2" t="s">
        <v>98</v>
      </c>
      <c r="C48" s="2" t="s">
        <v>153</v>
      </c>
      <c r="D48" s="2" t="s">
        <v>165</v>
      </c>
      <c r="E48" s="2" t="s">
        <v>166</v>
      </c>
      <c r="F48" s="2" t="s">
        <v>147</v>
      </c>
      <c r="G48" s="2" t="s">
        <v>148</v>
      </c>
      <c r="H48" s="2" t="s">
        <v>156</v>
      </c>
      <c r="I48" s="2" t="s">
        <v>157</v>
      </c>
      <c r="J48" s="2" t="s">
        <v>120</v>
      </c>
      <c r="K48" s="2" t="s">
        <v>120</v>
      </c>
      <c r="L48" s="2" t="s">
        <v>91</v>
      </c>
      <c r="M48" s="5">
        <v>0.56599999999999995</v>
      </c>
      <c r="N48" s="2" t="s">
        <v>167</v>
      </c>
      <c r="O48" s="6">
        <v>0</v>
      </c>
      <c r="P48" s="6">
        <v>5.1360000000000003E-2</v>
      </c>
      <c r="Q48" s="5">
        <v>0</v>
      </c>
      <c r="R48" s="5">
        <v>600000</v>
      </c>
      <c r="S48" s="5">
        <v>3.681</v>
      </c>
      <c r="T48" s="5">
        <v>97.097099999999998</v>
      </c>
      <c r="U48" s="5">
        <v>2144.4865799999998</v>
      </c>
      <c r="V48" s="2" t="s">
        <v>3</v>
      </c>
      <c r="W48" s="2" t="s">
        <v>27</v>
      </c>
      <c r="X48" s="6">
        <v>1.22E-5</v>
      </c>
      <c r="Y48" s="6">
        <v>1.4753499999999999E-2</v>
      </c>
      <c r="Z48" s="6">
        <v>2.5686999999999997E-3</v>
      </c>
      <c r="AA48" s="9">
        <v>72939408</v>
      </c>
      <c r="AB48" s="54" t="s">
        <v>4</v>
      </c>
      <c r="AC48" s="54" t="s">
        <v>1</v>
      </c>
    </row>
    <row r="49" spans="1:29">
      <c r="A49" s="2" t="s">
        <v>78</v>
      </c>
      <c r="B49" s="2" t="s">
        <v>78</v>
      </c>
      <c r="C49" s="2" t="s">
        <v>3</v>
      </c>
      <c r="D49" s="2" t="s">
        <v>3</v>
      </c>
      <c r="E49" s="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3</v>
      </c>
      <c r="O49" s="2" t="s">
        <v>3</v>
      </c>
      <c r="P49" s="2" t="s">
        <v>3</v>
      </c>
      <c r="Q49" s="2" t="s">
        <v>3</v>
      </c>
      <c r="R49" s="2" t="s">
        <v>3</v>
      </c>
      <c r="S49" s="2" t="s">
        <v>3</v>
      </c>
      <c r="T49" s="2" t="s">
        <v>3</v>
      </c>
      <c r="U49" s="2" t="s">
        <v>3</v>
      </c>
      <c r="V49" s="2" t="s">
        <v>3</v>
      </c>
      <c r="W49" s="2" t="s">
        <v>3</v>
      </c>
      <c r="X49" s="2" t="s">
        <v>3</v>
      </c>
      <c r="Y49" s="2" t="s">
        <v>3</v>
      </c>
      <c r="Z49" s="2" t="s">
        <v>3</v>
      </c>
      <c r="AA49" s="2" t="s">
        <v>3</v>
      </c>
      <c r="AB49" s="54" t="s">
        <v>4</v>
      </c>
      <c r="AC49" s="54" t="s">
        <v>1</v>
      </c>
    </row>
    <row r="50" spans="1:29">
      <c r="A50" s="2" t="s">
        <v>3</v>
      </c>
      <c r="B50" s="2" t="s">
        <v>100</v>
      </c>
      <c r="C50" s="2" t="s">
        <v>3</v>
      </c>
      <c r="D50" s="2" t="s">
        <v>3</v>
      </c>
      <c r="E50" s="2" t="s">
        <v>3</v>
      </c>
      <c r="F50" s="2" t="s">
        <v>3</v>
      </c>
      <c r="G50" s="2" t="s">
        <v>3</v>
      </c>
      <c r="H50" s="2" t="s">
        <v>3</v>
      </c>
      <c r="I50" s="2" t="s">
        <v>3</v>
      </c>
      <c r="J50" s="2" t="s">
        <v>3</v>
      </c>
      <c r="K50" s="2" t="s">
        <v>3</v>
      </c>
      <c r="L50" s="2" t="s">
        <v>3</v>
      </c>
      <c r="M50" s="2" t="s">
        <v>3</v>
      </c>
      <c r="N50" s="2" t="s">
        <v>3</v>
      </c>
      <c r="O50" s="2" t="s">
        <v>3</v>
      </c>
      <c r="P50" s="2" t="s">
        <v>3</v>
      </c>
      <c r="Q50" s="2" t="s">
        <v>3</v>
      </c>
      <c r="R50" s="2" t="s">
        <v>3</v>
      </c>
      <c r="S50" s="2" t="s">
        <v>3</v>
      </c>
      <c r="T50" s="2" t="s">
        <v>3</v>
      </c>
      <c r="U50" s="2" t="s">
        <v>3</v>
      </c>
      <c r="V50" s="2" t="s">
        <v>3</v>
      </c>
      <c r="W50" s="2" t="s">
        <v>3</v>
      </c>
      <c r="X50" s="2" t="s">
        <v>3</v>
      </c>
      <c r="Y50" s="2" t="s">
        <v>3</v>
      </c>
      <c r="Z50" s="2" t="s">
        <v>3</v>
      </c>
      <c r="AA50" s="2" t="s">
        <v>3</v>
      </c>
      <c r="AB50" s="54" t="s">
        <v>4</v>
      </c>
      <c r="AC50" s="54" t="s">
        <v>1</v>
      </c>
    </row>
    <row r="51" spans="1:29">
      <c r="B51" s="54" t="s">
        <v>24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spans="1:29">
      <c r="B52" s="54" t="s">
        <v>25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</sheetData>
  <autoFilter ref="A2:AC52"/>
  <mergeCells count="5">
    <mergeCell ref="B1:AA1"/>
    <mergeCell ref="B51:AA51"/>
    <mergeCell ref="B52:AA52"/>
    <mergeCell ref="AB2:AB50"/>
    <mergeCell ref="AC1:AC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AM10"/>
  <sheetViews>
    <sheetView rightToLeft="1" topLeftCell="V1" workbookViewId="0">
      <selection activeCell="AC2" sqref="AC2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2" customWidth="1"/>
  </cols>
  <sheetData>
    <row r="1" spans="1:39">
      <c r="B1" s="55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M1" s="55" t="s">
        <v>1</v>
      </c>
    </row>
    <row r="2" spans="1:39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105</v>
      </c>
      <c r="M2" s="4" t="s">
        <v>171</v>
      </c>
      <c r="N2" s="4" t="s">
        <v>172</v>
      </c>
      <c r="O2" s="4" t="s">
        <v>106</v>
      </c>
      <c r="P2" s="4" t="s">
        <v>70</v>
      </c>
      <c r="Q2" s="4" t="s">
        <v>173</v>
      </c>
      <c r="R2" s="4" t="s">
        <v>71</v>
      </c>
      <c r="S2" s="4" t="s">
        <v>107</v>
      </c>
      <c r="T2" s="4" t="s">
        <v>174</v>
      </c>
      <c r="U2" s="4" t="s">
        <v>108</v>
      </c>
      <c r="V2" s="4" t="s">
        <v>74</v>
      </c>
      <c r="W2" s="4" t="s">
        <v>109</v>
      </c>
      <c r="X2" s="4" t="s">
        <v>175</v>
      </c>
      <c r="Y2" s="4" t="s">
        <v>176</v>
      </c>
      <c r="Z2" s="4" t="s">
        <v>111</v>
      </c>
      <c r="AA2" s="4" t="s">
        <v>73</v>
      </c>
      <c r="AB2" s="4" t="s">
        <v>112</v>
      </c>
      <c r="AC2" s="4" t="s">
        <v>110</v>
      </c>
      <c r="AD2" s="4" t="s">
        <v>75</v>
      </c>
      <c r="AE2" s="4" t="s">
        <v>113</v>
      </c>
      <c r="AF2" s="4" t="s">
        <v>177</v>
      </c>
      <c r="AG2" s="4" t="s">
        <v>29</v>
      </c>
      <c r="AH2" s="4" t="s">
        <v>114</v>
      </c>
      <c r="AI2" s="4" t="s">
        <v>76</v>
      </c>
      <c r="AJ2" s="4" t="s">
        <v>77</v>
      </c>
      <c r="AK2" s="4" t="s">
        <v>3</v>
      </c>
      <c r="AL2" s="55" t="s">
        <v>4</v>
      </c>
      <c r="AM2" s="55" t="s">
        <v>1</v>
      </c>
    </row>
    <row r="3" spans="1:39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3</v>
      </c>
      <c r="AK3" s="2" t="s">
        <v>3</v>
      </c>
      <c r="AL3" s="55" t="s">
        <v>4</v>
      </c>
      <c r="AM3" s="55" t="s">
        <v>1</v>
      </c>
    </row>
    <row r="4" spans="1:39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55" t="s">
        <v>4</v>
      </c>
      <c r="AM4" s="55" t="s">
        <v>1</v>
      </c>
    </row>
    <row r="5" spans="1:39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55" t="s">
        <v>4</v>
      </c>
      <c r="AM5" s="55" t="s">
        <v>1</v>
      </c>
    </row>
    <row r="6" spans="1:39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3</v>
      </c>
      <c r="AL6" s="55" t="s">
        <v>4</v>
      </c>
      <c r="AM6" s="55" t="s">
        <v>1</v>
      </c>
    </row>
    <row r="7" spans="1:39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55" t="s">
        <v>4</v>
      </c>
      <c r="AM7" s="55" t="s">
        <v>1</v>
      </c>
    </row>
    <row r="8" spans="1:39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55" t="s">
        <v>4</v>
      </c>
      <c r="AM8" s="55" t="s">
        <v>1</v>
      </c>
    </row>
    <row r="9" spans="1:39">
      <c r="B9" s="55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</row>
    <row r="10" spans="1:39">
      <c r="B10" s="55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</row>
  </sheetData>
  <mergeCells count="5">
    <mergeCell ref="B1:AK1"/>
    <mergeCell ref="B9:AK9"/>
    <mergeCell ref="B10:AK10"/>
    <mergeCell ref="AL2:AL8"/>
    <mergeCell ref="AM1:A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tabColor theme="2"/>
  </sheetPr>
  <dimension ref="A1:AM230"/>
  <sheetViews>
    <sheetView rightToLeft="1" topLeftCell="Y1" zoomScaleNormal="100" workbookViewId="0">
      <selection activeCell="AC231" sqref="AC231"/>
    </sheetView>
  </sheetViews>
  <sheetFormatPr defaultRowHeight="14.25"/>
  <cols>
    <col min="1" max="1" width="36" customWidth="1"/>
    <col min="2" max="2" width="12" customWidth="1"/>
    <col min="3" max="3" width="45" customWidth="1"/>
    <col min="4" max="4" width="12" customWidth="1"/>
    <col min="5" max="5" width="21" customWidth="1"/>
    <col min="6" max="6" width="23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3" width="11" customWidth="1"/>
    <col min="14" max="14" width="33" customWidth="1"/>
    <col min="15" max="15" width="19" customWidth="1"/>
    <col min="16" max="16" width="8" customWidth="1"/>
    <col min="17" max="17" width="15" customWidth="1"/>
    <col min="18" max="18" width="24" customWidth="1"/>
    <col min="19" max="19" width="14" customWidth="1"/>
    <col min="20" max="20" width="8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11" customWidth="1"/>
  </cols>
  <sheetData>
    <row r="1" spans="1:39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 t="s">
        <v>1</v>
      </c>
    </row>
    <row r="2" spans="1:39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105</v>
      </c>
      <c r="N2" s="4" t="s">
        <v>171</v>
      </c>
      <c r="O2" s="4" t="s">
        <v>172</v>
      </c>
      <c r="P2" s="4" t="s">
        <v>106</v>
      </c>
      <c r="Q2" s="4" t="s">
        <v>70</v>
      </c>
      <c r="R2" s="4" t="s">
        <v>173</v>
      </c>
      <c r="S2" s="4" t="s">
        <v>71</v>
      </c>
      <c r="T2" s="4" t="s">
        <v>107</v>
      </c>
      <c r="U2" s="4" t="s">
        <v>108</v>
      </c>
      <c r="V2" s="4" t="s">
        <v>74</v>
      </c>
      <c r="W2" s="4" t="s">
        <v>109</v>
      </c>
      <c r="X2" s="4" t="s">
        <v>175</v>
      </c>
      <c r="Y2" s="4" t="s">
        <v>176</v>
      </c>
      <c r="Z2" s="4" t="s">
        <v>111</v>
      </c>
      <c r="AA2" s="4" t="s">
        <v>73</v>
      </c>
      <c r="AB2" s="4" t="s">
        <v>112</v>
      </c>
      <c r="AC2" s="4" t="s">
        <v>110</v>
      </c>
      <c r="AD2" s="4" t="s">
        <v>75</v>
      </c>
      <c r="AE2" s="4" t="s">
        <v>113</v>
      </c>
      <c r="AF2" s="4" t="s">
        <v>177</v>
      </c>
      <c r="AG2" s="4" t="s">
        <v>29</v>
      </c>
      <c r="AH2" s="4" t="s">
        <v>114</v>
      </c>
      <c r="AI2" s="4" t="s">
        <v>76</v>
      </c>
      <c r="AJ2" s="4" t="s">
        <v>77</v>
      </c>
      <c r="AK2" s="4" t="s">
        <v>3</v>
      </c>
      <c r="AL2" s="56" t="s">
        <v>4</v>
      </c>
      <c r="AM2" s="56" t="s">
        <v>1</v>
      </c>
    </row>
    <row r="3" spans="1:39">
      <c r="A3" s="2" t="s">
        <v>78</v>
      </c>
      <c r="B3" s="2" t="s">
        <v>79</v>
      </c>
      <c r="C3" s="2" t="s">
        <v>192</v>
      </c>
      <c r="D3" s="2" t="s">
        <v>193</v>
      </c>
      <c r="E3" s="2" t="s">
        <v>194</v>
      </c>
      <c r="F3" s="2" t="s">
        <v>195</v>
      </c>
      <c r="G3" s="9">
        <v>1139849</v>
      </c>
      <c r="H3" s="2" t="s">
        <v>149</v>
      </c>
      <c r="I3" s="2" t="s">
        <v>196</v>
      </c>
      <c r="J3" s="2" t="s">
        <v>83</v>
      </c>
      <c r="K3" s="2" t="s">
        <v>83</v>
      </c>
      <c r="L3" s="2" t="s">
        <v>185</v>
      </c>
      <c r="M3" s="2" t="s">
        <v>118</v>
      </c>
      <c r="N3" s="2" t="s">
        <v>197</v>
      </c>
      <c r="O3" s="2" t="s">
        <v>84</v>
      </c>
      <c r="P3" s="2" t="s">
        <v>198</v>
      </c>
      <c r="Q3" s="2" t="s">
        <v>199</v>
      </c>
      <c r="R3" s="2" t="s">
        <v>189</v>
      </c>
      <c r="S3" s="2" t="s">
        <v>87</v>
      </c>
      <c r="T3" s="5">
        <v>1.64</v>
      </c>
      <c r="U3" s="2" t="s">
        <v>200</v>
      </c>
      <c r="V3" s="6">
        <v>2.5000000000000001E-2</v>
      </c>
      <c r="W3" s="6">
        <v>2.4700000000000003E-2</v>
      </c>
      <c r="X3" s="2" t="s">
        <v>191</v>
      </c>
      <c r="Y3" s="2" t="s">
        <v>84</v>
      </c>
      <c r="Z3" s="5">
        <v>139936.25</v>
      </c>
      <c r="AA3" s="5">
        <v>1</v>
      </c>
      <c r="AB3" s="5">
        <v>113.86</v>
      </c>
      <c r="AC3" s="5">
        <v>0</v>
      </c>
      <c r="AD3" s="5">
        <v>159.33141000000001</v>
      </c>
      <c r="AE3" s="2" t="s">
        <v>3</v>
      </c>
      <c r="AF3" s="2" t="s">
        <v>3</v>
      </c>
      <c r="AG3" s="2" t="s">
        <v>27</v>
      </c>
      <c r="AH3" s="6">
        <v>4.237E-4</v>
      </c>
      <c r="AI3" s="6">
        <v>1.0730000000000002E-3</v>
      </c>
      <c r="AJ3" s="6">
        <v>1.908E-4</v>
      </c>
      <c r="AK3" s="2" t="s">
        <v>3</v>
      </c>
      <c r="AL3" s="56" t="s">
        <v>4</v>
      </c>
      <c r="AM3" s="56" t="s">
        <v>1</v>
      </c>
    </row>
    <row r="4" spans="1:39">
      <c r="A4" s="2" t="s">
        <v>78</v>
      </c>
      <c r="B4" s="2" t="s">
        <v>79</v>
      </c>
      <c r="C4" s="2" t="s">
        <v>201</v>
      </c>
      <c r="D4" s="2" t="s">
        <v>202</v>
      </c>
      <c r="E4" s="2" t="s">
        <v>194</v>
      </c>
      <c r="F4" s="2" t="s">
        <v>203</v>
      </c>
      <c r="G4" s="9">
        <v>1168368</v>
      </c>
      <c r="H4" s="2" t="s">
        <v>149</v>
      </c>
      <c r="I4" s="2" t="s">
        <v>204</v>
      </c>
      <c r="J4" s="2" t="s">
        <v>83</v>
      </c>
      <c r="K4" s="2" t="s">
        <v>83</v>
      </c>
      <c r="L4" s="2" t="s">
        <v>185</v>
      </c>
      <c r="M4" s="2" t="s">
        <v>118</v>
      </c>
      <c r="N4" s="2" t="s">
        <v>205</v>
      </c>
      <c r="O4" s="2" t="s">
        <v>84</v>
      </c>
      <c r="P4" s="2" t="s">
        <v>198</v>
      </c>
      <c r="Q4" s="2" t="s">
        <v>199</v>
      </c>
      <c r="R4" s="2" t="s">
        <v>189</v>
      </c>
      <c r="S4" s="2" t="s">
        <v>87</v>
      </c>
      <c r="T4" s="5">
        <v>2.5499999999999998</v>
      </c>
      <c r="U4" s="2" t="s">
        <v>206</v>
      </c>
      <c r="V4" s="6">
        <v>2.58E-2</v>
      </c>
      <c r="W4" s="6">
        <v>5.2600000000000001E-2</v>
      </c>
      <c r="X4" s="2" t="s">
        <v>191</v>
      </c>
      <c r="Y4" s="2" t="s">
        <v>84</v>
      </c>
      <c r="Z4" s="5">
        <v>133000</v>
      </c>
      <c r="AA4" s="5">
        <v>1</v>
      </c>
      <c r="AB4" s="5">
        <v>94.23</v>
      </c>
      <c r="AC4" s="5">
        <v>0</v>
      </c>
      <c r="AD4" s="5">
        <v>125.3259</v>
      </c>
      <c r="AE4" s="2" t="s">
        <v>3</v>
      </c>
      <c r="AF4" s="2" t="s">
        <v>3</v>
      </c>
      <c r="AG4" s="2" t="s">
        <v>27</v>
      </c>
      <c r="AH4" s="6">
        <v>4.9620000000000003E-4</v>
      </c>
      <c r="AI4" s="6">
        <v>8.4400000000000002E-4</v>
      </c>
      <c r="AJ4" s="6">
        <v>1.5010000000000002E-4</v>
      </c>
      <c r="AK4" s="2" t="s">
        <v>3</v>
      </c>
      <c r="AL4" s="56" t="s">
        <v>4</v>
      </c>
      <c r="AM4" s="56" t="s">
        <v>1</v>
      </c>
    </row>
    <row r="5" spans="1:39">
      <c r="A5" s="2" t="s">
        <v>78</v>
      </c>
      <c r="B5" s="2" t="s">
        <v>79</v>
      </c>
      <c r="C5" s="2" t="s">
        <v>207</v>
      </c>
      <c r="D5" s="2" t="s">
        <v>208</v>
      </c>
      <c r="E5" s="2" t="s">
        <v>194</v>
      </c>
      <c r="F5" s="2" t="s">
        <v>209</v>
      </c>
      <c r="G5" s="9">
        <v>1121763</v>
      </c>
      <c r="H5" s="2" t="s">
        <v>149</v>
      </c>
      <c r="I5" s="2" t="s">
        <v>196</v>
      </c>
      <c r="J5" s="2" t="s">
        <v>83</v>
      </c>
      <c r="K5" s="2" t="s">
        <v>83</v>
      </c>
      <c r="L5" s="2" t="s">
        <v>185</v>
      </c>
      <c r="M5" s="2" t="s">
        <v>118</v>
      </c>
      <c r="N5" s="2" t="s">
        <v>210</v>
      </c>
      <c r="O5" s="2" t="s">
        <v>84</v>
      </c>
      <c r="P5" s="2" t="s">
        <v>198</v>
      </c>
      <c r="Q5" s="2" t="s">
        <v>199</v>
      </c>
      <c r="R5" s="2" t="s">
        <v>189</v>
      </c>
      <c r="S5" s="2" t="s">
        <v>87</v>
      </c>
      <c r="T5" s="5">
        <v>1.1599999999999999</v>
      </c>
      <c r="U5" s="2" t="s">
        <v>211</v>
      </c>
      <c r="V5" s="6">
        <v>3.95E-2</v>
      </c>
      <c r="W5" s="6">
        <v>1.9900000000000001E-2</v>
      </c>
      <c r="X5" s="2" t="s">
        <v>191</v>
      </c>
      <c r="Y5" s="2" t="s">
        <v>84</v>
      </c>
      <c r="Z5" s="5">
        <v>0.16</v>
      </c>
      <c r="AA5" s="5">
        <v>1</v>
      </c>
      <c r="AB5" s="5">
        <v>122.48</v>
      </c>
      <c r="AC5" s="5">
        <v>0</v>
      </c>
      <c r="AD5" s="5">
        <v>1.9000000000000001E-4</v>
      </c>
      <c r="AE5" s="2" t="s">
        <v>3</v>
      </c>
      <c r="AF5" s="2" t="s">
        <v>3</v>
      </c>
      <c r="AG5" s="2" t="s">
        <v>27</v>
      </c>
      <c r="AH5" s="6">
        <v>0</v>
      </c>
      <c r="AI5" s="6">
        <v>0</v>
      </c>
      <c r="AJ5" s="6">
        <v>0</v>
      </c>
      <c r="AK5" s="2" t="s">
        <v>3</v>
      </c>
      <c r="AL5" s="56" t="s">
        <v>4</v>
      </c>
      <c r="AM5" s="56" t="s">
        <v>1</v>
      </c>
    </row>
    <row r="6" spans="1:39">
      <c r="A6" s="2" t="s">
        <v>78</v>
      </c>
      <c r="B6" s="2" t="s">
        <v>79</v>
      </c>
      <c r="C6" s="2" t="s">
        <v>212</v>
      </c>
      <c r="D6" s="2" t="s">
        <v>213</v>
      </c>
      <c r="E6" s="2" t="s">
        <v>194</v>
      </c>
      <c r="F6" s="2" t="s">
        <v>214</v>
      </c>
      <c r="G6" s="9">
        <v>7200256</v>
      </c>
      <c r="H6" s="2" t="s">
        <v>149</v>
      </c>
      <c r="I6" s="2" t="s">
        <v>204</v>
      </c>
      <c r="J6" s="2" t="s">
        <v>83</v>
      </c>
      <c r="K6" s="2" t="s">
        <v>83</v>
      </c>
      <c r="L6" s="2" t="s">
        <v>185</v>
      </c>
      <c r="M6" s="2" t="s">
        <v>118</v>
      </c>
      <c r="N6" s="2" t="s">
        <v>215</v>
      </c>
      <c r="O6" s="2" t="s">
        <v>84</v>
      </c>
      <c r="P6" s="2" t="s">
        <v>216</v>
      </c>
      <c r="Q6" s="2" t="s">
        <v>199</v>
      </c>
      <c r="R6" s="2" t="s">
        <v>189</v>
      </c>
      <c r="S6" s="2" t="s">
        <v>87</v>
      </c>
      <c r="T6" s="5">
        <v>4.2300000000000004</v>
      </c>
      <c r="U6" s="2" t="s">
        <v>217</v>
      </c>
      <c r="V6" s="6">
        <v>1.4999999999999999E-2</v>
      </c>
      <c r="W6" s="6">
        <v>5.4100000000000002E-2</v>
      </c>
      <c r="X6" s="2" t="s">
        <v>191</v>
      </c>
      <c r="Y6" s="2" t="s">
        <v>84</v>
      </c>
      <c r="Z6" s="5">
        <v>316604</v>
      </c>
      <c r="AA6" s="5">
        <v>1</v>
      </c>
      <c r="AB6" s="5">
        <v>85.27</v>
      </c>
      <c r="AC6" s="5">
        <v>0</v>
      </c>
      <c r="AD6" s="5">
        <v>269.96823000000001</v>
      </c>
      <c r="AE6" s="2" t="s">
        <v>3</v>
      </c>
      <c r="AF6" s="2" t="s">
        <v>3</v>
      </c>
      <c r="AG6" s="2" t="s">
        <v>27</v>
      </c>
      <c r="AH6" s="6">
        <v>8.2019999999999999E-4</v>
      </c>
      <c r="AI6" s="6">
        <v>1.8181E-3</v>
      </c>
      <c r="AJ6" s="6">
        <v>3.234E-4</v>
      </c>
      <c r="AK6" s="2" t="s">
        <v>3</v>
      </c>
      <c r="AL6" s="56" t="s">
        <v>4</v>
      </c>
      <c r="AM6" s="56" t="s">
        <v>1</v>
      </c>
    </row>
    <row r="7" spans="1:39">
      <c r="A7" s="2" t="s">
        <v>78</v>
      </c>
      <c r="B7" s="2" t="s">
        <v>79</v>
      </c>
      <c r="C7" s="2" t="s">
        <v>212</v>
      </c>
      <c r="D7" s="2" t="s">
        <v>213</v>
      </c>
      <c r="E7" s="2" t="s">
        <v>194</v>
      </c>
      <c r="F7" s="2" t="s">
        <v>218</v>
      </c>
      <c r="G7" s="9">
        <v>7200173</v>
      </c>
      <c r="H7" s="2" t="s">
        <v>149</v>
      </c>
      <c r="I7" s="2" t="s">
        <v>204</v>
      </c>
      <c r="J7" s="2" t="s">
        <v>83</v>
      </c>
      <c r="K7" s="2" t="s">
        <v>83</v>
      </c>
      <c r="L7" s="2" t="s">
        <v>185</v>
      </c>
      <c r="M7" s="2" t="s">
        <v>118</v>
      </c>
      <c r="N7" s="2" t="s">
        <v>215</v>
      </c>
      <c r="O7" s="2" t="s">
        <v>84</v>
      </c>
      <c r="P7" s="2" t="s">
        <v>216</v>
      </c>
      <c r="Q7" s="2" t="s">
        <v>199</v>
      </c>
      <c r="R7" s="2" t="s">
        <v>189</v>
      </c>
      <c r="S7" s="2" t="s">
        <v>87</v>
      </c>
      <c r="T7" s="5">
        <v>1.99</v>
      </c>
      <c r="U7" s="2" t="s">
        <v>219</v>
      </c>
      <c r="V7" s="6">
        <v>3.4500000000000003E-2</v>
      </c>
      <c r="W7" s="6">
        <v>5.0499999999999996E-2</v>
      </c>
      <c r="X7" s="2" t="s">
        <v>191</v>
      </c>
      <c r="Y7" s="2" t="s">
        <v>84</v>
      </c>
      <c r="Z7" s="5">
        <v>303805.52</v>
      </c>
      <c r="AA7" s="5">
        <v>1</v>
      </c>
      <c r="AB7" s="5">
        <v>97.31</v>
      </c>
      <c r="AC7" s="5">
        <v>0</v>
      </c>
      <c r="AD7" s="5">
        <v>295.63315</v>
      </c>
      <c r="AE7" s="2" t="s">
        <v>3</v>
      </c>
      <c r="AF7" s="2" t="s">
        <v>3</v>
      </c>
      <c r="AG7" s="2" t="s">
        <v>27</v>
      </c>
      <c r="AH7" s="6">
        <v>4.17E-4</v>
      </c>
      <c r="AI7" s="6">
        <v>1.9910000000000001E-3</v>
      </c>
      <c r="AJ7" s="6">
        <v>3.5409999999999999E-4</v>
      </c>
      <c r="AK7" s="2" t="s">
        <v>3</v>
      </c>
      <c r="AL7" s="56" t="s">
        <v>4</v>
      </c>
      <c r="AM7" s="56" t="s">
        <v>1</v>
      </c>
    </row>
    <row r="8" spans="1:39">
      <c r="A8" s="2" t="s">
        <v>78</v>
      </c>
      <c r="B8" s="2" t="s">
        <v>79</v>
      </c>
      <c r="C8" s="2" t="s">
        <v>220</v>
      </c>
      <c r="D8" s="2" t="s">
        <v>221</v>
      </c>
      <c r="E8" s="2" t="s">
        <v>194</v>
      </c>
      <c r="F8" s="2" t="s">
        <v>222</v>
      </c>
      <c r="G8" s="9">
        <v>1157700</v>
      </c>
      <c r="H8" s="2" t="s">
        <v>149</v>
      </c>
      <c r="I8" s="2" t="s">
        <v>204</v>
      </c>
      <c r="J8" s="2" t="s">
        <v>83</v>
      </c>
      <c r="K8" s="2" t="s">
        <v>83</v>
      </c>
      <c r="L8" s="2" t="s">
        <v>185</v>
      </c>
      <c r="M8" s="2" t="s">
        <v>118</v>
      </c>
      <c r="N8" s="2" t="s">
        <v>223</v>
      </c>
      <c r="O8" s="2" t="s">
        <v>84</v>
      </c>
      <c r="P8" s="2" t="s">
        <v>216</v>
      </c>
      <c r="Q8" s="2" t="s">
        <v>199</v>
      </c>
      <c r="R8" s="2" t="s">
        <v>189</v>
      </c>
      <c r="S8" s="2" t="s">
        <v>87</v>
      </c>
      <c r="T8" s="5">
        <v>1.91</v>
      </c>
      <c r="U8" s="2" t="s">
        <v>224</v>
      </c>
      <c r="V8" s="6">
        <v>3.2899999999999999E-2</v>
      </c>
      <c r="W8" s="6">
        <v>5.16E-2</v>
      </c>
      <c r="X8" s="2" t="s">
        <v>191</v>
      </c>
      <c r="Y8" s="2" t="s">
        <v>84</v>
      </c>
      <c r="Z8" s="5">
        <v>128000</v>
      </c>
      <c r="AA8" s="5">
        <v>1</v>
      </c>
      <c r="AB8" s="5">
        <v>96.66</v>
      </c>
      <c r="AC8" s="5">
        <v>0</v>
      </c>
      <c r="AD8" s="5">
        <v>123.7248</v>
      </c>
      <c r="AE8" s="2" t="s">
        <v>3</v>
      </c>
      <c r="AF8" s="2" t="s">
        <v>3</v>
      </c>
      <c r="AG8" s="2" t="s">
        <v>27</v>
      </c>
      <c r="AH8" s="6">
        <v>2.6259999999999999E-4</v>
      </c>
      <c r="AI8" s="6">
        <v>8.3320000000000009E-4</v>
      </c>
      <c r="AJ8" s="6">
        <v>1.482E-4</v>
      </c>
      <c r="AK8" s="2" t="s">
        <v>3</v>
      </c>
      <c r="AL8" s="56" t="s">
        <v>4</v>
      </c>
      <c r="AM8" s="56" t="s">
        <v>1</v>
      </c>
    </row>
    <row r="9" spans="1:39">
      <c r="A9" s="2" t="s">
        <v>78</v>
      </c>
      <c r="B9" s="2" t="s">
        <v>79</v>
      </c>
      <c r="C9" s="2" t="s">
        <v>225</v>
      </c>
      <c r="D9" s="2" t="s">
        <v>226</v>
      </c>
      <c r="E9" s="2" t="s">
        <v>194</v>
      </c>
      <c r="F9" s="2" t="s">
        <v>227</v>
      </c>
      <c r="G9" s="9">
        <v>1141852</v>
      </c>
      <c r="H9" s="2" t="s">
        <v>149</v>
      </c>
      <c r="I9" s="2" t="s">
        <v>204</v>
      </c>
      <c r="J9" s="2" t="s">
        <v>83</v>
      </c>
      <c r="K9" s="2" t="s">
        <v>83</v>
      </c>
      <c r="L9" s="2" t="s">
        <v>185</v>
      </c>
      <c r="M9" s="2" t="s">
        <v>118</v>
      </c>
      <c r="N9" s="2" t="s">
        <v>228</v>
      </c>
      <c r="O9" s="2" t="s">
        <v>84</v>
      </c>
      <c r="P9" s="2" t="s">
        <v>216</v>
      </c>
      <c r="Q9" s="2" t="s">
        <v>199</v>
      </c>
      <c r="R9" s="2" t="s">
        <v>189</v>
      </c>
      <c r="S9" s="2" t="s">
        <v>87</v>
      </c>
      <c r="T9" s="5">
        <v>2.15</v>
      </c>
      <c r="U9" s="2" t="s">
        <v>229</v>
      </c>
      <c r="V9" s="6">
        <v>2.6499999999999999E-2</v>
      </c>
      <c r="W9" s="6">
        <v>5.3099999999999994E-2</v>
      </c>
      <c r="X9" s="2" t="s">
        <v>191</v>
      </c>
      <c r="Y9" s="2" t="s">
        <v>84</v>
      </c>
      <c r="Z9" s="5">
        <v>57458.68</v>
      </c>
      <c r="AA9" s="5">
        <v>1</v>
      </c>
      <c r="AB9" s="5">
        <v>94.87</v>
      </c>
      <c r="AC9" s="5">
        <v>0</v>
      </c>
      <c r="AD9" s="5">
        <v>54.511040000000001</v>
      </c>
      <c r="AE9" s="2" t="s">
        <v>3</v>
      </c>
      <c r="AF9" s="2" t="s">
        <v>3</v>
      </c>
      <c r="AG9" s="2" t="s">
        <v>27</v>
      </c>
      <c r="AH9" s="6">
        <v>9.3399999999999993E-5</v>
      </c>
      <c r="AI9" s="6">
        <v>3.6709999999999998E-4</v>
      </c>
      <c r="AJ9" s="6">
        <v>6.5300000000000002E-5</v>
      </c>
      <c r="AK9" s="2" t="s">
        <v>3</v>
      </c>
      <c r="AL9" s="56" t="s">
        <v>4</v>
      </c>
      <c r="AM9" s="56" t="s">
        <v>1</v>
      </c>
    </row>
    <row r="10" spans="1:39">
      <c r="A10" s="2" t="s">
        <v>78</v>
      </c>
      <c r="B10" s="2" t="s">
        <v>79</v>
      </c>
      <c r="C10" s="2" t="s">
        <v>230</v>
      </c>
      <c r="D10" s="2" t="s">
        <v>231</v>
      </c>
      <c r="E10" s="2" t="s">
        <v>194</v>
      </c>
      <c r="F10" s="2" t="s">
        <v>232</v>
      </c>
      <c r="G10" s="9">
        <v>1150812</v>
      </c>
      <c r="H10" s="2" t="s">
        <v>149</v>
      </c>
      <c r="I10" s="2" t="s">
        <v>204</v>
      </c>
      <c r="J10" s="2" t="s">
        <v>83</v>
      </c>
      <c r="K10" s="2" t="s">
        <v>83</v>
      </c>
      <c r="L10" s="2" t="s">
        <v>185</v>
      </c>
      <c r="M10" s="2" t="s">
        <v>118</v>
      </c>
      <c r="N10" s="2" t="s">
        <v>233</v>
      </c>
      <c r="O10" s="2" t="s">
        <v>84</v>
      </c>
      <c r="P10" s="2" t="s">
        <v>216</v>
      </c>
      <c r="Q10" s="2" t="s">
        <v>199</v>
      </c>
      <c r="R10" s="2" t="s">
        <v>189</v>
      </c>
      <c r="S10" s="2" t="s">
        <v>87</v>
      </c>
      <c r="T10" s="5">
        <v>1.44</v>
      </c>
      <c r="U10" s="2" t="s">
        <v>234</v>
      </c>
      <c r="V10" s="6">
        <v>3.2500000000000001E-2</v>
      </c>
      <c r="W10" s="6">
        <v>5.1900000000000002E-2</v>
      </c>
      <c r="X10" s="2" t="s">
        <v>191</v>
      </c>
      <c r="Y10" s="2" t="s">
        <v>84</v>
      </c>
      <c r="Z10" s="5">
        <v>64156.08</v>
      </c>
      <c r="AA10" s="5">
        <v>1</v>
      </c>
      <c r="AB10" s="5">
        <v>98.17</v>
      </c>
      <c r="AC10" s="5">
        <v>0</v>
      </c>
      <c r="AD10" s="5">
        <v>62.982019999999999</v>
      </c>
      <c r="AE10" s="2" t="s">
        <v>3</v>
      </c>
      <c r="AF10" s="2" t="s">
        <v>3</v>
      </c>
      <c r="AG10" s="2" t="s">
        <v>27</v>
      </c>
      <c r="AH10" s="6">
        <v>2.0250000000000002E-4</v>
      </c>
      <c r="AI10" s="6">
        <v>4.2420000000000001E-4</v>
      </c>
      <c r="AJ10" s="6">
        <v>7.5400000000000003E-5</v>
      </c>
      <c r="AK10" s="2" t="s">
        <v>3</v>
      </c>
      <c r="AL10" s="56" t="s">
        <v>4</v>
      </c>
      <c r="AM10" s="56" t="s">
        <v>1</v>
      </c>
    </row>
    <row r="11" spans="1:39">
      <c r="A11" s="2" t="s">
        <v>78</v>
      </c>
      <c r="B11" s="2" t="s">
        <v>79</v>
      </c>
      <c r="C11" s="2" t="s">
        <v>235</v>
      </c>
      <c r="D11" s="2" t="s">
        <v>236</v>
      </c>
      <c r="E11" s="2" t="s">
        <v>194</v>
      </c>
      <c r="F11" s="2" t="s">
        <v>237</v>
      </c>
      <c r="G11" s="9">
        <v>1199488</v>
      </c>
      <c r="H11" s="2" t="s">
        <v>149</v>
      </c>
      <c r="I11" s="2" t="s">
        <v>204</v>
      </c>
      <c r="J11" s="2" t="s">
        <v>83</v>
      </c>
      <c r="K11" s="2" t="s">
        <v>83</v>
      </c>
      <c r="L11" s="2" t="s">
        <v>185</v>
      </c>
      <c r="M11" s="2" t="s">
        <v>118</v>
      </c>
      <c r="N11" s="2" t="s">
        <v>223</v>
      </c>
      <c r="O11" s="2" t="s">
        <v>84</v>
      </c>
      <c r="P11" s="2" t="s">
        <v>238</v>
      </c>
      <c r="Q11" s="2" t="s">
        <v>199</v>
      </c>
      <c r="R11" s="2" t="s">
        <v>189</v>
      </c>
      <c r="S11" s="2" t="s">
        <v>87</v>
      </c>
      <c r="T11" s="5">
        <v>3.07</v>
      </c>
      <c r="U11" s="2" t="s">
        <v>239</v>
      </c>
      <c r="V11" s="6">
        <v>7.2499999999999995E-2</v>
      </c>
      <c r="W11" s="6">
        <v>6.2300000000000001E-2</v>
      </c>
      <c r="X11" s="2" t="s">
        <v>191</v>
      </c>
      <c r="Y11" s="2" t="s">
        <v>84</v>
      </c>
      <c r="Z11" s="5">
        <v>174861</v>
      </c>
      <c r="AA11" s="5">
        <v>1</v>
      </c>
      <c r="AB11" s="5">
        <v>108.29</v>
      </c>
      <c r="AC11" s="5">
        <v>0</v>
      </c>
      <c r="AD11" s="5">
        <v>189.35696999999999</v>
      </c>
      <c r="AE11" s="2" t="s">
        <v>3</v>
      </c>
      <c r="AF11" s="2" t="s">
        <v>3</v>
      </c>
      <c r="AG11" s="2" t="s">
        <v>27</v>
      </c>
      <c r="AH11" s="6">
        <v>2.1850000000000003E-4</v>
      </c>
      <c r="AI11" s="6">
        <v>1.2752E-3</v>
      </c>
      <c r="AJ11" s="6">
        <v>2.2679999999999998E-4</v>
      </c>
      <c r="AK11" s="2" t="s">
        <v>3</v>
      </c>
      <c r="AL11" s="56" t="s">
        <v>4</v>
      </c>
      <c r="AM11" s="56" t="s">
        <v>1</v>
      </c>
    </row>
    <row r="12" spans="1:39">
      <c r="A12" s="2" t="s">
        <v>78</v>
      </c>
      <c r="B12" s="2" t="s">
        <v>79</v>
      </c>
      <c r="C12" s="2" t="s">
        <v>240</v>
      </c>
      <c r="D12" s="2" t="s">
        <v>241</v>
      </c>
      <c r="E12" s="2" t="s">
        <v>194</v>
      </c>
      <c r="F12" s="2" t="s">
        <v>242</v>
      </c>
      <c r="G12" s="9">
        <v>1198571</v>
      </c>
      <c r="H12" s="2" t="s">
        <v>149</v>
      </c>
      <c r="I12" s="2" t="s">
        <v>204</v>
      </c>
      <c r="J12" s="2" t="s">
        <v>83</v>
      </c>
      <c r="K12" s="2" t="s">
        <v>83</v>
      </c>
      <c r="L12" s="2" t="s">
        <v>185</v>
      </c>
      <c r="M12" s="2" t="s">
        <v>118</v>
      </c>
      <c r="N12" s="2" t="s">
        <v>223</v>
      </c>
      <c r="O12" s="2" t="s">
        <v>84</v>
      </c>
      <c r="P12" s="2" t="s">
        <v>238</v>
      </c>
      <c r="Q12" s="2" t="s">
        <v>199</v>
      </c>
      <c r="R12" s="2" t="s">
        <v>189</v>
      </c>
      <c r="S12" s="2" t="s">
        <v>87</v>
      </c>
      <c r="T12" s="5">
        <v>4.5599999999999996</v>
      </c>
      <c r="U12" s="2" t="s">
        <v>243</v>
      </c>
      <c r="V12" s="6">
        <v>6.7699999999999996E-2</v>
      </c>
      <c r="W12" s="6">
        <v>5.8799999999999998E-2</v>
      </c>
      <c r="X12" s="2" t="s">
        <v>191</v>
      </c>
      <c r="Y12" s="2" t="s">
        <v>84</v>
      </c>
      <c r="Z12" s="5">
        <v>158000</v>
      </c>
      <c r="AA12" s="5">
        <v>1</v>
      </c>
      <c r="AB12" s="5">
        <v>108.96</v>
      </c>
      <c r="AC12" s="5">
        <v>0</v>
      </c>
      <c r="AD12" s="5">
        <v>172.1568</v>
      </c>
      <c r="AE12" s="2" t="s">
        <v>3</v>
      </c>
      <c r="AF12" s="2" t="s">
        <v>3</v>
      </c>
      <c r="AG12" s="2" t="s">
        <v>27</v>
      </c>
      <c r="AH12" s="6">
        <v>2.106E-4</v>
      </c>
      <c r="AI12" s="6">
        <v>1.1594000000000001E-3</v>
      </c>
      <c r="AJ12" s="6">
        <v>2.062E-4</v>
      </c>
      <c r="AK12" s="2" t="s">
        <v>3</v>
      </c>
      <c r="AL12" s="56" t="s">
        <v>4</v>
      </c>
      <c r="AM12" s="56" t="s">
        <v>1</v>
      </c>
    </row>
    <row r="13" spans="1:39">
      <c r="A13" s="2" t="s">
        <v>78</v>
      </c>
      <c r="B13" s="2" t="s">
        <v>79</v>
      </c>
      <c r="C13" s="2" t="s">
        <v>244</v>
      </c>
      <c r="D13" s="2" t="s">
        <v>245</v>
      </c>
      <c r="E13" s="2" t="s">
        <v>194</v>
      </c>
      <c r="F13" s="2" t="s">
        <v>246</v>
      </c>
      <c r="G13" s="9">
        <v>6000392</v>
      </c>
      <c r="H13" s="2" t="s">
        <v>149</v>
      </c>
      <c r="I13" s="2" t="s">
        <v>196</v>
      </c>
      <c r="J13" s="2" t="s">
        <v>83</v>
      </c>
      <c r="K13" s="2" t="s">
        <v>83</v>
      </c>
      <c r="L13" s="2" t="s">
        <v>185</v>
      </c>
      <c r="M13" s="2" t="s">
        <v>118</v>
      </c>
      <c r="N13" s="2" t="s">
        <v>223</v>
      </c>
      <c r="O13" s="2" t="s">
        <v>84</v>
      </c>
      <c r="P13" s="2" t="s">
        <v>247</v>
      </c>
      <c r="Q13" s="2" t="s">
        <v>199</v>
      </c>
      <c r="R13" s="2" t="s">
        <v>189</v>
      </c>
      <c r="S13" s="2" t="s">
        <v>87</v>
      </c>
      <c r="T13" s="5">
        <v>11.12</v>
      </c>
      <c r="U13" s="2" t="s">
        <v>121</v>
      </c>
      <c r="V13" s="6">
        <v>1.2500000000000001E-2</v>
      </c>
      <c r="W13" s="6">
        <v>2.98E-2</v>
      </c>
      <c r="X13" s="2" t="s">
        <v>191</v>
      </c>
      <c r="Y13" s="2" t="s">
        <v>84</v>
      </c>
      <c r="Z13" s="5">
        <v>145617</v>
      </c>
      <c r="AA13" s="5">
        <v>1</v>
      </c>
      <c r="AB13" s="5">
        <v>92.01</v>
      </c>
      <c r="AC13" s="5">
        <v>0</v>
      </c>
      <c r="AD13" s="5">
        <v>133.98220000000001</v>
      </c>
      <c r="AE13" s="2" t="s">
        <v>3</v>
      </c>
      <c r="AF13" s="2" t="s">
        <v>3</v>
      </c>
      <c r="AG13" s="2" t="s">
        <v>27</v>
      </c>
      <c r="AH13" s="6">
        <v>3.3899999999999997E-5</v>
      </c>
      <c r="AI13" s="6">
        <v>9.0230000000000009E-4</v>
      </c>
      <c r="AJ13" s="6">
        <v>1.6049999999999997E-4</v>
      </c>
      <c r="AK13" s="2" t="s">
        <v>3</v>
      </c>
      <c r="AL13" s="56" t="s">
        <v>4</v>
      </c>
      <c r="AM13" s="56" t="s">
        <v>1</v>
      </c>
    </row>
    <row r="14" spans="1:39">
      <c r="A14" s="2" t="s">
        <v>78</v>
      </c>
      <c r="B14" s="2" t="s">
        <v>79</v>
      </c>
      <c r="C14" s="2" t="s">
        <v>248</v>
      </c>
      <c r="D14" s="2" t="s">
        <v>249</v>
      </c>
      <c r="E14" s="2" t="s">
        <v>194</v>
      </c>
      <c r="F14" s="2" t="s">
        <v>250</v>
      </c>
      <c r="G14" s="9">
        <v>1156603</v>
      </c>
      <c r="H14" s="2" t="s">
        <v>149</v>
      </c>
      <c r="I14" s="2" t="s">
        <v>196</v>
      </c>
      <c r="J14" s="2" t="s">
        <v>83</v>
      </c>
      <c r="K14" s="2" t="s">
        <v>83</v>
      </c>
      <c r="L14" s="2" t="s">
        <v>185</v>
      </c>
      <c r="M14" s="2" t="s">
        <v>118</v>
      </c>
      <c r="N14" s="2" t="s">
        <v>197</v>
      </c>
      <c r="O14" s="2" t="s">
        <v>84</v>
      </c>
      <c r="P14" s="2" t="s">
        <v>247</v>
      </c>
      <c r="Q14" s="2" t="s">
        <v>199</v>
      </c>
      <c r="R14" s="2" t="s">
        <v>189</v>
      </c>
      <c r="S14" s="2" t="s">
        <v>87</v>
      </c>
      <c r="T14" s="5">
        <v>2.86</v>
      </c>
      <c r="U14" s="2" t="s">
        <v>251</v>
      </c>
      <c r="V14" s="6">
        <v>1.77E-2</v>
      </c>
      <c r="W14" s="6">
        <v>2.1299999999999999E-2</v>
      </c>
      <c r="X14" s="2" t="s">
        <v>191</v>
      </c>
      <c r="Y14" s="2" t="s">
        <v>84</v>
      </c>
      <c r="Z14" s="5">
        <v>114000</v>
      </c>
      <c r="AA14" s="5">
        <v>1</v>
      </c>
      <c r="AB14" s="5">
        <v>111.11</v>
      </c>
      <c r="AC14" s="5">
        <v>0</v>
      </c>
      <c r="AD14" s="5">
        <v>126.66540000000001</v>
      </c>
      <c r="AE14" s="2" t="s">
        <v>3</v>
      </c>
      <c r="AF14" s="2" t="s">
        <v>3</v>
      </c>
      <c r="AG14" s="2" t="s">
        <v>27</v>
      </c>
      <c r="AH14" s="6">
        <v>4.1300000000000001E-5</v>
      </c>
      <c r="AI14" s="6">
        <v>8.5300000000000003E-4</v>
      </c>
      <c r="AJ14" s="6">
        <v>1.517E-4</v>
      </c>
      <c r="AK14" s="2" t="s">
        <v>3</v>
      </c>
      <c r="AL14" s="56" t="s">
        <v>4</v>
      </c>
      <c r="AM14" s="56" t="s">
        <v>1</v>
      </c>
    </row>
    <row r="15" spans="1:39">
      <c r="A15" s="2" t="s">
        <v>78</v>
      </c>
      <c r="B15" s="2" t="s">
        <v>79</v>
      </c>
      <c r="C15" s="2" t="s">
        <v>252</v>
      </c>
      <c r="D15" s="2" t="s">
        <v>253</v>
      </c>
      <c r="E15" s="2" t="s">
        <v>194</v>
      </c>
      <c r="F15" s="2" t="s">
        <v>254</v>
      </c>
      <c r="G15" s="9">
        <v>5850110</v>
      </c>
      <c r="H15" s="2" t="s">
        <v>149</v>
      </c>
      <c r="I15" s="2" t="s">
        <v>204</v>
      </c>
      <c r="J15" s="2" t="s">
        <v>83</v>
      </c>
      <c r="K15" s="2" t="s">
        <v>83</v>
      </c>
      <c r="L15" s="2" t="s">
        <v>185</v>
      </c>
      <c r="M15" s="2" t="s">
        <v>118</v>
      </c>
      <c r="N15" s="2" t="s">
        <v>255</v>
      </c>
      <c r="O15" s="2" t="s">
        <v>84</v>
      </c>
      <c r="P15" s="2" t="s">
        <v>256</v>
      </c>
      <c r="Q15" s="2" t="s">
        <v>199</v>
      </c>
      <c r="R15" s="2" t="s">
        <v>189</v>
      </c>
      <c r="S15" s="2" t="s">
        <v>87</v>
      </c>
      <c r="T15" s="5">
        <v>5.22</v>
      </c>
      <c r="U15" s="2" t="s">
        <v>257</v>
      </c>
      <c r="V15" s="6">
        <v>1.95E-2</v>
      </c>
      <c r="W15" s="6">
        <v>5.0099999999999999E-2</v>
      </c>
      <c r="X15" s="2" t="s">
        <v>191</v>
      </c>
      <c r="Y15" s="2" t="s">
        <v>84</v>
      </c>
      <c r="Z15" s="5">
        <v>219924.4</v>
      </c>
      <c r="AA15" s="5">
        <v>1</v>
      </c>
      <c r="AB15" s="5">
        <v>85.74</v>
      </c>
      <c r="AC15" s="5">
        <v>0</v>
      </c>
      <c r="AD15" s="5">
        <v>188.56317999999999</v>
      </c>
      <c r="AE15" s="2" t="s">
        <v>3</v>
      </c>
      <c r="AF15" s="2" t="s">
        <v>3</v>
      </c>
      <c r="AG15" s="2" t="s">
        <v>27</v>
      </c>
      <c r="AH15" s="6">
        <v>2.009E-4</v>
      </c>
      <c r="AI15" s="6">
        <v>1.2699E-3</v>
      </c>
      <c r="AJ15" s="6">
        <v>2.2589999999999999E-4</v>
      </c>
      <c r="AK15" s="2" t="s">
        <v>3</v>
      </c>
      <c r="AL15" s="56" t="s">
        <v>4</v>
      </c>
      <c r="AM15" s="56" t="s">
        <v>1</v>
      </c>
    </row>
    <row r="16" spans="1:39">
      <c r="A16" s="2" t="s">
        <v>78</v>
      </c>
      <c r="B16" s="2" t="s">
        <v>79</v>
      </c>
      <c r="C16" s="2" t="s">
        <v>258</v>
      </c>
      <c r="D16" s="2" t="s">
        <v>259</v>
      </c>
      <c r="E16" s="2" t="s">
        <v>194</v>
      </c>
      <c r="F16" s="2" t="s">
        <v>260</v>
      </c>
      <c r="G16" s="9">
        <v>6130199</v>
      </c>
      <c r="H16" s="2" t="s">
        <v>149</v>
      </c>
      <c r="I16" s="2" t="s">
        <v>204</v>
      </c>
      <c r="J16" s="2" t="s">
        <v>83</v>
      </c>
      <c r="K16" s="2" t="s">
        <v>83</v>
      </c>
      <c r="L16" s="2" t="s">
        <v>185</v>
      </c>
      <c r="M16" s="2" t="s">
        <v>118</v>
      </c>
      <c r="N16" s="2" t="s">
        <v>197</v>
      </c>
      <c r="O16" s="2" t="s">
        <v>84</v>
      </c>
      <c r="P16" s="2" t="s">
        <v>261</v>
      </c>
      <c r="Q16" s="2" t="s">
        <v>199</v>
      </c>
      <c r="R16" s="2" t="s">
        <v>189</v>
      </c>
      <c r="S16" s="2" t="s">
        <v>87</v>
      </c>
      <c r="T16" s="5">
        <v>1.83</v>
      </c>
      <c r="U16" s="2" t="s">
        <v>262</v>
      </c>
      <c r="V16" s="6">
        <v>5.0499999999999996E-2</v>
      </c>
      <c r="W16" s="6">
        <v>4.8600000000000004E-2</v>
      </c>
      <c r="X16" s="2" t="s">
        <v>191</v>
      </c>
      <c r="Y16" s="2" t="s">
        <v>84</v>
      </c>
      <c r="Z16" s="5">
        <v>120092.5</v>
      </c>
      <c r="AA16" s="5">
        <v>1</v>
      </c>
      <c r="AB16" s="5">
        <v>100.86</v>
      </c>
      <c r="AC16" s="5">
        <v>0</v>
      </c>
      <c r="AD16" s="5">
        <v>121.12529000000001</v>
      </c>
      <c r="AE16" s="2" t="s">
        <v>3</v>
      </c>
      <c r="AF16" s="2" t="s">
        <v>3</v>
      </c>
      <c r="AG16" s="2" t="s">
        <v>27</v>
      </c>
      <c r="AH16" s="6">
        <v>4.3189999999999998E-4</v>
      </c>
      <c r="AI16" s="6">
        <v>8.1570000000000004E-4</v>
      </c>
      <c r="AJ16" s="6">
        <v>1.451E-4</v>
      </c>
      <c r="AK16" s="2" t="s">
        <v>3</v>
      </c>
      <c r="AL16" s="56" t="s">
        <v>4</v>
      </c>
      <c r="AM16" s="56" t="s">
        <v>1</v>
      </c>
    </row>
    <row r="17" spans="1:39">
      <c r="A17" s="2" t="s">
        <v>78</v>
      </c>
      <c r="B17" s="2" t="s">
        <v>79</v>
      </c>
      <c r="C17" s="2" t="s">
        <v>294</v>
      </c>
      <c r="D17" s="2" t="s">
        <v>295</v>
      </c>
      <c r="E17" s="2" t="s">
        <v>194</v>
      </c>
      <c r="F17" s="2" t="s">
        <v>296</v>
      </c>
      <c r="G17" s="9">
        <v>1161751</v>
      </c>
      <c r="H17" s="2" t="s">
        <v>149</v>
      </c>
      <c r="I17" s="2" t="s">
        <v>204</v>
      </c>
      <c r="J17" s="2" t="s">
        <v>83</v>
      </c>
      <c r="K17" s="2" t="s">
        <v>83</v>
      </c>
      <c r="L17" s="2" t="s">
        <v>185</v>
      </c>
      <c r="M17" s="2" t="s">
        <v>118</v>
      </c>
      <c r="N17" s="2" t="s">
        <v>215</v>
      </c>
      <c r="O17" s="2" t="s">
        <v>84</v>
      </c>
      <c r="P17" s="2" t="s">
        <v>297</v>
      </c>
      <c r="Q17" s="2" t="s">
        <v>86</v>
      </c>
      <c r="R17" s="2" t="s">
        <v>189</v>
      </c>
      <c r="S17" s="2" t="s">
        <v>87</v>
      </c>
      <c r="T17" s="5">
        <v>3.1</v>
      </c>
      <c r="U17" s="2" t="s">
        <v>298</v>
      </c>
      <c r="V17" s="6">
        <v>2.0499999999999997E-2</v>
      </c>
      <c r="W17" s="6">
        <v>5.0700000000000002E-2</v>
      </c>
      <c r="X17" s="2" t="s">
        <v>191</v>
      </c>
      <c r="Y17" s="2" t="s">
        <v>84</v>
      </c>
      <c r="Z17" s="5">
        <v>433863.16</v>
      </c>
      <c r="AA17" s="5">
        <v>1</v>
      </c>
      <c r="AB17" s="5">
        <v>91.55</v>
      </c>
      <c r="AC17" s="5">
        <v>0</v>
      </c>
      <c r="AD17" s="5">
        <v>397.20172000000002</v>
      </c>
      <c r="AE17" s="2" t="s">
        <v>3</v>
      </c>
      <c r="AF17" s="2" t="s">
        <v>3</v>
      </c>
      <c r="AG17" s="2" t="s">
        <v>27</v>
      </c>
      <c r="AH17" s="6">
        <v>8.9599999999999999E-4</v>
      </c>
      <c r="AI17" s="6">
        <v>2.6750000000000003E-3</v>
      </c>
      <c r="AJ17" s="6">
        <v>4.7579999999999996E-4</v>
      </c>
      <c r="AK17" s="2" t="s">
        <v>3</v>
      </c>
      <c r="AL17" s="56"/>
      <c r="AM17" s="56"/>
    </row>
    <row r="18" spans="1:39">
      <c r="A18" s="2" t="s">
        <v>78</v>
      </c>
      <c r="B18" s="2" t="s">
        <v>79</v>
      </c>
      <c r="C18" s="2" t="s">
        <v>299</v>
      </c>
      <c r="D18" s="2" t="s">
        <v>300</v>
      </c>
      <c r="E18" s="2" t="s">
        <v>194</v>
      </c>
      <c r="F18" s="2" t="s">
        <v>301</v>
      </c>
      <c r="G18" s="9">
        <v>1140102</v>
      </c>
      <c r="H18" s="2" t="s">
        <v>149</v>
      </c>
      <c r="I18" s="2" t="s">
        <v>204</v>
      </c>
      <c r="J18" s="2" t="s">
        <v>83</v>
      </c>
      <c r="K18" s="2" t="s">
        <v>83</v>
      </c>
      <c r="L18" s="2" t="s">
        <v>185</v>
      </c>
      <c r="M18" s="2" t="s">
        <v>118</v>
      </c>
      <c r="N18" s="2" t="s">
        <v>205</v>
      </c>
      <c r="O18" s="2" t="s">
        <v>84</v>
      </c>
      <c r="P18" s="2" t="s">
        <v>297</v>
      </c>
      <c r="Q18" s="2" t="s">
        <v>86</v>
      </c>
      <c r="R18" s="2" t="s">
        <v>189</v>
      </c>
      <c r="S18" s="2" t="s">
        <v>87</v>
      </c>
      <c r="T18" s="5">
        <v>2.36</v>
      </c>
      <c r="U18" s="2" t="s">
        <v>302</v>
      </c>
      <c r="V18" s="6">
        <v>4.2999999999999997E-2</v>
      </c>
      <c r="W18" s="6">
        <v>5.28E-2</v>
      </c>
      <c r="X18" s="2" t="s">
        <v>191</v>
      </c>
      <c r="Y18" s="2" t="s">
        <v>84</v>
      </c>
      <c r="Z18" s="5">
        <v>176233.14</v>
      </c>
      <c r="AA18" s="5">
        <v>1</v>
      </c>
      <c r="AB18" s="5">
        <v>98.8</v>
      </c>
      <c r="AC18" s="5">
        <v>0</v>
      </c>
      <c r="AD18" s="5">
        <v>174.11833999999999</v>
      </c>
      <c r="AE18" s="2" t="s">
        <v>3</v>
      </c>
      <c r="AF18" s="2" t="s">
        <v>3</v>
      </c>
      <c r="AG18" s="2" t="s">
        <v>27</v>
      </c>
      <c r="AH18" s="6">
        <v>1.7459999999999999E-4</v>
      </c>
      <c r="AI18" s="6">
        <v>1.1726E-3</v>
      </c>
      <c r="AJ18" s="6">
        <v>2.086E-4</v>
      </c>
      <c r="AK18" s="2" t="s">
        <v>3</v>
      </c>
      <c r="AL18" s="56" t="s">
        <v>4</v>
      </c>
      <c r="AM18" s="56" t="s">
        <v>1</v>
      </c>
    </row>
    <row r="19" spans="1:39">
      <c r="A19" s="2" t="s">
        <v>78</v>
      </c>
      <c r="B19" s="2" t="s">
        <v>79</v>
      </c>
      <c r="C19" s="2" t="s">
        <v>303</v>
      </c>
      <c r="D19" s="2" t="s">
        <v>304</v>
      </c>
      <c r="E19" s="2" t="s">
        <v>194</v>
      </c>
      <c r="F19" s="2" t="s">
        <v>305</v>
      </c>
      <c r="G19" s="9">
        <v>1260603</v>
      </c>
      <c r="H19" s="2" t="s">
        <v>149</v>
      </c>
      <c r="I19" s="2" t="s">
        <v>196</v>
      </c>
      <c r="J19" s="2" t="s">
        <v>83</v>
      </c>
      <c r="K19" s="2" t="s">
        <v>83</v>
      </c>
      <c r="L19" s="2" t="s">
        <v>185</v>
      </c>
      <c r="M19" s="2" t="s">
        <v>118</v>
      </c>
      <c r="N19" s="2" t="s">
        <v>228</v>
      </c>
      <c r="O19" s="2" t="s">
        <v>84</v>
      </c>
      <c r="P19" s="2" t="s">
        <v>306</v>
      </c>
      <c r="Q19" s="2" t="s">
        <v>86</v>
      </c>
      <c r="R19" s="2" t="s">
        <v>189</v>
      </c>
      <c r="S19" s="2" t="s">
        <v>87</v>
      </c>
      <c r="T19" s="5">
        <v>1.97</v>
      </c>
      <c r="U19" s="2" t="s">
        <v>307</v>
      </c>
      <c r="V19" s="6">
        <v>0.04</v>
      </c>
      <c r="W19" s="6">
        <v>4.3700000000000003E-2</v>
      </c>
      <c r="X19" s="2" t="s">
        <v>191</v>
      </c>
      <c r="Y19" s="2" t="s">
        <v>84</v>
      </c>
      <c r="Z19" s="5">
        <v>220701.6</v>
      </c>
      <c r="AA19" s="5">
        <v>1</v>
      </c>
      <c r="AB19" s="5">
        <v>111.92</v>
      </c>
      <c r="AC19" s="5">
        <v>0</v>
      </c>
      <c r="AD19" s="5">
        <v>247.00923</v>
      </c>
      <c r="AE19" s="2" t="s">
        <v>3</v>
      </c>
      <c r="AF19" s="2" t="s">
        <v>3</v>
      </c>
      <c r="AG19" s="2" t="s">
        <v>27</v>
      </c>
      <c r="AH19" s="6">
        <v>8.5000000000000006E-5</v>
      </c>
      <c r="AI19" s="6">
        <v>1.6635E-3</v>
      </c>
      <c r="AJ19" s="6">
        <v>2.9590000000000004E-4</v>
      </c>
      <c r="AK19" s="2" t="s">
        <v>3</v>
      </c>
      <c r="AL19" s="56" t="s">
        <v>4</v>
      </c>
      <c r="AM19" s="56" t="s">
        <v>1</v>
      </c>
    </row>
    <row r="20" spans="1:39">
      <c r="A20" s="2" t="s">
        <v>78</v>
      </c>
      <c r="B20" s="2" t="s">
        <v>79</v>
      </c>
      <c r="C20" s="2" t="s">
        <v>308</v>
      </c>
      <c r="D20" s="2" t="s">
        <v>309</v>
      </c>
      <c r="E20" s="2" t="s">
        <v>194</v>
      </c>
      <c r="F20" s="2" t="s">
        <v>310</v>
      </c>
      <c r="G20" s="9">
        <v>6120240</v>
      </c>
      <c r="H20" s="2" t="s">
        <v>149</v>
      </c>
      <c r="I20" s="2" t="s">
        <v>196</v>
      </c>
      <c r="J20" s="2" t="s">
        <v>83</v>
      </c>
      <c r="K20" s="2" t="s">
        <v>83</v>
      </c>
      <c r="L20" s="2" t="s">
        <v>185</v>
      </c>
      <c r="M20" s="2" t="s">
        <v>118</v>
      </c>
      <c r="N20" s="2" t="s">
        <v>197</v>
      </c>
      <c r="O20" s="2" t="s">
        <v>84</v>
      </c>
      <c r="P20" s="2" t="s">
        <v>306</v>
      </c>
      <c r="Q20" s="2" t="s">
        <v>86</v>
      </c>
      <c r="R20" s="2" t="s">
        <v>189</v>
      </c>
      <c r="S20" s="2" t="s">
        <v>87</v>
      </c>
      <c r="T20" s="5">
        <v>1.69</v>
      </c>
      <c r="U20" s="2" t="s">
        <v>307</v>
      </c>
      <c r="V20" s="6">
        <v>2.2499999999999999E-2</v>
      </c>
      <c r="W20" s="6">
        <v>3.1E-2</v>
      </c>
      <c r="X20" s="2" t="s">
        <v>191</v>
      </c>
      <c r="Y20" s="2" t="s">
        <v>84</v>
      </c>
      <c r="Z20" s="5">
        <v>143819.07999999999</v>
      </c>
      <c r="AA20" s="5">
        <v>1</v>
      </c>
      <c r="AB20" s="5">
        <v>110.87</v>
      </c>
      <c r="AC20" s="5">
        <v>0</v>
      </c>
      <c r="AD20" s="5">
        <v>159.45221000000001</v>
      </c>
      <c r="AE20" s="2" t="s">
        <v>3</v>
      </c>
      <c r="AF20" s="2" t="s">
        <v>3</v>
      </c>
      <c r="AG20" s="2" t="s">
        <v>27</v>
      </c>
      <c r="AH20" s="6">
        <v>2.8800000000000001E-4</v>
      </c>
      <c r="AI20" s="6">
        <v>1.0738E-3</v>
      </c>
      <c r="AJ20" s="6">
        <v>1.9099999999999998E-4</v>
      </c>
      <c r="AK20" s="2" t="s">
        <v>3</v>
      </c>
      <c r="AL20" s="56" t="s">
        <v>4</v>
      </c>
      <c r="AM20" s="56" t="s">
        <v>1</v>
      </c>
    </row>
    <row r="21" spans="1:39">
      <c r="A21" s="2" t="s">
        <v>78</v>
      </c>
      <c r="B21" s="2" t="s">
        <v>79</v>
      </c>
      <c r="C21" s="2" t="s">
        <v>311</v>
      </c>
      <c r="D21" s="2" t="s">
        <v>312</v>
      </c>
      <c r="E21" s="2" t="s">
        <v>194</v>
      </c>
      <c r="F21" s="2" t="s">
        <v>313</v>
      </c>
      <c r="G21" s="9">
        <v>7390149</v>
      </c>
      <c r="H21" s="2" t="s">
        <v>149</v>
      </c>
      <c r="I21" s="2" t="s">
        <v>204</v>
      </c>
      <c r="J21" s="2" t="s">
        <v>83</v>
      </c>
      <c r="K21" s="2" t="s">
        <v>83</v>
      </c>
      <c r="L21" s="2" t="s">
        <v>185</v>
      </c>
      <c r="M21" s="2" t="s">
        <v>118</v>
      </c>
      <c r="N21" s="2" t="s">
        <v>314</v>
      </c>
      <c r="O21" s="2" t="s">
        <v>84</v>
      </c>
      <c r="P21" s="2" t="s">
        <v>315</v>
      </c>
      <c r="Q21" s="2" t="s">
        <v>86</v>
      </c>
      <c r="R21" s="2" t="s">
        <v>189</v>
      </c>
      <c r="S21" s="2" t="s">
        <v>87</v>
      </c>
      <c r="T21" s="5">
        <v>1.2</v>
      </c>
      <c r="U21" s="2" t="s">
        <v>316</v>
      </c>
      <c r="V21" s="6">
        <v>0.04</v>
      </c>
      <c r="W21" s="6">
        <v>4.8899999999999999E-2</v>
      </c>
      <c r="X21" s="2" t="s">
        <v>191</v>
      </c>
      <c r="Y21" s="2" t="s">
        <v>84</v>
      </c>
      <c r="Z21" s="5">
        <v>156839.01999999999</v>
      </c>
      <c r="AA21" s="5">
        <v>1</v>
      </c>
      <c r="AB21" s="5">
        <v>100.02</v>
      </c>
      <c r="AC21" s="5">
        <v>0</v>
      </c>
      <c r="AD21" s="5">
        <v>156.87038000000001</v>
      </c>
      <c r="AE21" s="2" t="s">
        <v>3</v>
      </c>
      <c r="AF21" s="2" t="s">
        <v>3</v>
      </c>
      <c r="AG21" s="2" t="s">
        <v>27</v>
      </c>
      <c r="AH21" s="6">
        <v>7.9350000000000004E-4</v>
      </c>
      <c r="AI21" s="6">
        <v>1.0564999999999999E-3</v>
      </c>
      <c r="AJ21" s="6">
        <v>1.8790000000000001E-4</v>
      </c>
      <c r="AK21" s="2" t="s">
        <v>3</v>
      </c>
      <c r="AL21" s="56" t="s">
        <v>4</v>
      </c>
      <c r="AM21" s="56" t="s">
        <v>1</v>
      </c>
    </row>
    <row r="22" spans="1:39">
      <c r="A22" s="2" t="s">
        <v>78</v>
      </c>
      <c r="B22" s="2" t="s">
        <v>79</v>
      </c>
      <c r="C22" s="2" t="s">
        <v>311</v>
      </c>
      <c r="D22" s="2" t="s">
        <v>312</v>
      </c>
      <c r="E22" s="2" t="s">
        <v>194</v>
      </c>
      <c r="F22" s="2" t="s">
        <v>317</v>
      </c>
      <c r="G22" s="9">
        <v>7390222</v>
      </c>
      <c r="H22" s="2" t="s">
        <v>149</v>
      </c>
      <c r="I22" s="2" t="s">
        <v>204</v>
      </c>
      <c r="J22" s="2" t="s">
        <v>83</v>
      </c>
      <c r="K22" s="2" t="s">
        <v>83</v>
      </c>
      <c r="L22" s="2" t="s">
        <v>185</v>
      </c>
      <c r="M22" s="2" t="s">
        <v>118</v>
      </c>
      <c r="N22" s="2" t="s">
        <v>314</v>
      </c>
      <c r="O22" s="2" t="s">
        <v>84</v>
      </c>
      <c r="P22" s="2" t="s">
        <v>315</v>
      </c>
      <c r="Q22" s="2" t="s">
        <v>86</v>
      </c>
      <c r="R22" s="2" t="s">
        <v>189</v>
      </c>
      <c r="S22" s="2" t="s">
        <v>87</v>
      </c>
      <c r="T22" s="5">
        <v>3.41</v>
      </c>
      <c r="U22" s="2" t="s">
        <v>318</v>
      </c>
      <c r="V22" s="6">
        <v>0.04</v>
      </c>
      <c r="W22" s="6">
        <v>5.0199999999999995E-2</v>
      </c>
      <c r="X22" s="2" t="s">
        <v>191</v>
      </c>
      <c r="Y22" s="2" t="s">
        <v>84</v>
      </c>
      <c r="Z22" s="5">
        <v>264000.01</v>
      </c>
      <c r="AA22" s="5">
        <v>1</v>
      </c>
      <c r="AB22" s="5">
        <v>97.7</v>
      </c>
      <c r="AC22" s="5">
        <v>0</v>
      </c>
      <c r="AD22" s="5">
        <v>257.928</v>
      </c>
      <c r="AE22" s="2" t="s">
        <v>3</v>
      </c>
      <c r="AF22" s="2" t="s">
        <v>3</v>
      </c>
      <c r="AG22" s="2" t="s">
        <v>27</v>
      </c>
      <c r="AH22" s="6">
        <v>3.8960000000000004E-4</v>
      </c>
      <c r="AI22" s="6">
        <v>1.7369999999999998E-3</v>
      </c>
      <c r="AJ22" s="6">
        <v>3.0890000000000003E-4</v>
      </c>
      <c r="AK22" s="2" t="s">
        <v>3</v>
      </c>
      <c r="AL22" s="56" t="s">
        <v>4</v>
      </c>
      <c r="AM22" s="56" t="s">
        <v>1</v>
      </c>
    </row>
    <row r="23" spans="1:39">
      <c r="A23" s="2" t="s">
        <v>78</v>
      </c>
      <c r="B23" s="2" t="s">
        <v>79</v>
      </c>
      <c r="C23" s="2" t="s">
        <v>319</v>
      </c>
      <c r="D23" s="2" t="s">
        <v>320</v>
      </c>
      <c r="E23" s="2" t="s">
        <v>194</v>
      </c>
      <c r="F23" s="2" t="s">
        <v>321</v>
      </c>
      <c r="G23" s="9">
        <v>2590511</v>
      </c>
      <c r="H23" s="2" t="s">
        <v>149</v>
      </c>
      <c r="I23" s="2" t="s">
        <v>204</v>
      </c>
      <c r="J23" s="2" t="s">
        <v>83</v>
      </c>
      <c r="K23" s="2" t="s">
        <v>83</v>
      </c>
      <c r="L23" s="2" t="s">
        <v>185</v>
      </c>
      <c r="M23" s="2" t="s">
        <v>118</v>
      </c>
      <c r="N23" s="2" t="s">
        <v>223</v>
      </c>
      <c r="O23" s="2" t="s">
        <v>84</v>
      </c>
      <c r="P23" s="2" t="s">
        <v>315</v>
      </c>
      <c r="Q23" s="2" t="s">
        <v>86</v>
      </c>
      <c r="R23" s="2" t="s">
        <v>189</v>
      </c>
      <c r="S23" s="2" t="s">
        <v>87</v>
      </c>
      <c r="T23" s="5">
        <v>2.72</v>
      </c>
      <c r="U23" s="2" t="s">
        <v>322</v>
      </c>
      <c r="V23" s="6">
        <v>2.7000000000000003E-2</v>
      </c>
      <c r="W23" s="6">
        <v>5.28E-2</v>
      </c>
      <c r="X23" s="2" t="s">
        <v>191</v>
      </c>
      <c r="Y23" s="2" t="s">
        <v>84</v>
      </c>
      <c r="Z23" s="5">
        <v>270818.95</v>
      </c>
      <c r="AA23" s="5">
        <v>1</v>
      </c>
      <c r="AB23" s="5">
        <v>93.45</v>
      </c>
      <c r="AC23" s="5">
        <v>0</v>
      </c>
      <c r="AD23" s="5">
        <v>253.08029999999999</v>
      </c>
      <c r="AE23" s="2" t="s">
        <v>3</v>
      </c>
      <c r="AF23" s="2" t="s">
        <v>3</v>
      </c>
      <c r="AG23" s="2" t="s">
        <v>27</v>
      </c>
      <c r="AH23" s="6">
        <v>3.8480000000000003E-4</v>
      </c>
      <c r="AI23" s="6">
        <v>1.7044E-3</v>
      </c>
      <c r="AJ23" s="6">
        <v>3.0309999999999999E-4</v>
      </c>
      <c r="AK23" s="2" t="s">
        <v>3</v>
      </c>
      <c r="AL23" s="56" t="s">
        <v>4</v>
      </c>
      <c r="AM23" s="56" t="s">
        <v>1</v>
      </c>
    </row>
    <row r="24" spans="1:39">
      <c r="A24" s="2" t="s">
        <v>78</v>
      </c>
      <c r="B24" s="2" t="s">
        <v>79</v>
      </c>
      <c r="C24" s="2" t="s">
        <v>323</v>
      </c>
      <c r="D24" s="2" t="s">
        <v>324</v>
      </c>
      <c r="E24" s="2" t="s">
        <v>194</v>
      </c>
      <c r="F24" s="2" t="s">
        <v>325</v>
      </c>
      <c r="G24" s="9">
        <v>5760301</v>
      </c>
      <c r="H24" s="2" t="s">
        <v>149</v>
      </c>
      <c r="I24" s="2" t="s">
        <v>204</v>
      </c>
      <c r="J24" s="2" t="s">
        <v>83</v>
      </c>
      <c r="K24" s="2" t="s">
        <v>83</v>
      </c>
      <c r="L24" s="2" t="s">
        <v>185</v>
      </c>
      <c r="M24" s="2" t="s">
        <v>118</v>
      </c>
      <c r="N24" s="2" t="s">
        <v>314</v>
      </c>
      <c r="O24" s="2" t="s">
        <v>84</v>
      </c>
      <c r="P24" s="2" t="s">
        <v>315</v>
      </c>
      <c r="Q24" s="2" t="s">
        <v>86</v>
      </c>
      <c r="R24" s="2" t="s">
        <v>189</v>
      </c>
      <c r="S24" s="2" t="s">
        <v>87</v>
      </c>
      <c r="T24" s="5">
        <v>2.64</v>
      </c>
      <c r="U24" s="2" t="s">
        <v>251</v>
      </c>
      <c r="V24" s="6">
        <v>2.2000000000000002E-2</v>
      </c>
      <c r="W24" s="6">
        <v>4.7699999999999992E-2</v>
      </c>
      <c r="X24" s="2" t="s">
        <v>191</v>
      </c>
      <c r="Y24" s="2" t="s">
        <v>84</v>
      </c>
      <c r="Z24" s="5">
        <v>132024.89000000001</v>
      </c>
      <c r="AA24" s="5">
        <v>1</v>
      </c>
      <c r="AB24" s="5">
        <v>94.15</v>
      </c>
      <c r="AC24" s="5">
        <v>0</v>
      </c>
      <c r="AD24" s="5">
        <v>124.30143</v>
      </c>
      <c r="AE24" s="2" t="s">
        <v>3</v>
      </c>
      <c r="AF24" s="2" t="s">
        <v>3</v>
      </c>
      <c r="AG24" s="2" t="s">
        <v>27</v>
      </c>
      <c r="AH24" s="6">
        <v>1.142E-4</v>
      </c>
      <c r="AI24" s="6">
        <v>8.3710000000000002E-4</v>
      </c>
      <c r="AJ24" s="6">
        <v>1.4890000000000001E-4</v>
      </c>
      <c r="AK24" s="2" t="s">
        <v>3</v>
      </c>
      <c r="AL24" s="56" t="s">
        <v>4</v>
      </c>
      <c r="AM24" s="56" t="s">
        <v>1</v>
      </c>
    </row>
    <row r="25" spans="1:39">
      <c r="A25" s="2" t="s">
        <v>78</v>
      </c>
      <c r="B25" s="2" t="s">
        <v>79</v>
      </c>
      <c r="C25" s="2" t="s">
        <v>326</v>
      </c>
      <c r="D25" s="2" t="s">
        <v>327</v>
      </c>
      <c r="E25" s="2" t="s">
        <v>194</v>
      </c>
      <c r="F25" s="2" t="s">
        <v>328</v>
      </c>
      <c r="G25" s="9">
        <v>1141696</v>
      </c>
      <c r="H25" s="2" t="s">
        <v>149</v>
      </c>
      <c r="I25" s="2" t="s">
        <v>196</v>
      </c>
      <c r="J25" s="2" t="s">
        <v>83</v>
      </c>
      <c r="K25" s="2" t="s">
        <v>83</v>
      </c>
      <c r="L25" s="2" t="s">
        <v>185</v>
      </c>
      <c r="M25" s="2" t="s">
        <v>118</v>
      </c>
      <c r="N25" s="2" t="s">
        <v>197</v>
      </c>
      <c r="O25" s="2" t="s">
        <v>84</v>
      </c>
      <c r="P25" s="2" t="s">
        <v>315</v>
      </c>
      <c r="Q25" s="2" t="s">
        <v>86</v>
      </c>
      <c r="R25" s="2" t="s">
        <v>189</v>
      </c>
      <c r="S25" s="2" t="s">
        <v>87</v>
      </c>
      <c r="T25" s="5">
        <v>2.08</v>
      </c>
      <c r="U25" s="2" t="s">
        <v>229</v>
      </c>
      <c r="V25" s="6">
        <v>2.0499999999999997E-2</v>
      </c>
      <c r="W25" s="6">
        <v>2.4900000000000002E-2</v>
      </c>
      <c r="X25" s="2" t="s">
        <v>191</v>
      </c>
      <c r="Y25" s="2" t="s">
        <v>84</v>
      </c>
      <c r="Z25" s="5">
        <v>112000</v>
      </c>
      <c r="AA25" s="5">
        <v>1</v>
      </c>
      <c r="AB25" s="5">
        <v>112.41</v>
      </c>
      <c r="AC25" s="5">
        <v>0</v>
      </c>
      <c r="AD25" s="5">
        <v>125.89919999999999</v>
      </c>
      <c r="AE25" s="2" t="s">
        <v>3</v>
      </c>
      <c r="AF25" s="2" t="s">
        <v>3</v>
      </c>
      <c r="AG25" s="2" t="s">
        <v>27</v>
      </c>
      <c r="AH25" s="6">
        <v>1.271E-4</v>
      </c>
      <c r="AI25" s="6">
        <v>8.4790000000000006E-4</v>
      </c>
      <c r="AJ25" s="6">
        <v>1.5080000000000001E-4</v>
      </c>
      <c r="AK25" s="2" t="s">
        <v>3</v>
      </c>
      <c r="AL25" s="56" t="s">
        <v>4</v>
      </c>
      <c r="AM25" s="56" t="s">
        <v>1</v>
      </c>
    </row>
    <row r="26" spans="1:39">
      <c r="A26" s="2" t="s">
        <v>78</v>
      </c>
      <c r="B26" s="2" t="s">
        <v>79</v>
      </c>
      <c r="C26" s="2" t="s">
        <v>329</v>
      </c>
      <c r="D26" s="2" t="s">
        <v>330</v>
      </c>
      <c r="E26" s="2" t="s">
        <v>194</v>
      </c>
      <c r="F26" s="2" t="s">
        <v>331</v>
      </c>
      <c r="G26" s="9">
        <v>1143080</v>
      </c>
      <c r="H26" s="2" t="s">
        <v>149</v>
      </c>
      <c r="I26" s="2" t="s">
        <v>204</v>
      </c>
      <c r="J26" s="2" t="s">
        <v>83</v>
      </c>
      <c r="K26" s="2" t="s">
        <v>83</v>
      </c>
      <c r="L26" s="2" t="s">
        <v>185</v>
      </c>
      <c r="M26" s="2" t="s">
        <v>118</v>
      </c>
      <c r="N26" s="2" t="s">
        <v>332</v>
      </c>
      <c r="O26" s="2" t="s">
        <v>84</v>
      </c>
      <c r="P26" s="2" t="s">
        <v>315</v>
      </c>
      <c r="Q26" s="2" t="s">
        <v>86</v>
      </c>
      <c r="R26" s="2" t="s">
        <v>189</v>
      </c>
      <c r="S26" s="2" t="s">
        <v>87</v>
      </c>
      <c r="T26" s="5">
        <v>2.31</v>
      </c>
      <c r="U26" s="2" t="s">
        <v>333</v>
      </c>
      <c r="V26" s="6">
        <v>2.5000000000000001E-2</v>
      </c>
      <c r="W26" s="6">
        <v>4.8300000000000003E-2</v>
      </c>
      <c r="X26" s="2" t="s">
        <v>191</v>
      </c>
      <c r="Y26" s="2" t="s">
        <v>84</v>
      </c>
      <c r="Z26" s="5">
        <v>279410.15000000002</v>
      </c>
      <c r="AA26" s="5">
        <v>1</v>
      </c>
      <c r="AB26" s="5">
        <v>95.46</v>
      </c>
      <c r="AC26" s="5">
        <v>0</v>
      </c>
      <c r="AD26" s="5">
        <v>266.72492</v>
      </c>
      <c r="AE26" s="2" t="s">
        <v>3</v>
      </c>
      <c r="AF26" s="2" t="s">
        <v>3</v>
      </c>
      <c r="AG26" s="2" t="s">
        <v>27</v>
      </c>
      <c r="AH26" s="6">
        <v>3.0009999999999998E-4</v>
      </c>
      <c r="AI26" s="6">
        <v>1.7963E-3</v>
      </c>
      <c r="AJ26" s="6">
        <v>3.1950000000000001E-4</v>
      </c>
      <c r="AK26" s="2" t="s">
        <v>3</v>
      </c>
      <c r="AL26" s="56" t="s">
        <v>4</v>
      </c>
      <c r="AM26" s="56" t="s">
        <v>1</v>
      </c>
    </row>
    <row r="27" spans="1:39">
      <c r="A27" s="2" t="s">
        <v>78</v>
      </c>
      <c r="B27" s="2" t="s">
        <v>79</v>
      </c>
      <c r="C27" s="2" t="s">
        <v>334</v>
      </c>
      <c r="D27" s="2" t="s">
        <v>335</v>
      </c>
      <c r="E27" s="2" t="s">
        <v>194</v>
      </c>
      <c r="F27" s="2" t="s">
        <v>336</v>
      </c>
      <c r="G27" s="9">
        <v>1139542</v>
      </c>
      <c r="H27" s="2" t="s">
        <v>149</v>
      </c>
      <c r="I27" s="2" t="s">
        <v>196</v>
      </c>
      <c r="J27" s="2" t="s">
        <v>83</v>
      </c>
      <c r="K27" s="2" t="s">
        <v>83</v>
      </c>
      <c r="L27" s="2" t="s">
        <v>185</v>
      </c>
      <c r="M27" s="2" t="s">
        <v>118</v>
      </c>
      <c r="N27" s="2" t="s">
        <v>223</v>
      </c>
      <c r="O27" s="2" t="s">
        <v>84</v>
      </c>
      <c r="P27" s="2" t="s">
        <v>315</v>
      </c>
      <c r="Q27" s="2" t="s">
        <v>86</v>
      </c>
      <c r="R27" s="2" t="s">
        <v>189</v>
      </c>
      <c r="S27" s="2" t="s">
        <v>87</v>
      </c>
      <c r="T27" s="5">
        <v>2.58</v>
      </c>
      <c r="U27" s="2" t="s">
        <v>337</v>
      </c>
      <c r="V27" s="6">
        <v>1.9400000000000001E-2</v>
      </c>
      <c r="W27" s="6">
        <v>2.0099999999999996E-2</v>
      </c>
      <c r="X27" s="2" t="s">
        <v>191</v>
      </c>
      <c r="Y27" s="2" t="s">
        <v>84</v>
      </c>
      <c r="Z27" s="5">
        <v>193567.94</v>
      </c>
      <c r="AA27" s="5">
        <v>1</v>
      </c>
      <c r="AB27" s="5">
        <v>113.16</v>
      </c>
      <c r="AC27" s="5">
        <v>0</v>
      </c>
      <c r="AD27" s="5">
        <v>219.04148000000001</v>
      </c>
      <c r="AE27" s="2" t="s">
        <v>3</v>
      </c>
      <c r="AF27" s="2" t="s">
        <v>3</v>
      </c>
      <c r="AG27" s="2" t="s">
        <v>27</v>
      </c>
      <c r="AH27" s="6">
        <v>6.4250000000000006E-4</v>
      </c>
      <c r="AI27" s="6">
        <v>1.4752000000000001E-3</v>
      </c>
      <c r="AJ27" s="6">
        <v>2.6239999999999998E-4</v>
      </c>
      <c r="AK27" s="2" t="s">
        <v>3</v>
      </c>
      <c r="AL27" s="56" t="s">
        <v>4</v>
      </c>
      <c r="AM27" s="56" t="s">
        <v>1</v>
      </c>
    </row>
    <row r="28" spans="1:39" s="29" customFormat="1">
      <c r="A28" s="33" t="s">
        <v>78</v>
      </c>
      <c r="B28" s="33" t="s">
        <v>79</v>
      </c>
      <c r="C28" s="33" t="s">
        <v>338</v>
      </c>
      <c r="D28" s="33" t="s">
        <v>339</v>
      </c>
      <c r="E28" s="33" t="s">
        <v>194</v>
      </c>
      <c r="F28" s="33" t="s">
        <v>340</v>
      </c>
      <c r="G28" s="36">
        <v>1156397</v>
      </c>
      <c r="H28" s="33" t="s">
        <v>149</v>
      </c>
      <c r="I28" s="33" t="s">
        <v>204</v>
      </c>
      <c r="J28" s="33" t="s">
        <v>83</v>
      </c>
      <c r="K28" s="33" t="s">
        <v>83</v>
      </c>
      <c r="L28" s="33" t="s">
        <v>185</v>
      </c>
      <c r="M28" s="33" t="s">
        <v>118</v>
      </c>
      <c r="N28" s="33" t="s">
        <v>332</v>
      </c>
      <c r="O28" s="33" t="s">
        <v>84</v>
      </c>
      <c r="P28" s="33" t="s">
        <v>315</v>
      </c>
      <c r="Q28" s="33" t="s">
        <v>86</v>
      </c>
      <c r="R28" s="33" t="s">
        <v>189</v>
      </c>
      <c r="S28" s="33" t="s">
        <v>87</v>
      </c>
      <c r="T28" s="37">
        <v>2.2000000000000002</v>
      </c>
      <c r="U28" s="33" t="s">
        <v>341</v>
      </c>
      <c r="V28" s="38">
        <v>0.04</v>
      </c>
      <c r="W28" s="38">
        <v>4.7300000000000002E-2</v>
      </c>
      <c r="X28" s="33" t="s">
        <v>191</v>
      </c>
      <c r="Y28" s="33" t="s">
        <v>84</v>
      </c>
      <c r="Z28" s="37">
        <v>392000</v>
      </c>
      <c r="AA28" s="37">
        <v>1</v>
      </c>
      <c r="AB28" s="37">
        <v>101.47</v>
      </c>
      <c r="AC28" s="37">
        <v>0</v>
      </c>
      <c r="AD28" s="37">
        <v>397.76240000000001</v>
      </c>
      <c r="AE28" s="33" t="s">
        <v>3</v>
      </c>
      <c r="AF28" s="33" t="s">
        <v>3</v>
      </c>
      <c r="AG28" s="33" t="s">
        <v>27</v>
      </c>
      <c r="AH28" s="38">
        <v>5.7590000000000007E-4</v>
      </c>
      <c r="AI28" s="38">
        <v>2.6788000000000003E-3</v>
      </c>
      <c r="AJ28" s="38">
        <v>4.7640000000000003E-4</v>
      </c>
      <c r="AK28" s="33" t="s">
        <v>3</v>
      </c>
      <c r="AL28" s="56" t="s">
        <v>4</v>
      </c>
      <c r="AM28" s="56" t="s">
        <v>1</v>
      </c>
    </row>
    <row r="29" spans="1:39" s="29" customFormat="1">
      <c r="A29" s="33" t="s">
        <v>78</v>
      </c>
      <c r="B29" s="33" t="s">
        <v>79</v>
      </c>
      <c r="C29" s="33" t="s">
        <v>342</v>
      </c>
      <c r="D29" s="33" t="s">
        <v>343</v>
      </c>
      <c r="E29" s="33" t="s">
        <v>194</v>
      </c>
      <c r="F29" s="33" t="s">
        <v>344</v>
      </c>
      <c r="G29" s="36">
        <v>1133149</v>
      </c>
      <c r="H29" s="33" t="s">
        <v>149</v>
      </c>
      <c r="I29" s="33" t="s">
        <v>196</v>
      </c>
      <c r="J29" s="33" t="s">
        <v>83</v>
      </c>
      <c r="K29" s="33" t="s">
        <v>83</v>
      </c>
      <c r="L29" s="33" t="s">
        <v>185</v>
      </c>
      <c r="M29" s="33" t="s">
        <v>118</v>
      </c>
      <c r="N29" s="33" t="s">
        <v>197</v>
      </c>
      <c r="O29" s="33" t="s">
        <v>84</v>
      </c>
      <c r="P29" s="33" t="s">
        <v>345</v>
      </c>
      <c r="Q29" s="33" t="s">
        <v>86</v>
      </c>
      <c r="R29" s="33" t="s">
        <v>189</v>
      </c>
      <c r="S29" s="33" t="s">
        <v>87</v>
      </c>
      <c r="T29" s="37">
        <v>2.0299999999999998</v>
      </c>
      <c r="U29" s="33" t="s">
        <v>346</v>
      </c>
      <c r="V29" s="38">
        <v>3.2000000000000001E-2</v>
      </c>
      <c r="W29" s="38">
        <v>2.2200000000000001E-2</v>
      </c>
      <c r="X29" s="33" t="s">
        <v>191</v>
      </c>
      <c r="Y29" s="33" t="s">
        <v>84</v>
      </c>
      <c r="Z29" s="37">
        <v>116550.39999999999</v>
      </c>
      <c r="AA29" s="37">
        <v>1</v>
      </c>
      <c r="AB29" s="37">
        <v>116.39</v>
      </c>
      <c r="AC29" s="37">
        <v>0</v>
      </c>
      <c r="AD29" s="37">
        <v>135.65300999999999</v>
      </c>
      <c r="AE29" s="33" t="s">
        <v>3</v>
      </c>
      <c r="AF29" s="33" t="s">
        <v>3</v>
      </c>
      <c r="AG29" s="33" t="s">
        <v>27</v>
      </c>
      <c r="AH29" s="38">
        <v>8.2999999999999998E-5</v>
      </c>
      <c r="AI29" s="38">
        <v>9.1359999999999998E-4</v>
      </c>
      <c r="AJ29" s="38">
        <v>1.6249999999999999E-4</v>
      </c>
      <c r="AK29" s="33" t="s">
        <v>3</v>
      </c>
      <c r="AL29" s="56" t="s">
        <v>4</v>
      </c>
      <c r="AM29" s="56" t="s">
        <v>1</v>
      </c>
    </row>
    <row r="30" spans="1:39" s="29" customFormat="1">
      <c r="A30" s="33" t="s">
        <v>78</v>
      </c>
      <c r="B30" s="33" t="s">
        <v>79</v>
      </c>
      <c r="C30" s="33" t="s">
        <v>347</v>
      </c>
      <c r="D30" s="33" t="s">
        <v>348</v>
      </c>
      <c r="E30" s="33" t="s">
        <v>194</v>
      </c>
      <c r="F30" s="33" t="s">
        <v>349</v>
      </c>
      <c r="G30" s="36">
        <v>1133487</v>
      </c>
      <c r="H30" s="33" t="s">
        <v>149</v>
      </c>
      <c r="I30" s="33" t="s">
        <v>196</v>
      </c>
      <c r="J30" s="33" t="s">
        <v>83</v>
      </c>
      <c r="K30" s="33" t="s">
        <v>83</v>
      </c>
      <c r="L30" s="33" t="s">
        <v>185</v>
      </c>
      <c r="M30" s="33" t="s">
        <v>118</v>
      </c>
      <c r="N30" s="33" t="s">
        <v>197</v>
      </c>
      <c r="O30" s="33" t="s">
        <v>84</v>
      </c>
      <c r="P30" s="33" t="s">
        <v>345</v>
      </c>
      <c r="Q30" s="33" t="s">
        <v>86</v>
      </c>
      <c r="R30" s="33" t="s">
        <v>189</v>
      </c>
      <c r="S30" s="33" t="s">
        <v>87</v>
      </c>
      <c r="T30" s="37">
        <v>2.69</v>
      </c>
      <c r="U30" s="33" t="s">
        <v>164</v>
      </c>
      <c r="V30" s="38">
        <v>2.3399999999999997E-2</v>
      </c>
      <c r="W30" s="38">
        <v>2.3E-2</v>
      </c>
      <c r="X30" s="33" t="s">
        <v>191</v>
      </c>
      <c r="Y30" s="33" t="s">
        <v>84</v>
      </c>
      <c r="Z30" s="37">
        <v>115294.28</v>
      </c>
      <c r="AA30" s="37">
        <v>1</v>
      </c>
      <c r="AB30" s="37">
        <v>111.84</v>
      </c>
      <c r="AC30" s="37">
        <v>0</v>
      </c>
      <c r="AD30" s="37">
        <v>128.94512</v>
      </c>
      <c r="AE30" s="33" t="s">
        <v>3</v>
      </c>
      <c r="AF30" s="33" t="s">
        <v>3</v>
      </c>
      <c r="AG30" s="33" t="s">
        <v>27</v>
      </c>
      <c r="AH30" s="38">
        <v>5.4599999999999999E-5</v>
      </c>
      <c r="AI30" s="38">
        <v>8.6839999999999997E-4</v>
      </c>
      <c r="AJ30" s="38">
        <v>1.5450000000000001E-4</v>
      </c>
      <c r="AK30" s="33" t="s">
        <v>3</v>
      </c>
      <c r="AL30" s="56" t="s">
        <v>4</v>
      </c>
      <c r="AM30" s="56" t="s">
        <v>1</v>
      </c>
    </row>
    <row r="31" spans="1:39" s="29" customFormat="1">
      <c r="A31" s="33" t="s">
        <v>78</v>
      </c>
      <c r="B31" s="33" t="s">
        <v>79</v>
      </c>
      <c r="C31" s="33" t="s">
        <v>350</v>
      </c>
      <c r="D31" s="33" t="s">
        <v>351</v>
      </c>
      <c r="E31" s="33" t="s">
        <v>194</v>
      </c>
      <c r="F31" s="33" t="s">
        <v>352</v>
      </c>
      <c r="G31" s="36">
        <v>7590219</v>
      </c>
      <c r="H31" s="33" t="s">
        <v>149</v>
      </c>
      <c r="I31" s="33" t="s">
        <v>196</v>
      </c>
      <c r="J31" s="33" t="s">
        <v>83</v>
      </c>
      <c r="K31" s="33" t="s">
        <v>83</v>
      </c>
      <c r="L31" s="33" t="s">
        <v>185</v>
      </c>
      <c r="M31" s="33" t="s">
        <v>118</v>
      </c>
      <c r="N31" s="33" t="s">
        <v>197</v>
      </c>
      <c r="O31" s="33" t="s">
        <v>84</v>
      </c>
      <c r="P31" s="33" t="s">
        <v>345</v>
      </c>
      <c r="Q31" s="33" t="s">
        <v>86</v>
      </c>
      <c r="R31" s="33" t="s">
        <v>189</v>
      </c>
      <c r="S31" s="33" t="s">
        <v>87</v>
      </c>
      <c r="T31" s="37">
        <v>3.84</v>
      </c>
      <c r="U31" s="33" t="s">
        <v>353</v>
      </c>
      <c r="V31" s="38">
        <v>5.0000000000000001E-3</v>
      </c>
      <c r="W31" s="38">
        <v>2.5600000000000001E-2</v>
      </c>
      <c r="X31" s="33" t="s">
        <v>191</v>
      </c>
      <c r="Y31" s="33" t="s">
        <v>84</v>
      </c>
      <c r="Z31" s="37">
        <v>146318.76</v>
      </c>
      <c r="AA31" s="37">
        <v>1</v>
      </c>
      <c r="AB31" s="37">
        <v>103.12</v>
      </c>
      <c r="AC31" s="37">
        <v>0</v>
      </c>
      <c r="AD31" s="37">
        <v>150.88390000000001</v>
      </c>
      <c r="AE31" s="33" t="s">
        <v>3</v>
      </c>
      <c r="AF31" s="33" t="s">
        <v>3</v>
      </c>
      <c r="AG31" s="33" t="s">
        <v>27</v>
      </c>
      <c r="AH31" s="38">
        <v>7.7700000000000005E-5</v>
      </c>
      <c r="AI31" s="38">
        <v>1.0161E-3</v>
      </c>
      <c r="AJ31" s="38">
        <v>1.807E-4</v>
      </c>
      <c r="AK31" s="33" t="s">
        <v>3</v>
      </c>
      <c r="AL31" s="56" t="s">
        <v>4</v>
      </c>
      <c r="AM31" s="56" t="s">
        <v>1</v>
      </c>
    </row>
    <row r="32" spans="1:39" s="29" customFormat="1">
      <c r="A32" s="33" t="s">
        <v>78</v>
      </c>
      <c r="B32" s="33" t="s">
        <v>79</v>
      </c>
      <c r="C32" s="33" t="s">
        <v>354</v>
      </c>
      <c r="D32" s="33" t="s">
        <v>355</v>
      </c>
      <c r="E32" s="33" t="s">
        <v>194</v>
      </c>
      <c r="F32" s="33" t="s">
        <v>356</v>
      </c>
      <c r="G32" s="36">
        <v>2260545</v>
      </c>
      <c r="H32" s="33" t="s">
        <v>149</v>
      </c>
      <c r="I32" s="33" t="s">
        <v>196</v>
      </c>
      <c r="J32" s="33" t="s">
        <v>83</v>
      </c>
      <c r="K32" s="33" t="s">
        <v>83</v>
      </c>
      <c r="L32" s="33" t="s">
        <v>185</v>
      </c>
      <c r="M32" s="33" t="s">
        <v>118</v>
      </c>
      <c r="N32" s="33" t="s">
        <v>197</v>
      </c>
      <c r="O32" s="33" t="s">
        <v>84</v>
      </c>
      <c r="P32" s="33" t="s">
        <v>345</v>
      </c>
      <c r="Q32" s="33" t="s">
        <v>86</v>
      </c>
      <c r="R32" s="33" t="s">
        <v>189</v>
      </c>
      <c r="S32" s="33" t="s">
        <v>87</v>
      </c>
      <c r="T32" s="37">
        <v>2.2400000000000002</v>
      </c>
      <c r="U32" s="33" t="s">
        <v>357</v>
      </c>
      <c r="V32" s="38">
        <v>2.4E-2</v>
      </c>
      <c r="W32" s="38">
        <v>2.2400000000000003E-2</v>
      </c>
      <c r="X32" s="33" t="s">
        <v>191</v>
      </c>
      <c r="Y32" s="33" t="s">
        <v>84</v>
      </c>
      <c r="Z32" s="37">
        <v>197149.77</v>
      </c>
      <c r="AA32" s="37">
        <v>1</v>
      </c>
      <c r="AB32" s="37">
        <v>112.83</v>
      </c>
      <c r="AC32" s="37">
        <v>0</v>
      </c>
      <c r="AD32" s="37">
        <v>222.44408000000001</v>
      </c>
      <c r="AE32" s="33" t="s">
        <v>3</v>
      </c>
      <c r="AF32" s="33" t="s">
        <v>3</v>
      </c>
      <c r="AG32" s="33" t="s">
        <v>27</v>
      </c>
      <c r="AH32" s="38">
        <v>3.4160000000000001E-4</v>
      </c>
      <c r="AI32" s="38">
        <v>1.4981E-3</v>
      </c>
      <c r="AJ32" s="38">
        <v>2.6640000000000002E-4</v>
      </c>
      <c r="AK32" s="33" t="s">
        <v>3</v>
      </c>
      <c r="AL32" s="56" t="s">
        <v>4</v>
      </c>
      <c r="AM32" s="56" t="s">
        <v>1</v>
      </c>
    </row>
    <row r="33" spans="1:39" s="29" customFormat="1">
      <c r="A33" s="33" t="s">
        <v>78</v>
      </c>
      <c r="B33" s="33" t="s">
        <v>79</v>
      </c>
      <c r="C33" s="33" t="s">
        <v>358</v>
      </c>
      <c r="D33" s="33" t="s">
        <v>359</v>
      </c>
      <c r="E33" s="33" t="s">
        <v>194</v>
      </c>
      <c r="F33" s="33" t="s">
        <v>360</v>
      </c>
      <c r="G33" s="36">
        <v>3230208</v>
      </c>
      <c r="H33" s="33" t="s">
        <v>149</v>
      </c>
      <c r="I33" s="33" t="s">
        <v>196</v>
      </c>
      <c r="J33" s="33" t="s">
        <v>83</v>
      </c>
      <c r="K33" s="33" t="s">
        <v>83</v>
      </c>
      <c r="L33" s="33" t="s">
        <v>185</v>
      </c>
      <c r="M33" s="33" t="s">
        <v>118</v>
      </c>
      <c r="N33" s="33" t="s">
        <v>197</v>
      </c>
      <c r="O33" s="33" t="s">
        <v>84</v>
      </c>
      <c r="P33" s="33" t="s">
        <v>345</v>
      </c>
      <c r="Q33" s="33" t="s">
        <v>86</v>
      </c>
      <c r="R33" s="33" t="s">
        <v>189</v>
      </c>
      <c r="S33" s="33" t="s">
        <v>87</v>
      </c>
      <c r="T33" s="37">
        <v>1.24</v>
      </c>
      <c r="U33" s="33" t="s">
        <v>361</v>
      </c>
      <c r="V33" s="38">
        <v>2.3E-2</v>
      </c>
      <c r="W33" s="38">
        <v>1.95E-2</v>
      </c>
      <c r="X33" s="33" t="s">
        <v>191</v>
      </c>
      <c r="Y33" s="33" t="s">
        <v>84</v>
      </c>
      <c r="Z33" s="37">
        <v>149431.35</v>
      </c>
      <c r="AA33" s="37">
        <v>1</v>
      </c>
      <c r="AB33" s="37">
        <v>114.63</v>
      </c>
      <c r="AC33" s="37">
        <v>0</v>
      </c>
      <c r="AD33" s="37">
        <v>171.29315</v>
      </c>
      <c r="AE33" s="33" t="s">
        <v>3</v>
      </c>
      <c r="AF33" s="33" t="s">
        <v>3</v>
      </c>
      <c r="AG33" s="33" t="s">
        <v>27</v>
      </c>
      <c r="AH33" s="38">
        <v>1.199E-4</v>
      </c>
      <c r="AI33" s="38">
        <v>1.1536000000000001E-3</v>
      </c>
      <c r="AJ33" s="38">
        <v>2.052E-4</v>
      </c>
      <c r="AK33" s="33" t="s">
        <v>3</v>
      </c>
      <c r="AL33" s="56" t="s">
        <v>4</v>
      </c>
      <c r="AM33" s="56" t="s">
        <v>1</v>
      </c>
    </row>
    <row r="34" spans="1:39" s="29" customFormat="1">
      <c r="A34" s="33" t="s">
        <v>78</v>
      </c>
      <c r="B34" s="33" t="s">
        <v>79</v>
      </c>
      <c r="C34" s="33" t="s">
        <v>358</v>
      </c>
      <c r="D34" s="33" t="s">
        <v>359</v>
      </c>
      <c r="E34" s="33" t="s">
        <v>194</v>
      </c>
      <c r="F34" s="33" t="s">
        <v>362</v>
      </c>
      <c r="G34" s="36">
        <v>3230232</v>
      </c>
      <c r="H34" s="33" t="s">
        <v>149</v>
      </c>
      <c r="I34" s="33" t="s">
        <v>196</v>
      </c>
      <c r="J34" s="33" t="s">
        <v>83</v>
      </c>
      <c r="K34" s="33" t="s">
        <v>83</v>
      </c>
      <c r="L34" s="33" t="s">
        <v>185</v>
      </c>
      <c r="M34" s="33" t="s">
        <v>118</v>
      </c>
      <c r="N34" s="33" t="s">
        <v>197</v>
      </c>
      <c r="O34" s="33" t="s">
        <v>84</v>
      </c>
      <c r="P34" s="33" t="s">
        <v>345</v>
      </c>
      <c r="Q34" s="33" t="s">
        <v>86</v>
      </c>
      <c r="R34" s="33" t="s">
        <v>189</v>
      </c>
      <c r="S34" s="33" t="s">
        <v>87</v>
      </c>
      <c r="T34" s="37">
        <v>1.96</v>
      </c>
      <c r="U34" s="33" t="s">
        <v>363</v>
      </c>
      <c r="V34" s="38">
        <v>2.1499999999999998E-2</v>
      </c>
      <c r="W34" s="38">
        <v>1.9599999999999999E-2</v>
      </c>
      <c r="X34" s="33" t="s">
        <v>191</v>
      </c>
      <c r="Y34" s="33" t="s">
        <v>84</v>
      </c>
      <c r="Z34" s="37">
        <v>73566.080000000002</v>
      </c>
      <c r="AA34" s="37">
        <v>1</v>
      </c>
      <c r="AB34" s="37">
        <v>115.25</v>
      </c>
      <c r="AC34" s="37">
        <v>0</v>
      </c>
      <c r="AD34" s="37">
        <v>84.784899999999993</v>
      </c>
      <c r="AE34" s="33" t="s">
        <v>3</v>
      </c>
      <c r="AF34" s="33" t="s">
        <v>3</v>
      </c>
      <c r="AG34" s="33" t="s">
        <v>27</v>
      </c>
      <c r="AH34" s="38">
        <v>6.0899999999999996E-5</v>
      </c>
      <c r="AI34" s="38">
        <v>5.71E-4</v>
      </c>
      <c r="AJ34" s="38">
        <v>1.016E-4</v>
      </c>
      <c r="AK34" s="33" t="s">
        <v>3</v>
      </c>
      <c r="AL34" s="56" t="s">
        <v>4</v>
      </c>
      <c r="AM34" s="56" t="s">
        <v>1</v>
      </c>
    </row>
    <row r="35" spans="1:39" s="29" customFormat="1">
      <c r="A35" s="33" t="s">
        <v>78</v>
      </c>
      <c r="B35" s="33" t="s">
        <v>79</v>
      </c>
      <c r="C35" s="33" t="s">
        <v>358</v>
      </c>
      <c r="D35" s="33" t="s">
        <v>359</v>
      </c>
      <c r="E35" s="33" t="s">
        <v>194</v>
      </c>
      <c r="F35" s="33" t="s">
        <v>364</v>
      </c>
      <c r="G35" s="36">
        <v>3230273</v>
      </c>
      <c r="H35" s="33" t="s">
        <v>149</v>
      </c>
      <c r="I35" s="33" t="s">
        <v>196</v>
      </c>
      <c r="J35" s="33" t="s">
        <v>83</v>
      </c>
      <c r="K35" s="33" t="s">
        <v>83</v>
      </c>
      <c r="L35" s="33" t="s">
        <v>185</v>
      </c>
      <c r="M35" s="33" t="s">
        <v>118</v>
      </c>
      <c r="N35" s="33" t="s">
        <v>197</v>
      </c>
      <c r="O35" s="33" t="s">
        <v>84</v>
      </c>
      <c r="P35" s="33" t="s">
        <v>345</v>
      </c>
      <c r="Q35" s="33" t="s">
        <v>86</v>
      </c>
      <c r="R35" s="33" t="s">
        <v>189</v>
      </c>
      <c r="S35" s="33" t="s">
        <v>87</v>
      </c>
      <c r="T35" s="37">
        <v>4.07</v>
      </c>
      <c r="U35" s="33" t="s">
        <v>365</v>
      </c>
      <c r="V35" s="38">
        <v>2.2499999999999999E-2</v>
      </c>
      <c r="W35" s="38">
        <v>2.5099999999999997E-2</v>
      </c>
      <c r="X35" s="33" t="s">
        <v>191</v>
      </c>
      <c r="Y35" s="33" t="s">
        <v>84</v>
      </c>
      <c r="Z35" s="37">
        <v>206752.01</v>
      </c>
      <c r="AA35" s="37">
        <v>1</v>
      </c>
      <c r="AB35" s="37">
        <v>112.68</v>
      </c>
      <c r="AC35" s="37">
        <v>0</v>
      </c>
      <c r="AD35" s="37">
        <v>232.96816000000001</v>
      </c>
      <c r="AE35" s="33" t="s">
        <v>3</v>
      </c>
      <c r="AF35" s="33" t="s">
        <v>3</v>
      </c>
      <c r="AG35" s="33" t="s">
        <v>27</v>
      </c>
      <c r="AH35" s="38">
        <v>1.6349999999999999E-4</v>
      </c>
      <c r="AI35" s="38">
        <v>1.5689E-3</v>
      </c>
      <c r="AJ35" s="38">
        <v>2.7910000000000001E-4</v>
      </c>
      <c r="AK35" s="33" t="s">
        <v>3</v>
      </c>
      <c r="AL35" s="56" t="s">
        <v>4</v>
      </c>
      <c r="AM35" s="56" t="s">
        <v>1</v>
      </c>
    </row>
    <row r="36" spans="1:39" s="29" customFormat="1">
      <c r="A36" s="33" t="s">
        <v>78</v>
      </c>
      <c r="B36" s="33" t="s">
        <v>79</v>
      </c>
      <c r="C36" s="33" t="s">
        <v>358</v>
      </c>
      <c r="D36" s="33" t="s">
        <v>359</v>
      </c>
      <c r="E36" s="33" t="s">
        <v>194</v>
      </c>
      <c r="F36" s="33" t="s">
        <v>366</v>
      </c>
      <c r="G36" s="36">
        <v>3230372</v>
      </c>
      <c r="H36" s="33" t="s">
        <v>149</v>
      </c>
      <c r="I36" s="33" t="s">
        <v>196</v>
      </c>
      <c r="J36" s="33" t="s">
        <v>83</v>
      </c>
      <c r="K36" s="33" t="s">
        <v>83</v>
      </c>
      <c r="L36" s="33" t="s">
        <v>185</v>
      </c>
      <c r="M36" s="33" t="s">
        <v>118</v>
      </c>
      <c r="N36" s="33" t="s">
        <v>197</v>
      </c>
      <c r="O36" s="33" t="s">
        <v>84</v>
      </c>
      <c r="P36" s="33" t="s">
        <v>345</v>
      </c>
      <c r="Q36" s="33" t="s">
        <v>86</v>
      </c>
      <c r="R36" s="33" t="s">
        <v>189</v>
      </c>
      <c r="S36" s="33" t="s">
        <v>87</v>
      </c>
      <c r="T36" s="37">
        <v>3.99</v>
      </c>
      <c r="U36" s="33" t="s">
        <v>346</v>
      </c>
      <c r="V36" s="38">
        <v>6.5000000000000006E-3</v>
      </c>
      <c r="W36" s="38">
        <v>2.3300000000000001E-2</v>
      </c>
      <c r="X36" s="33" t="s">
        <v>191</v>
      </c>
      <c r="Y36" s="33" t="s">
        <v>84</v>
      </c>
      <c r="Z36" s="37">
        <v>48936.18</v>
      </c>
      <c r="AA36" s="37">
        <v>1</v>
      </c>
      <c r="AB36" s="37">
        <v>104.53</v>
      </c>
      <c r="AC36" s="37">
        <v>0</v>
      </c>
      <c r="AD36" s="37">
        <v>51.152979999999999</v>
      </c>
      <c r="AE36" s="33" t="s">
        <v>3</v>
      </c>
      <c r="AF36" s="33" t="s">
        <v>3</v>
      </c>
      <c r="AG36" s="33" t="s">
        <v>27</v>
      </c>
      <c r="AH36" s="38">
        <v>9.8200000000000002E-5</v>
      </c>
      <c r="AI36" s="38">
        <v>3.4450000000000003E-4</v>
      </c>
      <c r="AJ36" s="38">
        <v>6.1299999999999999E-5</v>
      </c>
      <c r="AK36" s="33" t="s">
        <v>3</v>
      </c>
      <c r="AL36" s="56" t="s">
        <v>4</v>
      </c>
      <c r="AM36" s="56" t="s">
        <v>1</v>
      </c>
    </row>
    <row r="37" spans="1:39" s="29" customFormat="1">
      <c r="A37" s="33" t="s">
        <v>78</v>
      </c>
      <c r="B37" s="33" t="s">
        <v>79</v>
      </c>
      <c r="C37" s="33" t="s">
        <v>358</v>
      </c>
      <c r="D37" s="33" t="s">
        <v>359</v>
      </c>
      <c r="E37" s="33" t="s">
        <v>194</v>
      </c>
      <c r="F37" s="33" t="s">
        <v>367</v>
      </c>
      <c r="G37" s="36">
        <v>3230398</v>
      </c>
      <c r="H37" s="33" t="s">
        <v>149</v>
      </c>
      <c r="I37" s="33" t="s">
        <v>196</v>
      </c>
      <c r="J37" s="33" t="s">
        <v>83</v>
      </c>
      <c r="K37" s="33" t="s">
        <v>83</v>
      </c>
      <c r="L37" s="33" t="s">
        <v>185</v>
      </c>
      <c r="M37" s="33" t="s">
        <v>118</v>
      </c>
      <c r="N37" s="33" t="s">
        <v>197</v>
      </c>
      <c r="O37" s="33" t="s">
        <v>84</v>
      </c>
      <c r="P37" s="33" t="s">
        <v>345</v>
      </c>
      <c r="Q37" s="33" t="s">
        <v>86</v>
      </c>
      <c r="R37" s="33" t="s">
        <v>189</v>
      </c>
      <c r="S37" s="33" t="s">
        <v>87</v>
      </c>
      <c r="T37" s="37">
        <v>4.76</v>
      </c>
      <c r="U37" s="33" t="s">
        <v>368</v>
      </c>
      <c r="V37" s="38">
        <v>1.43E-2</v>
      </c>
      <c r="W37" s="38">
        <v>2.6499999999999999E-2</v>
      </c>
      <c r="X37" s="33" t="s">
        <v>191</v>
      </c>
      <c r="Y37" s="33" t="s">
        <v>84</v>
      </c>
      <c r="Z37" s="37">
        <v>120000</v>
      </c>
      <c r="AA37" s="37">
        <v>1</v>
      </c>
      <c r="AB37" s="37">
        <v>105.95</v>
      </c>
      <c r="AC37" s="37">
        <v>0</v>
      </c>
      <c r="AD37" s="37">
        <v>127.14</v>
      </c>
      <c r="AE37" s="33" t="s">
        <v>3</v>
      </c>
      <c r="AF37" s="33" t="s">
        <v>3</v>
      </c>
      <c r="AG37" s="33" t="s">
        <v>27</v>
      </c>
      <c r="AH37" s="38">
        <v>1.0560000000000001E-4</v>
      </c>
      <c r="AI37" s="38">
        <v>8.5619999999999999E-4</v>
      </c>
      <c r="AJ37" s="38">
        <v>1.5230000000000002E-4</v>
      </c>
      <c r="AK37" s="33" t="s">
        <v>3</v>
      </c>
      <c r="AL37" s="56" t="s">
        <v>4</v>
      </c>
      <c r="AM37" s="56" t="s">
        <v>1</v>
      </c>
    </row>
    <row r="38" spans="1:39" s="29" customFormat="1">
      <c r="A38" s="33" t="s">
        <v>78</v>
      </c>
      <c r="B38" s="33" t="s">
        <v>79</v>
      </c>
      <c r="C38" s="33" t="s">
        <v>358</v>
      </c>
      <c r="D38" s="33" t="s">
        <v>359</v>
      </c>
      <c r="E38" s="33" t="s">
        <v>194</v>
      </c>
      <c r="F38" s="33" t="s">
        <v>369</v>
      </c>
      <c r="G38" s="36">
        <v>3230422</v>
      </c>
      <c r="H38" s="33" t="s">
        <v>149</v>
      </c>
      <c r="I38" s="33" t="s">
        <v>196</v>
      </c>
      <c r="J38" s="33" t="s">
        <v>83</v>
      </c>
      <c r="K38" s="33" t="s">
        <v>83</v>
      </c>
      <c r="L38" s="33" t="s">
        <v>185</v>
      </c>
      <c r="M38" s="33" t="s">
        <v>118</v>
      </c>
      <c r="N38" s="33" t="s">
        <v>197</v>
      </c>
      <c r="O38" s="33" t="s">
        <v>84</v>
      </c>
      <c r="P38" s="33" t="s">
        <v>345</v>
      </c>
      <c r="Q38" s="33" t="s">
        <v>86</v>
      </c>
      <c r="R38" s="33" t="s">
        <v>189</v>
      </c>
      <c r="S38" s="33" t="s">
        <v>87</v>
      </c>
      <c r="T38" s="37">
        <v>5.66</v>
      </c>
      <c r="U38" s="33" t="s">
        <v>370</v>
      </c>
      <c r="V38" s="38">
        <v>2.5000000000000001E-3</v>
      </c>
      <c r="W38" s="38">
        <v>2.7000000000000003E-2</v>
      </c>
      <c r="X38" s="33" t="s">
        <v>191</v>
      </c>
      <c r="Y38" s="33" t="s">
        <v>84</v>
      </c>
      <c r="Z38" s="37">
        <v>233360.1</v>
      </c>
      <c r="AA38" s="37">
        <v>1</v>
      </c>
      <c r="AB38" s="37">
        <v>95.66</v>
      </c>
      <c r="AC38" s="37">
        <v>0</v>
      </c>
      <c r="AD38" s="37">
        <v>223.23227</v>
      </c>
      <c r="AE38" s="33" t="s">
        <v>3</v>
      </c>
      <c r="AF38" s="33" t="s">
        <v>3</v>
      </c>
      <c r="AG38" s="33" t="s">
        <v>27</v>
      </c>
      <c r="AH38" s="38">
        <v>1.838E-4</v>
      </c>
      <c r="AI38" s="38">
        <v>1.5034E-3</v>
      </c>
      <c r="AJ38" s="38">
        <v>2.6739999999999999E-4</v>
      </c>
      <c r="AK38" s="33" t="s">
        <v>3</v>
      </c>
      <c r="AL38" s="56" t="s">
        <v>4</v>
      </c>
      <c r="AM38" s="56" t="s">
        <v>1</v>
      </c>
    </row>
    <row r="39" spans="1:39" s="29" customFormat="1">
      <c r="A39" s="33" t="s">
        <v>78</v>
      </c>
      <c r="B39" s="33" t="s">
        <v>79</v>
      </c>
      <c r="C39" s="33" t="s">
        <v>371</v>
      </c>
      <c r="D39" s="33" t="s">
        <v>372</v>
      </c>
      <c r="E39" s="33" t="s">
        <v>194</v>
      </c>
      <c r="F39" s="33" t="s">
        <v>373</v>
      </c>
      <c r="G39" s="36">
        <v>3900354</v>
      </c>
      <c r="H39" s="33" t="s">
        <v>149</v>
      </c>
      <c r="I39" s="33" t="s">
        <v>204</v>
      </c>
      <c r="J39" s="33" t="s">
        <v>83</v>
      </c>
      <c r="K39" s="33" t="s">
        <v>83</v>
      </c>
      <c r="L39" s="33" t="s">
        <v>185</v>
      </c>
      <c r="M39" s="33" t="s">
        <v>118</v>
      </c>
      <c r="N39" s="33" t="s">
        <v>197</v>
      </c>
      <c r="O39" s="33" t="s">
        <v>84</v>
      </c>
      <c r="P39" s="33" t="s">
        <v>374</v>
      </c>
      <c r="Q39" s="33" t="s">
        <v>86</v>
      </c>
      <c r="R39" s="33" t="s">
        <v>189</v>
      </c>
      <c r="S39" s="33" t="s">
        <v>87</v>
      </c>
      <c r="T39" s="37">
        <v>1.86</v>
      </c>
      <c r="U39" s="33" t="s">
        <v>375</v>
      </c>
      <c r="V39" s="38">
        <v>3.85E-2</v>
      </c>
      <c r="W39" s="38">
        <v>4.7599999999999996E-2</v>
      </c>
      <c r="X39" s="33" t="s">
        <v>191</v>
      </c>
      <c r="Y39" s="33" t="s">
        <v>84</v>
      </c>
      <c r="Z39" s="37">
        <v>100089.56</v>
      </c>
      <c r="AA39" s="37">
        <v>1</v>
      </c>
      <c r="AB39" s="37">
        <v>98.71</v>
      </c>
      <c r="AC39" s="37">
        <v>0</v>
      </c>
      <c r="AD39" s="37">
        <v>98.798400000000001</v>
      </c>
      <c r="AE39" s="33" t="s">
        <v>3</v>
      </c>
      <c r="AF39" s="33" t="s">
        <v>3</v>
      </c>
      <c r="AG39" s="33" t="s">
        <v>27</v>
      </c>
      <c r="AH39" s="38">
        <v>1.392E-4</v>
      </c>
      <c r="AI39" s="38">
        <v>6.6540000000000002E-4</v>
      </c>
      <c r="AJ39" s="38">
        <v>1.183E-4</v>
      </c>
      <c r="AK39" s="33" t="s">
        <v>3</v>
      </c>
      <c r="AL39" s="56" t="s">
        <v>4</v>
      </c>
      <c r="AM39" s="56" t="s">
        <v>1</v>
      </c>
    </row>
    <row r="40" spans="1:39" s="29" customFormat="1">
      <c r="A40" s="33" t="s">
        <v>78</v>
      </c>
      <c r="B40" s="33" t="s">
        <v>79</v>
      </c>
      <c r="C40" s="33" t="s">
        <v>371</v>
      </c>
      <c r="D40" s="33" t="s">
        <v>372</v>
      </c>
      <c r="E40" s="33" t="s">
        <v>194</v>
      </c>
      <c r="F40" s="33" t="s">
        <v>376</v>
      </c>
      <c r="G40" s="36">
        <v>1189414</v>
      </c>
      <c r="H40" s="33" t="s">
        <v>149</v>
      </c>
      <c r="I40" s="33" t="s">
        <v>196</v>
      </c>
      <c r="J40" s="33" t="s">
        <v>83</v>
      </c>
      <c r="K40" s="33" t="s">
        <v>83</v>
      </c>
      <c r="L40" s="33" t="s">
        <v>185</v>
      </c>
      <c r="M40" s="33" t="s">
        <v>118</v>
      </c>
      <c r="N40" s="33" t="s">
        <v>197</v>
      </c>
      <c r="O40" s="33" t="s">
        <v>84</v>
      </c>
      <c r="P40" s="33" t="s">
        <v>374</v>
      </c>
      <c r="Q40" s="33" t="s">
        <v>86</v>
      </c>
      <c r="R40" s="33" t="s">
        <v>189</v>
      </c>
      <c r="S40" s="33" t="s">
        <v>87</v>
      </c>
      <c r="T40" s="37">
        <v>7.44</v>
      </c>
      <c r="U40" s="33" t="s">
        <v>377</v>
      </c>
      <c r="V40" s="38">
        <v>2.5600000000000001E-2</v>
      </c>
      <c r="W40" s="38">
        <v>3.9599999999999996E-2</v>
      </c>
      <c r="X40" s="33" t="s">
        <v>191</v>
      </c>
      <c r="Y40" s="33" t="s">
        <v>84</v>
      </c>
      <c r="Z40" s="37">
        <v>30000</v>
      </c>
      <c r="AA40" s="37">
        <v>1</v>
      </c>
      <c r="AB40" s="37">
        <v>94.33</v>
      </c>
      <c r="AC40" s="37">
        <v>0</v>
      </c>
      <c r="AD40" s="37">
        <v>28.298999999999999</v>
      </c>
      <c r="AE40" s="33" t="s">
        <v>3</v>
      </c>
      <c r="AF40" s="33" t="s">
        <v>3</v>
      </c>
      <c r="AG40" s="33" t="s">
        <v>27</v>
      </c>
      <c r="AH40" s="38">
        <v>2.8500000000000002E-5</v>
      </c>
      <c r="AI40" s="38">
        <v>1.906E-4</v>
      </c>
      <c r="AJ40" s="38">
        <v>3.3899999999999997E-5</v>
      </c>
      <c r="AK40" s="33" t="s">
        <v>3</v>
      </c>
      <c r="AL40" s="56" t="s">
        <v>4</v>
      </c>
      <c r="AM40" s="56" t="s">
        <v>1</v>
      </c>
    </row>
    <row r="41" spans="1:39" s="29" customFormat="1">
      <c r="A41" s="33" t="s">
        <v>78</v>
      </c>
      <c r="B41" s="33" t="s">
        <v>79</v>
      </c>
      <c r="C41" s="33" t="s">
        <v>378</v>
      </c>
      <c r="D41" s="33" t="s">
        <v>379</v>
      </c>
      <c r="E41" s="33" t="s">
        <v>194</v>
      </c>
      <c r="F41" s="33" t="s">
        <v>380</v>
      </c>
      <c r="G41" s="36">
        <v>2300184</v>
      </c>
      <c r="H41" s="33" t="s">
        <v>149</v>
      </c>
      <c r="I41" s="33" t="s">
        <v>196</v>
      </c>
      <c r="J41" s="33" t="s">
        <v>83</v>
      </c>
      <c r="K41" s="33" t="s">
        <v>83</v>
      </c>
      <c r="L41" s="33" t="s">
        <v>185</v>
      </c>
      <c r="M41" s="33" t="s">
        <v>118</v>
      </c>
      <c r="N41" s="33" t="s">
        <v>332</v>
      </c>
      <c r="O41" s="33" t="s">
        <v>84</v>
      </c>
      <c r="P41" s="33" t="s">
        <v>374</v>
      </c>
      <c r="Q41" s="33" t="s">
        <v>86</v>
      </c>
      <c r="R41" s="33" t="s">
        <v>189</v>
      </c>
      <c r="S41" s="33" t="s">
        <v>87</v>
      </c>
      <c r="T41" s="37">
        <v>1.1499999999999999</v>
      </c>
      <c r="U41" s="33" t="s">
        <v>381</v>
      </c>
      <c r="V41" s="38">
        <v>2.2000000000000002E-2</v>
      </c>
      <c r="W41" s="38">
        <v>1.7500000000000002E-2</v>
      </c>
      <c r="X41" s="33" t="s">
        <v>191</v>
      </c>
      <c r="Y41" s="33" t="s">
        <v>84</v>
      </c>
      <c r="Z41" s="37">
        <v>0.6</v>
      </c>
      <c r="AA41" s="37">
        <v>1</v>
      </c>
      <c r="AB41" s="37">
        <v>113.35</v>
      </c>
      <c r="AC41" s="37">
        <v>0</v>
      </c>
      <c r="AD41" s="37">
        <v>6.8000000000000005E-4</v>
      </c>
      <c r="AE41" s="33" t="s">
        <v>3</v>
      </c>
      <c r="AF41" s="33" t="s">
        <v>3</v>
      </c>
      <c r="AG41" s="33" t="s">
        <v>27</v>
      </c>
      <c r="AH41" s="38">
        <v>0</v>
      </c>
      <c r="AI41" s="38">
        <v>0</v>
      </c>
      <c r="AJ41" s="38">
        <v>0</v>
      </c>
      <c r="AK41" s="33" t="s">
        <v>3</v>
      </c>
      <c r="AL41" s="56" t="s">
        <v>4</v>
      </c>
      <c r="AM41" s="56" t="s">
        <v>1</v>
      </c>
    </row>
    <row r="42" spans="1:39" s="29" customFormat="1">
      <c r="A42" s="33" t="s">
        <v>78</v>
      </c>
      <c r="B42" s="33" t="s">
        <v>79</v>
      </c>
      <c r="C42" s="33" t="s">
        <v>382</v>
      </c>
      <c r="D42" s="33" t="s">
        <v>383</v>
      </c>
      <c r="E42" s="33" t="s">
        <v>194</v>
      </c>
      <c r="F42" s="33" t="s">
        <v>384</v>
      </c>
      <c r="G42" s="36">
        <v>1192772</v>
      </c>
      <c r="H42" s="33" t="s">
        <v>149</v>
      </c>
      <c r="I42" s="33" t="s">
        <v>204</v>
      </c>
      <c r="J42" s="33" t="s">
        <v>83</v>
      </c>
      <c r="K42" s="33" t="s">
        <v>83</v>
      </c>
      <c r="L42" s="33" t="s">
        <v>185</v>
      </c>
      <c r="M42" s="33" t="s">
        <v>118</v>
      </c>
      <c r="N42" s="33" t="s">
        <v>255</v>
      </c>
      <c r="O42" s="33" t="s">
        <v>84</v>
      </c>
      <c r="P42" s="33" t="s">
        <v>374</v>
      </c>
      <c r="Q42" s="33" t="s">
        <v>86</v>
      </c>
      <c r="R42" s="33" t="s">
        <v>189</v>
      </c>
      <c r="S42" s="33" t="s">
        <v>87</v>
      </c>
      <c r="T42" s="37">
        <v>5.08</v>
      </c>
      <c r="U42" s="33" t="s">
        <v>385</v>
      </c>
      <c r="V42" s="38">
        <v>4.3799999999999999E-2</v>
      </c>
      <c r="W42" s="38">
        <v>4.9400000000000006E-2</v>
      </c>
      <c r="X42" s="33" t="s">
        <v>191</v>
      </c>
      <c r="Y42" s="33" t="s">
        <v>84</v>
      </c>
      <c r="Z42" s="37">
        <v>223500</v>
      </c>
      <c r="AA42" s="37">
        <v>1</v>
      </c>
      <c r="AB42" s="37">
        <v>98.59</v>
      </c>
      <c r="AC42" s="37">
        <v>0</v>
      </c>
      <c r="AD42" s="37">
        <v>220.34864999999999</v>
      </c>
      <c r="AE42" s="33" t="s">
        <v>3</v>
      </c>
      <c r="AF42" s="33" t="s">
        <v>3</v>
      </c>
      <c r="AG42" s="33" t="s">
        <v>27</v>
      </c>
      <c r="AH42" s="38">
        <v>4.4699999999999997E-4</v>
      </c>
      <c r="AI42" s="38">
        <v>1.4840000000000001E-3</v>
      </c>
      <c r="AJ42" s="38">
        <v>2.6390000000000002E-4</v>
      </c>
      <c r="AK42" s="33" t="s">
        <v>3</v>
      </c>
      <c r="AL42" s="56" t="s">
        <v>4</v>
      </c>
      <c r="AM42" s="56" t="s">
        <v>1</v>
      </c>
    </row>
    <row r="43" spans="1:39" s="29" customFormat="1">
      <c r="A43" s="33" t="s">
        <v>78</v>
      </c>
      <c r="B43" s="33" t="s">
        <v>79</v>
      </c>
      <c r="C43" s="33" t="s">
        <v>386</v>
      </c>
      <c r="D43" s="33" t="s">
        <v>387</v>
      </c>
      <c r="E43" s="33" t="s">
        <v>194</v>
      </c>
      <c r="F43" s="33" t="s">
        <v>388</v>
      </c>
      <c r="G43" s="36">
        <v>1172253</v>
      </c>
      <c r="H43" s="33" t="s">
        <v>149</v>
      </c>
      <c r="I43" s="33" t="s">
        <v>204</v>
      </c>
      <c r="J43" s="33" t="s">
        <v>83</v>
      </c>
      <c r="K43" s="33" t="s">
        <v>83</v>
      </c>
      <c r="L43" s="33" t="s">
        <v>185</v>
      </c>
      <c r="M43" s="33" t="s">
        <v>118</v>
      </c>
      <c r="N43" s="33" t="s">
        <v>389</v>
      </c>
      <c r="O43" s="33" t="s">
        <v>84</v>
      </c>
      <c r="P43" s="33" t="s">
        <v>374</v>
      </c>
      <c r="Q43" s="33" t="s">
        <v>86</v>
      </c>
      <c r="R43" s="33" t="s">
        <v>189</v>
      </c>
      <c r="S43" s="33" t="s">
        <v>87</v>
      </c>
      <c r="T43" s="37">
        <v>2.34</v>
      </c>
      <c r="U43" s="33" t="s">
        <v>390</v>
      </c>
      <c r="V43" s="38">
        <v>2.18E-2</v>
      </c>
      <c r="W43" s="38">
        <v>5.0300000000000004E-2</v>
      </c>
      <c r="X43" s="33" t="s">
        <v>191</v>
      </c>
      <c r="Y43" s="33" t="s">
        <v>84</v>
      </c>
      <c r="Z43" s="37">
        <v>120032.8</v>
      </c>
      <c r="AA43" s="37">
        <v>1</v>
      </c>
      <c r="AB43" s="37">
        <v>94.01</v>
      </c>
      <c r="AC43" s="37">
        <v>0</v>
      </c>
      <c r="AD43" s="37">
        <v>112.84283000000001</v>
      </c>
      <c r="AE43" s="33" t="s">
        <v>3</v>
      </c>
      <c r="AF43" s="33" t="s">
        <v>3</v>
      </c>
      <c r="AG43" s="33" t="s">
        <v>27</v>
      </c>
      <c r="AH43" s="38">
        <v>3.1530000000000002E-4</v>
      </c>
      <c r="AI43" s="38">
        <v>7.5989999999999999E-4</v>
      </c>
      <c r="AJ43" s="38">
        <v>1.3520000000000001E-4</v>
      </c>
      <c r="AK43" s="33" t="s">
        <v>3</v>
      </c>
      <c r="AL43" s="56" t="s">
        <v>4</v>
      </c>
      <c r="AM43" s="56" t="s">
        <v>1</v>
      </c>
    </row>
    <row r="44" spans="1:39" s="29" customFormat="1">
      <c r="A44" s="33" t="s">
        <v>78</v>
      </c>
      <c r="B44" s="33" t="s">
        <v>79</v>
      </c>
      <c r="C44" s="33" t="s">
        <v>391</v>
      </c>
      <c r="D44" s="33" t="s">
        <v>392</v>
      </c>
      <c r="E44" s="33" t="s">
        <v>194</v>
      </c>
      <c r="F44" s="33" t="s">
        <v>393</v>
      </c>
      <c r="G44" s="36">
        <v>1140607</v>
      </c>
      <c r="H44" s="33" t="s">
        <v>149</v>
      </c>
      <c r="I44" s="33" t="s">
        <v>196</v>
      </c>
      <c r="J44" s="33" t="s">
        <v>83</v>
      </c>
      <c r="K44" s="33" t="s">
        <v>83</v>
      </c>
      <c r="L44" s="33" t="s">
        <v>185</v>
      </c>
      <c r="M44" s="33" t="s">
        <v>118</v>
      </c>
      <c r="N44" s="33" t="s">
        <v>197</v>
      </c>
      <c r="O44" s="33" t="s">
        <v>84</v>
      </c>
      <c r="P44" s="33" t="s">
        <v>374</v>
      </c>
      <c r="Q44" s="33" t="s">
        <v>86</v>
      </c>
      <c r="R44" s="33" t="s">
        <v>189</v>
      </c>
      <c r="S44" s="33" t="s">
        <v>87</v>
      </c>
      <c r="T44" s="37">
        <v>1.69</v>
      </c>
      <c r="U44" s="33" t="s">
        <v>394</v>
      </c>
      <c r="V44" s="38">
        <v>2.1499999999999998E-2</v>
      </c>
      <c r="W44" s="38">
        <v>2.4799999999999999E-2</v>
      </c>
      <c r="X44" s="33" t="s">
        <v>191</v>
      </c>
      <c r="Y44" s="33" t="s">
        <v>84</v>
      </c>
      <c r="Z44" s="37">
        <v>205342</v>
      </c>
      <c r="AA44" s="37">
        <v>1</v>
      </c>
      <c r="AB44" s="37">
        <v>113.52</v>
      </c>
      <c r="AC44" s="37">
        <v>0</v>
      </c>
      <c r="AD44" s="37">
        <v>233.10423</v>
      </c>
      <c r="AE44" s="33" t="s">
        <v>3</v>
      </c>
      <c r="AF44" s="33" t="s">
        <v>3</v>
      </c>
      <c r="AG44" s="33" t="s">
        <v>27</v>
      </c>
      <c r="AH44" s="38">
        <v>1.0460000000000001E-4</v>
      </c>
      <c r="AI44" s="38">
        <v>1.5698999999999999E-3</v>
      </c>
      <c r="AJ44" s="38">
        <v>2.7920000000000001E-4</v>
      </c>
      <c r="AK44" s="33" t="s">
        <v>3</v>
      </c>
      <c r="AL44" s="56" t="s">
        <v>4</v>
      </c>
      <c r="AM44" s="56" t="s">
        <v>1</v>
      </c>
    </row>
    <row r="45" spans="1:39" s="29" customFormat="1">
      <c r="A45" s="33" t="s">
        <v>78</v>
      </c>
      <c r="B45" s="33" t="s">
        <v>79</v>
      </c>
      <c r="C45" s="33" t="s">
        <v>248</v>
      </c>
      <c r="D45" s="33" t="s">
        <v>249</v>
      </c>
      <c r="E45" s="33" t="s">
        <v>194</v>
      </c>
      <c r="F45" s="33" t="s">
        <v>395</v>
      </c>
      <c r="G45" s="36">
        <v>1178672</v>
      </c>
      <c r="H45" s="33" t="s">
        <v>149</v>
      </c>
      <c r="I45" s="33" t="s">
        <v>196</v>
      </c>
      <c r="J45" s="33" t="s">
        <v>83</v>
      </c>
      <c r="K45" s="33" t="s">
        <v>83</v>
      </c>
      <c r="L45" s="33" t="s">
        <v>185</v>
      </c>
      <c r="M45" s="33" t="s">
        <v>118</v>
      </c>
      <c r="N45" s="33" t="s">
        <v>197</v>
      </c>
      <c r="O45" s="33" t="s">
        <v>84</v>
      </c>
      <c r="P45" s="33" t="s">
        <v>85</v>
      </c>
      <c r="Q45" s="33" t="s">
        <v>86</v>
      </c>
      <c r="R45" s="33" t="s">
        <v>189</v>
      </c>
      <c r="S45" s="33" t="s">
        <v>87</v>
      </c>
      <c r="T45" s="37">
        <v>7.25</v>
      </c>
      <c r="U45" s="33" t="s">
        <v>396</v>
      </c>
      <c r="V45" s="38">
        <v>9.0000000000000011E-3</v>
      </c>
      <c r="W45" s="38">
        <v>2.9300000000000003E-2</v>
      </c>
      <c r="X45" s="33" t="s">
        <v>191</v>
      </c>
      <c r="Y45" s="33" t="s">
        <v>84</v>
      </c>
      <c r="Z45" s="37">
        <v>290000</v>
      </c>
      <c r="AA45" s="37">
        <v>1</v>
      </c>
      <c r="AB45" s="37">
        <v>95.37</v>
      </c>
      <c r="AC45" s="37">
        <v>0</v>
      </c>
      <c r="AD45" s="37">
        <v>276.57299999999998</v>
      </c>
      <c r="AE45" s="33" t="s">
        <v>3</v>
      </c>
      <c r="AF45" s="33" t="s">
        <v>3</v>
      </c>
      <c r="AG45" s="33" t="s">
        <v>27</v>
      </c>
      <c r="AH45" s="38">
        <v>1.125E-4</v>
      </c>
      <c r="AI45" s="38">
        <v>1.8626000000000001E-3</v>
      </c>
      <c r="AJ45" s="38">
        <v>3.3129999999999998E-4</v>
      </c>
      <c r="AK45" s="33" t="s">
        <v>3</v>
      </c>
      <c r="AL45" s="56" t="s">
        <v>4</v>
      </c>
      <c r="AM45" s="56" t="s">
        <v>1</v>
      </c>
    </row>
    <row r="46" spans="1:39" s="29" customFormat="1">
      <c r="A46" s="33" t="s">
        <v>78</v>
      </c>
      <c r="B46" s="33" t="s">
        <v>79</v>
      </c>
      <c r="C46" s="33" t="s">
        <v>397</v>
      </c>
      <c r="D46" s="33" t="s">
        <v>398</v>
      </c>
      <c r="E46" s="33" t="s">
        <v>194</v>
      </c>
      <c r="F46" s="33" t="s">
        <v>399</v>
      </c>
      <c r="G46" s="36">
        <v>1203157</v>
      </c>
      <c r="H46" s="33" t="s">
        <v>149</v>
      </c>
      <c r="I46" s="33" t="s">
        <v>196</v>
      </c>
      <c r="J46" s="33" t="s">
        <v>83</v>
      </c>
      <c r="K46" s="33" t="s">
        <v>83</v>
      </c>
      <c r="L46" s="33" t="s">
        <v>185</v>
      </c>
      <c r="M46" s="33" t="s">
        <v>118</v>
      </c>
      <c r="N46" s="33" t="s">
        <v>400</v>
      </c>
      <c r="O46" s="33" t="s">
        <v>84</v>
      </c>
      <c r="P46" s="33" t="s">
        <v>401</v>
      </c>
      <c r="Q46" s="33" t="s">
        <v>86</v>
      </c>
      <c r="R46" s="33" t="s">
        <v>189</v>
      </c>
      <c r="S46" s="33" t="s">
        <v>87</v>
      </c>
      <c r="T46" s="37">
        <v>5.61</v>
      </c>
      <c r="U46" s="33" t="s">
        <v>402</v>
      </c>
      <c r="V46" s="38">
        <v>2.1099999999999997E-2</v>
      </c>
      <c r="W46" s="38">
        <v>2.0099999999999996E-2</v>
      </c>
      <c r="X46" s="33" t="s">
        <v>191</v>
      </c>
      <c r="Y46" s="33" t="s">
        <v>84</v>
      </c>
      <c r="Z46" s="37">
        <v>80000</v>
      </c>
      <c r="AA46" s="37">
        <v>1</v>
      </c>
      <c r="AB46" s="37">
        <v>101.35</v>
      </c>
      <c r="AC46" s="37">
        <v>0</v>
      </c>
      <c r="AD46" s="37">
        <v>81.08</v>
      </c>
      <c r="AE46" s="33" t="s">
        <v>3</v>
      </c>
      <c r="AF46" s="33" t="s">
        <v>3</v>
      </c>
      <c r="AG46" s="33" t="s">
        <v>27</v>
      </c>
      <c r="AH46" s="38">
        <v>5.1100000000000002E-5</v>
      </c>
      <c r="AI46" s="38">
        <v>5.4600000000000004E-4</v>
      </c>
      <c r="AJ46" s="38">
        <v>9.7100000000000002E-5</v>
      </c>
      <c r="AK46" s="33" t="s">
        <v>3</v>
      </c>
      <c r="AL46" s="56" t="s">
        <v>4</v>
      </c>
      <c r="AM46" s="56" t="s">
        <v>1</v>
      </c>
    </row>
    <row r="47" spans="1:39" s="29" customFormat="1">
      <c r="A47" s="33" t="s">
        <v>78</v>
      </c>
      <c r="B47" s="33" t="s">
        <v>79</v>
      </c>
      <c r="C47" s="33" t="s">
        <v>403</v>
      </c>
      <c r="D47" s="33" t="s">
        <v>404</v>
      </c>
      <c r="E47" s="33" t="s">
        <v>194</v>
      </c>
      <c r="F47" s="33" t="s">
        <v>405</v>
      </c>
      <c r="G47" s="36">
        <v>1201839</v>
      </c>
      <c r="H47" s="33" t="s">
        <v>149</v>
      </c>
      <c r="I47" s="33" t="s">
        <v>196</v>
      </c>
      <c r="J47" s="33" t="s">
        <v>83</v>
      </c>
      <c r="K47" s="33" t="s">
        <v>83</v>
      </c>
      <c r="L47" s="33" t="s">
        <v>185</v>
      </c>
      <c r="M47" s="33" t="s">
        <v>118</v>
      </c>
      <c r="N47" s="33" t="s">
        <v>400</v>
      </c>
      <c r="O47" s="33" t="s">
        <v>84</v>
      </c>
      <c r="P47" s="33" t="s">
        <v>401</v>
      </c>
      <c r="Q47" s="33" t="s">
        <v>86</v>
      </c>
      <c r="R47" s="33" t="s">
        <v>189</v>
      </c>
      <c r="S47" s="33" t="s">
        <v>87</v>
      </c>
      <c r="T47" s="37">
        <v>5.53</v>
      </c>
      <c r="U47" s="33" t="s">
        <v>406</v>
      </c>
      <c r="V47" s="38">
        <v>2.0199999999999999E-2</v>
      </c>
      <c r="W47" s="38">
        <v>2.0499999999999997E-2</v>
      </c>
      <c r="X47" s="33" t="s">
        <v>191</v>
      </c>
      <c r="Y47" s="33" t="s">
        <v>84</v>
      </c>
      <c r="Z47" s="37">
        <v>230000</v>
      </c>
      <c r="AA47" s="37">
        <v>1</v>
      </c>
      <c r="AB47" s="37">
        <v>100.75</v>
      </c>
      <c r="AC47" s="37">
        <v>0</v>
      </c>
      <c r="AD47" s="37">
        <v>231.72499999999999</v>
      </c>
      <c r="AE47" s="33" t="s">
        <v>3</v>
      </c>
      <c r="AF47" s="33" t="s">
        <v>3</v>
      </c>
      <c r="AG47" s="33" t="s">
        <v>27</v>
      </c>
      <c r="AH47" s="38">
        <v>1.0829999999999999E-4</v>
      </c>
      <c r="AI47" s="38">
        <v>1.5606000000000001E-3</v>
      </c>
      <c r="AJ47" s="38">
        <v>2.7760000000000003E-4</v>
      </c>
      <c r="AK47" s="33" t="s">
        <v>3</v>
      </c>
      <c r="AL47" s="56" t="s">
        <v>4</v>
      </c>
      <c r="AM47" s="56" t="s">
        <v>1</v>
      </c>
    </row>
    <row r="48" spans="1:39" s="29" customFormat="1">
      <c r="A48" s="33" t="s">
        <v>78</v>
      </c>
      <c r="B48" s="33" t="s">
        <v>79</v>
      </c>
      <c r="C48" s="33" t="s">
        <v>407</v>
      </c>
      <c r="D48" s="33" t="s">
        <v>408</v>
      </c>
      <c r="E48" s="33" t="s">
        <v>194</v>
      </c>
      <c r="F48" s="33" t="s">
        <v>409</v>
      </c>
      <c r="G48" s="36">
        <v>1202142</v>
      </c>
      <c r="H48" s="33" t="s">
        <v>149</v>
      </c>
      <c r="I48" s="33" t="s">
        <v>196</v>
      </c>
      <c r="J48" s="33" t="s">
        <v>83</v>
      </c>
      <c r="K48" s="33" t="s">
        <v>83</v>
      </c>
      <c r="L48" s="33" t="s">
        <v>185</v>
      </c>
      <c r="M48" s="33" t="s">
        <v>118</v>
      </c>
      <c r="N48" s="33" t="s">
        <v>400</v>
      </c>
      <c r="O48" s="33" t="s">
        <v>84</v>
      </c>
      <c r="P48" s="33" t="s">
        <v>401</v>
      </c>
      <c r="Q48" s="33" t="s">
        <v>86</v>
      </c>
      <c r="R48" s="33" t="s">
        <v>189</v>
      </c>
      <c r="S48" s="33" t="s">
        <v>87</v>
      </c>
      <c r="T48" s="37">
        <v>4.92</v>
      </c>
      <c r="U48" s="33" t="s">
        <v>410</v>
      </c>
      <c r="V48" s="38">
        <v>1.9900000000000001E-2</v>
      </c>
      <c r="W48" s="38">
        <v>2.0099999999999996E-2</v>
      </c>
      <c r="X48" s="33" t="s">
        <v>191</v>
      </c>
      <c r="Y48" s="33" t="s">
        <v>84</v>
      </c>
      <c r="Z48" s="37">
        <v>100000</v>
      </c>
      <c r="AA48" s="37">
        <v>1</v>
      </c>
      <c r="AB48" s="37">
        <v>100.72</v>
      </c>
      <c r="AC48" s="37">
        <v>0</v>
      </c>
      <c r="AD48" s="37">
        <v>100.72</v>
      </c>
      <c r="AE48" s="33" t="s">
        <v>3</v>
      </c>
      <c r="AF48" s="33" t="s">
        <v>3</v>
      </c>
      <c r="AG48" s="33" t="s">
        <v>27</v>
      </c>
      <c r="AH48" s="38">
        <v>3.7000000000000005E-5</v>
      </c>
      <c r="AI48" s="38">
        <v>6.7830000000000006E-4</v>
      </c>
      <c r="AJ48" s="38">
        <v>1.2059999999999999E-4</v>
      </c>
      <c r="AK48" s="33" t="s">
        <v>3</v>
      </c>
      <c r="AL48" s="56" t="s">
        <v>4</v>
      </c>
      <c r="AM48" s="56" t="s">
        <v>1</v>
      </c>
    </row>
    <row r="49" spans="1:39" s="29" customFormat="1">
      <c r="A49" s="39">
        <v>1526</v>
      </c>
      <c r="B49" s="33" t="s">
        <v>79</v>
      </c>
      <c r="C49" s="33" t="s">
        <v>179</v>
      </c>
      <c r="D49" s="33" t="s">
        <v>180</v>
      </c>
      <c r="E49" s="33" t="s">
        <v>168</v>
      </c>
      <c r="F49" s="33" t="s">
        <v>181</v>
      </c>
      <c r="G49" s="33" t="s">
        <v>182</v>
      </c>
      <c r="H49" s="33" t="s">
        <v>183</v>
      </c>
      <c r="I49" s="33" t="s">
        <v>184</v>
      </c>
      <c r="J49" s="33" t="s">
        <v>148</v>
      </c>
      <c r="K49" s="33" t="s">
        <v>156</v>
      </c>
      <c r="L49" s="33" t="s">
        <v>185</v>
      </c>
      <c r="M49" s="33" t="s">
        <v>149</v>
      </c>
      <c r="N49" s="33" t="s">
        <v>186</v>
      </c>
      <c r="O49" s="33" t="s">
        <v>84</v>
      </c>
      <c r="P49" s="33" t="s">
        <v>187</v>
      </c>
      <c r="Q49" s="33" t="s">
        <v>188</v>
      </c>
      <c r="R49" s="33" t="s">
        <v>189</v>
      </c>
      <c r="S49" s="33" t="s">
        <v>91</v>
      </c>
      <c r="T49" s="37">
        <v>1.006</v>
      </c>
      <c r="U49" s="33" t="s">
        <v>190</v>
      </c>
      <c r="V49" s="38">
        <v>4.0800000000000003E-2</v>
      </c>
      <c r="W49" s="38">
        <v>6.0739999999999995E-2</v>
      </c>
      <c r="X49" s="33" t="s">
        <v>191</v>
      </c>
      <c r="Y49" s="33" t="s">
        <v>84</v>
      </c>
      <c r="Z49" s="37">
        <v>93000</v>
      </c>
      <c r="AA49" s="37">
        <v>3.681</v>
      </c>
      <c r="AB49" s="37">
        <v>100.25149</v>
      </c>
      <c r="AC49" s="37">
        <v>0</v>
      </c>
      <c r="AD49" s="37">
        <v>343.19396</v>
      </c>
      <c r="AE49" s="33" t="s">
        <v>3</v>
      </c>
      <c r="AF49" s="33" t="s">
        <v>3</v>
      </c>
      <c r="AG49" s="33" t="s">
        <v>27</v>
      </c>
      <c r="AH49" s="38">
        <v>3.1000000000000001E-5</v>
      </c>
      <c r="AI49" s="38">
        <v>2.3113000000000001E-3</v>
      </c>
      <c r="AJ49" s="38">
        <v>4.1110000000000002E-4</v>
      </c>
      <c r="AK49" s="36">
        <v>72896715</v>
      </c>
      <c r="AL49" s="56" t="s">
        <v>4</v>
      </c>
      <c r="AM49" s="56" t="s">
        <v>1</v>
      </c>
    </row>
    <row r="50" spans="1:39" s="29" customFormat="1">
      <c r="A50" s="33" t="s">
        <v>78</v>
      </c>
      <c r="B50" s="33" t="s">
        <v>79</v>
      </c>
      <c r="C50" s="33" t="s">
        <v>263</v>
      </c>
      <c r="D50" s="33" t="s">
        <v>264</v>
      </c>
      <c r="E50" s="33" t="s">
        <v>168</v>
      </c>
      <c r="F50" s="33" t="s">
        <v>265</v>
      </c>
      <c r="G50" s="33" t="s">
        <v>266</v>
      </c>
      <c r="H50" s="33" t="s">
        <v>183</v>
      </c>
      <c r="I50" s="33" t="s">
        <v>184</v>
      </c>
      <c r="J50" s="33" t="s">
        <v>148</v>
      </c>
      <c r="K50" s="33" t="s">
        <v>156</v>
      </c>
      <c r="L50" s="33" t="s">
        <v>185</v>
      </c>
      <c r="M50" s="33" t="s">
        <v>157</v>
      </c>
      <c r="N50" s="33" t="s">
        <v>267</v>
      </c>
      <c r="O50" s="33" t="s">
        <v>84</v>
      </c>
      <c r="P50" s="33" t="s">
        <v>268</v>
      </c>
      <c r="Q50" s="33" t="s">
        <v>188</v>
      </c>
      <c r="R50" s="33" t="s">
        <v>189</v>
      </c>
      <c r="S50" s="33" t="s">
        <v>91</v>
      </c>
      <c r="T50" s="37">
        <v>3.34</v>
      </c>
      <c r="U50" s="33" t="s">
        <v>269</v>
      </c>
      <c r="V50" s="38">
        <v>5.2499999999999998E-2</v>
      </c>
      <c r="W50" s="38">
        <v>4.8499999999999995E-2</v>
      </c>
      <c r="X50" s="33" t="s">
        <v>191</v>
      </c>
      <c r="Y50" s="33" t="s">
        <v>84</v>
      </c>
      <c r="Z50" s="37">
        <v>80000</v>
      </c>
      <c r="AA50" s="37">
        <v>3.681</v>
      </c>
      <c r="AB50" s="37">
        <v>102.14507999999999</v>
      </c>
      <c r="AC50" s="37">
        <v>0</v>
      </c>
      <c r="AD50" s="37">
        <v>300.79683</v>
      </c>
      <c r="AE50" s="33" t="s">
        <v>3</v>
      </c>
      <c r="AF50" s="33" t="s">
        <v>3</v>
      </c>
      <c r="AG50" s="33" t="s">
        <v>27</v>
      </c>
      <c r="AH50" s="38">
        <v>8.0000000000000007E-5</v>
      </c>
      <c r="AI50" s="38">
        <v>2.0257000000000001E-3</v>
      </c>
      <c r="AJ50" s="38">
        <v>3.6029999999999998E-4</v>
      </c>
      <c r="AK50" s="36">
        <v>72911860</v>
      </c>
      <c r="AL50" s="56" t="s">
        <v>4</v>
      </c>
      <c r="AM50" s="56" t="s">
        <v>1</v>
      </c>
    </row>
    <row r="51" spans="1:39" s="29" customFormat="1">
      <c r="A51" s="33" t="s">
        <v>78</v>
      </c>
      <c r="B51" s="33" t="s">
        <v>79</v>
      </c>
      <c r="C51" s="33" t="s">
        <v>270</v>
      </c>
      <c r="D51" s="33" t="s">
        <v>271</v>
      </c>
      <c r="E51" s="33" t="s">
        <v>168</v>
      </c>
      <c r="F51" s="33" t="s">
        <v>272</v>
      </c>
      <c r="G51" s="33" t="s">
        <v>273</v>
      </c>
      <c r="H51" s="33" t="s">
        <v>183</v>
      </c>
      <c r="I51" s="33" t="s">
        <v>184</v>
      </c>
      <c r="J51" s="33" t="s">
        <v>148</v>
      </c>
      <c r="K51" s="33" t="s">
        <v>156</v>
      </c>
      <c r="L51" s="33" t="s">
        <v>185</v>
      </c>
      <c r="M51" s="33" t="s">
        <v>157</v>
      </c>
      <c r="N51" s="33" t="s">
        <v>274</v>
      </c>
      <c r="O51" s="33" t="s">
        <v>84</v>
      </c>
      <c r="P51" s="33" t="s">
        <v>268</v>
      </c>
      <c r="Q51" s="33" t="s">
        <v>188</v>
      </c>
      <c r="R51" s="33" t="s">
        <v>189</v>
      </c>
      <c r="S51" s="33" t="s">
        <v>91</v>
      </c>
      <c r="T51" s="37">
        <v>0.95799999999999996</v>
      </c>
      <c r="U51" s="33" t="s">
        <v>275</v>
      </c>
      <c r="V51" s="38">
        <v>4.3499999999999997E-2</v>
      </c>
      <c r="W51" s="38">
        <v>5.5469999999999998E-2</v>
      </c>
      <c r="X51" s="33" t="s">
        <v>191</v>
      </c>
      <c r="Y51" s="33" t="s">
        <v>84</v>
      </c>
      <c r="Z51" s="37">
        <v>41000</v>
      </c>
      <c r="AA51" s="37">
        <v>3.681</v>
      </c>
      <c r="AB51" s="37">
        <v>98.779499999999999</v>
      </c>
      <c r="AC51" s="37">
        <v>0.88660000000000005</v>
      </c>
      <c r="AD51" s="37">
        <v>152.34280999999999</v>
      </c>
      <c r="AE51" s="33" t="s">
        <v>3</v>
      </c>
      <c r="AF51" s="33" t="s">
        <v>3</v>
      </c>
      <c r="AG51" s="33" t="s">
        <v>27</v>
      </c>
      <c r="AH51" s="38">
        <v>4.1E-5</v>
      </c>
      <c r="AI51" s="38">
        <v>1.026E-3</v>
      </c>
      <c r="AJ51" s="38">
        <v>1.8249999999999999E-4</v>
      </c>
      <c r="AK51" s="36">
        <v>71554216</v>
      </c>
      <c r="AL51" s="56" t="s">
        <v>4</v>
      </c>
      <c r="AM51" s="56" t="s">
        <v>1</v>
      </c>
    </row>
    <row r="52" spans="1:39" s="29" customFormat="1">
      <c r="A52" s="33" t="s">
        <v>78</v>
      </c>
      <c r="B52" s="33" t="s">
        <v>79</v>
      </c>
      <c r="C52" s="33" t="s">
        <v>276</v>
      </c>
      <c r="D52" s="33" t="s">
        <v>277</v>
      </c>
      <c r="E52" s="33" t="s">
        <v>168</v>
      </c>
      <c r="F52" s="33" t="s">
        <v>278</v>
      </c>
      <c r="G52" s="33" t="s">
        <v>279</v>
      </c>
      <c r="H52" s="33" t="s">
        <v>183</v>
      </c>
      <c r="I52" s="33" t="s">
        <v>184</v>
      </c>
      <c r="J52" s="33" t="s">
        <v>148</v>
      </c>
      <c r="K52" s="33" t="s">
        <v>156</v>
      </c>
      <c r="L52" s="33" t="s">
        <v>185</v>
      </c>
      <c r="M52" s="33" t="s">
        <v>157</v>
      </c>
      <c r="N52" s="33" t="s">
        <v>267</v>
      </c>
      <c r="O52" s="33" t="s">
        <v>84</v>
      </c>
      <c r="P52" s="33" t="s">
        <v>280</v>
      </c>
      <c r="Q52" s="33" t="s">
        <v>188</v>
      </c>
      <c r="R52" s="33" t="s">
        <v>189</v>
      </c>
      <c r="S52" s="33" t="s">
        <v>91</v>
      </c>
      <c r="T52" s="37">
        <v>1.7509999999999999</v>
      </c>
      <c r="U52" s="33" t="s">
        <v>281</v>
      </c>
      <c r="V52" s="38">
        <v>2.196E-2</v>
      </c>
      <c r="W52" s="38">
        <v>5.8339999999999996E-2</v>
      </c>
      <c r="X52" s="33" t="s">
        <v>191</v>
      </c>
      <c r="Y52" s="33" t="s">
        <v>84</v>
      </c>
      <c r="Z52" s="37">
        <v>87000</v>
      </c>
      <c r="AA52" s="37">
        <v>3.681</v>
      </c>
      <c r="AB52" s="37">
        <v>94.027289999999994</v>
      </c>
      <c r="AC52" s="37">
        <v>0</v>
      </c>
      <c r="AD52" s="37">
        <v>301.11959999999999</v>
      </c>
      <c r="AE52" s="33" t="s">
        <v>3</v>
      </c>
      <c r="AF52" s="33" t="s">
        <v>3</v>
      </c>
      <c r="AG52" s="33" t="s">
        <v>27</v>
      </c>
      <c r="AH52" s="38">
        <v>1.5800000000000001E-5</v>
      </c>
      <c r="AI52" s="38">
        <v>2.0279E-3</v>
      </c>
      <c r="AJ52" s="38">
        <v>3.6069999999999999E-4</v>
      </c>
      <c r="AK52" s="36">
        <v>72760531</v>
      </c>
      <c r="AL52" s="56" t="s">
        <v>4</v>
      </c>
      <c r="AM52" s="56" t="s">
        <v>1</v>
      </c>
    </row>
    <row r="53" spans="1:39" s="29" customFormat="1">
      <c r="A53" s="33" t="s">
        <v>78</v>
      </c>
      <c r="B53" s="33" t="s">
        <v>79</v>
      </c>
      <c r="C53" s="33" t="s">
        <v>282</v>
      </c>
      <c r="D53" s="33" t="s">
        <v>283</v>
      </c>
      <c r="E53" s="33" t="s">
        <v>168</v>
      </c>
      <c r="F53" s="33" t="s">
        <v>284</v>
      </c>
      <c r="G53" s="33" t="s">
        <v>285</v>
      </c>
      <c r="H53" s="33" t="s">
        <v>183</v>
      </c>
      <c r="I53" s="33" t="s">
        <v>184</v>
      </c>
      <c r="J53" s="33" t="s">
        <v>148</v>
      </c>
      <c r="K53" s="33" t="s">
        <v>156</v>
      </c>
      <c r="L53" s="33" t="s">
        <v>185</v>
      </c>
      <c r="M53" s="33" t="s">
        <v>157</v>
      </c>
      <c r="N53" s="33" t="s">
        <v>186</v>
      </c>
      <c r="O53" s="33" t="s">
        <v>84</v>
      </c>
      <c r="P53" s="33" t="s">
        <v>286</v>
      </c>
      <c r="Q53" s="33" t="s">
        <v>188</v>
      </c>
      <c r="R53" s="33" t="s">
        <v>189</v>
      </c>
      <c r="S53" s="33" t="s">
        <v>91</v>
      </c>
      <c r="T53" s="37">
        <v>0.14000000000000001</v>
      </c>
      <c r="U53" s="33" t="s">
        <v>287</v>
      </c>
      <c r="V53" s="38">
        <v>4.1399999999999999E-2</v>
      </c>
      <c r="W53" s="38">
        <v>6.6710000000000005E-2</v>
      </c>
      <c r="X53" s="33" t="s">
        <v>191</v>
      </c>
      <c r="Y53" s="33" t="s">
        <v>84</v>
      </c>
      <c r="Z53" s="37">
        <v>112000</v>
      </c>
      <c r="AA53" s="37">
        <v>3.681</v>
      </c>
      <c r="AB53" s="37">
        <v>101.19298999999999</v>
      </c>
      <c r="AC53" s="37">
        <v>0</v>
      </c>
      <c r="AD53" s="37">
        <v>417.19036</v>
      </c>
      <c r="AE53" s="33" t="s">
        <v>3</v>
      </c>
      <c r="AF53" s="33" t="s">
        <v>3</v>
      </c>
      <c r="AG53" s="33" t="s">
        <v>27</v>
      </c>
      <c r="AH53" s="38">
        <v>7.4599999999999997E-5</v>
      </c>
      <c r="AI53" s="38">
        <v>2.8095999999999998E-3</v>
      </c>
      <c r="AJ53" s="38">
        <v>4.9970000000000006E-4</v>
      </c>
      <c r="AK53" s="36">
        <v>72899750</v>
      </c>
      <c r="AL53" s="56" t="s">
        <v>4</v>
      </c>
      <c r="AM53" s="56" t="s">
        <v>1</v>
      </c>
    </row>
    <row r="54" spans="1:39" s="29" customFormat="1">
      <c r="A54" s="33" t="s">
        <v>78</v>
      </c>
      <c r="B54" s="33" t="s">
        <v>79</v>
      </c>
      <c r="C54" s="33" t="s">
        <v>288</v>
      </c>
      <c r="D54" s="33" t="s">
        <v>289</v>
      </c>
      <c r="E54" s="33" t="s">
        <v>168</v>
      </c>
      <c r="F54" s="33" t="s">
        <v>290</v>
      </c>
      <c r="G54" s="33" t="s">
        <v>291</v>
      </c>
      <c r="H54" s="33" t="s">
        <v>183</v>
      </c>
      <c r="I54" s="33" t="s">
        <v>184</v>
      </c>
      <c r="J54" s="33" t="s">
        <v>148</v>
      </c>
      <c r="K54" s="33" t="s">
        <v>156</v>
      </c>
      <c r="L54" s="33" t="s">
        <v>185</v>
      </c>
      <c r="M54" s="33" t="s">
        <v>157</v>
      </c>
      <c r="N54" s="33" t="s">
        <v>292</v>
      </c>
      <c r="O54" s="33" t="s">
        <v>84</v>
      </c>
      <c r="P54" s="33" t="s">
        <v>286</v>
      </c>
      <c r="Q54" s="33" t="s">
        <v>188</v>
      </c>
      <c r="R54" s="33" t="s">
        <v>189</v>
      </c>
      <c r="S54" s="33" t="s">
        <v>91</v>
      </c>
      <c r="T54" s="37">
        <v>1.4550000000000001</v>
      </c>
      <c r="U54" s="33" t="s">
        <v>293</v>
      </c>
      <c r="V54" s="38">
        <v>2.6000000000000002E-2</v>
      </c>
      <c r="W54" s="38">
        <v>5.3429999999999998E-2</v>
      </c>
      <c r="X54" s="33" t="s">
        <v>191</v>
      </c>
      <c r="Y54" s="33" t="s">
        <v>84</v>
      </c>
      <c r="Z54" s="37">
        <v>67000</v>
      </c>
      <c r="AA54" s="37">
        <v>3.681</v>
      </c>
      <c r="AB54" s="37">
        <v>97.150090000000006</v>
      </c>
      <c r="AC54" s="37">
        <v>0</v>
      </c>
      <c r="AD54" s="37">
        <v>239.59836000000001</v>
      </c>
      <c r="AE54" s="33" t="s">
        <v>3</v>
      </c>
      <c r="AF54" s="33" t="s">
        <v>3</v>
      </c>
      <c r="AG54" s="33" t="s">
        <v>27</v>
      </c>
      <c r="AH54" s="38">
        <v>1.34E-4</v>
      </c>
      <c r="AI54" s="38">
        <v>1.6136E-3</v>
      </c>
      <c r="AJ54" s="38">
        <v>2.8699999999999998E-4</v>
      </c>
      <c r="AK54" s="36">
        <v>72161367</v>
      </c>
      <c r="AL54" s="56" t="s">
        <v>4</v>
      </c>
      <c r="AM54" s="56" t="s">
        <v>1</v>
      </c>
    </row>
    <row r="55" spans="1:39" s="29" customFormat="1">
      <c r="A55" s="33" t="s">
        <v>78</v>
      </c>
      <c r="B55" s="33" t="s">
        <v>94</v>
      </c>
      <c r="C55" s="33" t="s">
        <v>192</v>
      </c>
      <c r="D55" s="33" t="s">
        <v>193</v>
      </c>
      <c r="E55" s="33" t="s">
        <v>194</v>
      </c>
      <c r="F55" s="33" t="s">
        <v>195</v>
      </c>
      <c r="G55" s="36">
        <v>1139849</v>
      </c>
      <c r="H55" s="33" t="s">
        <v>149</v>
      </c>
      <c r="I55" s="33" t="s">
        <v>196</v>
      </c>
      <c r="J55" s="33" t="s">
        <v>83</v>
      </c>
      <c r="K55" s="33" t="s">
        <v>83</v>
      </c>
      <c r="L55" s="33" t="s">
        <v>185</v>
      </c>
      <c r="M55" s="33" t="s">
        <v>118</v>
      </c>
      <c r="N55" s="33" t="s">
        <v>197</v>
      </c>
      <c r="O55" s="33" t="s">
        <v>84</v>
      </c>
      <c r="P55" s="33" t="s">
        <v>198</v>
      </c>
      <c r="Q55" s="33" t="s">
        <v>199</v>
      </c>
      <c r="R55" s="33" t="s">
        <v>189</v>
      </c>
      <c r="S55" s="33" t="s">
        <v>87</v>
      </c>
      <c r="T55" s="37">
        <v>1.64</v>
      </c>
      <c r="U55" s="33" t="s">
        <v>200</v>
      </c>
      <c r="V55" s="38">
        <v>2.5000000000000001E-2</v>
      </c>
      <c r="W55" s="38">
        <v>2.4700000000000003E-2</v>
      </c>
      <c r="X55" s="33" t="s">
        <v>191</v>
      </c>
      <c r="Y55" s="33" t="s">
        <v>84</v>
      </c>
      <c r="Z55" s="37">
        <v>57794.29</v>
      </c>
      <c r="AA55" s="37">
        <v>1</v>
      </c>
      <c r="AB55" s="37">
        <v>113.86</v>
      </c>
      <c r="AC55" s="37">
        <v>0</v>
      </c>
      <c r="AD55" s="37">
        <v>65.804569999999998</v>
      </c>
      <c r="AE55" s="33" t="s">
        <v>3</v>
      </c>
      <c r="AF55" s="33" t="s">
        <v>3</v>
      </c>
      <c r="AG55" s="33" t="s">
        <v>27</v>
      </c>
      <c r="AH55" s="38">
        <v>1.749E-4</v>
      </c>
      <c r="AI55" s="38">
        <v>4.4319999999999999E-4</v>
      </c>
      <c r="AJ55" s="38">
        <v>7.8800000000000004E-5</v>
      </c>
      <c r="AK55" s="33" t="s">
        <v>3</v>
      </c>
      <c r="AL55" s="56" t="s">
        <v>4</v>
      </c>
      <c r="AM55" s="56" t="s">
        <v>1</v>
      </c>
    </row>
    <row r="56" spans="1:39" s="29" customFormat="1">
      <c r="A56" s="33" t="s">
        <v>78</v>
      </c>
      <c r="B56" s="33" t="s">
        <v>94</v>
      </c>
      <c r="C56" s="33" t="s">
        <v>201</v>
      </c>
      <c r="D56" s="33" t="s">
        <v>202</v>
      </c>
      <c r="E56" s="33" t="s">
        <v>194</v>
      </c>
      <c r="F56" s="33" t="s">
        <v>203</v>
      </c>
      <c r="G56" s="36">
        <v>1168368</v>
      </c>
      <c r="H56" s="33" t="s">
        <v>149</v>
      </c>
      <c r="I56" s="33" t="s">
        <v>204</v>
      </c>
      <c r="J56" s="33" t="s">
        <v>83</v>
      </c>
      <c r="K56" s="33" t="s">
        <v>83</v>
      </c>
      <c r="L56" s="33" t="s">
        <v>185</v>
      </c>
      <c r="M56" s="33" t="s">
        <v>118</v>
      </c>
      <c r="N56" s="33" t="s">
        <v>205</v>
      </c>
      <c r="O56" s="33" t="s">
        <v>84</v>
      </c>
      <c r="P56" s="33" t="s">
        <v>198</v>
      </c>
      <c r="Q56" s="33" t="s">
        <v>199</v>
      </c>
      <c r="R56" s="33" t="s">
        <v>189</v>
      </c>
      <c r="S56" s="33" t="s">
        <v>87</v>
      </c>
      <c r="T56" s="37">
        <v>2.5499999999999998</v>
      </c>
      <c r="U56" s="33" t="s">
        <v>206</v>
      </c>
      <c r="V56" s="38">
        <v>2.58E-2</v>
      </c>
      <c r="W56" s="38">
        <v>5.2600000000000001E-2</v>
      </c>
      <c r="X56" s="33" t="s">
        <v>191</v>
      </c>
      <c r="Y56" s="33" t="s">
        <v>84</v>
      </c>
      <c r="Z56" s="37">
        <v>92000</v>
      </c>
      <c r="AA56" s="37">
        <v>1</v>
      </c>
      <c r="AB56" s="37">
        <v>94.23</v>
      </c>
      <c r="AC56" s="37">
        <v>0</v>
      </c>
      <c r="AD56" s="37">
        <v>86.691599999999994</v>
      </c>
      <c r="AE56" s="33" t="s">
        <v>3</v>
      </c>
      <c r="AF56" s="33" t="s">
        <v>3</v>
      </c>
      <c r="AG56" s="33" t="s">
        <v>27</v>
      </c>
      <c r="AH56" s="38">
        <v>3.4320000000000005E-4</v>
      </c>
      <c r="AI56" s="38">
        <v>5.8379999999999999E-4</v>
      </c>
      <c r="AJ56" s="38">
        <v>1.038E-4</v>
      </c>
      <c r="AK56" s="33" t="s">
        <v>3</v>
      </c>
      <c r="AL56" s="56" t="s">
        <v>4</v>
      </c>
      <c r="AM56" s="56" t="s">
        <v>1</v>
      </c>
    </row>
    <row r="57" spans="1:39" s="29" customFormat="1">
      <c r="A57" s="33" t="s">
        <v>78</v>
      </c>
      <c r="B57" s="33" t="s">
        <v>94</v>
      </c>
      <c r="C57" s="33" t="s">
        <v>411</v>
      </c>
      <c r="D57" s="33" t="s">
        <v>412</v>
      </c>
      <c r="E57" s="33" t="s">
        <v>194</v>
      </c>
      <c r="F57" s="33" t="s">
        <v>413</v>
      </c>
      <c r="G57" s="36">
        <v>1141332</v>
      </c>
      <c r="H57" s="33" t="s">
        <v>149</v>
      </c>
      <c r="I57" s="33" t="s">
        <v>184</v>
      </c>
      <c r="J57" s="33" t="s">
        <v>83</v>
      </c>
      <c r="K57" s="33" t="s">
        <v>83</v>
      </c>
      <c r="L57" s="33" t="s">
        <v>185</v>
      </c>
      <c r="M57" s="33" t="s">
        <v>118</v>
      </c>
      <c r="N57" s="33" t="s">
        <v>414</v>
      </c>
      <c r="O57" s="33" t="s">
        <v>84</v>
      </c>
      <c r="P57" s="33" t="s">
        <v>198</v>
      </c>
      <c r="Q57" s="33" t="s">
        <v>199</v>
      </c>
      <c r="R57" s="33" t="s">
        <v>189</v>
      </c>
      <c r="S57" s="33" t="s">
        <v>87</v>
      </c>
      <c r="T57" s="37">
        <v>3.29</v>
      </c>
      <c r="U57" s="33" t="s">
        <v>415</v>
      </c>
      <c r="V57" s="38">
        <v>4.6900000000000004E-2</v>
      </c>
      <c r="W57" s="38">
        <v>6.9000000000000006E-2</v>
      </c>
      <c r="X57" s="33" t="s">
        <v>191</v>
      </c>
      <c r="Y57" s="33" t="s">
        <v>84</v>
      </c>
      <c r="Z57" s="37">
        <v>88489.88</v>
      </c>
      <c r="AA57" s="37">
        <v>1</v>
      </c>
      <c r="AB57" s="37">
        <v>98.27</v>
      </c>
      <c r="AC57" s="37">
        <v>0</v>
      </c>
      <c r="AD57" s="37">
        <v>86.959000000000003</v>
      </c>
      <c r="AE57" s="33" t="s">
        <v>3</v>
      </c>
      <c r="AF57" s="33" t="s">
        <v>3</v>
      </c>
      <c r="AG57" s="33" t="s">
        <v>27</v>
      </c>
      <c r="AH57" s="38">
        <v>6.2899999999999997E-5</v>
      </c>
      <c r="AI57" s="38">
        <v>5.8560000000000003E-4</v>
      </c>
      <c r="AJ57" s="38">
        <v>1.042E-4</v>
      </c>
      <c r="AK57" s="33" t="s">
        <v>3</v>
      </c>
      <c r="AL57" s="56" t="s">
        <v>4</v>
      </c>
      <c r="AM57" s="56" t="s">
        <v>1</v>
      </c>
    </row>
    <row r="58" spans="1:39" s="29" customFormat="1">
      <c r="A58" s="33" t="s">
        <v>78</v>
      </c>
      <c r="B58" s="33" t="s">
        <v>94</v>
      </c>
      <c r="C58" s="33" t="s">
        <v>212</v>
      </c>
      <c r="D58" s="33" t="s">
        <v>213</v>
      </c>
      <c r="E58" s="33" t="s">
        <v>194</v>
      </c>
      <c r="F58" s="33" t="s">
        <v>218</v>
      </c>
      <c r="G58" s="36">
        <v>7200173</v>
      </c>
      <c r="H58" s="33" t="s">
        <v>149</v>
      </c>
      <c r="I58" s="33" t="s">
        <v>204</v>
      </c>
      <c r="J58" s="33" t="s">
        <v>83</v>
      </c>
      <c r="K58" s="33" t="s">
        <v>83</v>
      </c>
      <c r="L58" s="33" t="s">
        <v>185</v>
      </c>
      <c r="M58" s="33" t="s">
        <v>118</v>
      </c>
      <c r="N58" s="33" t="s">
        <v>215</v>
      </c>
      <c r="O58" s="33" t="s">
        <v>84</v>
      </c>
      <c r="P58" s="33" t="s">
        <v>216</v>
      </c>
      <c r="Q58" s="33" t="s">
        <v>199</v>
      </c>
      <c r="R58" s="33" t="s">
        <v>189</v>
      </c>
      <c r="S58" s="33" t="s">
        <v>87</v>
      </c>
      <c r="T58" s="37">
        <v>1.99</v>
      </c>
      <c r="U58" s="33" t="s">
        <v>219</v>
      </c>
      <c r="V58" s="38">
        <v>3.4500000000000003E-2</v>
      </c>
      <c r="W58" s="38">
        <v>5.0499999999999996E-2</v>
      </c>
      <c r="X58" s="33" t="s">
        <v>191</v>
      </c>
      <c r="Y58" s="33" t="s">
        <v>84</v>
      </c>
      <c r="Z58" s="37">
        <v>123675</v>
      </c>
      <c r="AA58" s="37">
        <v>1</v>
      </c>
      <c r="AB58" s="37">
        <v>97.31</v>
      </c>
      <c r="AC58" s="37">
        <v>0</v>
      </c>
      <c r="AD58" s="37">
        <v>120.34814</v>
      </c>
      <c r="AE58" s="33" t="s">
        <v>3</v>
      </c>
      <c r="AF58" s="33" t="s">
        <v>3</v>
      </c>
      <c r="AG58" s="33" t="s">
        <v>27</v>
      </c>
      <c r="AH58" s="38">
        <v>1.6969999999999998E-4</v>
      </c>
      <c r="AI58" s="38">
        <v>8.1050000000000002E-4</v>
      </c>
      <c r="AJ58" s="38">
        <v>1.4420000000000001E-4</v>
      </c>
      <c r="AK58" s="33" t="s">
        <v>3</v>
      </c>
      <c r="AL58" s="56" t="s">
        <v>4</v>
      </c>
      <c r="AM58" s="56" t="s">
        <v>1</v>
      </c>
    </row>
    <row r="59" spans="1:39" s="29" customFormat="1">
      <c r="A59" s="33" t="s">
        <v>78</v>
      </c>
      <c r="B59" s="33" t="s">
        <v>94</v>
      </c>
      <c r="C59" s="33" t="s">
        <v>220</v>
      </c>
      <c r="D59" s="33" t="s">
        <v>221</v>
      </c>
      <c r="E59" s="33" t="s">
        <v>194</v>
      </c>
      <c r="F59" s="33" t="s">
        <v>222</v>
      </c>
      <c r="G59" s="36">
        <v>1157700</v>
      </c>
      <c r="H59" s="33" t="s">
        <v>149</v>
      </c>
      <c r="I59" s="33" t="s">
        <v>204</v>
      </c>
      <c r="J59" s="33" t="s">
        <v>83</v>
      </c>
      <c r="K59" s="33" t="s">
        <v>83</v>
      </c>
      <c r="L59" s="33" t="s">
        <v>185</v>
      </c>
      <c r="M59" s="33" t="s">
        <v>118</v>
      </c>
      <c r="N59" s="33" t="s">
        <v>223</v>
      </c>
      <c r="O59" s="33" t="s">
        <v>84</v>
      </c>
      <c r="P59" s="33" t="s">
        <v>216</v>
      </c>
      <c r="Q59" s="33" t="s">
        <v>199</v>
      </c>
      <c r="R59" s="33" t="s">
        <v>189</v>
      </c>
      <c r="S59" s="33" t="s">
        <v>87</v>
      </c>
      <c r="T59" s="37">
        <v>1.91</v>
      </c>
      <c r="U59" s="33" t="s">
        <v>224</v>
      </c>
      <c r="V59" s="38">
        <v>3.2899999999999999E-2</v>
      </c>
      <c r="W59" s="38">
        <v>5.16E-2</v>
      </c>
      <c r="X59" s="33" t="s">
        <v>191</v>
      </c>
      <c r="Y59" s="33" t="s">
        <v>84</v>
      </c>
      <c r="Z59" s="37">
        <v>42000</v>
      </c>
      <c r="AA59" s="37">
        <v>1</v>
      </c>
      <c r="AB59" s="37">
        <v>96.66</v>
      </c>
      <c r="AC59" s="37">
        <v>0</v>
      </c>
      <c r="AD59" s="37">
        <v>40.597200000000001</v>
      </c>
      <c r="AE59" s="33" t="s">
        <v>3</v>
      </c>
      <c r="AF59" s="33" t="s">
        <v>3</v>
      </c>
      <c r="AG59" s="33" t="s">
        <v>27</v>
      </c>
      <c r="AH59" s="38">
        <v>8.6099999999999992E-5</v>
      </c>
      <c r="AI59" s="38">
        <v>2.7339999999999998E-4</v>
      </c>
      <c r="AJ59" s="38">
        <v>4.8599999999999995E-5</v>
      </c>
      <c r="AK59" s="33" t="s">
        <v>3</v>
      </c>
      <c r="AL59" s="56" t="s">
        <v>4</v>
      </c>
      <c r="AM59" s="56" t="s">
        <v>1</v>
      </c>
    </row>
    <row r="60" spans="1:39" s="29" customFormat="1">
      <c r="A60" s="33" t="s">
        <v>78</v>
      </c>
      <c r="B60" s="33" t="s">
        <v>94</v>
      </c>
      <c r="C60" s="33" t="s">
        <v>225</v>
      </c>
      <c r="D60" s="33" t="s">
        <v>226</v>
      </c>
      <c r="E60" s="33" t="s">
        <v>194</v>
      </c>
      <c r="F60" s="33" t="s">
        <v>227</v>
      </c>
      <c r="G60" s="36">
        <v>1141852</v>
      </c>
      <c r="H60" s="33" t="s">
        <v>149</v>
      </c>
      <c r="I60" s="33" t="s">
        <v>204</v>
      </c>
      <c r="J60" s="33" t="s">
        <v>83</v>
      </c>
      <c r="K60" s="33" t="s">
        <v>83</v>
      </c>
      <c r="L60" s="33" t="s">
        <v>185</v>
      </c>
      <c r="M60" s="33" t="s">
        <v>118</v>
      </c>
      <c r="N60" s="33" t="s">
        <v>228</v>
      </c>
      <c r="O60" s="33" t="s">
        <v>84</v>
      </c>
      <c r="P60" s="33" t="s">
        <v>216</v>
      </c>
      <c r="Q60" s="33" t="s">
        <v>199</v>
      </c>
      <c r="R60" s="33" t="s">
        <v>189</v>
      </c>
      <c r="S60" s="33" t="s">
        <v>87</v>
      </c>
      <c r="T60" s="37">
        <v>2.15</v>
      </c>
      <c r="U60" s="33" t="s">
        <v>229</v>
      </c>
      <c r="V60" s="38">
        <v>2.6499999999999999E-2</v>
      </c>
      <c r="W60" s="38">
        <v>5.3099999999999994E-2</v>
      </c>
      <c r="X60" s="33" t="s">
        <v>191</v>
      </c>
      <c r="Y60" s="33" t="s">
        <v>84</v>
      </c>
      <c r="Z60" s="37">
        <v>58277.14</v>
      </c>
      <c r="AA60" s="37">
        <v>1</v>
      </c>
      <c r="AB60" s="37">
        <v>94.87</v>
      </c>
      <c r="AC60" s="37">
        <v>0</v>
      </c>
      <c r="AD60" s="37">
        <v>55.287520000000001</v>
      </c>
      <c r="AE60" s="33" t="s">
        <v>3</v>
      </c>
      <c r="AF60" s="33" t="s">
        <v>3</v>
      </c>
      <c r="AG60" s="33" t="s">
        <v>27</v>
      </c>
      <c r="AH60" s="38">
        <v>9.48E-5</v>
      </c>
      <c r="AI60" s="38">
        <v>3.723E-4</v>
      </c>
      <c r="AJ60" s="38">
        <v>6.6199999999999996E-5</v>
      </c>
      <c r="AK60" s="33" t="s">
        <v>3</v>
      </c>
      <c r="AL60" s="56" t="s">
        <v>4</v>
      </c>
      <c r="AM60" s="56" t="s">
        <v>1</v>
      </c>
    </row>
    <row r="61" spans="1:39" s="29" customFormat="1">
      <c r="A61" s="33" t="s">
        <v>78</v>
      </c>
      <c r="B61" s="33" t="s">
        <v>94</v>
      </c>
      <c r="C61" s="33" t="s">
        <v>230</v>
      </c>
      <c r="D61" s="33" t="s">
        <v>231</v>
      </c>
      <c r="E61" s="33" t="s">
        <v>194</v>
      </c>
      <c r="F61" s="33" t="s">
        <v>232</v>
      </c>
      <c r="G61" s="36">
        <v>1150812</v>
      </c>
      <c r="H61" s="33" t="s">
        <v>149</v>
      </c>
      <c r="I61" s="33" t="s">
        <v>204</v>
      </c>
      <c r="J61" s="33" t="s">
        <v>83</v>
      </c>
      <c r="K61" s="33" t="s">
        <v>83</v>
      </c>
      <c r="L61" s="33" t="s">
        <v>185</v>
      </c>
      <c r="M61" s="33" t="s">
        <v>118</v>
      </c>
      <c r="N61" s="33" t="s">
        <v>233</v>
      </c>
      <c r="O61" s="33" t="s">
        <v>84</v>
      </c>
      <c r="P61" s="33" t="s">
        <v>216</v>
      </c>
      <c r="Q61" s="33" t="s">
        <v>199</v>
      </c>
      <c r="R61" s="33" t="s">
        <v>189</v>
      </c>
      <c r="S61" s="33" t="s">
        <v>87</v>
      </c>
      <c r="T61" s="37">
        <v>1.44</v>
      </c>
      <c r="U61" s="33" t="s">
        <v>234</v>
      </c>
      <c r="V61" s="38">
        <v>3.2500000000000001E-2</v>
      </c>
      <c r="W61" s="38">
        <v>5.1900000000000002E-2</v>
      </c>
      <c r="X61" s="33" t="s">
        <v>191</v>
      </c>
      <c r="Y61" s="33" t="s">
        <v>84</v>
      </c>
      <c r="Z61" s="37">
        <v>32616.799999999999</v>
      </c>
      <c r="AA61" s="37">
        <v>1</v>
      </c>
      <c r="AB61" s="37">
        <v>98.17</v>
      </c>
      <c r="AC61" s="37">
        <v>0</v>
      </c>
      <c r="AD61" s="37">
        <v>32.019910000000003</v>
      </c>
      <c r="AE61" s="33" t="s">
        <v>3</v>
      </c>
      <c r="AF61" s="33" t="s">
        <v>3</v>
      </c>
      <c r="AG61" s="33" t="s">
        <v>27</v>
      </c>
      <c r="AH61" s="38">
        <v>1.0290000000000001E-4</v>
      </c>
      <c r="AI61" s="38">
        <v>2.1559999999999998E-4</v>
      </c>
      <c r="AJ61" s="38">
        <v>3.8399999999999998E-5</v>
      </c>
      <c r="AK61" s="33" t="s">
        <v>3</v>
      </c>
      <c r="AL61" s="56" t="s">
        <v>4</v>
      </c>
      <c r="AM61" s="56" t="s">
        <v>1</v>
      </c>
    </row>
    <row r="62" spans="1:39" s="29" customFormat="1">
      <c r="A62" s="33" t="s">
        <v>78</v>
      </c>
      <c r="B62" s="33" t="s">
        <v>94</v>
      </c>
      <c r="C62" s="33" t="s">
        <v>235</v>
      </c>
      <c r="D62" s="33" t="s">
        <v>236</v>
      </c>
      <c r="E62" s="33" t="s">
        <v>194</v>
      </c>
      <c r="F62" s="33" t="s">
        <v>237</v>
      </c>
      <c r="G62" s="36">
        <v>1199488</v>
      </c>
      <c r="H62" s="33" t="s">
        <v>149</v>
      </c>
      <c r="I62" s="33" t="s">
        <v>204</v>
      </c>
      <c r="J62" s="33" t="s">
        <v>83</v>
      </c>
      <c r="K62" s="33" t="s">
        <v>83</v>
      </c>
      <c r="L62" s="33" t="s">
        <v>185</v>
      </c>
      <c r="M62" s="33" t="s">
        <v>118</v>
      </c>
      <c r="N62" s="33" t="s">
        <v>223</v>
      </c>
      <c r="O62" s="33" t="s">
        <v>84</v>
      </c>
      <c r="P62" s="33" t="s">
        <v>238</v>
      </c>
      <c r="Q62" s="33" t="s">
        <v>199</v>
      </c>
      <c r="R62" s="33" t="s">
        <v>189</v>
      </c>
      <c r="S62" s="33" t="s">
        <v>87</v>
      </c>
      <c r="T62" s="37">
        <v>3.07</v>
      </c>
      <c r="U62" s="33" t="s">
        <v>239</v>
      </c>
      <c r="V62" s="38">
        <v>7.2499999999999995E-2</v>
      </c>
      <c r="W62" s="38">
        <v>6.2300000000000001E-2</v>
      </c>
      <c r="X62" s="33" t="s">
        <v>191</v>
      </c>
      <c r="Y62" s="33" t="s">
        <v>84</v>
      </c>
      <c r="Z62" s="37">
        <v>97907</v>
      </c>
      <c r="AA62" s="37">
        <v>1</v>
      </c>
      <c r="AB62" s="37">
        <v>108.29</v>
      </c>
      <c r="AC62" s="37">
        <v>0</v>
      </c>
      <c r="AD62" s="37">
        <v>106.02349</v>
      </c>
      <c r="AE62" s="33" t="s">
        <v>3</v>
      </c>
      <c r="AF62" s="33" t="s">
        <v>3</v>
      </c>
      <c r="AG62" s="33" t="s">
        <v>27</v>
      </c>
      <c r="AH62" s="38">
        <v>1.2229999999999999E-4</v>
      </c>
      <c r="AI62" s="38">
        <v>7.1400000000000001E-4</v>
      </c>
      <c r="AJ62" s="38">
        <v>1.27E-4</v>
      </c>
      <c r="AK62" s="33" t="s">
        <v>3</v>
      </c>
      <c r="AL62" s="56" t="s">
        <v>4</v>
      </c>
      <c r="AM62" s="56" t="s">
        <v>1</v>
      </c>
    </row>
    <row r="63" spans="1:39" s="29" customFormat="1">
      <c r="A63" s="33" t="s">
        <v>78</v>
      </c>
      <c r="B63" s="33" t="s">
        <v>94</v>
      </c>
      <c r="C63" s="33" t="s">
        <v>240</v>
      </c>
      <c r="D63" s="33" t="s">
        <v>241</v>
      </c>
      <c r="E63" s="33" t="s">
        <v>194</v>
      </c>
      <c r="F63" s="33" t="s">
        <v>242</v>
      </c>
      <c r="G63" s="36">
        <v>1198571</v>
      </c>
      <c r="H63" s="33" t="s">
        <v>149</v>
      </c>
      <c r="I63" s="33" t="s">
        <v>204</v>
      </c>
      <c r="J63" s="33" t="s">
        <v>83</v>
      </c>
      <c r="K63" s="33" t="s">
        <v>83</v>
      </c>
      <c r="L63" s="33" t="s">
        <v>185</v>
      </c>
      <c r="M63" s="33" t="s">
        <v>118</v>
      </c>
      <c r="N63" s="33" t="s">
        <v>223</v>
      </c>
      <c r="O63" s="33" t="s">
        <v>84</v>
      </c>
      <c r="P63" s="33" t="s">
        <v>238</v>
      </c>
      <c r="Q63" s="33" t="s">
        <v>199</v>
      </c>
      <c r="R63" s="33" t="s">
        <v>189</v>
      </c>
      <c r="S63" s="33" t="s">
        <v>87</v>
      </c>
      <c r="T63" s="37">
        <v>4.5599999999999996</v>
      </c>
      <c r="U63" s="33" t="s">
        <v>243</v>
      </c>
      <c r="V63" s="38">
        <v>6.7699999999999996E-2</v>
      </c>
      <c r="W63" s="38">
        <v>5.8799999999999998E-2</v>
      </c>
      <c r="X63" s="33" t="s">
        <v>191</v>
      </c>
      <c r="Y63" s="33" t="s">
        <v>84</v>
      </c>
      <c r="Z63" s="37">
        <v>152000</v>
      </c>
      <c r="AA63" s="37">
        <v>1</v>
      </c>
      <c r="AB63" s="37">
        <v>108.96</v>
      </c>
      <c r="AC63" s="37">
        <v>0</v>
      </c>
      <c r="AD63" s="37">
        <v>165.61920000000001</v>
      </c>
      <c r="AE63" s="33" t="s">
        <v>3</v>
      </c>
      <c r="AF63" s="33" t="s">
        <v>3</v>
      </c>
      <c r="AG63" s="33" t="s">
        <v>27</v>
      </c>
      <c r="AH63" s="38">
        <v>2.0259999999999999E-4</v>
      </c>
      <c r="AI63" s="38">
        <v>1.1153999999999999E-3</v>
      </c>
      <c r="AJ63" s="38">
        <v>1.984E-4</v>
      </c>
      <c r="AK63" s="33" t="s">
        <v>3</v>
      </c>
      <c r="AL63" s="56" t="s">
        <v>4</v>
      </c>
      <c r="AM63" s="56" t="s">
        <v>1</v>
      </c>
    </row>
    <row r="64" spans="1:39" s="29" customFormat="1">
      <c r="A64" s="33" t="s">
        <v>78</v>
      </c>
      <c r="B64" s="33" t="s">
        <v>94</v>
      </c>
      <c r="C64" s="33" t="s">
        <v>244</v>
      </c>
      <c r="D64" s="33" t="s">
        <v>245</v>
      </c>
      <c r="E64" s="33" t="s">
        <v>194</v>
      </c>
      <c r="F64" s="33" t="s">
        <v>416</v>
      </c>
      <c r="G64" s="36">
        <v>6000285</v>
      </c>
      <c r="H64" s="33" t="s">
        <v>149</v>
      </c>
      <c r="I64" s="33" t="s">
        <v>196</v>
      </c>
      <c r="J64" s="33" t="s">
        <v>83</v>
      </c>
      <c r="K64" s="33" t="s">
        <v>83</v>
      </c>
      <c r="L64" s="33" t="s">
        <v>185</v>
      </c>
      <c r="M64" s="33" t="s">
        <v>118</v>
      </c>
      <c r="N64" s="33" t="s">
        <v>223</v>
      </c>
      <c r="O64" s="33" t="s">
        <v>84</v>
      </c>
      <c r="P64" s="33" t="s">
        <v>247</v>
      </c>
      <c r="Q64" s="33" t="s">
        <v>199</v>
      </c>
      <c r="R64" s="33" t="s">
        <v>189</v>
      </c>
      <c r="S64" s="33" t="s">
        <v>87</v>
      </c>
      <c r="T64" s="37">
        <v>6.24</v>
      </c>
      <c r="U64" s="33" t="s">
        <v>417</v>
      </c>
      <c r="V64" s="38">
        <v>2.3900000000000001E-2</v>
      </c>
      <c r="W64" s="38">
        <v>2.5099999999999997E-2</v>
      </c>
      <c r="X64" s="33" t="s">
        <v>191</v>
      </c>
      <c r="Y64" s="33" t="s">
        <v>84</v>
      </c>
      <c r="Z64" s="37">
        <v>45000</v>
      </c>
      <c r="AA64" s="37">
        <v>1</v>
      </c>
      <c r="AB64" s="37">
        <v>110.76</v>
      </c>
      <c r="AC64" s="37">
        <v>0</v>
      </c>
      <c r="AD64" s="37">
        <v>49.841999999999999</v>
      </c>
      <c r="AE64" s="33" t="s">
        <v>3</v>
      </c>
      <c r="AF64" s="33" t="s">
        <v>3</v>
      </c>
      <c r="AG64" s="33" t="s">
        <v>27</v>
      </c>
      <c r="AH64" s="38">
        <v>1.15E-5</v>
      </c>
      <c r="AI64" s="38">
        <v>3.3570000000000003E-4</v>
      </c>
      <c r="AJ64" s="38">
        <v>5.9699999999999994E-5</v>
      </c>
      <c r="AK64" s="33" t="s">
        <v>3</v>
      </c>
      <c r="AL64" s="56" t="s">
        <v>4</v>
      </c>
      <c r="AM64" s="56" t="s">
        <v>1</v>
      </c>
    </row>
    <row r="65" spans="1:39" s="29" customFormat="1">
      <c r="A65" s="33" t="s">
        <v>78</v>
      </c>
      <c r="B65" s="33" t="s">
        <v>94</v>
      </c>
      <c r="C65" s="33" t="s">
        <v>244</v>
      </c>
      <c r="D65" s="33" t="s">
        <v>245</v>
      </c>
      <c r="E65" s="33" t="s">
        <v>194</v>
      </c>
      <c r="F65" s="33" t="s">
        <v>246</v>
      </c>
      <c r="G65" s="36">
        <v>6000392</v>
      </c>
      <c r="H65" s="33" t="s">
        <v>149</v>
      </c>
      <c r="I65" s="33" t="s">
        <v>196</v>
      </c>
      <c r="J65" s="33" t="s">
        <v>83</v>
      </c>
      <c r="K65" s="33" t="s">
        <v>83</v>
      </c>
      <c r="L65" s="33" t="s">
        <v>185</v>
      </c>
      <c r="M65" s="33" t="s">
        <v>118</v>
      </c>
      <c r="N65" s="33" t="s">
        <v>223</v>
      </c>
      <c r="O65" s="33" t="s">
        <v>84</v>
      </c>
      <c r="P65" s="33" t="s">
        <v>247</v>
      </c>
      <c r="Q65" s="33" t="s">
        <v>199</v>
      </c>
      <c r="R65" s="33" t="s">
        <v>189</v>
      </c>
      <c r="S65" s="33" t="s">
        <v>87</v>
      </c>
      <c r="T65" s="37">
        <v>11.12</v>
      </c>
      <c r="U65" s="33" t="s">
        <v>121</v>
      </c>
      <c r="V65" s="38">
        <v>1.2500000000000001E-2</v>
      </c>
      <c r="W65" s="38">
        <v>2.98E-2</v>
      </c>
      <c r="X65" s="33" t="s">
        <v>191</v>
      </c>
      <c r="Y65" s="33" t="s">
        <v>84</v>
      </c>
      <c r="Z65" s="37">
        <v>47627</v>
      </c>
      <c r="AA65" s="37">
        <v>1</v>
      </c>
      <c r="AB65" s="37">
        <v>92.01</v>
      </c>
      <c r="AC65" s="37">
        <v>0</v>
      </c>
      <c r="AD65" s="37">
        <v>43.821599999999997</v>
      </c>
      <c r="AE65" s="33" t="s">
        <v>3</v>
      </c>
      <c r="AF65" s="33" t="s">
        <v>3</v>
      </c>
      <c r="AG65" s="33" t="s">
        <v>27</v>
      </c>
      <c r="AH65" s="38">
        <v>1.1000000000000001E-5</v>
      </c>
      <c r="AI65" s="38">
        <v>2.9510000000000002E-4</v>
      </c>
      <c r="AJ65" s="38">
        <v>5.2500000000000002E-5</v>
      </c>
      <c r="AK65" s="33" t="s">
        <v>3</v>
      </c>
      <c r="AL65" s="56" t="s">
        <v>4</v>
      </c>
      <c r="AM65" s="56" t="s">
        <v>1</v>
      </c>
    </row>
    <row r="66" spans="1:39" s="29" customFormat="1">
      <c r="A66" s="33" t="s">
        <v>78</v>
      </c>
      <c r="B66" s="33" t="s">
        <v>94</v>
      </c>
      <c r="C66" s="33" t="s">
        <v>248</v>
      </c>
      <c r="D66" s="33" t="s">
        <v>249</v>
      </c>
      <c r="E66" s="33" t="s">
        <v>194</v>
      </c>
      <c r="F66" s="33" t="s">
        <v>250</v>
      </c>
      <c r="G66" s="36">
        <v>1156603</v>
      </c>
      <c r="H66" s="33" t="s">
        <v>149</v>
      </c>
      <c r="I66" s="33" t="s">
        <v>196</v>
      </c>
      <c r="J66" s="33" t="s">
        <v>83</v>
      </c>
      <c r="K66" s="33" t="s">
        <v>83</v>
      </c>
      <c r="L66" s="33" t="s">
        <v>185</v>
      </c>
      <c r="M66" s="33" t="s">
        <v>118</v>
      </c>
      <c r="N66" s="33" t="s">
        <v>197</v>
      </c>
      <c r="O66" s="33" t="s">
        <v>84</v>
      </c>
      <c r="P66" s="33" t="s">
        <v>247</v>
      </c>
      <c r="Q66" s="33" t="s">
        <v>199</v>
      </c>
      <c r="R66" s="33" t="s">
        <v>189</v>
      </c>
      <c r="S66" s="33" t="s">
        <v>87</v>
      </c>
      <c r="T66" s="37">
        <v>2.86</v>
      </c>
      <c r="U66" s="33" t="s">
        <v>251</v>
      </c>
      <c r="V66" s="38">
        <v>1.77E-2</v>
      </c>
      <c r="W66" s="38">
        <v>2.1299999999999999E-2</v>
      </c>
      <c r="X66" s="33" t="s">
        <v>191</v>
      </c>
      <c r="Y66" s="33" t="s">
        <v>84</v>
      </c>
      <c r="Z66" s="37">
        <v>38000</v>
      </c>
      <c r="AA66" s="37">
        <v>1</v>
      </c>
      <c r="AB66" s="37">
        <v>111.11</v>
      </c>
      <c r="AC66" s="37">
        <v>0</v>
      </c>
      <c r="AD66" s="37">
        <v>42.221800000000002</v>
      </c>
      <c r="AE66" s="33" t="s">
        <v>3</v>
      </c>
      <c r="AF66" s="33" t="s">
        <v>3</v>
      </c>
      <c r="AG66" s="33" t="s">
        <v>27</v>
      </c>
      <c r="AH66" s="38">
        <v>1.3699999999999999E-5</v>
      </c>
      <c r="AI66" s="38">
        <v>2.8430000000000003E-4</v>
      </c>
      <c r="AJ66" s="38">
        <v>5.0600000000000003E-5</v>
      </c>
      <c r="AK66" s="33" t="s">
        <v>3</v>
      </c>
      <c r="AL66" s="56" t="s">
        <v>4</v>
      </c>
      <c r="AM66" s="56" t="s">
        <v>1</v>
      </c>
    </row>
    <row r="67" spans="1:39" s="29" customFormat="1">
      <c r="A67" s="33" t="s">
        <v>78</v>
      </c>
      <c r="B67" s="33" t="s">
        <v>94</v>
      </c>
      <c r="C67" s="33" t="s">
        <v>252</v>
      </c>
      <c r="D67" s="33" t="s">
        <v>253</v>
      </c>
      <c r="E67" s="33" t="s">
        <v>194</v>
      </c>
      <c r="F67" s="33" t="s">
        <v>254</v>
      </c>
      <c r="G67" s="36">
        <v>5850110</v>
      </c>
      <c r="H67" s="33" t="s">
        <v>149</v>
      </c>
      <c r="I67" s="33" t="s">
        <v>204</v>
      </c>
      <c r="J67" s="33" t="s">
        <v>83</v>
      </c>
      <c r="K67" s="33" t="s">
        <v>83</v>
      </c>
      <c r="L67" s="33" t="s">
        <v>185</v>
      </c>
      <c r="M67" s="33" t="s">
        <v>118</v>
      </c>
      <c r="N67" s="33" t="s">
        <v>255</v>
      </c>
      <c r="O67" s="33" t="s">
        <v>84</v>
      </c>
      <c r="P67" s="33" t="s">
        <v>256</v>
      </c>
      <c r="Q67" s="33" t="s">
        <v>199</v>
      </c>
      <c r="R67" s="33" t="s">
        <v>189</v>
      </c>
      <c r="S67" s="33" t="s">
        <v>87</v>
      </c>
      <c r="T67" s="37">
        <v>5.22</v>
      </c>
      <c r="U67" s="33" t="s">
        <v>257</v>
      </c>
      <c r="V67" s="38">
        <v>1.95E-2</v>
      </c>
      <c r="W67" s="38">
        <v>5.0099999999999999E-2</v>
      </c>
      <c r="X67" s="33" t="s">
        <v>191</v>
      </c>
      <c r="Y67" s="33" t="s">
        <v>84</v>
      </c>
      <c r="Z67" s="37">
        <v>142462.20000000001</v>
      </c>
      <c r="AA67" s="37">
        <v>1</v>
      </c>
      <c r="AB67" s="37">
        <v>85.74</v>
      </c>
      <c r="AC67" s="37">
        <v>0</v>
      </c>
      <c r="AD67" s="37">
        <v>122.14709000000001</v>
      </c>
      <c r="AE67" s="33" t="s">
        <v>3</v>
      </c>
      <c r="AF67" s="33" t="s">
        <v>3</v>
      </c>
      <c r="AG67" s="33" t="s">
        <v>27</v>
      </c>
      <c r="AH67" s="38">
        <v>1.3010000000000002E-4</v>
      </c>
      <c r="AI67" s="38">
        <v>8.2260000000000005E-4</v>
      </c>
      <c r="AJ67" s="38">
        <v>1.4630000000000001E-4</v>
      </c>
      <c r="AK67" s="33" t="s">
        <v>3</v>
      </c>
      <c r="AL67" s="56" t="s">
        <v>4</v>
      </c>
      <c r="AM67" s="56" t="s">
        <v>1</v>
      </c>
    </row>
    <row r="68" spans="1:39" s="29" customFormat="1">
      <c r="A68" s="33" t="s">
        <v>78</v>
      </c>
      <c r="B68" s="33" t="s">
        <v>94</v>
      </c>
      <c r="C68" s="33" t="s">
        <v>294</v>
      </c>
      <c r="D68" s="33" t="s">
        <v>295</v>
      </c>
      <c r="E68" s="33" t="s">
        <v>194</v>
      </c>
      <c r="F68" s="33" t="s">
        <v>296</v>
      </c>
      <c r="G68" s="36">
        <v>1161751</v>
      </c>
      <c r="H68" s="33" t="s">
        <v>149</v>
      </c>
      <c r="I68" s="33" t="s">
        <v>204</v>
      </c>
      <c r="J68" s="33" t="s">
        <v>83</v>
      </c>
      <c r="K68" s="33" t="s">
        <v>83</v>
      </c>
      <c r="L68" s="33" t="s">
        <v>185</v>
      </c>
      <c r="M68" s="33" t="s">
        <v>118</v>
      </c>
      <c r="N68" s="33" t="s">
        <v>215</v>
      </c>
      <c r="O68" s="33" t="s">
        <v>84</v>
      </c>
      <c r="P68" s="33" t="s">
        <v>297</v>
      </c>
      <c r="Q68" s="33" t="s">
        <v>86</v>
      </c>
      <c r="R68" s="33" t="s">
        <v>189</v>
      </c>
      <c r="S68" s="33" t="s">
        <v>87</v>
      </c>
      <c r="T68" s="37">
        <v>3.1</v>
      </c>
      <c r="U68" s="33" t="s">
        <v>298</v>
      </c>
      <c r="V68" s="38">
        <v>2.0499999999999997E-2</v>
      </c>
      <c r="W68" s="38">
        <v>5.0700000000000002E-2</v>
      </c>
      <c r="X68" s="33" t="s">
        <v>191</v>
      </c>
      <c r="Y68" s="33" t="s">
        <v>84</v>
      </c>
      <c r="Z68" s="37">
        <v>216000.11</v>
      </c>
      <c r="AA68" s="37">
        <v>1</v>
      </c>
      <c r="AB68" s="37">
        <v>91.55</v>
      </c>
      <c r="AC68" s="37">
        <v>0</v>
      </c>
      <c r="AD68" s="37">
        <v>197.74809999999999</v>
      </c>
      <c r="AE68" s="33" t="s">
        <v>3</v>
      </c>
      <c r="AF68" s="33" t="s">
        <v>3</v>
      </c>
      <c r="AG68" s="33" t="s">
        <v>27</v>
      </c>
      <c r="AH68" s="38">
        <v>4.46E-4</v>
      </c>
      <c r="AI68" s="38">
        <v>1.3318E-3</v>
      </c>
      <c r="AJ68" s="38">
        <v>2.3689999999999998E-4</v>
      </c>
      <c r="AK68" s="33" t="s">
        <v>3</v>
      </c>
      <c r="AL68" s="56" t="s">
        <v>4</v>
      </c>
      <c r="AM68" s="56" t="s">
        <v>1</v>
      </c>
    </row>
    <row r="69" spans="1:39" s="29" customFormat="1">
      <c r="A69" s="33" t="s">
        <v>78</v>
      </c>
      <c r="B69" s="33" t="s">
        <v>94</v>
      </c>
      <c r="C69" s="33" t="s">
        <v>418</v>
      </c>
      <c r="D69" s="33" t="s">
        <v>419</v>
      </c>
      <c r="E69" s="33" t="s">
        <v>194</v>
      </c>
      <c r="F69" s="33" t="s">
        <v>420</v>
      </c>
      <c r="G69" s="36">
        <v>6990154</v>
      </c>
      <c r="H69" s="33" t="s">
        <v>149</v>
      </c>
      <c r="I69" s="33" t="s">
        <v>196</v>
      </c>
      <c r="J69" s="33" t="s">
        <v>83</v>
      </c>
      <c r="K69" s="33" t="s">
        <v>83</v>
      </c>
      <c r="L69" s="33" t="s">
        <v>185</v>
      </c>
      <c r="M69" s="33" t="s">
        <v>118</v>
      </c>
      <c r="N69" s="33" t="s">
        <v>197</v>
      </c>
      <c r="O69" s="33" t="s">
        <v>84</v>
      </c>
      <c r="P69" s="33" t="s">
        <v>297</v>
      </c>
      <c r="Q69" s="33" t="s">
        <v>86</v>
      </c>
      <c r="R69" s="33" t="s">
        <v>189</v>
      </c>
      <c r="S69" s="33" t="s">
        <v>87</v>
      </c>
      <c r="T69" s="37">
        <v>1.21</v>
      </c>
      <c r="U69" s="33" t="s">
        <v>200</v>
      </c>
      <c r="V69" s="38">
        <v>4.9500000000000002E-2</v>
      </c>
      <c r="W69" s="38">
        <v>3.8900000000000004E-2</v>
      </c>
      <c r="X69" s="33" t="s">
        <v>191</v>
      </c>
      <c r="Y69" s="33" t="s">
        <v>84</v>
      </c>
      <c r="Z69" s="37">
        <v>62703.35</v>
      </c>
      <c r="AA69" s="37">
        <v>1</v>
      </c>
      <c r="AB69" s="37">
        <v>138.43</v>
      </c>
      <c r="AC69" s="37">
        <v>0</v>
      </c>
      <c r="AD69" s="37">
        <v>86.800240000000002</v>
      </c>
      <c r="AE69" s="33" t="s">
        <v>3</v>
      </c>
      <c r="AF69" s="33" t="s">
        <v>3</v>
      </c>
      <c r="AG69" s="33" t="s">
        <v>27</v>
      </c>
      <c r="AH69" s="38">
        <v>1.427E-4</v>
      </c>
      <c r="AI69" s="38">
        <v>5.8460000000000001E-4</v>
      </c>
      <c r="AJ69" s="38">
        <v>1.0399999999999999E-4</v>
      </c>
      <c r="AK69" s="33" t="s">
        <v>3</v>
      </c>
      <c r="AL69" s="56" t="s">
        <v>4</v>
      </c>
      <c r="AM69" s="56" t="s">
        <v>1</v>
      </c>
    </row>
    <row r="70" spans="1:39" s="29" customFormat="1">
      <c r="A70" s="33" t="s">
        <v>78</v>
      </c>
      <c r="B70" s="33" t="s">
        <v>94</v>
      </c>
      <c r="C70" s="33" t="s">
        <v>303</v>
      </c>
      <c r="D70" s="33" t="s">
        <v>304</v>
      </c>
      <c r="E70" s="33" t="s">
        <v>194</v>
      </c>
      <c r="F70" s="33" t="s">
        <v>421</v>
      </c>
      <c r="G70" s="36">
        <v>1260546</v>
      </c>
      <c r="H70" s="33" t="s">
        <v>149</v>
      </c>
      <c r="I70" s="33" t="s">
        <v>196</v>
      </c>
      <c r="J70" s="33" t="s">
        <v>83</v>
      </c>
      <c r="K70" s="33" t="s">
        <v>83</v>
      </c>
      <c r="L70" s="33" t="s">
        <v>185</v>
      </c>
      <c r="M70" s="33" t="s">
        <v>118</v>
      </c>
      <c r="N70" s="33" t="s">
        <v>228</v>
      </c>
      <c r="O70" s="33" t="s">
        <v>84</v>
      </c>
      <c r="P70" s="33" t="s">
        <v>306</v>
      </c>
      <c r="Q70" s="33" t="s">
        <v>86</v>
      </c>
      <c r="R70" s="33" t="s">
        <v>189</v>
      </c>
      <c r="S70" s="33" t="s">
        <v>87</v>
      </c>
      <c r="T70" s="37">
        <v>0.5</v>
      </c>
      <c r="U70" s="33" t="s">
        <v>422</v>
      </c>
      <c r="V70" s="38">
        <v>5.3499999999999999E-2</v>
      </c>
      <c r="W70" s="38">
        <v>1.95E-2</v>
      </c>
      <c r="X70" s="33" t="s">
        <v>191</v>
      </c>
      <c r="Y70" s="33" t="s">
        <v>84</v>
      </c>
      <c r="Z70" s="37">
        <v>28935.5</v>
      </c>
      <c r="AA70" s="37">
        <v>1</v>
      </c>
      <c r="AB70" s="37">
        <v>117.67</v>
      </c>
      <c r="AC70" s="37">
        <v>0</v>
      </c>
      <c r="AD70" s="37">
        <v>34.048400000000001</v>
      </c>
      <c r="AE70" s="33" t="s">
        <v>3</v>
      </c>
      <c r="AF70" s="33" t="s">
        <v>3</v>
      </c>
      <c r="AG70" s="33" t="s">
        <v>27</v>
      </c>
      <c r="AH70" s="38">
        <v>8.7500000000000013E-5</v>
      </c>
      <c r="AI70" s="38">
        <v>2.2929999999999999E-4</v>
      </c>
      <c r="AJ70" s="38">
        <v>4.0800000000000002E-5</v>
      </c>
      <c r="AK70" s="33" t="s">
        <v>3</v>
      </c>
      <c r="AL70" s="56" t="s">
        <v>4</v>
      </c>
      <c r="AM70" s="56" t="s">
        <v>1</v>
      </c>
    </row>
    <row r="71" spans="1:39" s="29" customFormat="1">
      <c r="A71" s="33" t="s">
        <v>78</v>
      </c>
      <c r="B71" s="33" t="s">
        <v>94</v>
      </c>
      <c r="C71" s="33" t="s">
        <v>303</v>
      </c>
      <c r="D71" s="33" t="s">
        <v>304</v>
      </c>
      <c r="E71" s="33" t="s">
        <v>194</v>
      </c>
      <c r="F71" s="33" t="s">
        <v>305</v>
      </c>
      <c r="G71" s="36">
        <v>1260603</v>
      </c>
      <c r="H71" s="33" t="s">
        <v>149</v>
      </c>
      <c r="I71" s="33" t="s">
        <v>196</v>
      </c>
      <c r="J71" s="33" t="s">
        <v>83</v>
      </c>
      <c r="K71" s="33" t="s">
        <v>83</v>
      </c>
      <c r="L71" s="33" t="s">
        <v>185</v>
      </c>
      <c r="M71" s="33" t="s">
        <v>118</v>
      </c>
      <c r="N71" s="33" t="s">
        <v>228</v>
      </c>
      <c r="O71" s="33" t="s">
        <v>84</v>
      </c>
      <c r="P71" s="33" t="s">
        <v>306</v>
      </c>
      <c r="Q71" s="33" t="s">
        <v>86</v>
      </c>
      <c r="R71" s="33" t="s">
        <v>189</v>
      </c>
      <c r="S71" s="33" t="s">
        <v>87</v>
      </c>
      <c r="T71" s="37">
        <v>1.97</v>
      </c>
      <c r="U71" s="33" t="s">
        <v>307</v>
      </c>
      <c r="V71" s="38">
        <v>0.04</v>
      </c>
      <c r="W71" s="38">
        <v>4.3700000000000003E-2</v>
      </c>
      <c r="X71" s="33" t="s">
        <v>191</v>
      </c>
      <c r="Y71" s="33" t="s">
        <v>84</v>
      </c>
      <c r="Z71" s="37">
        <v>76712.399999999994</v>
      </c>
      <c r="AA71" s="37">
        <v>1</v>
      </c>
      <c r="AB71" s="37">
        <v>111.92</v>
      </c>
      <c r="AC71" s="37">
        <v>0</v>
      </c>
      <c r="AD71" s="37">
        <v>85.85651</v>
      </c>
      <c r="AE71" s="33" t="s">
        <v>3</v>
      </c>
      <c r="AF71" s="33" t="s">
        <v>3</v>
      </c>
      <c r="AG71" s="33" t="s">
        <v>27</v>
      </c>
      <c r="AH71" s="38">
        <v>2.9499999999999999E-5</v>
      </c>
      <c r="AI71" s="38">
        <v>5.7820000000000007E-4</v>
      </c>
      <c r="AJ71" s="38">
        <v>1.0279999999999999E-4</v>
      </c>
      <c r="AK71" s="33" t="s">
        <v>3</v>
      </c>
      <c r="AL71" s="56" t="s">
        <v>4</v>
      </c>
      <c r="AM71" s="56" t="s">
        <v>1</v>
      </c>
    </row>
    <row r="72" spans="1:39" s="29" customFormat="1">
      <c r="A72" s="33" t="s">
        <v>78</v>
      </c>
      <c r="B72" s="33" t="s">
        <v>94</v>
      </c>
      <c r="C72" s="33" t="s">
        <v>308</v>
      </c>
      <c r="D72" s="33" t="s">
        <v>309</v>
      </c>
      <c r="E72" s="33" t="s">
        <v>194</v>
      </c>
      <c r="F72" s="33" t="s">
        <v>310</v>
      </c>
      <c r="G72" s="36">
        <v>6120240</v>
      </c>
      <c r="H72" s="33" t="s">
        <v>149</v>
      </c>
      <c r="I72" s="33" t="s">
        <v>196</v>
      </c>
      <c r="J72" s="33" t="s">
        <v>83</v>
      </c>
      <c r="K72" s="33" t="s">
        <v>83</v>
      </c>
      <c r="L72" s="33" t="s">
        <v>185</v>
      </c>
      <c r="M72" s="33" t="s">
        <v>118</v>
      </c>
      <c r="N72" s="33" t="s">
        <v>197</v>
      </c>
      <c r="O72" s="33" t="s">
        <v>84</v>
      </c>
      <c r="P72" s="33" t="s">
        <v>306</v>
      </c>
      <c r="Q72" s="33" t="s">
        <v>86</v>
      </c>
      <c r="R72" s="33" t="s">
        <v>189</v>
      </c>
      <c r="S72" s="33" t="s">
        <v>87</v>
      </c>
      <c r="T72" s="37">
        <v>1.69</v>
      </c>
      <c r="U72" s="33" t="s">
        <v>307</v>
      </c>
      <c r="V72" s="38">
        <v>2.2499999999999999E-2</v>
      </c>
      <c r="W72" s="38">
        <v>3.1E-2</v>
      </c>
      <c r="X72" s="33" t="s">
        <v>191</v>
      </c>
      <c r="Y72" s="33" t="s">
        <v>84</v>
      </c>
      <c r="Z72" s="37">
        <v>56445.61</v>
      </c>
      <c r="AA72" s="37">
        <v>1</v>
      </c>
      <c r="AB72" s="37">
        <v>110.87</v>
      </c>
      <c r="AC72" s="37">
        <v>0</v>
      </c>
      <c r="AD72" s="37">
        <v>62.581240000000001</v>
      </c>
      <c r="AE72" s="33" t="s">
        <v>3</v>
      </c>
      <c r="AF72" s="33" t="s">
        <v>3</v>
      </c>
      <c r="AG72" s="33" t="s">
        <v>27</v>
      </c>
      <c r="AH72" s="38">
        <v>1.13E-4</v>
      </c>
      <c r="AI72" s="38">
        <v>4.215E-4</v>
      </c>
      <c r="AJ72" s="38">
        <v>7.4999999999999993E-5</v>
      </c>
      <c r="AK72" s="33" t="s">
        <v>3</v>
      </c>
      <c r="AL72" s="56" t="s">
        <v>4</v>
      </c>
      <c r="AM72" s="56" t="s">
        <v>1</v>
      </c>
    </row>
    <row r="73" spans="1:39" s="29" customFormat="1">
      <c r="A73" s="33" t="s">
        <v>78</v>
      </c>
      <c r="B73" s="33" t="s">
        <v>94</v>
      </c>
      <c r="C73" s="33" t="s">
        <v>311</v>
      </c>
      <c r="D73" s="33" t="s">
        <v>312</v>
      </c>
      <c r="E73" s="33" t="s">
        <v>194</v>
      </c>
      <c r="F73" s="33" t="s">
        <v>313</v>
      </c>
      <c r="G73" s="36">
        <v>7390149</v>
      </c>
      <c r="H73" s="33" t="s">
        <v>149</v>
      </c>
      <c r="I73" s="33" t="s">
        <v>204</v>
      </c>
      <c r="J73" s="33" t="s">
        <v>83</v>
      </c>
      <c r="K73" s="33" t="s">
        <v>83</v>
      </c>
      <c r="L73" s="33" t="s">
        <v>185</v>
      </c>
      <c r="M73" s="33" t="s">
        <v>118</v>
      </c>
      <c r="N73" s="33" t="s">
        <v>314</v>
      </c>
      <c r="O73" s="33" t="s">
        <v>84</v>
      </c>
      <c r="P73" s="33" t="s">
        <v>315</v>
      </c>
      <c r="Q73" s="33" t="s">
        <v>86</v>
      </c>
      <c r="R73" s="33" t="s">
        <v>189</v>
      </c>
      <c r="S73" s="33" t="s">
        <v>87</v>
      </c>
      <c r="T73" s="37">
        <v>1.2</v>
      </c>
      <c r="U73" s="33" t="s">
        <v>316</v>
      </c>
      <c r="V73" s="38">
        <v>0.04</v>
      </c>
      <c r="W73" s="38">
        <v>4.8899999999999999E-2</v>
      </c>
      <c r="X73" s="33" t="s">
        <v>191</v>
      </c>
      <c r="Y73" s="33" t="s">
        <v>84</v>
      </c>
      <c r="Z73" s="37">
        <v>95163.79</v>
      </c>
      <c r="AA73" s="37">
        <v>1</v>
      </c>
      <c r="AB73" s="37">
        <v>100.02</v>
      </c>
      <c r="AC73" s="37">
        <v>0</v>
      </c>
      <c r="AD73" s="37">
        <v>95.182820000000007</v>
      </c>
      <c r="AE73" s="33" t="s">
        <v>3</v>
      </c>
      <c r="AF73" s="33" t="s">
        <v>3</v>
      </c>
      <c r="AG73" s="33" t="s">
        <v>27</v>
      </c>
      <c r="AH73" s="38">
        <v>4.8149999999999999E-4</v>
      </c>
      <c r="AI73" s="38">
        <v>6.4100000000000008E-4</v>
      </c>
      <c r="AJ73" s="38">
        <v>1.1400000000000001E-4</v>
      </c>
      <c r="AK73" s="33" t="s">
        <v>3</v>
      </c>
      <c r="AL73" s="56" t="s">
        <v>4</v>
      </c>
      <c r="AM73" s="56" t="s">
        <v>1</v>
      </c>
    </row>
    <row r="74" spans="1:39" s="29" customFormat="1">
      <c r="A74" s="33" t="s">
        <v>78</v>
      </c>
      <c r="B74" s="33" t="s">
        <v>94</v>
      </c>
      <c r="C74" s="33" t="s">
        <v>311</v>
      </c>
      <c r="D74" s="33" t="s">
        <v>312</v>
      </c>
      <c r="E74" s="33" t="s">
        <v>194</v>
      </c>
      <c r="F74" s="33" t="s">
        <v>317</v>
      </c>
      <c r="G74" s="36">
        <v>7390222</v>
      </c>
      <c r="H74" s="33" t="s">
        <v>149</v>
      </c>
      <c r="I74" s="33" t="s">
        <v>204</v>
      </c>
      <c r="J74" s="33" t="s">
        <v>83</v>
      </c>
      <c r="K74" s="33" t="s">
        <v>83</v>
      </c>
      <c r="L74" s="33" t="s">
        <v>185</v>
      </c>
      <c r="M74" s="33" t="s">
        <v>118</v>
      </c>
      <c r="N74" s="33" t="s">
        <v>314</v>
      </c>
      <c r="O74" s="33" t="s">
        <v>84</v>
      </c>
      <c r="P74" s="33" t="s">
        <v>315</v>
      </c>
      <c r="Q74" s="33" t="s">
        <v>86</v>
      </c>
      <c r="R74" s="33" t="s">
        <v>189</v>
      </c>
      <c r="S74" s="33" t="s">
        <v>87</v>
      </c>
      <c r="T74" s="37">
        <v>3.41</v>
      </c>
      <c r="U74" s="33" t="s">
        <v>318</v>
      </c>
      <c r="V74" s="38">
        <v>0.04</v>
      </c>
      <c r="W74" s="38">
        <v>5.0199999999999995E-2</v>
      </c>
      <c r="X74" s="33" t="s">
        <v>191</v>
      </c>
      <c r="Y74" s="33" t="s">
        <v>84</v>
      </c>
      <c r="Z74" s="37">
        <v>84500</v>
      </c>
      <c r="AA74" s="37">
        <v>1</v>
      </c>
      <c r="AB74" s="37">
        <v>97.7</v>
      </c>
      <c r="AC74" s="37">
        <v>0</v>
      </c>
      <c r="AD74" s="37">
        <v>82.5565</v>
      </c>
      <c r="AE74" s="33" t="s">
        <v>3</v>
      </c>
      <c r="AF74" s="33" t="s">
        <v>3</v>
      </c>
      <c r="AG74" s="33" t="s">
        <v>27</v>
      </c>
      <c r="AH74" s="38">
        <v>1.247E-4</v>
      </c>
      <c r="AI74" s="38">
        <v>5.5599999999999996E-4</v>
      </c>
      <c r="AJ74" s="38">
        <v>9.8899999999999992E-5</v>
      </c>
      <c r="AK74" s="33" t="s">
        <v>3</v>
      </c>
      <c r="AL74" s="56" t="s">
        <v>4</v>
      </c>
      <c r="AM74" s="56" t="s">
        <v>1</v>
      </c>
    </row>
    <row r="75" spans="1:39" s="29" customFormat="1">
      <c r="A75" s="33" t="s">
        <v>78</v>
      </c>
      <c r="B75" s="33" t="s">
        <v>94</v>
      </c>
      <c r="C75" s="33" t="s">
        <v>323</v>
      </c>
      <c r="D75" s="33" t="s">
        <v>324</v>
      </c>
      <c r="E75" s="33" t="s">
        <v>194</v>
      </c>
      <c r="F75" s="33" t="s">
        <v>325</v>
      </c>
      <c r="G75" s="36">
        <v>5760301</v>
      </c>
      <c r="H75" s="33" t="s">
        <v>149</v>
      </c>
      <c r="I75" s="33" t="s">
        <v>204</v>
      </c>
      <c r="J75" s="33" t="s">
        <v>83</v>
      </c>
      <c r="K75" s="33" t="s">
        <v>83</v>
      </c>
      <c r="L75" s="33" t="s">
        <v>185</v>
      </c>
      <c r="M75" s="33" t="s">
        <v>118</v>
      </c>
      <c r="N75" s="33" t="s">
        <v>314</v>
      </c>
      <c r="O75" s="33" t="s">
        <v>84</v>
      </c>
      <c r="P75" s="33" t="s">
        <v>315</v>
      </c>
      <c r="Q75" s="33" t="s">
        <v>86</v>
      </c>
      <c r="R75" s="33" t="s">
        <v>189</v>
      </c>
      <c r="S75" s="33" t="s">
        <v>87</v>
      </c>
      <c r="T75" s="37">
        <v>2.64</v>
      </c>
      <c r="U75" s="33" t="s">
        <v>251</v>
      </c>
      <c r="V75" s="38">
        <v>2.2000000000000002E-2</v>
      </c>
      <c r="W75" s="38">
        <v>4.7699999999999992E-2</v>
      </c>
      <c r="X75" s="33" t="s">
        <v>191</v>
      </c>
      <c r="Y75" s="33" t="s">
        <v>84</v>
      </c>
      <c r="Z75" s="37">
        <v>29650.67</v>
      </c>
      <c r="AA75" s="37">
        <v>1</v>
      </c>
      <c r="AB75" s="37">
        <v>94.15</v>
      </c>
      <c r="AC75" s="37">
        <v>0</v>
      </c>
      <c r="AD75" s="37">
        <v>27.9161</v>
      </c>
      <c r="AE75" s="33" t="s">
        <v>3</v>
      </c>
      <c r="AF75" s="33" t="s">
        <v>3</v>
      </c>
      <c r="AG75" s="33" t="s">
        <v>27</v>
      </c>
      <c r="AH75" s="38">
        <v>2.5600000000000002E-5</v>
      </c>
      <c r="AI75" s="38">
        <v>1.8800000000000002E-4</v>
      </c>
      <c r="AJ75" s="38">
        <v>3.3399999999999999E-5</v>
      </c>
      <c r="AK75" s="33" t="s">
        <v>3</v>
      </c>
      <c r="AL75" s="56" t="s">
        <v>4</v>
      </c>
      <c r="AM75" s="56" t="s">
        <v>1</v>
      </c>
    </row>
    <row r="76" spans="1:39" s="29" customFormat="1">
      <c r="A76" s="33" t="s">
        <v>78</v>
      </c>
      <c r="B76" s="33" t="s">
        <v>94</v>
      </c>
      <c r="C76" s="33" t="s">
        <v>326</v>
      </c>
      <c r="D76" s="33" t="s">
        <v>327</v>
      </c>
      <c r="E76" s="33" t="s">
        <v>194</v>
      </c>
      <c r="F76" s="33" t="s">
        <v>328</v>
      </c>
      <c r="G76" s="36">
        <v>1141696</v>
      </c>
      <c r="H76" s="33" t="s">
        <v>149</v>
      </c>
      <c r="I76" s="33" t="s">
        <v>196</v>
      </c>
      <c r="J76" s="33" t="s">
        <v>83</v>
      </c>
      <c r="K76" s="33" t="s">
        <v>83</v>
      </c>
      <c r="L76" s="33" t="s">
        <v>185</v>
      </c>
      <c r="M76" s="33" t="s">
        <v>118</v>
      </c>
      <c r="N76" s="33" t="s">
        <v>197</v>
      </c>
      <c r="O76" s="33" t="s">
        <v>84</v>
      </c>
      <c r="P76" s="33" t="s">
        <v>315</v>
      </c>
      <c r="Q76" s="33" t="s">
        <v>86</v>
      </c>
      <c r="R76" s="33" t="s">
        <v>189</v>
      </c>
      <c r="S76" s="33" t="s">
        <v>87</v>
      </c>
      <c r="T76" s="37">
        <v>2.08</v>
      </c>
      <c r="U76" s="33" t="s">
        <v>229</v>
      </c>
      <c r="V76" s="38">
        <v>2.0499999999999997E-2</v>
      </c>
      <c r="W76" s="38">
        <v>2.4900000000000002E-2</v>
      </c>
      <c r="X76" s="33" t="s">
        <v>191</v>
      </c>
      <c r="Y76" s="33" t="s">
        <v>84</v>
      </c>
      <c r="Z76" s="37">
        <v>94000</v>
      </c>
      <c r="AA76" s="37">
        <v>1</v>
      </c>
      <c r="AB76" s="37">
        <v>112.41</v>
      </c>
      <c r="AC76" s="37">
        <v>0</v>
      </c>
      <c r="AD76" s="37">
        <v>105.66540000000001</v>
      </c>
      <c r="AE76" s="33" t="s">
        <v>3</v>
      </c>
      <c r="AF76" s="33" t="s">
        <v>3</v>
      </c>
      <c r="AG76" s="33" t="s">
        <v>27</v>
      </c>
      <c r="AH76" s="38">
        <v>1.0659999999999999E-4</v>
      </c>
      <c r="AI76" s="38">
        <v>7.1160000000000006E-4</v>
      </c>
      <c r="AJ76" s="38">
        <v>1.2659999999999999E-4</v>
      </c>
      <c r="AK76" s="33" t="s">
        <v>3</v>
      </c>
      <c r="AL76" s="56" t="s">
        <v>4</v>
      </c>
      <c r="AM76" s="56" t="s">
        <v>1</v>
      </c>
    </row>
    <row r="77" spans="1:39" s="29" customFormat="1">
      <c r="A77" s="33" t="s">
        <v>78</v>
      </c>
      <c r="B77" s="33" t="s">
        <v>94</v>
      </c>
      <c r="C77" s="33" t="s">
        <v>334</v>
      </c>
      <c r="D77" s="33" t="s">
        <v>335</v>
      </c>
      <c r="E77" s="33" t="s">
        <v>194</v>
      </c>
      <c r="F77" s="33" t="s">
        <v>423</v>
      </c>
      <c r="G77" s="36">
        <v>1132505</v>
      </c>
      <c r="H77" s="33" t="s">
        <v>149</v>
      </c>
      <c r="I77" s="33" t="s">
        <v>204</v>
      </c>
      <c r="J77" s="33" t="s">
        <v>83</v>
      </c>
      <c r="K77" s="33" t="s">
        <v>83</v>
      </c>
      <c r="L77" s="33" t="s">
        <v>185</v>
      </c>
      <c r="M77" s="33" t="s">
        <v>118</v>
      </c>
      <c r="N77" s="33" t="s">
        <v>223</v>
      </c>
      <c r="O77" s="33" t="s">
        <v>84</v>
      </c>
      <c r="P77" s="33" t="s">
        <v>315</v>
      </c>
      <c r="Q77" s="33" t="s">
        <v>86</v>
      </c>
      <c r="R77" s="33" t="s">
        <v>189</v>
      </c>
      <c r="S77" s="33" t="s">
        <v>87</v>
      </c>
      <c r="T77" s="37">
        <v>0.16</v>
      </c>
      <c r="U77" s="33" t="s">
        <v>424</v>
      </c>
      <c r="V77" s="38">
        <v>6.1500000000000006E-2</v>
      </c>
      <c r="W77" s="38">
        <v>5.4199999999999998E-2</v>
      </c>
      <c r="X77" s="33" t="s">
        <v>191</v>
      </c>
      <c r="Y77" s="33" t="s">
        <v>84</v>
      </c>
      <c r="Z77" s="37">
        <v>48082</v>
      </c>
      <c r="AA77" s="37">
        <v>1</v>
      </c>
      <c r="AB77" s="37">
        <v>100.66</v>
      </c>
      <c r="AC77" s="37">
        <v>0</v>
      </c>
      <c r="AD77" s="37">
        <v>48.399340000000002</v>
      </c>
      <c r="AE77" s="33" t="s">
        <v>3</v>
      </c>
      <c r="AF77" s="33" t="s">
        <v>3</v>
      </c>
      <c r="AG77" s="33" t="s">
        <v>27</v>
      </c>
      <c r="AH77" s="38">
        <v>6.9200000000000002E-5</v>
      </c>
      <c r="AI77" s="38">
        <v>3.2590000000000001E-4</v>
      </c>
      <c r="AJ77" s="38">
        <v>5.7999999999999994E-5</v>
      </c>
      <c r="AK77" s="33" t="s">
        <v>3</v>
      </c>
      <c r="AL77" s="56" t="s">
        <v>4</v>
      </c>
      <c r="AM77" s="56" t="s">
        <v>1</v>
      </c>
    </row>
    <row r="78" spans="1:39" s="29" customFormat="1">
      <c r="A78" s="33" t="s">
        <v>78</v>
      </c>
      <c r="B78" s="33" t="s">
        <v>94</v>
      </c>
      <c r="C78" s="33" t="s">
        <v>334</v>
      </c>
      <c r="D78" s="33" t="s">
        <v>335</v>
      </c>
      <c r="E78" s="33" t="s">
        <v>194</v>
      </c>
      <c r="F78" s="33" t="s">
        <v>425</v>
      </c>
      <c r="G78" s="36">
        <v>1142595</v>
      </c>
      <c r="H78" s="33" t="s">
        <v>149</v>
      </c>
      <c r="I78" s="33" t="s">
        <v>196</v>
      </c>
      <c r="J78" s="33" t="s">
        <v>83</v>
      </c>
      <c r="K78" s="33" t="s">
        <v>83</v>
      </c>
      <c r="L78" s="33" t="s">
        <v>185</v>
      </c>
      <c r="M78" s="33" t="s">
        <v>118</v>
      </c>
      <c r="N78" s="33" t="s">
        <v>223</v>
      </c>
      <c r="O78" s="33" t="s">
        <v>84</v>
      </c>
      <c r="P78" s="33" t="s">
        <v>315</v>
      </c>
      <c r="Q78" s="33" t="s">
        <v>86</v>
      </c>
      <c r="R78" s="33" t="s">
        <v>189</v>
      </c>
      <c r="S78" s="33" t="s">
        <v>87</v>
      </c>
      <c r="T78" s="37">
        <v>3.56</v>
      </c>
      <c r="U78" s="33" t="s">
        <v>426</v>
      </c>
      <c r="V78" s="38">
        <v>1.23E-2</v>
      </c>
      <c r="W78" s="38">
        <v>2.3099999999999999E-2</v>
      </c>
      <c r="X78" s="33" t="s">
        <v>191</v>
      </c>
      <c r="Y78" s="33" t="s">
        <v>84</v>
      </c>
      <c r="Z78" s="37">
        <v>136911.78</v>
      </c>
      <c r="AA78" s="37">
        <v>1</v>
      </c>
      <c r="AB78" s="37">
        <v>108.66</v>
      </c>
      <c r="AC78" s="37">
        <v>0</v>
      </c>
      <c r="AD78" s="37">
        <v>148.76833999999999</v>
      </c>
      <c r="AE78" s="33" t="s">
        <v>3</v>
      </c>
      <c r="AF78" s="33" t="s">
        <v>3</v>
      </c>
      <c r="AG78" s="33" t="s">
        <v>27</v>
      </c>
      <c r="AH78" s="38">
        <v>1.228E-4</v>
      </c>
      <c r="AI78" s="38">
        <v>1.0019E-3</v>
      </c>
      <c r="AJ78" s="38">
        <v>1.7819999999999999E-4</v>
      </c>
      <c r="AK78" s="33" t="s">
        <v>3</v>
      </c>
      <c r="AL78" s="56" t="s">
        <v>4</v>
      </c>
      <c r="AM78" s="56" t="s">
        <v>1</v>
      </c>
    </row>
    <row r="79" spans="1:39" s="29" customFormat="1">
      <c r="A79" s="33" t="s">
        <v>78</v>
      </c>
      <c r="B79" s="33" t="s">
        <v>94</v>
      </c>
      <c r="C79" s="33" t="s">
        <v>338</v>
      </c>
      <c r="D79" s="33" t="s">
        <v>339</v>
      </c>
      <c r="E79" s="33" t="s">
        <v>194</v>
      </c>
      <c r="F79" s="33" t="s">
        <v>340</v>
      </c>
      <c r="G79" s="36">
        <v>1156397</v>
      </c>
      <c r="H79" s="33" t="s">
        <v>149</v>
      </c>
      <c r="I79" s="33" t="s">
        <v>204</v>
      </c>
      <c r="J79" s="33" t="s">
        <v>83</v>
      </c>
      <c r="K79" s="33" t="s">
        <v>83</v>
      </c>
      <c r="L79" s="33" t="s">
        <v>185</v>
      </c>
      <c r="M79" s="33" t="s">
        <v>118</v>
      </c>
      <c r="N79" s="33" t="s">
        <v>332</v>
      </c>
      <c r="O79" s="33" t="s">
        <v>84</v>
      </c>
      <c r="P79" s="33" t="s">
        <v>315</v>
      </c>
      <c r="Q79" s="33" t="s">
        <v>86</v>
      </c>
      <c r="R79" s="33" t="s">
        <v>189</v>
      </c>
      <c r="S79" s="33" t="s">
        <v>87</v>
      </c>
      <c r="T79" s="37">
        <v>2.2000000000000002</v>
      </c>
      <c r="U79" s="33" t="s">
        <v>341</v>
      </c>
      <c r="V79" s="38">
        <v>0.04</v>
      </c>
      <c r="W79" s="38">
        <v>4.7300000000000002E-2</v>
      </c>
      <c r="X79" s="33" t="s">
        <v>191</v>
      </c>
      <c r="Y79" s="33" t="s">
        <v>84</v>
      </c>
      <c r="Z79" s="37">
        <v>32936</v>
      </c>
      <c r="AA79" s="37">
        <v>1</v>
      </c>
      <c r="AB79" s="37">
        <v>101.47</v>
      </c>
      <c r="AC79" s="37">
        <v>0</v>
      </c>
      <c r="AD79" s="37">
        <v>33.42015</v>
      </c>
      <c r="AE79" s="33" t="s">
        <v>3</v>
      </c>
      <c r="AF79" s="33" t="s">
        <v>3</v>
      </c>
      <c r="AG79" s="33" t="s">
        <v>27</v>
      </c>
      <c r="AH79" s="38">
        <v>4.8300000000000002E-5</v>
      </c>
      <c r="AI79" s="38">
        <v>2.251E-4</v>
      </c>
      <c r="AJ79" s="38">
        <v>4.0000000000000003E-5</v>
      </c>
      <c r="AK79" s="33" t="s">
        <v>3</v>
      </c>
      <c r="AL79" s="56" t="s">
        <v>4</v>
      </c>
      <c r="AM79" s="56" t="s">
        <v>1</v>
      </c>
    </row>
    <row r="80" spans="1:39" s="29" customFormat="1">
      <c r="A80" s="33" t="s">
        <v>78</v>
      </c>
      <c r="B80" s="33" t="s">
        <v>94</v>
      </c>
      <c r="C80" s="33" t="s">
        <v>427</v>
      </c>
      <c r="D80" s="33" t="s">
        <v>428</v>
      </c>
      <c r="E80" s="33" t="s">
        <v>194</v>
      </c>
      <c r="F80" s="33" t="s">
        <v>429</v>
      </c>
      <c r="G80" s="36">
        <v>1136134</v>
      </c>
      <c r="H80" s="33" t="s">
        <v>149</v>
      </c>
      <c r="I80" s="33" t="s">
        <v>204</v>
      </c>
      <c r="J80" s="33" t="s">
        <v>83</v>
      </c>
      <c r="K80" s="33" t="s">
        <v>83</v>
      </c>
      <c r="L80" s="33" t="s">
        <v>185</v>
      </c>
      <c r="M80" s="33" t="s">
        <v>118</v>
      </c>
      <c r="N80" s="33" t="s">
        <v>430</v>
      </c>
      <c r="O80" s="33" t="s">
        <v>84</v>
      </c>
      <c r="P80" s="33" t="s">
        <v>315</v>
      </c>
      <c r="Q80" s="33" t="s">
        <v>86</v>
      </c>
      <c r="R80" s="33" t="s">
        <v>189</v>
      </c>
      <c r="S80" s="33" t="s">
        <v>87</v>
      </c>
      <c r="T80" s="37">
        <v>0.99</v>
      </c>
      <c r="U80" s="33" t="s">
        <v>431</v>
      </c>
      <c r="V80" s="38">
        <v>3.3500000000000002E-2</v>
      </c>
      <c r="W80" s="38">
        <v>4.87E-2</v>
      </c>
      <c r="X80" s="33" t="s">
        <v>191</v>
      </c>
      <c r="Y80" s="33" t="s">
        <v>84</v>
      </c>
      <c r="Z80" s="37">
        <v>52256.67</v>
      </c>
      <c r="AA80" s="37">
        <v>1</v>
      </c>
      <c r="AB80" s="37">
        <v>98.59</v>
      </c>
      <c r="AC80" s="37">
        <v>0.87529999999999997</v>
      </c>
      <c r="AD80" s="37">
        <v>52.395150000000001</v>
      </c>
      <c r="AE80" s="33" t="s">
        <v>3</v>
      </c>
      <c r="AF80" s="33" t="s">
        <v>3</v>
      </c>
      <c r="AG80" s="33" t="s">
        <v>27</v>
      </c>
      <c r="AH80" s="38">
        <v>3.8019999999999997E-4</v>
      </c>
      <c r="AI80" s="38">
        <v>3.5290000000000001E-4</v>
      </c>
      <c r="AJ80" s="38">
        <v>6.2799999999999995E-5</v>
      </c>
      <c r="AK80" s="33" t="s">
        <v>3</v>
      </c>
      <c r="AL80" s="56" t="s">
        <v>4</v>
      </c>
      <c r="AM80" s="56" t="s">
        <v>1</v>
      </c>
    </row>
    <row r="81" spans="1:39" s="29" customFormat="1">
      <c r="A81" s="33" t="s">
        <v>78</v>
      </c>
      <c r="B81" s="33" t="s">
        <v>94</v>
      </c>
      <c r="C81" s="33" t="s">
        <v>342</v>
      </c>
      <c r="D81" s="33" t="s">
        <v>343</v>
      </c>
      <c r="E81" s="33" t="s">
        <v>194</v>
      </c>
      <c r="F81" s="33" t="s">
        <v>344</v>
      </c>
      <c r="G81" s="36">
        <v>1133149</v>
      </c>
      <c r="H81" s="33" t="s">
        <v>149</v>
      </c>
      <c r="I81" s="33" t="s">
        <v>196</v>
      </c>
      <c r="J81" s="33" t="s">
        <v>83</v>
      </c>
      <c r="K81" s="33" t="s">
        <v>83</v>
      </c>
      <c r="L81" s="33" t="s">
        <v>185</v>
      </c>
      <c r="M81" s="33" t="s">
        <v>118</v>
      </c>
      <c r="N81" s="33" t="s">
        <v>197</v>
      </c>
      <c r="O81" s="33" t="s">
        <v>84</v>
      </c>
      <c r="P81" s="33" t="s">
        <v>345</v>
      </c>
      <c r="Q81" s="33" t="s">
        <v>86</v>
      </c>
      <c r="R81" s="33" t="s">
        <v>189</v>
      </c>
      <c r="S81" s="33" t="s">
        <v>87</v>
      </c>
      <c r="T81" s="37">
        <v>2.0299999999999998</v>
      </c>
      <c r="U81" s="33" t="s">
        <v>346</v>
      </c>
      <c r="V81" s="38">
        <v>3.2000000000000001E-2</v>
      </c>
      <c r="W81" s="38">
        <v>2.2200000000000001E-2</v>
      </c>
      <c r="X81" s="33" t="s">
        <v>191</v>
      </c>
      <c r="Y81" s="33" t="s">
        <v>84</v>
      </c>
      <c r="Z81" s="37">
        <v>24000</v>
      </c>
      <c r="AA81" s="37">
        <v>1</v>
      </c>
      <c r="AB81" s="37">
        <v>116.39</v>
      </c>
      <c r="AC81" s="37">
        <v>0</v>
      </c>
      <c r="AD81" s="37">
        <v>27.933599999999998</v>
      </c>
      <c r="AE81" s="33" t="s">
        <v>3</v>
      </c>
      <c r="AF81" s="33" t="s">
        <v>3</v>
      </c>
      <c r="AG81" s="33" t="s">
        <v>27</v>
      </c>
      <c r="AH81" s="38">
        <v>1.7099999999999999E-5</v>
      </c>
      <c r="AI81" s="38">
        <v>1.8809999999999999E-4</v>
      </c>
      <c r="AJ81" s="38">
        <v>3.3500000000000001E-5</v>
      </c>
      <c r="AK81" s="33" t="s">
        <v>3</v>
      </c>
      <c r="AL81" s="56" t="s">
        <v>4</v>
      </c>
      <c r="AM81" s="56" t="s">
        <v>1</v>
      </c>
    </row>
    <row r="82" spans="1:39" s="29" customFormat="1">
      <c r="A82" s="33" t="s">
        <v>78</v>
      </c>
      <c r="B82" s="33" t="s">
        <v>94</v>
      </c>
      <c r="C82" s="33" t="s">
        <v>350</v>
      </c>
      <c r="D82" s="33" t="s">
        <v>351</v>
      </c>
      <c r="E82" s="33" t="s">
        <v>194</v>
      </c>
      <c r="F82" s="33" t="s">
        <v>352</v>
      </c>
      <c r="G82" s="36">
        <v>7590219</v>
      </c>
      <c r="H82" s="33" t="s">
        <v>149</v>
      </c>
      <c r="I82" s="33" t="s">
        <v>196</v>
      </c>
      <c r="J82" s="33" t="s">
        <v>83</v>
      </c>
      <c r="K82" s="33" t="s">
        <v>83</v>
      </c>
      <c r="L82" s="33" t="s">
        <v>185</v>
      </c>
      <c r="M82" s="33" t="s">
        <v>118</v>
      </c>
      <c r="N82" s="33" t="s">
        <v>197</v>
      </c>
      <c r="O82" s="33" t="s">
        <v>84</v>
      </c>
      <c r="P82" s="33" t="s">
        <v>345</v>
      </c>
      <c r="Q82" s="33" t="s">
        <v>86</v>
      </c>
      <c r="R82" s="33" t="s">
        <v>189</v>
      </c>
      <c r="S82" s="33" t="s">
        <v>87</v>
      </c>
      <c r="T82" s="37">
        <v>3.84</v>
      </c>
      <c r="U82" s="33" t="s">
        <v>353</v>
      </c>
      <c r="V82" s="38">
        <v>5.0000000000000001E-3</v>
      </c>
      <c r="W82" s="38">
        <v>2.5600000000000001E-2</v>
      </c>
      <c r="X82" s="33" t="s">
        <v>191</v>
      </c>
      <c r="Y82" s="33" t="s">
        <v>84</v>
      </c>
      <c r="Z82" s="37">
        <v>92740</v>
      </c>
      <c r="AA82" s="37">
        <v>1</v>
      </c>
      <c r="AB82" s="37">
        <v>103.12</v>
      </c>
      <c r="AC82" s="37">
        <v>0</v>
      </c>
      <c r="AD82" s="37">
        <v>95.633480000000006</v>
      </c>
      <c r="AE82" s="33" t="s">
        <v>3</v>
      </c>
      <c r="AF82" s="33" t="s">
        <v>3</v>
      </c>
      <c r="AG82" s="33" t="s">
        <v>27</v>
      </c>
      <c r="AH82" s="38">
        <v>4.9199999999999997E-5</v>
      </c>
      <c r="AI82" s="38">
        <v>6.4409999999999999E-4</v>
      </c>
      <c r="AJ82" s="38">
        <v>1.1459999999999999E-4</v>
      </c>
      <c r="AK82" s="33" t="s">
        <v>3</v>
      </c>
      <c r="AL82" s="56" t="s">
        <v>4</v>
      </c>
      <c r="AM82" s="56" t="s">
        <v>1</v>
      </c>
    </row>
    <row r="83" spans="1:39" s="29" customFormat="1">
      <c r="A83" s="33" t="s">
        <v>78</v>
      </c>
      <c r="B83" s="33" t="s">
        <v>94</v>
      </c>
      <c r="C83" s="33" t="s">
        <v>358</v>
      </c>
      <c r="D83" s="33" t="s">
        <v>359</v>
      </c>
      <c r="E83" s="33" t="s">
        <v>194</v>
      </c>
      <c r="F83" s="33" t="s">
        <v>360</v>
      </c>
      <c r="G83" s="36">
        <v>3230208</v>
      </c>
      <c r="H83" s="33" t="s">
        <v>149</v>
      </c>
      <c r="I83" s="33" t="s">
        <v>196</v>
      </c>
      <c r="J83" s="33" t="s">
        <v>83</v>
      </c>
      <c r="K83" s="33" t="s">
        <v>83</v>
      </c>
      <c r="L83" s="33" t="s">
        <v>185</v>
      </c>
      <c r="M83" s="33" t="s">
        <v>118</v>
      </c>
      <c r="N83" s="33" t="s">
        <v>197</v>
      </c>
      <c r="O83" s="33" t="s">
        <v>84</v>
      </c>
      <c r="P83" s="33" t="s">
        <v>345</v>
      </c>
      <c r="Q83" s="33" t="s">
        <v>86</v>
      </c>
      <c r="R83" s="33" t="s">
        <v>189</v>
      </c>
      <c r="S83" s="33" t="s">
        <v>87</v>
      </c>
      <c r="T83" s="37">
        <v>1.24</v>
      </c>
      <c r="U83" s="33" t="s">
        <v>361</v>
      </c>
      <c r="V83" s="38">
        <v>2.3E-2</v>
      </c>
      <c r="W83" s="38">
        <v>1.95E-2</v>
      </c>
      <c r="X83" s="33" t="s">
        <v>191</v>
      </c>
      <c r="Y83" s="33" t="s">
        <v>84</v>
      </c>
      <c r="Z83" s="37">
        <v>125467.4</v>
      </c>
      <c r="AA83" s="37">
        <v>1</v>
      </c>
      <c r="AB83" s="37">
        <v>114.63</v>
      </c>
      <c r="AC83" s="37">
        <v>0</v>
      </c>
      <c r="AD83" s="37">
        <v>143.82328000000001</v>
      </c>
      <c r="AE83" s="33" t="s">
        <v>3</v>
      </c>
      <c r="AF83" s="33" t="s">
        <v>3</v>
      </c>
      <c r="AG83" s="33" t="s">
        <v>27</v>
      </c>
      <c r="AH83" s="38">
        <v>1.0070000000000001E-4</v>
      </c>
      <c r="AI83" s="38">
        <v>9.6860000000000002E-4</v>
      </c>
      <c r="AJ83" s="38">
        <v>1.7229999999999999E-4</v>
      </c>
      <c r="AK83" s="33" t="s">
        <v>3</v>
      </c>
      <c r="AL83" s="56" t="s">
        <v>4</v>
      </c>
      <c r="AM83" s="56" t="s">
        <v>1</v>
      </c>
    </row>
    <row r="84" spans="1:39" s="29" customFormat="1">
      <c r="A84" s="33" t="s">
        <v>78</v>
      </c>
      <c r="B84" s="33" t="s">
        <v>94</v>
      </c>
      <c r="C84" s="33" t="s">
        <v>358</v>
      </c>
      <c r="D84" s="33" t="s">
        <v>359</v>
      </c>
      <c r="E84" s="33" t="s">
        <v>194</v>
      </c>
      <c r="F84" s="33" t="s">
        <v>366</v>
      </c>
      <c r="G84" s="36">
        <v>3230372</v>
      </c>
      <c r="H84" s="33" t="s">
        <v>149</v>
      </c>
      <c r="I84" s="33" t="s">
        <v>196</v>
      </c>
      <c r="J84" s="33" t="s">
        <v>83</v>
      </c>
      <c r="K84" s="33" t="s">
        <v>83</v>
      </c>
      <c r="L84" s="33" t="s">
        <v>185</v>
      </c>
      <c r="M84" s="33" t="s">
        <v>118</v>
      </c>
      <c r="N84" s="33" t="s">
        <v>197</v>
      </c>
      <c r="O84" s="33" t="s">
        <v>84</v>
      </c>
      <c r="P84" s="33" t="s">
        <v>345</v>
      </c>
      <c r="Q84" s="33" t="s">
        <v>86</v>
      </c>
      <c r="R84" s="33" t="s">
        <v>189</v>
      </c>
      <c r="S84" s="33" t="s">
        <v>87</v>
      </c>
      <c r="T84" s="37">
        <v>3.99</v>
      </c>
      <c r="U84" s="33" t="s">
        <v>346</v>
      </c>
      <c r="V84" s="38">
        <v>6.5000000000000006E-3</v>
      </c>
      <c r="W84" s="38">
        <v>2.3300000000000001E-2</v>
      </c>
      <c r="X84" s="33" t="s">
        <v>191</v>
      </c>
      <c r="Y84" s="33" t="s">
        <v>84</v>
      </c>
      <c r="Z84" s="37">
        <v>19574.46</v>
      </c>
      <c r="AA84" s="37">
        <v>1</v>
      </c>
      <c r="AB84" s="37">
        <v>104.53</v>
      </c>
      <c r="AC84" s="37">
        <v>0</v>
      </c>
      <c r="AD84" s="37">
        <v>20.461179999999999</v>
      </c>
      <c r="AE84" s="33" t="s">
        <v>3</v>
      </c>
      <c r="AF84" s="33" t="s">
        <v>3</v>
      </c>
      <c r="AG84" s="33" t="s">
        <v>27</v>
      </c>
      <c r="AH84" s="38">
        <v>3.9199999999999997E-5</v>
      </c>
      <c r="AI84" s="38">
        <v>1.3780000000000002E-4</v>
      </c>
      <c r="AJ84" s="38">
        <v>2.4499999999999999E-5</v>
      </c>
      <c r="AK84" s="33" t="s">
        <v>3</v>
      </c>
      <c r="AL84" s="56" t="s">
        <v>4</v>
      </c>
      <c r="AM84" s="56" t="s">
        <v>1</v>
      </c>
    </row>
    <row r="85" spans="1:39" s="29" customFormat="1">
      <c r="A85" s="33" t="s">
        <v>78</v>
      </c>
      <c r="B85" s="33" t="s">
        <v>94</v>
      </c>
      <c r="C85" s="33" t="s">
        <v>358</v>
      </c>
      <c r="D85" s="33" t="s">
        <v>359</v>
      </c>
      <c r="E85" s="33" t="s">
        <v>194</v>
      </c>
      <c r="F85" s="33" t="s">
        <v>367</v>
      </c>
      <c r="G85" s="36">
        <v>3230398</v>
      </c>
      <c r="H85" s="33" t="s">
        <v>149</v>
      </c>
      <c r="I85" s="33" t="s">
        <v>196</v>
      </c>
      <c r="J85" s="33" t="s">
        <v>83</v>
      </c>
      <c r="K85" s="33" t="s">
        <v>83</v>
      </c>
      <c r="L85" s="33" t="s">
        <v>185</v>
      </c>
      <c r="M85" s="33" t="s">
        <v>118</v>
      </c>
      <c r="N85" s="33" t="s">
        <v>197</v>
      </c>
      <c r="O85" s="33" t="s">
        <v>84</v>
      </c>
      <c r="P85" s="33" t="s">
        <v>345</v>
      </c>
      <c r="Q85" s="33" t="s">
        <v>86</v>
      </c>
      <c r="R85" s="33" t="s">
        <v>189</v>
      </c>
      <c r="S85" s="33" t="s">
        <v>87</v>
      </c>
      <c r="T85" s="37">
        <v>4.76</v>
      </c>
      <c r="U85" s="33" t="s">
        <v>368</v>
      </c>
      <c r="V85" s="38">
        <v>1.43E-2</v>
      </c>
      <c r="W85" s="38">
        <v>2.6499999999999999E-2</v>
      </c>
      <c r="X85" s="33" t="s">
        <v>191</v>
      </c>
      <c r="Y85" s="33" t="s">
        <v>84</v>
      </c>
      <c r="Z85" s="37">
        <v>40000</v>
      </c>
      <c r="AA85" s="37">
        <v>1</v>
      </c>
      <c r="AB85" s="37">
        <v>105.95</v>
      </c>
      <c r="AC85" s="37">
        <v>0</v>
      </c>
      <c r="AD85" s="37">
        <v>42.38</v>
      </c>
      <c r="AE85" s="33" t="s">
        <v>3</v>
      </c>
      <c r="AF85" s="33" t="s">
        <v>3</v>
      </c>
      <c r="AG85" s="33" t="s">
        <v>27</v>
      </c>
      <c r="AH85" s="38">
        <v>3.5200000000000002E-5</v>
      </c>
      <c r="AI85" s="38">
        <v>2.854E-4</v>
      </c>
      <c r="AJ85" s="38">
        <v>5.0800000000000002E-5</v>
      </c>
      <c r="AK85" s="33" t="s">
        <v>3</v>
      </c>
      <c r="AL85" s="56" t="s">
        <v>4</v>
      </c>
      <c r="AM85" s="56" t="s">
        <v>1</v>
      </c>
    </row>
    <row r="86" spans="1:39" s="29" customFormat="1">
      <c r="A86" s="33" t="s">
        <v>78</v>
      </c>
      <c r="B86" s="33" t="s">
        <v>94</v>
      </c>
      <c r="C86" s="33" t="s">
        <v>358</v>
      </c>
      <c r="D86" s="33" t="s">
        <v>359</v>
      </c>
      <c r="E86" s="33" t="s">
        <v>194</v>
      </c>
      <c r="F86" s="33" t="s">
        <v>369</v>
      </c>
      <c r="G86" s="36">
        <v>3230422</v>
      </c>
      <c r="H86" s="33" t="s">
        <v>149</v>
      </c>
      <c r="I86" s="33" t="s">
        <v>196</v>
      </c>
      <c r="J86" s="33" t="s">
        <v>83</v>
      </c>
      <c r="K86" s="33" t="s">
        <v>83</v>
      </c>
      <c r="L86" s="33" t="s">
        <v>185</v>
      </c>
      <c r="M86" s="33" t="s">
        <v>118</v>
      </c>
      <c r="N86" s="33" t="s">
        <v>197</v>
      </c>
      <c r="O86" s="33" t="s">
        <v>84</v>
      </c>
      <c r="P86" s="33" t="s">
        <v>345</v>
      </c>
      <c r="Q86" s="33" t="s">
        <v>86</v>
      </c>
      <c r="R86" s="33" t="s">
        <v>189</v>
      </c>
      <c r="S86" s="33" t="s">
        <v>87</v>
      </c>
      <c r="T86" s="37">
        <v>5.66</v>
      </c>
      <c r="U86" s="33" t="s">
        <v>370</v>
      </c>
      <c r="V86" s="38">
        <v>2.5000000000000001E-3</v>
      </c>
      <c r="W86" s="38">
        <v>2.7000000000000003E-2</v>
      </c>
      <c r="X86" s="33" t="s">
        <v>191</v>
      </c>
      <c r="Y86" s="33" t="s">
        <v>84</v>
      </c>
      <c r="Z86" s="37">
        <v>115263.2</v>
      </c>
      <c r="AA86" s="37">
        <v>1</v>
      </c>
      <c r="AB86" s="37">
        <v>95.66</v>
      </c>
      <c r="AC86" s="37">
        <v>0</v>
      </c>
      <c r="AD86" s="37">
        <v>110.26076999999999</v>
      </c>
      <c r="AE86" s="33" t="s">
        <v>3</v>
      </c>
      <c r="AF86" s="33" t="s">
        <v>3</v>
      </c>
      <c r="AG86" s="33" t="s">
        <v>27</v>
      </c>
      <c r="AH86" s="38">
        <v>9.0799999999999998E-5</v>
      </c>
      <c r="AI86" s="38">
        <v>7.4260000000000005E-4</v>
      </c>
      <c r="AJ86" s="38">
        <v>1.3209999999999999E-4</v>
      </c>
      <c r="AK86" s="33" t="s">
        <v>3</v>
      </c>
      <c r="AL86" s="56" t="s">
        <v>4</v>
      </c>
      <c r="AM86" s="56" t="s">
        <v>1</v>
      </c>
    </row>
    <row r="87" spans="1:39" s="29" customFormat="1">
      <c r="A87" s="33" t="s">
        <v>78</v>
      </c>
      <c r="B87" s="33" t="s">
        <v>94</v>
      </c>
      <c r="C87" s="33" t="s">
        <v>432</v>
      </c>
      <c r="D87" s="33" t="s">
        <v>433</v>
      </c>
      <c r="E87" s="33" t="s">
        <v>194</v>
      </c>
      <c r="F87" s="33" t="s">
        <v>434</v>
      </c>
      <c r="G87" s="36">
        <v>1136753</v>
      </c>
      <c r="H87" s="33" t="s">
        <v>149</v>
      </c>
      <c r="I87" s="33" t="s">
        <v>196</v>
      </c>
      <c r="J87" s="33" t="s">
        <v>83</v>
      </c>
      <c r="K87" s="33" t="s">
        <v>83</v>
      </c>
      <c r="L87" s="33" t="s">
        <v>185</v>
      </c>
      <c r="M87" s="33" t="s">
        <v>118</v>
      </c>
      <c r="N87" s="33" t="s">
        <v>197</v>
      </c>
      <c r="O87" s="33" t="s">
        <v>84</v>
      </c>
      <c r="P87" s="33" t="s">
        <v>345</v>
      </c>
      <c r="Q87" s="33" t="s">
        <v>86</v>
      </c>
      <c r="R87" s="33" t="s">
        <v>189</v>
      </c>
      <c r="S87" s="33" t="s">
        <v>87</v>
      </c>
      <c r="T87" s="37">
        <v>2.54</v>
      </c>
      <c r="U87" s="33" t="s">
        <v>435</v>
      </c>
      <c r="V87" s="38">
        <v>0.04</v>
      </c>
      <c r="W87" s="38">
        <v>2.3099999999999999E-2</v>
      </c>
      <c r="X87" s="33" t="s">
        <v>191</v>
      </c>
      <c r="Y87" s="33" t="s">
        <v>84</v>
      </c>
      <c r="Z87" s="37">
        <v>48528.41</v>
      </c>
      <c r="AA87" s="37">
        <v>1</v>
      </c>
      <c r="AB87" s="37">
        <v>117.41</v>
      </c>
      <c r="AC87" s="37">
        <v>0</v>
      </c>
      <c r="AD87" s="37">
        <v>56.977200000000003</v>
      </c>
      <c r="AE87" s="33" t="s">
        <v>3</v>
      </c>
      <c r="AF87" s="33" t="s">
        <v>3</v>
      </c>
      <c r="AG87" s="33" t="s">
        <v>27</v>
      </c>
      <c r="AH87" s="38">
        <v>4.8900000000000003E-5</v>
      </c>
      <c r="AI87" s="38">
        <v>3.837E-4</v>
      </c>
      <c r="AJ87" s="38">
        <v>6.8199999999999991E-5</v>
      </c>
      <c r="AK87" s="33" t="s">
        <v>3</v>
      </c>
      <c r="AL87" s="56" t="s">
        <v>4</v>
      </c>
      <c r="AM87" s="56" t="s">
        <v>1</v>
      </c>
    </row>
    <row r="88" spans="1:39" s="29" customFormat="1">
      <c r="A88" s="33" t="s">
        <v>78</v>
      </c>
      <c r="B88" s="33" t="s">
        <v>94</v>
      </c>
      <c r="C88" s="33" t="s">
        <v>371</v>
      </c>
      <c r="D88" s="33" t="s">
        <v>372</v>
      </c>
      <c r="E88" s="33" t="s">
        <v>194</v>
      </c>
      <c r="F88" s="33" t="s">
        <v>376</v>
      </c>
      <c r="G88" s="36">
        <v>1189414</v>
      </c>
      <c r="H88" s="33" t="s">
        <v>149</v>
      </c>
      <c r="I88" s="33" t="s">
        <v>196</v>
      </c>
      <c r="J88" s="33" t="s">
        <v>83</v>
      </c>
      <c r="K88" s="33" t="s">
        <v>83</v>
      </c>
      <c r="L88" s="33" t="s">
        <v>185</v>
      </c>
      <c r="M88" s="33" t="s">
        <v>118</v>
      </c>
      <c r="N88" s="33" t="s">
        <v>197</v>
      </c>
      <c r="O88" s="33" t="s">
        <v>84</v>
      </c>
      <c r="P88" s="33" t="s">
        <v>374</v>
      </c>
      <c r="Q88" s="33" t="s">
        <v>86</v>
      </c>
      <c r="R88" s="33" t="s">
        <v>189</v>
      </c>
      <c r="S88" s="33" t="s">
        <v>87</v>
      </c>
      <c r="T88" s="37">
        <v>7.44</v>
      </c>
      <c r="U88" s="33" t="s">
        <v>377</v>
      </c>
      <c r="V88" s="38">
        <v>2.5600000000000001E-2</v>
      </c>
      <c r="W88" s="38">
        <v>3.9599999999999996E-2</v>
      </c>
      <c r="X88" s="33" t="s">
        <v>191</v>
      </c>
      <c r="Y88" s="33" t="s">
        <v>84</v>
      </c>
      <c r="Z88" s="37">
        <v>20000</v>
      </c>
      <c r="AA88" s="37">
        <v>1</v>
      </c>
      <c r="AB88" s="37">
        <v>94.33</v>
      </c>
      <c r="AC88" s="37">
        <v>0</v>
      </c>
      <c r="AD88" s="37">
        <v>18.866</v>
      </c>
      <c r="AE88" s="33" t="s">
        <v>3</v>
      </c>
      <c r="AF88" s="33" t="s">
        <v>3</v>
      </c>
      <c r="AG88" s="33" t="s">
        <v>27</v>
      </c>
      <c r="AH88" s="38">
        <v>1.9000000000000001E-5</v>
      </c>
      <c r="AI88" s="38">
        <v>1.271E-4</v>
      </c>
      <c r="AJ88" s="38">
        <v>2.2599999999999997E-5</v>
      </c>
      <c r="AK88" s="33" t="s">
        <v>3</v>
      </c>
      <c r="AL88" s="56" t="s">
        <v>4</v>
      </c>
      <c r="AM88" s="56" t="s">
        <v>1</v>
      </c>
    </row>
    <row r="89" spans="1:39" s="29" customFormat="1">
      <c r="A89" s="33" t="s">
        <v>78</v>
      </c>
      <c r="B89" s="33" t="s">
        <v>94</v>
      </c>
      <c r="C89" s="33" t="s">
        <v>382</v>
      </c>
      <c r="D89" s="33" t="s">
        <v>383</v>
      </c>
      <c r="E89" s="33" t="s">
        <v>194</v>
      </c>
      <c r="F89" s="33" t="s">
        <v>436</v>
      </c>
      <c r="G89" s="36">
        <v>1157601</v>
      </c>
      <c r="H89" s="33" t="s">
        <v>149</v>
      </c>
      <c r="I89" s="33" t="s">
        <v>204</v>
      </c>
      <c r="J89" s="33" t="s">
        <v>83</v>
      </c>
      <c r="K89" s="33" t="s">
        <v>83</v>
      </c>
      <c r="L89" s="33" t="s">
        <v>185</v>
      </c>
      <c r="M89" s="33" t="s">
        <v>118</v>
      </c>
      <c r="N89" s="33" t="s">
        <v>255</v>
      </c>
      <c r="O89" s="33" t="s">
        <v>84</v>
      </c>
      <c r="P89" s="33" t="s">
        <v>374</v>
      </c>
      <c r="Q89" s="33" t="s">
        <v>86</v>
      </c>
      <c r="R89" s="33" t="s">
        <v>189</v>
      </c>
      <c r="S89" s="33" t="s">
        <v>87</v>
      </c>
      <c r="T89" s="37">
        <v>2.17</v>
      </c>
      <c r="U89" s="33" t="s">
        <v>368</v>
      </c>
      <c r="V89" s="38">
        <v>2.9100000000000001E-2</v>
      </c>
      <c r="W89" s="38">
        <v>4.5999999999999999E-2</v>
      </c>
      <c r="X89" s="33" t="s">
        <v>191</v>
      </c>
      <c r="Y89" s="33" t="s">
        <v>84</v>
      </c>
      <c r="Z89" s="37">
        <v>10000</v>
      </c>
      <c r="AA89" s="37">
        <v>1</v>
      </c>
      <c r="AB89" s="37">
        <v>97.28</v>
      </c>
      <c r="AC89" s="37">
        <v>0</v>
      </c>
      <c r="AD89" s="37">
        <v>9.7279999999999998</v>
      </c>
      <c r="AE89" s="33" t="s">
        <v>3</v>
      </c>
      <c r="AF89" s="33" t="s">
        <v>3</v>
      </c>
      <c r="AG89" s="33" t="s">
        <v>27</v>
      </c>
      <c r="AH89" s="38">
        <v>1.66E-5</v>
      </c>
      <c r="AI89" s="38">
        <v>6.5500000000000006E-5</v>
      </c>
      <c r="AJ89" s="38">
        <v>1.17E-5</v>
      </c>
      <c r="AK89" s="33" t="s">
        <v>3</v>
      </c>
      <c r="AL89" s="56" t="s">
        <v>4</v>
      </c>
      <c r="AM89" s="56" t="s">
        <v>1</v>
      </c>
    </row>
    <row r="90" spans="1:39">
      <c r="A90" s="2" t="s">
        <v>78</v>
      </c>
      <c r="B90" s="2" t="s">
        <v>94</v>
      </c>
      <c r="C90" s="2" t="s">
        <v>382</v>
      </c>
      <c r="D90" s="2" t="s">
        <v>383</v>
      </c>
      <c r="E90" s="2" t="s">
        <v>194</v>
      </c>
      <c r="F90" s="2" t="s">
        <v>384</v>
      </c>
      <c r="G90" s="9">
        <v>1192772</v>
      </c>
      <c r="H90" s="2" t="s">
        <v>149</v>
      </c>
      <c r="I90" s="2" t="s">
        <v>204</v>
      </c>
      <c r="J90" s="2" t="s">
        <v>83</v>
      </c>
      <c r="K90" s="2" t="s">
        <v>83</v>
      </c>
      <c r="L90" s="2" t="s">
        <v>185</v>
      </c>
      <c r="M90" s="2" t="s">
        <v>118</v>
      </c>
      <c r="N90" s="2" t="s">
        <v>255</v>
      </c>
      <c r="O90" s="2" t="s">
        <v>84</v>
      </c>
      <c r="P90" s="2" t="s">
        <v>374</v>
      </c>
      <c r="Q90" s="2" t="s">
        <v>86</v>
      </c>
      <c r="R90" s="2" t="s">
        <v>189</v>
      </c>
      <c r="S90" s="2" t="s">
        <v>87</v>
      </c>
      <c r="T90" s="5">
        <v>5.08</v>
      </c>
      <c r="U90" s="2" t="s">
        <v>385</v>
      </c>
      <c r="V90" s="6">
        <v>4.3799999999999999E-2</v>
      </c>
      <c r="W90" s="6">
        <v>4.9400000000000006E-2</v>
      </c>
      <c r="X90" s="2" t="s">
        <v>191</v>
      </c>
      <c r="Y90" s="2" t="s">
        <v>84</v>
      </c>
      <c r="Z90" s="5">
        <v>63000</v>
      </c>
      <c r="AA90" s="5">
        <v>1</v>
      </c>
      <c r="AB90" s="5">
        <v>98.59</v>
      </c>
      <c r="AC90" s="5">
        <v>0</v>
      </c>
      <c r="AD90" s="5">
        <v>62.111699999999999</v>
      </c>
      <c r="AE90" s="2" t="s">
        <v>3</v>
      </c>
      <c r="AF90" s="2" t="s">
        <v>3</v>
      </c>
      <c r="AG90" s="2" t="s">
        <v>27</v>
      </c>
      <c r="AH90" s="6">
        <v>1.26E-4</v>
      </c>
      <c r="AI90" s="6">
        <v>4.1829999999999998E-4</v>
      </c>
      <c r="AJ90" s="6">
        <v>7.4400000000000006E-5</v>
      </c>
      <c r="AK90" s="2" t="s">
        <v>3</v>
      </c>
      <c r="AL90" s="56" t="s">
        <v>4</v>
      </c>
      <c r="AM90" s="56" t="s">
        <v>1</v>
      </c>
    </row>
    <row r="91" spans="1:39">
      <c r="A91" s="2" t="s">
        <v>78</v>
      </c>
      <c r="B91" s="2" t="s">
        <v>94</v>
      </c>
      <c r="C91" s="2" t="s">
        <v>386</v>
      </c>
      <c r="D91" s="2" t="s">
        <v>387</v>
      </c>
      <c r="E91" s="2" t="s">
        <v>194</v>
      </c>
      <c r="F91" s="2" t="s">
        <v>388</v>
      </c>
      <c r="G91" s="9">
        <v>1172253</v>
      </c>
      <c r="H91" s="2" t="s">
        <v>149</v>
      </c>
      <c r="I91" s="2" t="s">
        <v>204</v>
      </c>
      <c r="J91" s="2" t="s">
        <v>83</v>
      </c>
      <c r="K91" s="2" t="s">
        <v>83</v>
      </c>
      <c r="L91" s="2" t="s">
        <v>185</v>
      </c>
      <c r="M91" s="2" t="s">
        <v>118</v>
      </c>
      <c r="N91" s="2" t="s">
        <v>389</v>
      </c>
      <c r="O91" s="2" t="s">
        <v>84</v>
      </c>
      <c r="P91" s="2" t="s">
        <v>374</v>
      </c>
      <c r="Q91" s="2" t="s">
        <v>86</v>
      </c>
      <c r="R91" s="2" t="s">
        <v>189</v>
      </c>
      <c r="S91" s="2" t="s">
        <v>87</v>
      </c>
      <c r="T91" s="5">
        <v>2.34</v>
      </c>
      <c r="U91" s="2" t="s">
        <v>390</v>
      </c>
      <c r="V91" s="6">
        <v>2.18E-2</v>
      </c>
      <c r="W91" s="6">
        <v>5.0300000000000004E-2</v>
      </c>
      <c r="X91" s="2" t="s">
        <v>191</v>
      </c>
      <c r="Y91" s="2" t="s">
        <v>84</v>
      </c>
      <c r="Z91" s="5">
        <v>87716.6</v>
      </c>
      <c r="AA91" s="5">
        <v>1</v>
      </c>
      <c r="AB91" s="5">
        <v>94.01</v>
      </c>
      <c r="AC91" s="5">
        <v>0</v>
      </c>
      <c r="AD91" s="5">
        <v>82.462370000000007</v>
      </c>
      <c r="AE91" s="2" t="s">
        <v>3</v>
      </c>
      <c r="AF91" s="2" t="s">
        <v>3</v>
      </c>
      <c r="AG91" s="2" t="s">
        <v>27</v>
      </c>
      <c r="AH91" s="6">
        <v>2.3040000000000002E-4</v>
      </c>
      <c r="AI91" s="6">
        <v>5.553E-4</v>
      </c>
      <c r="AJ91" s="6">
        <v>9.8800000000000003E-5</v>
      </c>
      <c r="AK91" s="2" t="s">
        <v>3</v>
      </c>
      <c r="AL91" s="56" t="s">
        <v>4</v>
      </c>
      <c r="AM91" s="56" t="s">
        <v>1</v>
      </c>
    </row>
    <row r="92" spans="1:39">
      <c r="A92" s="2" t="s">
        <v>78</v>
      </c>
      <c r="B92" s="2" t="s">
        <v>94</v>
      </c>
      <c r="C92" s="2" t="s">
        <v>391</v>
      </c>
      <c r="D92" s="2" t="s">
        <v>392</v>
      </c>
      <c r="E92" s="2" t="s">
        <v>194</v>
      </c>
      <c r="F92" s="2" t="s">
        <v>393</v>
      </c>
      <c r="G92" s="9">
        <v>1140607</v>
      </c>
      <c r="H92" s="2" t="s">
        <v>149</v>
      </c>
      <c r="I92" s="2" t="s">
        <v>196</v>
      </c>
      <c r="J92" s="2" t="s">
        <v>83</v>
      </c>
      <c r="K92" s="2" t="s">
        <v>83</v>
      </c>
      <c r="L92" s="2" t="s">
        <v>185</v>
      </c>
      <c r="M92" s="2" t="s">
        <v>118</v>
      </c>
      <c r="N92" s="2" t="s">
        <v>197</v>
      </c>
      <c r="O92" s="2" t="s">
        <v>84</v>
      </c>
      <c r="P92" s="2" t="s">
        <v>374</v>
      </c>
      <c r="Q92" s="2" t="s">
        <v>86</v>
      </c>
      <c r="R92" s="2" t="s">
        <v>189</v>
      </c>
      <c r="S92" s="2" t="s">
        <v>87</v>
      </c>
      <c r="T92" s="5">
        <v>1.69</v>
      </c>
      <c r="U92" s="2" t="s">
        <v>394</v>
      </c>
      <c r="V92" s="6">
        <v>2.1499999999999998E-2</v>
      </c>
      <c r="W92" s="6">
        <v>2.4799999999999999E-2</v>
      </c>
      <c r="X92" s="2" t="s">
        <v>191</v>
      </c>
      <c r="Y92" s="2" t="s">
        <v>84</v>
      </c>
      <c r="Z92" s="5">
        <v>73641</v>
      </c>
      <c r="AA92" s="5">
        <v>1</v>
      </c>
      <c r="AB92" s="5">
        <v>113.52</v>
      </c>
      <c r="AC92" s="5">
        <v>0</v>
      </c>
      <c r="AD92" s="5">
        <v>83.597260000000006</v>
      </c>
      <c r="AE92" s="2" t="s">
        <v>3</v>
      </c>
      <c r="AF92" s="2" t="s">
        <v>3</v>
      </c>
      <c r="AG92" s="2" t="s">
        <v>27</v>
      </c>
      <c r="AH92" s="6">
        <v>3.7499999999999997E-5</v>
      </c>
      <c r="AI92" s="6">
        <v>5.6300000000000002E-4</v>
      </c>
      <c r="AJ92" s="6">
        <v>1.0009999999999999E-4</v>
      </c>
      <c r="AK92" s="2" t="s">
        <v>3</v>
      </c>
      <c r="AL92" s="56" t="s">
        <v>4</v>
      </c>
      <c r="AM92" s="56" t="s">
        <v>1</v>
      </c>
    </row>
    <row r="93" spans="1:39">
      <c r="A93" s="2" t="s">
        <v>78</v>
      </c>
      <c r="B93" s="2" t="s">
        <v>94</v>
      </c>
      <c r="C93" s="2" t="s">
        <v>248</v>
      </c>
      <c r="D93" s="2" t="s">
        <v>249</v>
      </c>
      <c r="E93" s="2" t="s">
        <v>194</v>
      </c>
      <c r="F93" s="2" t="s">
        <v>395</v>
      </c>
      <c r="G93" s="9">
        <v>1178672</v>
      </c>
      <c r="H93" s="2" t="s">
        <v>149</v>
      </c>
      <c r="I93" s="2" t="s">
        <v>196</v>
      </c>
      <c r="J93" s="2" t="s">
        <v>83</v>
      </c>
      <c r="K93" s="2" t="s">
        <v>83</v>
      </c>
      <c r="L93" s="2" t="s">
        <v>185</v>
      </c>
      <c r="M93" s="2" t="s">
        <v>118</v>
      </c>
      <c r="N93" s="2" t="s">
        <v>197</v>
      </c>
      <c r="O93" s="2" t="s">
        <v>84</v>
      </c>
      <c r="P93" s="2" t="s">
        <v>85</v>
      </c>
      <c r="Q93" s="2" t="s">
        <v>86</v>
      </c>
      <c r="R93" s="2" t="s">
        <v>189</v>
      </c>
      <c r="S93" s="2" t="s">
        <v>87</v>
      </c>
      <c r="T93" s="5">
        <v>7.25</v>
      </c>
      <c r="U93" s="2" t="s">
        <v>396</v>
      </c>
      <c r="V93" s="6">
        <v>9.0000000000000011E-3</v>
      </c>
      <c r="W93" s="6">
        <v>2.9300000000000003E-2</v>
      </c>
      <c r="X93" s="2" t="s">
        <v>191</v>
      </c>
      <c r="Y93" s="2" t="s">
        <v>84</v>
      </c>
      <c r="Z93" s="5">
        <v>157000</v>
      </c>
      <c r="AA93" s="5">
        <v>1</v>
      </c>
      <c r="AB93" s="5">
        <v>95.37</v>
      </c>
      <c r="AC93" s="5">
        <v>0</v>
      </c>
      <c r="AD93" s="5">
        <v>149.73089999999999</v>
      </c>
      <c r="AE93" s="2" t="s">
        <v>3</v>
      </c>
      <c r="AF93" s="2" t="s">
        <v>3</v>
      </c>
      <c r="AG93" s="2" t="s">
        <v>27</v>
      </c>
      <c r="AH93" s="6">
        <v>6.0899999999999996E-5</v>
      </c>
      <c r="AI93" s="6">
        <v>1.0084E-3</v>
      </c>
      <c r="AJ93" s="6">
        <v>1.7930000000000002E-4</v>
      </c>
      <c r="AK93" s="2" t="s">
        <v>3</v>
      </c>
      <c r="AL93" s="56" t="s">
        <v>4</v>
      </c>
      <c r="AM93" s="56" t="s">
        <v>1</v>
      </c>
    </row>
    <row r="94" spans="1:39">
      <c r="A94" s="2" t="s">
        <v>78</v>
      </c>
      <c r="B94" s="2" t="s">
        <v>94</v>
      </c>
      <c r="C94" s="2" t="s">
        <v>397</v>
      </c>
      <c r="D94" s="2" t="s">
        <v>398</v>
      </c>
      <c r="E94" s="2" t="s">
        <v>194</v>
      </c>
      <c r="F94" s="2" t="s">
        <v>399</v>
      </c>
      <c r="G94" s="9">
        <v>1203157</v>
      </c>
      <c r="H94" s="2" t="s">
        <v>149</v>
      </c>
      <c r="I94" s="2" t="s">
        <v>196</v>
      </c>
      <c r="J94" s="2" t="s">
        <v>83</v>
      </c>
      <c r="K94" s="2" t="s">
        <v>83</v>
      </c>
      <c r="L94" s="2" t="s">
        <v>185</v>
      </c>
      <c r="M94" s="2" t="s">
        <v>118</v>
      </c>
      <c r="N94" s="2" t="s">
        <v>400</v>
      </c>
      <c r="O94" s="2" t="s">
        <v>84</v>
      </c>
      <c r="P94" s="2" t="s">
        <v>401</v>
      </c>
      <c r="Q94" s="2" t="s">
        <v>86</v>
      </c>
      <c r="R94" s="2" t="s">
        <v>189</v>
      </c>
      <c r="S94" s="2" t="s">
        <v>87</v>
      </c>
      <c r="T94" s="5">
        <v>5.61</v>
      </c>
      <c r="U94" s="2" t="s">
        <v>402</v>
      </c>
      <c r="V94" s="6">
        <v>2.1099999999999997E-2</v>
      </c>
      <c r="W94" s="6">
        <v>2.0099999999999996E-2</v>
      </c>
      <c r="X94" s="2" t="s">
        <v>191</v>
      </c>
      <c r="Y94" s="2" t="s">
        <v>84</v>
      </c>
      <c r="Z94" s="5">
        <v>50000</v>
      </c>
      <c r="AA94" s="5">
        <v>1</v>
      </c>
      <c r="AB94" s="5">
        <v>101.35</v>
      </c>
      <c r="AC94" s="5">
        <v>0</v>
      </c>
      <c r="AD94" s="5">
        <v>50.674999999999997</v>
      </c>
      <c r="AE94" s="2" t="s">
        <v>3</v>
      </c>
      <c r="AF94" s="2" t="s">
        <v>3</v>
      </c>
      <c r="AG94" s="2" t="s">
        <v>27</v>
      </c>
      <c r="AH94" s="6">
        <v>3.1900000000000003E-5</v>
      </c>
      <c r="AI94" s="6">
        <v>3.413E-4</v>
      </c>
      <c r="AJ94" s="6">
        <v>6.0699999999999998E-5</v>
      </c>
      <c r="AK94" s="2" t="s">
        <v>3</v>
      </c>
      <c r="AL94" s="56" t="s">
        <v>4</v>
      </c>
      <c r="AM94" s="56" t="s">
        <v>1</v>
      </c>
    </row>
    <row r="95" spans="1:39">
      <c r="A95" s="2" t="s">
        <v>78</v>
      </c>
      <c r="B95" s="2" t="s">
        <v>94</v>
      </c>
      <c r="C95" s="2" t="s">
        <v>403</v>
      </c>
      <c r="D95" s="2" t="s">
        <v>404</v>
      </c>
      <c r="E95" s="2" t="s">
        <v>194</v>
      </c>
      <c r="F95" s="2" t="s">
        <v>437</v>
      </c>
      <c r="G95" s="9">
        <v>6040372</v>
      </c>
      <c r="H95" s="2" t="s">
        <v>149</v>
      </c>
      <c r="I95" s="2" t="s">
        <v>196</v>
      </c>
      <c r="J95" s="2" t="s">
        <v>83</v>
      </c>
      <c r="K95" s="2" t="s">
        <v>83</v>
      </c>
      <c r="L95" s="2" t="s">
        <v>185</v>
      </c>
      <c r="M95" s="2" t="s">
        <v>118</v>
      </c>
      <c r="N95" s="2" t="s">
        <v>400</v>
      </c>
      <c r="O95" s="2" t="s">
        <v>84</v>
      </c>
      <c r="P95" s="2" t="s">
        <v>401</v>
      </c>
      <c r="Q95" s="2" t="s">
        <v>86</v>
      </c>
      <c r="R95" s="2" t="s">
        <v>189</v>
      </c>
      <c r="S95" s="2" t="s">
        <v>87</v>
      </c>
      <c r="T95" s="5">
        <v>1.23</v>
      </c>
      <c r="U95" s="2" t="s">
        <v>316</v>
      </c>
      <c r="V95" s="6">
        <v>8.3000000000000001E-3</v>
      </c>
      <c r="W95" s="6">
        <v>1.3899999999999999E-2</v>
      </c>
      <c r="X95" s="2" t="s">
        <v>191</v>
      </c>
      <c r="Y95" s="2" t="s">
        <v>84</v>
      </c>
      <c r="Z95" s="5">
        <v>133148</v>
      </c>
      <c r="AA95" s="5">
        <v>1</v>
      </c>
      <c r="AB95" s="5">
        <v>111.66</v>
      </c>
      <c r="AC95" s="5">
        <v>0</v>
      </c>
      <c r="AD95" s="5">
        <v>148.67304999999999</v>
      </c>
      <c r="AE95" s="2" t="s">
        <v>3</v>
      </c>
      <c r="AF95" s="2" t="s">
        <v>3</v>
      </c>
      <c r="AG95" s="2" t="s">
        <v>27</v>
      </c>
      <c r="AH95" s="6">
        <v>4.3699999999999998E-5</v>
      </c>
      <c r="AI95" s="6">
        <v>1.0012999999999999E-3</v>
      </c>
      <c r="AJ95" s="6">
        <v>1.7809999999999999E-4</v>
      </c>
      <c r="AK95" s="2" t="s">
        <v>3</v>
      </c>
      <c r="AL95" s="56" t="s">
        <v>4</v>
      </c>
      <c r="AM95" s="56" t="s">
        <v>1</v>
      </c>
    </row>
    <row r="96" spans="1:39">
      <c r="A96" s="2" t="s">
        <v>78</v>
      </c>
      <c r="B96" s="2" t="s">
        <v>94</v>
      </c>
      <c r="C96" s="2" t="s">
        <v>403</v>
      </c>
      <c r="D96" s="2" t="s">
        <v>404</v>
      </c>
      <c r="E96" s="2" t="s">
        <v>194</v>
      </c>
      <c r="F96" s="2" t="s">
        <v>405</v>
      </c>
      <c r="G96" s="9">
        <v>1201839</v>
      </c>
      <c r="H96" s="2" t="s">
        <v>149</v>
      </c>
      <c r="I96" s="2" t="s">
        <v>196</v>
      </c>
      <c r="J96" s="2" t="s">
        <v>83</v>
      </c>
      <c r="K96" s="2" t="s">
        <v>83</v>
      </c>
      <c r="L96" s="2" t="s">
        <v>185</v>
      </c>
      <c r="M96" s="2" t="s">
        <v>118</v>
      </c>
      <c r="N96" s="2" t="s">
        <v>400</v>
      </c>
      <c r="O96" s="2" t="s">
        <v>84</v>
      </c>
      <c r="P96" s="2" t="s">
        <v>401</v>
      </c>
      <c r="Q96" s="2" t="s">
        <v>86</v>
      </c>
      <c r="R96" s="2" t="s">
        <v>189</v>
      </c>
      <c r="S96" s="2" t="s">
        <v>87</v>
      </c>
      <c r="T96" s="5">
        <v>5.53</v>
      </c>
      <c r="U96" s="2" t="s">
        <v>406</v>
      </c>
      <c r="V96" s="6">
        <v>2.0199999999999999E-2</v>
      </c>
      <c r="W96" s="6">
        <v>2.0499999999999997E-2</v>
      </c>
      <c r="X96" s="2" t="s">
        <v>191</v>
      </c>
      <c r="Y96" s="2" t="s">
        <v>84</v>
      </c>
      <c r="Z96" s="5">
        <v>101000</v>
      </c>
      <c r="AA96" s="5">
        <v>1</v>
      </c>
      <c r="AB96" s="5">
        <v>100.75</v>
      </c>
      <c r="AC96" s="5">
        <v>0</v>
      </c>
      <c r="AD96" s="5">
        <v>101.75749999999999</v>
      </c>
      <c r="AE96" s="2" t="s">
        <v>3</v>
      </c>
      <c r="AF96" s="2" t="s">
        <v>3</v>
      </c>
      <c r="AG96" s="2" t="s">
        <v>27</v>
      </c>
      <c r="AH96" s="6">
        <v>4.7499999999999996E-5</v>
      </c>
      <c r="AI96" s="6">
        <v>6.8529999999999991E-4</v>
      </c>
      <c r="AJ96" s="6">
        <v>1.219E-4</v>
      </c>
      <c r="AK96" s="2" t="s">
        <v>3</v>
      </c>
      <c r="AL96" s="56" t="s">
        <v>4</v>
      </c>
      <c r="AM96" s="56" t="s">
        <v>1</v>
      </c>
    </row>
    <row r="97" spans="1:39">
      <c r="A97" s="2" t="s">
        <v>78</v>
      </c>
      <c r="B97" s="2" t="s">
        <v>94</v>
      </c>
      <c r="C97" s="2" t="s">
        <v>407</v>
      </c>
      <c r="D97" s="2" t="s">
        <v>408</v>
      </c>
      <c r="E97" s="2" t="s">
        <v>194</v>
      </c>
      <c r="F97" s="2" t="s">
        <v>438</v>
      </c>
      <c r="G97" s="9">
        <v>2310498</v>
      </c>
      <c r="H97" s="2" t="s">
        <v>149</v>
      </c>
      <c r="I97" s="2" t="s">
        <v>196</v>
      </c>
      <c r="J97" s="2" t="s">
        <v>83</v>
      </c>
      <c r="K97" s="2" t="s">
        <v>83</v>
      </c>
      <c r="L97" s="2" t="s">
        <v>185</v>
      </c>
      <c r="M97" s="2" t="s">
        <v>118</v>
      </c>
      <c r="N97" s="2" t="s">
        <v>400</v>
      </c>
      <c r="O97" s="2" t="s">
        <v>84</v>
      </c>
      <c r="P97" s="2" t="s">
        <v>401</v>
      </c>
      <c r="Q97" s="2" t="s">
        <v>86</v>
      </c>
      <c r="R97" s="2" t="s">
        <v>189</v>
      </c>
      <c r="S97" s="2" t="s">
        <v>87</v>
      </c>
      <c r="T97" s="5">
        <v>4.55</v>
      </c>
      <c r="U97" s="2" t="s">
        <v>439</v>
      </c>
      <c r="V97" s="6">
        <v>1E-3</v>
      </c>
      <c r="W97" s="6">
        <v>1.9699999999999999E-2</v>
      </c>
      <c r="X97" s="2" t="s">
        <v>191</v>
      </c>
      <c r="Y97" s="2" t="s">
        <v>84</v>
      </c>
      <c r="Z97" s="5">
        <v>157635</v>
      </c>
      <c r="AA97" s="5">
        <v>1</v>
      </c>
      <c r="AB97" s="5">
        <v>100.35</v>
      </c>
      <c r="AC97" s="5">
        <v>0</v>
      </c>
      <c r="AD97" s="5">
        <v>158.18672000000001</v>
      </c>
      <c r="AE97" s="2" t="s">
        <v>3</v>
      </c>
      <c r="AF97" s="2" t="s">
        <v>3</v>
      </c>
      <c r="AG97" s="2" t="s">
        <v>27</v>
      </c>
      <c r="AH97" s="6">
        <v>4.6600000000000001E-5</v>
      </c>
      <c r="AI97" s="6">
        <v>1.0652999999999999E-3</v>
      </c>
      <c r="AJ97" s="6">
        <v>1.8950000000000003E-4</v>
      </c>
      <c r="AK97" s="2" t="s">
        <v>3</v>
      </c>
      <c r="AL97" s="56" t="s">
        <v>4</v>
      </c>
      <c r="AM97" s="56" t="s">
        <v>1</v>
      </c>
    </row>
    <row r="98" spans="1:39">
      <c r="A98" s="2" t="s">
        <v>78</v>
      </c>
      <c r="B98" s="2" t="s">
        <v>94</v>
      </c>
      <c r="C98" s="2" t="s">
        <v>407</v>
      </c>
      <c r="D98" s="2" t="s">
        <v>408</v>
      </c>
      <c r="E98" s="2" t="s">
        <v>194</v>
      </c>
      <c r="F98" s="2" t="s">
        <v>440</v>
      </c>
      <c r="G98" s="9">
        <v>1196807</v>
      </c>
      <c r="H98" s="2" t="s">
        <v>149</v>
      </c>
      <c r="I98" s="2" t="s">
        <v>196</v>
      </c>
      <c r="J98" s="2" t="s">
        <v>83</v>
      </c>
      <c r="K98" s="2" t="s">
        <v>83</v>
      </c>
      <c r="L98" s="2" t="s">
        <v>185</v>
      </c>
      <c r="M98" s="2" t="s">
        <v>118</v>
      </c>
      <c r="N98" s="2" t="s">
        <v>400</v>
      </c>
      <c r="O98" s="2" t="s">
        <v>84</v>
      </c>
      <c r="P98" s="2" t="s">
        <v>401</v>
      </c>
      <c r="Q98" s="2" t="s">
        <v>86</v>
      </c>
      <c r="R98" s="2" t="s">
        <v>189</v>
      </c>
      <c r="S98" s="2" t="s">
        <v>87</v>
      </c>
      <c r="T98" s="5">
        <v>4.3899999999999997</v>
      </c>
      <c r="U98" s="2" t="s">
        <v>441</v>
      </c>
      <c r="V98" s="6">
        <v>2.06E-2</v>
      </c>
      <c r="W98" s="6">
        <v>1.9699999999999999E-2</v>
      </c>
      <c r="X98" s="2" t="s">
        <v>191</v>
      </c>
      <c r="Y98" s="2" t="s">
        <v>84</v>
      </c>
      <c r="Z98" s="5">
        <v>100000</v>
      </c>
      <c r="AA98" s="5">
        <v>1</v>
      </c>
      <c r="AB98" s="5">
        <v>103.41</v>
      </c>
      <c r="AC98" s="5">
        <v>0</v>
      </c>
      <c r="AD98" s="5">
        <v>103.41</v>
      </c>
      <c r="AE98" s="2" t="s">
        <v>3</v>
      </c>
      <c r="AF98" s="2" t="s">
        <v>3</v>
      </c>
      <c r="AG98" s="2" t="s">
        <v>27</v>
      </c>
      <c r="AH98" s="6">
        <v>4.9899999999999993E-5</v>
      </c>
      <c r="AI98" s="6">
        <v>6.9639999999999991E-4</v>
      </c>
      <c r="AJ98" s="6">
        <v>1.239E-4</v>
      </c>
      <c r="AK98" s="2" t="s">
        <v>3</v>
      </c>
      <c r="AL98" s="56" t="s">
        <v>4</v>
      </c>
      <c r="AM98" s="56" t="s">
        <v>1</v>
      </c>
    </row>
    <row r="99" spans="1:39">
      <c r="A99" s="2" t="s">
        <v>78</v>
      </c>
      <c r="B99" s="2" t="s">
        <v>94</v>
      </c>
      <c r="C99" s="2" t="s">
        <v>407</v>
      </c>
      <c r="D99" s="2" t="s">
        <v>408</v>
      </c>
      <c r="E99" s="2" t="s">
        <v>194</v>
      </c>
      <c r="F99" s="2" t="s">
        <v>409</v>
      </c>
      <c r="G99" s="9">
        <v>1202142</v>
      </c>
      <c r="H99" s="2" t="s">
        <v>149</v>
      </c>
      <c r="I99" s="2" t="s">
        <v>196</v>
      </c>
      <c r="J99" s="2" t="s">
        <v>83</v>
      </c>
      <c r="K99" s="2" t="s">
        <v>83</v>
      </c>
      <c r="L99" s="2" t="s">
        <v>185</v>
      </c>
      <c r="M99" s="2" t="s">
        <v>118</v>
      </c>
      <c r="N99" s="2" t="s">
        <v>400</v>
      </c>
      <c r="O99" s="2" t="s">
        <v>84</v>
      </c>
      <c r="P99" s="2" t="s">
        <v>401</v>
      </c>
      <c r="Q99" s="2" t="s">
        <v>86</v>
      </c>
      <c r="R99" s="2" t="s">
        <v>189</v>
      </c>
      <c r="S99" s="2" t="s">
        <v>87</v>
      </c>
      <c r="T99" s="5">
        <v>4.92</v>
      </c>
      <c r="U99" s="2" t="s">
        <v>410</v>
      </c>
      <c r="V99" s="6">
        <v>1.9900000000000001E-2</v>
      </c>
      <c r="W99" s="6">
        <v>2.0099999999999996E-2</v>
      </c>
      <c r="X99" s="2" t="s">
        <v>191</v>
      </c>
      <c r="Y99" s="2" t="s">
        <v>84</v>
      </c>
      <c r="Z99" s="5">
        <v>60000</v>
      </c>
      <c r="AA99" s="5">
        <v>1</v>
      </c>
      <c r="AB99" s="5">
        <v>100.72</v>
      </c>
      <c r="AC99" s="5">
        <v>0</v>
      </c>
      <c r="AD99" s="5">
        <v>60.432000000000002</v>
      </c>
      <c r="AE99" s="2" t="s">
        <v>3</v>
      </c>
      <c r="AF99" s="2" t="s">
        <v>3</v>
      </c>
      <c r="AG99" s="2" t="s">
        <v>27</v>
      </c>
      <c r="AH99" s="6">
        <v>2.2200000000000001E-5</v>
      </c>
      <c r="AI99" s="6">
        <v>4.0700000000000003E-4</v>
      </c>
      <c r="AJ99" s="6">
        <v>7.2399999999999998E-5</v>
      </c>
      <c r="AK99" s="2" t="s">
        <v>3</v>
      </c>
      <c r="AL99" s="56" t="s">
        <v>4</v>
      </c>
      <c r="AM99" s="56" t="s">
        <v>1</v>
      </c>
    </row>
    <row r="100" spans="1:39">
      <c r="A100" s="2" t="s">
        <v>78</v>
      </c>
      <c r="B100" s="2" t="s">
        <v>94</v>
      </c>
      <c r="C100" s="2" t="s">
        <v>407</v>
      </c>
      <c r="D100" s="2" t="s">
        <v>408</v>
      </c>
      <c r="E100" s="2" t="s">
        <v>194</v>
      </c>
      <c r="F100" s="2" t="s">
        <v>442</v>
      </c>
      <c r="G100" s="9">
        <v>2310217</v>
      </c>
      <c r="H100" s="2" t="s">
        <v>149</v>
      </c>
      <c r="I100" s="2" t="s">
        <v>196</v>
      </c>
      <c r="J100" s="2" t="s">
        <v>83</v>
      </c>
      <c r="K100" s="2" t="s">
        <v>83</v>
      </c>
      <c r="L100" s="2" t="s">
        <v>185</v>
      </c>
      <c r="M100" s="2" t="s">
        <v>118</v>
      </c>
      <c r="N100" s="2" t="s">
        <v>400</v>
      </c>
      <c r="O100" s="2" t="s">
        <v>84</v>
      </c>
      <c r="P100" s="2" t="s">
        <v>401</v>
      </c>
      <c r="Q100" s="2" t="s">
        <v>86</v>
      </c>
      <c r="R100" s="2" t="s">
        <v>189</v>
      </c>
      <c r="S100" s="2" t="s">
        <v>87</v>
      </c>
      <c r="T100" s="5">
        <v>0.5</v>
      </c>
      <c r="U100" s="2" t="s">
        <v>443</v>
      </c>
      <c r="V100" s="6">
        <v>8.6E-3</v>
      </c>
      <c r="W100" s="6">
        <v>1.3000000000000001E-2</v>
      </c>
      <c r="X100" s="2" t="s">
        <v>191</v>
      </c>
      <c r="Y100" s="2" t="s">
        <v>84</v>
      </c>
      <c r="Z100" s="5">
        <v>211029</v>
      </c>
      <c r="AA100" s="5">
        <v>1</v>
      </c>
      <c r="AB100" s="5">
        <v>113.09</v>
      </c>
      <c r="AC100" s="5">
        <v>0</v>
      </c>
      <c r="AD100" s="5">
        <v>238.65269000000001</v>
      </c>
      <c r="AE100" s="2" t="s">
        <v>3</v>
      </c>
      <c r="AF100" s="2" t="s">
        <v>3</v>
      </c>
      <c r="AG100" s="2" t="s">
        <v>27</v>
      </c>
      <c r="AH100" s="6">
        <v>8.4300000000000003E-5</v>
      </c>
      <c r="AI100" s="6">
        <v>1.6072E-3</v>
      </c>
      <c r="AJ100" s="6">
        <v>2.8590000000000001E-4</v>
      </c>
      <c r="AK100" s="2" t="s">
        <v>3</v>
      </c>
      <c r="AL100" s="56" t="s">
        <v>4</v>
      </c>
      <c r="AM100" s="56" t="s">
        <v>1</v>
      </c>
    </row>
    <row r="101" spans="1:39">
      <c r="A101" s="2" t="s">
        <v>78</v>
      </c>
      <c r="B101" s="2" t="s">
        <v>94</v>
      </c>
      <c r="C101" s="2" t="s">
        <v>179</v>
      </c>
      <c r="D101" s="2" t="s">
        <v>180</v>
      </c>
      <c r="E101" s="2" t="s">
        <v>168</v>
      </c>
      <c r="F101" s="2" t="s">
        <v>181</v>
      </c>
      <c r="G101" s="2" t="s">
        <v>182</v>
      </c>
      <c r="H101" s="2" t="s">
        <v>183</v>
      </c>
      <c r="I101" s="2" t="s">
        <v>184</v>
      </c>
      <c r="J101" s="2" t="s">
        <v>148</v>
      </c>
      <c r="K101" s="2" t="s">
        <v>156</v>
      </c>
      <c r="L101" s="2" t="s">
        <v>185</v>
      </c>
      <c r="M101" s="2" t="s">
        <v>149</v>
      </c>
      <c r="N101" s="2" t="s">
        <v>186</v>
      </c>
      <c r="O101" s="2" t="s">
        <v>84</v>
      </c>
      <c r="P101" s="2" t="s">
        <v>187</v>
      </c>
      <c r="Q101" s="2" t="s">
        <v>188</v>
      </c>
      <c r="R101" s="2" t="s">
        <v>189</v>
      </c>
      <c r="S101" s="2" t="s">
        <v>91</v>
      </c>
      <c r="T101" s="5">
        <v>1.006</v>
      </c>
      <c r="U101" s="2" t="s">
        <v>190</v>
      </c>
      <c r="V101" s="6">
        <v>4.0800000000000003E-2</v>
      </c>
      <c r="W101" s="6">
        <v>6.0739999999999995E-2</v>
      </c>
      <c r="X101" s="2" t="s">
        <v>191</v>
      </c>
      <c r="Y101" s="2" t="s">
        <v>84</v>
      </c>
      <c r="Z101" s="5">
        <v>45000</v>
      </c>
      <c r="AA101" s="5">
        <v>3.681</v>
      </c>
      <c r="AB101" s="5">
        <v>100.25149</v>
      </c>
      <c r="AC101" s="5">
        <v>0</v>
      </c>
      <c r="AD101" s="5">
        <v>166.06159</v>
      </c>
      <c r="AE101" s="2" t="s">
        <v>3</v>
      </c>
      <c r="AF101" s="2" t="s">
        <v>3</v>
      </c>
      <c r="AG101" s="2" t="s">
        <v>27</v>
      </c>
      <c r="AH101" s="6">
        <v>1.5E-5</v>
      </c>
      <c r="AI101" s="6">
        <v>1.1183999999999999E-3</v>
      </c>
      <c r="AJ101" s="6">
        <v>1.9890000000000001E-4</v>
      </c>
      <c r="AK101" s="9">
        <v>72896715</v>
      </c>
      <c r="AL101" s="56" t="s">
        <v>4</v>
      </c>
      <c r="AM101" s="56" t="s">
        <v>1</v>
      </c>
    </row>
    <row r="102" spans="1:39">
      <c r="A102" s="2" t="s">
        <v>78</v>
      </c>
      <c r="B102" s="2" t="s">
        <v>94</v>
      </c>
      <c r="C102" s="2" t="s">
        <v>263</v>
      </c>
      <c r="D102" s="2" t="s">
        <v>264</v>
      </c>
      <c r="E102" s="2" t="s">
        <v>168</v>
      </c>
      <c r="F102" s="2" t="s">
        <v>265</v>
      </c>
      <c r="G102" s="2" t="s">
        <v>266</v>
      </c>
      <c r="H102" s="2" t="s">
        <v>183</v>
      </c>
      <c r="I102" s="2" t="s">
        <v>184</v>
      </c>
      <c r="J102" s="2" t="s">
        <v>148</v>
      </c>
      <c r="K102" s="2" t="s">
        <v>156</v>
      </c>
      <c r="L102" s="2" t="s">
        <v>185</v>
      </c>
      <c r="M102" s="2" t="s">
        <v>157</v>
      </c>
      <c r="N102" s="2" t="s">
        <v>267</v>
      </c>
      <c r="O102" s="2" t="s">
        <v>84</v>
      </c>
      <c r="P102" s="2" t="s">
        <v>268</v>
      </c>
      <c r="Q102" s="2" t="s">
        <v>188</v>
      </c>
      <c r="R102" s="2" t="s">
        <v>189</v>
      </c>
      <c r="S102" s="2" t="s">
        <v>91</v>
      </c>
      <c r="T102" s="5">
        <v>3.34</v>
      </c>
      <c r="U102" s="2" t="s">
        <v>269</v>
      </c>
      <c r="V102" s="6">
        <v>5.2499999999999998E-2</v>
      </c>
      <c r="W102" s="6">
        <v>4.8499999999999995E-2</v>
      </c>
      <c r="X102" s="2" t="s">
        <v>191</v>
      </c>
      <c r="Y102" s="2" t="s">
        <v>84</v>
      </c>
      <c r="Z102" s="5">
        <v>41000</v>
      </c>
      <c r="AA102" s="5">
        <v>3.681</v>
      </c>
      <c r="AB102" s="5">
        <v>102.14507999999999</v>
      </c>
      <c r="AC102" s="5">
        <v>0</v>
      </c>
      <c r="AD102" s="5">
        <v>154.15836999999999</v>
      </c>
      <c r="AE102" s="2" t="s">
        <v>3</v>
      </c>
      <c r="AF102" s="2" t="s">
        <v>3</v>
      </c>
      <c r="AG102" s="2" t="s">
        <v>27</v>
      </c>
      <c r="AH102" s="6">
        <v>4.1E-5</v>
      </c>
      <c r="AI102" s="6">
        <v>1.0382E-3</v>
      </c>
      <c r="AJ102" s="6">
        <v>1.8469999999999999E-4</v>
      </c>
      <c r="AK102" s="9">
        <v>72911860</v>
      </c>
      <c r="AL102" s="56" t="s">
        <v>4</v>
      </c>
      <c r="AM102" s="56" t="s">
        <v>1</v>
      </c>
    </row>
    <row r="103" spans="1:39">
      <c r="A103" s="2" t="s">
        <v>78</v>
      </c>
      <c r="B103" s="2" t="s">
        <v>94</v>
      </c>
      <c r="C103" s="2" t="s">
        <v>270</v>
      </c>
      <c r="D103" s="2" t="s">
        <v>271</v>
      </c>
      <c r="E103" s="2" t="s">
        <v>168</v>
      </c>
      <c r="F103" s="2" t="s">
        <v>272</v>
      </c>
      <c r="G103" s="2" t="s">
        <v>273</v>
      </c>
      <c r="H103" s="2" t="s">
        <v>183</v>
      </c>
      <c r="I103" s="2" t="s">
        <v>184</v>
      </c>
      <c r="J103" s="2" t="s">
        <v>148</v>
      </c>
      <c r="K103" s="2" t="s">
        <v>156</v>
      </c>
      <c r="L103" s="2" t="s">
        <v>185</v>
      </c>
      <c r="M103" s="2" t="s">
        <v>157</v>
      </c>
      <c r="N103" s="2" t="s">
        <v>274</v>
      </c>
      <c r="O103" s="2" t="s">
        <v>84</v>
      </c>
      <c r="P103" s="2" t="s">
        <v>268</v>
      </c>
      <c r="Q103" s="2" t="s">
        <v>188</v>
      </c>
      <c r="R103" s="2" t="s">
        <v>189</v>
      </c>
      <c r="S103" s="2" t="s">
        <v>91</v>
      </c>
      <c r="T103" s="5">
        <v>0.95799999999999996</v>
      </c>
      <c r="U103" s="2" t="s">
        <v>275</v>
      </c>
      <c r="V103" s="6">
        <v>4.3499999999999997E-2</v>
      </c>
      <c r="W103" s="6">
        <v>5.5469999999999998E-2</v>
      </c>
      <c r="X103" s="2" t="s">
        <v>191</v>
      </c>
      <c r="Y103" s="2" t="s">
        <v>84</v>
      </c>
      <c r="Z103" s="5">
        <v>32000</v>
      </c>
      <c r="AA103" s="5">
        <v>3.681</v>
      </c>
      <c r="AB103" s="5">
        <v>98.779499999999999</v>
      </c>
      <c r="AC103" s="5">
        <v>0.69199999999999995</v>
      </c>
      <c r="AD103" s="5">
        <v>118.90170000000001</v>
      </c>
      <c r="AE103" s="2" t="s">
        <v>3</v>
      </c>
      <c r="AF103" s="2" t="s">
        <v>3</v>
      </c>
      <c r="AG103" s="2" t="s">
        <v>27</v>
      </c>
      <c r="AH103" s="6">
        <v>3.1999999999999999E-5</v>
      </c>
      <c r="AI103" s="6">
        <v>8.0079999999999995E-4</v>
      </c>
      <c r="AJ103" s="6">
        <v>1.4239999999999999E-4</v>
      </c>
      <c r="AK103" s="9">
        <v>71554216</v>
      </c>
      <c r="AL103" s="56" t="s">
        <v>4</v>
      </c>
      <c r="AM103" s="56" t="s">
        <v>1</v>
      </c>
    </row>
    <row r="104" spans="1:39">
      <c r="A104" s="2" t="s">
        <v>78</v>
      </c>
      <c r="B104" s="2" t="s">
        <v>94</v>
      </c>
      <c r="C104" s="2" t="s">
        <v>276</v>
      </c>
      <c r="D104" s="2" t="s">
        <v>277</v>
      </c>
      <c r="E104" s="2" t="s">
        <v>168</v>
      </c>
      <c r="F104" s="2" t="s">
        <v>278</v>
      </c>
      <c r="G104" s="2" t="s">
        <v>279</v>
      </c>
      <c r="H104" s="2" t="s">
        <v>183</v>
      </c>
      <c r="I104" s="2" t="s">
        <v>184</v>
      </c>
      <c r="J104" s="2" t="s">
        <v>148</v>
      </c>
      <c r="K104" s="2" t="s">
        <v>156</v>
      </c>
      <c r="L104" s="2" t="s">
        <v>185</v>
      </c>
      <c r="M104" s="2" t="s">
        <v>157</v>
      </c>
      <c r="N104" s="2" t="s">
        <v>267</v>
      </c>
      <c r="O104" s="2" t="s">
        <v>84</v>
      </c>
      <c r="P104" s="2" t="s">
        <v>280</v>
      </c>
      <c r="Q104" s="2" t="s">
        <v>188</v>
      </c>
      <c r="R104" s="2" t="s">
        <v>189</v>
      </c>
      <c r="S104" s="2" t="s">
        <v>91</v>
      </c>
      <c r="T104" s="5">
        <v>1.7509999999999999</v>
      </c>
      <c r="U104" s="2" t="s">
        <v>281</v>
      </c>
      <c r="V104" s="6">
        <v>2.196E-2</v>
      </c>
      <c r="W104" s="6">
        <v>5.8339999999999996E-2</v>
      </c>
      <c r="X104" s="2" t="s">
        <v>191</v>
      </c>
      <c r="Y104" s="2" t="s">
        <v>84</v>
      </c>
      <c r="Z104" s="5">
        <v>33000</v>
      </c>
      <c r="AA104" s="5">
        <v>3.681</v>
      </c>
      <c r="AB104" s="5">
        <v>94.027289999999994</v>
      </c>
      <c r="AC104" s="5">
        <v>0</v>
      </c>
      <c r="AD104" s="5">
        <v>114.21778</v>
      </c>
      <c r="AE104" s="2" t="s">
        <v>3</v>
      </c>
      <c r="AF104" s="2" t="s">
        <v>3</v>
      </c>
      <c r="AG104" s="2" t="s">
        <v>27</v>
      </c>
      <c r="AH104" s="6">
        <v>5.9999999999999993E-6</v>
      </c>
      <c r="AI104" s="6">
        <v>7.6920000000000005E-4</v>
      </c>
      <c r="AJ104" s="6">
        <v>1.3679999999999999E-4</v>
      </c>
      <c r="AK104" s="9">
        <v>72760531</v>
      </c>
      <c r="AL104" s="56" t="s">
        <v>4</v>
      </c>
      <c r="AM104" s="56" t="s">
        <v>1</v>
      </c>
    </row>
    <row r="105" spans="1:39">
      <c r="A105" s="2" t="s">
        <v>78</v>
      </c>
      <c r="B105" s="2" t="s">
        <v>94</v>
      </c>
      <c r="C105" s="2" t="s">
        <v>282</v>
      </c>
      <c r="D105" s="2" t="s">
        <v>283</v>
      </c>
      <c r="E105" s="2" t="s">
        <v>168</v>
      </c>
      <c r="F105" s="2" t="s">
        <v>284</v>
      </c>
      <c r="G105" s="2" t="s">
        <v>285</v>
      </c>
      <c r="H105" s="2" t="s">
        <v>183</v>
      </c>
      <c r="I105" s="2" t="s">
        <v>184</v>
      </c>
      <c r="J105" s="2" t="s">
        <v>148</v>
      </c>
      <c r="K105" s="2" t="s">
        <v>156</v>
      </c>
      <c r="L105" s="2" t="s">
        <v>185</v>
      </c>
      <c r="M105" s="2" t="s">
        <v>157</v>
      </c>
      <c r="N105" s="2" t="s">
        <v>186</v>
      </c>
      <c r="O105" s="2" t="s">
        <v>84</v>
      </c>
      <c r="P105" s="2" t="s">
        <v>286</v>
      </c>
      <c r="Q105" s="2" t="s">
        <v>188</v>
      </c>
      <c r="R105" s="2" t="s">
        <v>189</v>
      </c>
      <c r="S105" s="2" t="s">
        <v>91</v>
      </c>
      <c r="T105" s="5">
        <v>0.14000000000000001</v>
      </c>
      <c r="U105" s="2" t="s">
        <v>287</v>
      </c>
      <c r="V105" s="6">
        <v>4.1399999999999999E-2</v>
      </c>
      <c r="W105" s="6">
        <v>6.6710000000000005E-2</v>
      </c>
      <c r="X105" s="2" t="s">
        <v>191</v>
      </c>
      <c r="Y105" s="2" t="s">
        <v>84</v>
      </c>
      <c r="Z105" s="5">
        <v>24000</v>
      </c>
      <c r="AA105" s="5">
        <v>3.681</v>
      </c>
      <c r="AB105" s="5">
        <v>101.19298999999999</v>
      </c>
      <c r="AC105" s="5">
        <v>0</v>
      </c>
      <c r="AD105" s="5">
        <v>89.397930000000002</v>
      </c>
      <c r="AE105" s="2" t="s">
        <v>3</v>
      </c>
      <c r="AF105" s="2" t="s">
        <v>3</v>
      </c>
      <c r="AG105" s="2" t="s">
        <v>27</v>
      </c>
      <c r="AH105" s="6">
        <v>1.5999999999999999E-5</v>
      </c>
      <c r="AI105" s="6">
        <v>6.0209999999999994E-4</v>
      </c>
      <c r="AJ105" s="6">
        <v>1.071E-4</v>
      </c>
      <c r="AK105" s="9">
        <v>72899750</v>
      </c>
      <c r="AL105" s="56" t="s">
        <v>4</v>
      </c>
      <c r="AM105" s="56" t="s">
        <v>1</v>
      </c>
    </row>
    <row r="106" spans="1:39">
      <c r="A106" s="2" t="s">
        <v>78</v>
      </c>
      <c r="B106" s="2" t="s">
        <v>94</v>
      </c>
      <c r="C106" s="2" t="s">
        <v>288</v>
      </c>
      <c r="D106" s="2" t="s">
        <v>289</v>
      </c>
      <c r="E106" s="2" t="s">
        <v>168</v>
      </c>
      <c r="F106" s="2" t="s">
        <v>290</v>
      </c>
      <c r="G106" s="2" t="s">
        <v>291</v>
      </c>
      <c r="H106" s="2" t="s">
        <v>183</v>
      </c>
      <c r="I106" s="2" t="s">
        <v>184</v>
      </c>
      <c r="J106" s="2" t="s">
        <v>148</v>
      </c>
      <c r="K106" s="2" t="s">
        <v>156</v>
      </c>
      <c r="L106" s="2" t="s">
        <v>185</v>
      </c>
      <c r="M106" s="2" t="s">
        <v>157</v>
      </c>
      <c r="N106" s="2" t="s">
        <v>292</v>
      </c>
      <c r="O106" s="2" t="s">
        <v>84</v>
      </c>
      <c r="P106" s="2" t="s">
        <v>286</v>
      </c>
      <c r="Q106" s="2" t="s">
        <v>188</v>
      </c>
      <c r="R106" s="2" t="s">
        <v>189</v>
      </c>
      <c r="S106" s="2" t="s">
        <v>91</v>
      </c>
      <c r="T106" s="5">
        <v>1.4550000000000001</v>
      </c>
      <c r="U106" s="2" t="s">
        <v>293</v>
      </c>
      <c r="V106" s="6">
        <v>2.6000000000000002E-2</v>
      </c>
      <c r="W106" s="6">
        <v>5.3429999999999998E-2</v>
      </c>
      <c r="X106" s="2" t="s">
        <v>191</v>
      </c>
      <c r="Y106" s="2" t="s">
        <v>84</v>
      </c>
      <c r="Z106" s="5">
        <v>36000</v>
      </c>
      <c r="AA106" s="5">
        <v>3.681</v>
      </c>
      <c r="AB106" s="5">
        <v>97.150090000000006</v>
      </c>
      <c r="AC106" s="5">
        <v>0</v>
      </c>
      <c r="AD106" s="5">
        <v>128.73942</v>
      </c>
      <c r="AE106" s="2" t="s">
        <v>3</v>
      </c>
      <c r="AF106" s="2" t="s">
        <v>3</v>
      </c>
      <c r="AG106" s="2" t="s">
        <v>27</v>
      </c>
      <c r="AH106" s="6">
        <v>7.2000000000000002E-5</v>
      </c>
      <c r="AI106" s="6">
        <v>8.6700000000000004E-4</v>
      </c>
      <c r="AJ106" s="6">
        <v>1.5420000000000001E-4</v>
      </c>
      <c r="AK106" s="9">
        <v>72161367</v>
      </c>
      <c r="AL106" s="56" t="s">
        <v>4</v>
      </c>
      <c r="AM106" s="56" t="s">
        <v>1</v>
      </c>
    </row>
    <row r="107" spans="1:39">
      <c r="A107" s="2" t="s">
        <v>78</v>
      </c>
      <c r="B107" s="2" t="s">
        <v>96</v>
      </c>
      <c r="C107" s="2" t="s">
        <v>192</v>
      </c>
      <c r="D107" s="2" t="s">
        <v>193</v>
      </c>
      <c r="E107" s="2" t="s">
        <v>194</v>
      </c>
      <c r="F107" s="2" t="s">
        <v>195</v>
      </c>
      <c r="G107" s="9">
        <v>1139849</v>
      </c>
      <c r="H107" s="2" t="s">
        <v>149</v>
      </c>
      <c r="I107" s="2" t="s">
        <v>196</v>
      </c>
      <c r="J107" s="2" t="s">
        <v>83</v>
      </c>
      <c r="K107" s="2" t="s">
        <v>83</v>
      </c>
      <c r="L107" s="2" t="s">
        <v>185</v>
      </c>
      <c r="M107" s="2" t="s">
        <v>118</v>
      </c>
      <c r="N107" s="2" t="s">
        <v>197</v>
      </c>
      <c r="O107" s="2" t="s">
        <v>84</v>
      </c>
      <c r="P107" s="2" t="s">
        <v>198</v>
      </c>
      <c r="Q107" s="2" t="s">
        <v>199</v>
      </c>
      <c r="R107" s="2" t="s">
        <v>189</v>
      </c>
      <c r="S107" s="2" t="s">
        <v>87</v>
      </c>
      <c r="T107" s="5">
        <v>1.64</v>
      </c>
      <c r="U107" s="2" t="s">
        <v>200</v>
      </c>
      <c r="V107" s="6">
        <v>2.5000000000000001E-2</v>
      </c>
      <c r="W107" s="6">
        <v>2.4700000000000003E-2</v>
      </c>
      <c r="X107" s="2" t="s">
        <v>191</v>
      </c>
      <c r="Y107" s="2" t="s">
        <v>84</v>
      </c>
      <c r="Z107" s="5">
        <v>390477.95</v>
      </c>
      <c r="AA107" s="5">
        <v>1</v>
      </c>
      <c r="AB107" s="5">
        <v>113.86</v>
      </c>
      <c r="AC107" s="5">
        <v>0</v>
      </c>
      <c r="AD107" s="5">
        <v>444.59818999999999</v>
      </c>
      <c r="AE107" s="2" t="s">
        <v>3</v>
      </c>
      <c r="AF107" s="2" t="s">
        <v>3</v>
      </c>
      <c r="AG107" s="2" t="s">
        <v>27</v>
      </c>
      <c r="AH107" s="6">
        <v>1.1823000000000001E-3</v>
      </c>
      <c r="AI107" s="6">
        <v>2.9942000000000002E-3</v>
      </c>
      <c r="AJ107" s="6">
        <v>5.3249999999999999E-4</v>
      </c>
      <c r="AK107" s="2" t="s">
        <v>3</v>
      </c>
      <c r="AL107" s="56" t="s">
        <v>4</v>
      </c>
      <c r="AM107" s="56" t="s">
        <v>1</v>
      </c>
    </row>
    <row r="108" spans="1:39">
      <c r="A108" s="2" t="s">
        <v>78</v>
      </c>
      <c r="B108" s="2" t="s">
        <v>96</v>
      </c>
      <c r="C108" s="2" t="s">
        <v>201</v>
      </c>
      <c r="D108" s="2" t="s">
        <v>202</v>
      </c>
      <c r="E108" s="2" t="s">
        <v>194</v>
      </c>
      <c r="F108" s="2" t="s">
        <v>203</v>
      </c>
      <c r="G108" s="9">
        <v>1168368</v>
      </c>
      <c r="H108" s="2" t="s">
        <v>149</v>
      </c>
      <c r="I108" s="2" t="s">
        <v>204</v>
      </c>
      <c r="J108" s="2" t="s">
        <v>83</v>
      </c>
      <c r="K108" s="2" t="s">
        <v>83</v>
      </c>
      <c r="L108" s="2" t="s">
        <v>185</v>
      </c>
      <c r="M108" s="2" t="s">
        <v>118</v>
      </c>
      <c r="N108" s="2" t="s">
        <v>205</v>
      </c>
      <c r="O108" s="2" t="s">
        <v>84</v>
      </c>
      <c r="P108" s="2" t="s">
        <v>198</v>
      </c>
      <c r="Q108" s="2" t="s">
        <v>199</v>
      </c>
      <c r="R108" s="2" t="s">
        <v>189</v>
      </c>
      <c r="S108" s="2" t="s">
        <v>87</v>
      </c>
      <c r="T108" s="5">
        <v>2.5499999999999998</v>
      </c>
      <c r="U108" s="2" t="s">
        <v>206</v>
      </c>
      <c r="V108" s="6">
        <v>2.58E-2</v>
      </c>
      <c r="W108" s="6">
        <v>5.2600000000000001E-2</v>
      </c>
      <c r="X108" s="2" t="s">
        <v>191</v>
      </c>
      <c r="Y108" s="2" t="s">
        <v>84</v>
      </c>
      <c r="Z108" s="5">
        <v>402000</v>
      </c>
      <c r="AA108" s="5">
        <v>1</v>
      </c>
      <c r="AB108" s="5">
        <v>94.23</v>
      </c>
      <c r="AC108" s="5">
        <v>0</v>
      </c>
      <c r="AD108" s="5">
        <v>378.80459999999999</v>
      </c>
      <c r="AE108" s="2" t="s">
        <v>3</v>
      </c>
      <c r="AF108" s="2" t="s">
        <v>3</v>
      </c>
      <c r="AG108" s="2" t="s">
        <v>27</v>
      </c>
      <c r="AH108" s="6">
        <v>1.4999000000000002E-3</v>
      </c>
      <c r="AI108" s="6">
        <v>2.5511000000000002E-3</v>
      </c>
      <c r="AJ108" s="6">
        <v>4.5370000000000002E-4</v>
      </c>
      <c r="AK108" s="2" t="s">
        <v>3</v>
      </c>
      <c r="AL108" s="56" t="s">
        <v>4</v>
      </c>
      <c r="AM108" s="56" t="s">
        <v>1</v>
      </c>
    </row>
    <row r="109" spans="1:39">
      <c r="A109" s="2" t="s">
        <v>78</v>
      </c>
      <c r="B109" s="2" t="s">
        <v>96</v>
      </c>
      <c r="C109" s="2" t="s">
        <v>207</v>
      </c>
      <c r="D109" s="2" t="s">
        <v>208</v>
      </c>
      <c r="E109" s="2" t="s">
        <v>194</v>
      </c>
      <c r="F109" s="2" t="s">
        <v>209</v>
      </c>
      <c r="G109" s="9">
        <v>1121763</v>
      </c>
      <c r="H109" s="2" t="s">
        <v>149</v>
      </c>
      <c r="I109" s="2" t="s">
        <v>196</v>
      </c>
      <c r="J109" s="2" t="s">
        <v>83</v>
      </c>
      <c r="K109" s="2" t="s">
        <v>83</v>
      </c>
      <c r="L109" s="2" t="s">
        <v>185</v>
      </c>
      <c r="M109" s="2" t="s">
        <v>118</v>
      </c>
      <c r="N109" s="2" t="s">
        <v>210</v>
      </c>
      <c r="O109" s="2" t="s">
        <v>84</v>
      </c>
      <c r="P109" s="2" t="s">
        <v>198</v>
      </c>
      <c r="Q109" s="2" t="s">
        <v>199</v>
      </c>
      <c r="R109" s="2" t="s">
        <v>189</v>
      </c>
      <c r="S109" s="2" t="s">
        <v>87</v>
      </c>
      <c r="T109" s="5">
        <v>1.1599999999999999</v>
      </c>
      <c r="U109" s="2" t="s">
        <v>211</v>
      </c>
      <c r="V109" s="6">
        <v>3.95E-2</v>
      </c>
      <c r="W109" s="6">
        <v>1.9900000000000001E-2</v>
      </c>
      <c r="X109" s="2" t="s">
        <v>191</v>
      </c>
      <c r="Y109" s="2" t="s">
        <v>84</v>
      </c>
      <c r="Z109" s="5">
        <v>85829.23</v>
      </c>
      <c r="AA109" s="5">
        <v>1</v>
      </c>
      <c r="AB109" s="5">
        <v>122.48</v>
      </c>
      <c r="AC109" s="5">
        <v>0</v>
      </c>
      <c r="AD109" s="5">
        <v>105.12363999999999</v>
      </c>
      <c r="AE109" s="2" t="s">
        <v>3</v>
      </c>
      <c r="AF109" s="2" t="s">
        <v>3</v>
      </c>
      <c r="AG109" s="2" t="s">
        <v>27</v>
      </c>
      <c r="AH109" s="6">
        <v>5.2670000000000006E-4</v>
      </c>
      <c r="AI109" s="6">
        <v>7.0799999999999997E-4</v>
      </c>
      <c r="AJ109" s="6">
        <v>1.259E-4</v>
      </c>
      <c r="AK109" s="2" t="s">
        <v>3</v>
      </c>
      <c r="AL109" s="56" t="s">
        <v>4</v>
      </c>
      <c r="AM109" s="56" t="s">
        <v>1</v>
      </c>
    </row>
    <row r="110" spans="1:39">
      <c r="A110" s="2" t="s">
        <v>78</v>
      </c>
      <c r="B110" s="2" t="s">
        <v>96</v>
      </c>
      <c r="C110" s="2" t="s">
        <v>411</v>
      </c>
      <c r="D110" s="2" t="s">
        <v>412</v>
      </c>
      <c r="E110" s="2" t="s">
        <v>194</v>
      </c>
      <c r="F110" s="2" t="s">
        <v>444</v>
      </c>
      <c r="G110" s="9">
        <v>1143593</v>
      </c>
      <c r="H110" s="2" t="s">
        <v>149</v>
      </c>
      <c r="I110" s="2" t="s">
        <v>184</v>
      </c>
      <c r="J110" s="2" t="s">
        <v>83</v>
      </c>
      <c r="K110" s="2" t="s">
        <v>83</v>
      </c>
      <c r="L110" s="2" t="s">
        <v>185</v>
      </c>
      <c r="M110" s="2" t="s">
        <v>118</v>
      </c>
      <c r="N110" s="2" t="s">
        <v>414</v>
      </c>
      <c r="O110" s="2" t="s">
        <v>84</v>
      </c>
      <c r="P110" s="2" t="s">
        <v>198</v>
      </c>
      <c r="Q110" s="2" t="s">
        <v>199</v>
      </c>
      <c r="R110" s="2" t="s">
        <v>189</v>
      </c>
      <c r="S110" s="2" t="s">
        <v>87</v>
      </c>
      <c r="T110" s="5">
        <v>3.42</v>
      </c>
      <c r="U110" s="2" t="s">
        <v>415</v>
      </c>
      <c r="V110" s="6">
        <v>4.6900000000000004E-2</v>
      </c>
      <c r="W110" s="6">
        <v>7.0599999999999996E-2</v>
      </c>
      <c r="X110" s="2" t="s">
        <v>191</v>
      </c>
      <c r="Y110" s="2" t="s">
        <v>84</v>
      </c>
      <c r="Z110" s="5">
        <v>67107.41</v>
      </c>
      <c r="AA110" s="5">
        <v>1</v>
      </c>
      <c r="AB110" s="5">
        <v>99.26</v>
      </c>
      <c r="AC110" s="5">
        <v>0</v>
      </c>
      <c r="AD110" s="5">
        <v>66.610810000000001</v>
      </c>
      <c r="AE110" s="2" t="s">
        <v>3</v>
      </c>
      <c r="AF110" s="2" t="s">
        <v>3</v>
      </c>
      <c r="AG110" s="2" t="s">
        <v>27</v>
      </c>
      <c r="AH110" s="6">
        <v>5.5999999999999999E-5</v>
      </c>
      <c r="AI110" s="6">
        <v>4.4859999999999995E-4</v>
      </c>
      <c r="AJ110" s="6">
        <v>7.9799999999999988E-5</v>
      </c>
      <c r="AK110" s="2" t="s">
        <v>3</v>
      </c>
      <c r="AL110" s="56" t="s">
        <v>4</v>
      </c>
      <c r="AM110" s="56" t="s">
        <v>1</v>
      </c>
    </row>
    <row r="111" spans="1:39">
      <c r="A111" s="2" t="s">
        <v>78</v>
      </c>
      <c r="B111" s="2" t="s">
        <v>96</v>
      </c>
      <c r="C111" s="2" t="s">
        <v>212</v>
      </c>
      <c r="D111" s="2" t="s">
        <v>213</v>
      </c>
      <c r="E111" s="2" t="s">
        <v>194</v>
      </c>
      <c r="F111" s="2" t="s">
        <v>218</v>
      </c>
      <c r="G111" s="9">
        <v>7200173</v>
      </c>
      <c r="H111" s="2" t="s">
        <v>149</v>
      </c>
      <c r="I111" s="2" t="s">
        <v>204</v>
      </c>
      <c r="J111" s="2" t="s">
        <v>83</v>
      </c>
      <c r="K111" s="2" t="s">
        <v>83</v>
      </c>
      <c r="L111" s="2" t="s">
        <v>185</v>
      </c>
      <c r="M111" s="2" t="s">
        <v>118</v>
      </c>
      <c r="N111" s="2" t="s">
        <v>215</v>
      </c>
      <c r="O111" s="2" t="s">
        <v>84</v>
      </c>
      <c r="P111" s="2" t="s">
        <v>216</v>
      </c>
      <c r="Q111" s="2" t="s">
        <v>199</v>
      </c>
      <c r="R111" s="2" t="s">
        <v>189</v>
      </c>
      <c r="S111" s="2" t="s">
        <v>87</v>
      </c>
      <c r="T111" s="5">
        <v>1.99</v>
      </c>
      <c r="U111" s="2" t="s">
        <v>219</v>
      </c>
      <c r="V111" s="6">
        <v>3.4500000000000003E-2</v>
      </c>
      <c r="W111" s="6">
        <v>5.0499999999999996E-2</v>
      </c>
      <c r="X111" s="2" t="s">
        <v>191</v>
      </c>
      <c r="Y111" s="2" t="s">
        <v>84</v>
      </c>
      <c r="Z111" s="5">
        <v>597971.16</v>
      </c>
      <c r="AA111" s="5">
        <v>1</v>
      </c>
      <c r="AB111" s="5">
        <v>97.31</v>
      </c>
      <c r="AC111" s="5">
        <v>0</v>
      </c>
      <c r="AD111" s="5">
        <v>581.88572999999997</v>
      </c>
      <c r="AE111" s="2" t="s">
        <v>3</v>
      </c>
      <c r="AF111" s="2" t="s">
        <v>3</v>
      </c>
      <c r="AG111" s="2" t="s">
        <v>27</v>
      </c>
      <c r="AH111" s="6">
        <v>8.2089999999999995E-4</v>
      </c>
      <c r="AI111" s="6">
        <v>3.9188000000000001E-3</v>
      </c>
      <c r="AJ111" s="6">
        <v>6.9700000000000003E-4</v>
      </c>
      <c r="AK111" s="2" t="s">
        <v>3</v>
      </c>
      <c r="AL111" s="56" t="s">
        <v>4</v>
      </c>
      <c r="AM111" s="56" t="s">
        <v>1</v>
      </c>
    </row>
    <row r="112" spans="1:39">
      <c r="A112" s="2" t="s">
        <v>78</v>
      </c>
      <c r="B112" s="2" t="s">
        <v>96</v>
      </c>
      <c r="C112" s="2" t="s">
        <v>220</v>
      </c>
      <c r="D112" s="2" t="s">
        <v>221</v>
      </c>
      <c r="E112" s="2" t="s">
        <v>194</v>
      </c>
      <c r="F112" s="2" t="s">
        <v>222</v>
      </c>
      <c r="G112" s="9">
        <v>1157700</v>
      </c>
      <c r="H112" s="2" t="s">
        <v>149</v>
      </c>
      <c r="I112" s="2" t="s">
        <v>204</v>
      </c>
      <c r="J112" s="2" t="s">
        <v>83</v>
      </c>
      <c r="K112" s="2" t="s">
        <v>83</v>
      </c>
      <c r="L112" s="2" t="s">
        <v>185</v>
      </c>
      <c r="M112" s="2" t="s">
        <v>118</v>
      </c>
      <c r="N112" s="2" t="s">
        <v>223</v>
      </c>
      <c r="O112" s="2" t="s">
        <v>84</v>
      </c>
      <c r="P112" s="2" t="s">
        <v>216</v>
      </c>
      <c r="Q112" s="2" t="s">
        <v>199</v>
      </c>
      <c r="R112" s="2" t="s">
        <v>189</v>
      </c>
      <c r="S112" s="2" t="s">
        <v>87</v>
      </c>
      <c r="T112" s="5">
        <v>1.91</v>
      </c>
      <c r="U112" s="2" t="s">
        <v>224</v>
      </c>
      <c r="V112" s="6">
        <v>3.2899999999999999E-2</v>
      </c>
      <c r="W112" s="6">
        <v>5.16E-2</v>
      </c>
      <c r="X112" s="2" t="s">
        <v>191</v>
      </c>
      <c r="Y112" s="2" t="s">
        <v>84</v>
      </c>
      <c r="Z112" s="5">
        <v>385000</v>
      </c>
      <c r="AA112" s="5">
        <v>1</v>
      </c>
      <c r="AB112" s="5">
        <v>96.66</v>
      </c>
      <c r="AC112" s="5">
        <v>0</v>
      </c>
      <c r="AD112" s="5">
        <v>372.14100000000002</v>
      </c>
      <c r="AE112" s="2" t="s">
        <v>3</v>
      </c>
      <c r="AF112" s="2" t="s">
        <v>3</v>
      </c>
      <c r="AG112" s="2" t="s">
        <v>27</v>
      </c>
      <c r="AH112" s="6">
        <v>7.9009999999999996E-4</v>
      </c>
      <c r="AI112" s="6">
        <v>2.5062000000000001E-3</v>
      </c>
      <c r="AJ112" s="6">
        <v>4.4579999999999999E-4</v>
      </c>
      <c r="AK112" s="2" t="s">
        <v>3</v>
      </c>
      <c r="AL112" s="56" t="s">
        <v>4</v>
      </c>
      <c r="AM112" s="56" t="s">
        <v>1</v>
      </c>
    </row>
    <row r="113" spans="1:39">
      <c r="A113" s="2" t="s">
        <v>78</v>
      </c>
      <c r="B113" s="2" t="s">
        <v>96</v>
      </c>
      <c r="C113" s="2" t="s">
        <v>235</v>
      </c>
      <c r="D113" s="2" t="s">
        <v>236</v>
      </c>
      <c r="E113" s="2" t="s">
        <v>194</v>
      </c>
      <c r="F113" s="2" t="s">
        <v>237</v>
      </c>
      <c r="G113" s="9">
        <v>1199488</v>
      </c>
      <c r="H113" s="2" t="s">
        <v>149</v>
      </c>
      <c r="I113" s="2" t="s">
        <v>204</v>
      </c>
      <c r="J113" s="2" t="s">
        <v>83</v>
      </c>
      <c r="K113" s="2" t="s">
        <v>83</v>
      </c>
      <c r="L113" s="2" t="s">
        <v>185</v>
      </c>
      <c r="M113" s="2" t="s">
        <v>118</v>
      </c>
      <c r="N113" s="2" t="s">
        <v>223</v>
      </c>
      <c r="O113" s="2" t="s">
        <v>84</v>
      </c>
      <c r="P113" s="2" t="s">
        <v>238</v>
      </c>
      <c r="Q113" s="2" t="s">
        <v>199</v>
      </c>
      <c r="R113" s="2" t="s">
        <v>189</v>
      </c>
      <c r="S113" s="2" t="s">
        <v>87</v>
      </c>
      <c r="T113" s="5">
        <v>3.07</v>
      </c>
      <c r="U113" s="2" t="s">
        <v>239</v>
      </c>
      <c r="V113" s="6">
        <v>7.2499999999999995E-2</v>
      </c>
      <c r="W113" s="6">
        <v>6.2300000000000001E-2</v>
      </c>
      <c r="X113" s="2" t="s">
        <v>191</v>
      </c>
      <c r="Y113" s="2" t="s">
        <v>84</v>
      </c>
      <c r="Z113" s="5">
        <v>594442</v>
      </c>
      <c r="AA113" s="5">
        <v>1</v>
      </c>
      <c r="AB113" s="5">
        <v>108.29</v>
      </c>
      <c r="AC113" s="5">
        <v>0</v>
      </c>
      <c r="AD113" s="5">
        <v>643.72123999999997</v>
      </c>
      <c r="AE113" s="2" t="s">
        <v>3</v>
      </c>
      <c r="AF113" s="2" t="s">
        <v>3</v>
      </c>
      <c r="AG113" s="2" t="s">
        <v>27</v>
      </c>
      <c r="AH113" s="6">
        <v>7.4300000000000006E-4</v>
      </c>
      <c r="AI113" s="6">
        <v>4.3352E-3</v>
      </c>
      <c r="AJ113" s="6">
        <v>7.7109999999999993E-4</v>
      </c>
      <c r="AK113" s="2" t="s">
        <v>3</v>
      </c>
      <c r="AL113" s="56" t="s">
        <v>4</v>
      </c>
      <c r="AM113" s="56" t="s">
        <v>1</v>
      </c>
    </row>
    <row r="114" spans="1:39">
      <c r="A114" s="2" t="s">
        <v>78</v>
      </c>
      <c r="B114" s="2" t="s">
        <v>96</v>
      </c>
      <c r="C114" s="2" t="s">
        <v>240</v>
      </c>
      <c r="D114" s="2" t="s">
        <v>241</v>
      </c>
      <c r="E114" s="2" t="s">
        <v>194</v>
      </c>
      <c r="F114" s="2" t="s">
        <v>242</v>
      </c>
      <c r="G114" s="9">
        <v>1198571</v>
      </c>
      <c r="H114" s="2" t="s">
        <v>149</v>
      </c>
      <c r="I114" s="2" t="s">
        <v>204</v>
      </c>
      <c r="J114" s="2" t="s">
        <v>83</v>
      </c>
      <c r="K114" s="2" t="s">
        <v>83</v>
      </c>
      <c r="L114" s="2" t="s">
        <v>185</v>
      </c>
      <c r="M114" s="2" t="s">
        <v>118</v>
      </c>
      <c r="N114" s="2" t="s">
        <v>223</v>
      </c>
      <c r="O114" s="2" t="s">
        <v>84</v>
      </c>
      <c r="P114" s="2" t="s">
        <v>238</v>
      </c>
      <c r="Q114" s="2" t="s">
        <v>199</v>
      </c>
      <c r="R114" s="2" t="s">
        <v>189</v>
      </c>
      <c r="S114" s="2" t="s">
        <v>87</v>
      </c>
      <c r="T114" s="5">
        <v>4.5599999999999996</v>
      </c>
      <c r="U114" s="2" t="s">
        <v>243</v>
      </c>
      <c r="V114" s="6">
        <v>6.7699999999999996E-2</v>
      </c>
      <c r="W114" s="6">
        <v>5.8799999999999998E-2</v>
      </c>
      <c r="X114" s="2" t="s">
        <v>191</v>
      </c>
      <c r="Y114" s="2" t="s">
        <v>84</v>
      </c>
      <c r="Z114" s="5">
        <v>230000</v>
      </c>
      <c r="AA114" s="5">
        <v>1</v>
      </c>
      <c r="AB114" s="5">
        <v>108.96</v>
      </c>
      <c r="AC114" s="5">
        <v>0</v>
      </c>
      <c r="AD114" s="5">
        <v>250.608</v>
      </c>
      <c r="AE114" s="2" t="s">
        <v>3</v>
      </c>
      <c r="AF114" s="2" t="s">
        <v>3</v>
      </c>
      <c r="AG114" s="2" t="s">
        <v>27</v>
      </c>
      <c r="AH114" s="6">
        <v>3.0659999999999997E-4</v>
      </c>
      <c r="AI114" s="6">
        <v>1.6877000000000001E-3</v>
      </c>
      <c r="AJ114" s="6">
        <v>3.0020000000000003E-4</v>
      </c>
      <c r="AK114" s="2" t="s">
        <v>3</v>
      </c>
      <c r="AL114" s="56" t="s">
        <v>4</v>
      </c>
      <c r="AM114" s="56" t="s">
        <v>1</v>
      </c>
    </row>
    <row r="115" spans="1:39">
      <c r="A115" s="2" t="s">
        <v>78</v>
      </c>
      <c r="B115" s="2" t="s">
        <v>96</v>
      </c>
      <c r="C115" s="2" t="s">
        <v>244</v>
      </c>
      <c r="D115" s="2" t="s">
        <v>245</v>
      </c>
      <c r="E115" s="2" t="s">
        <v>194</v>
      </c>
      <c r="F115" s="2" t="s">
        <v>445</v>
      </c>
      <c r="G115" s="9">
        <v>6000210</v>
      </c>
      <c r="H115" s="2" t="s">
        <v>149</v>
      </c>
      <c r="I115" s="2" t="s">
        <v>196</v>
      </c>
      <c r="J115" s="2" t="s">
        <v>83</v>
      </c>
      <c r="K115" s="2" t="s">
        <v>83</v>
      </c>
      <c r="L115" s="2" t="s">
        <v>185</v>
      </c>
      <c r="M115" s="2" t="s">
        <v>118</v>
      </c>
      <c r="N115" s="2" t="s">
        <v>223</v>
      </c>
      <c r="O115" s="2" t="s">
        <v>84</v>
      </c>
      <c r="P115" s="2" t="s">
        <v>247</v>
      </c>
      <c r="Q115" s="2" t="s">
        <v>199</v>
      </c>
      <c r="R115" s="2" t="s">
        <v>189</v>
      </c>
      <c r="S115" s="2" t="s">
        <v>87</v>
      </c>
      <c r="T115" s="5">
        <v>3.88</v>
      </c>
      <c r="U115" s="2" t="s">
        <v>446</v>
      </c>
      <c r="V115" s="6">
        <v>3.85E-2</v>
      </c>
      <c r="W115" s="6">
        <v>2.0299999999999999E-2</v>
      </c>
      <c r="X115" s="2" t="s">
        <v>191</v>
      </c>
      <c r="Y115" s="2" t="s">
        <v>84</v>
      </c>
      <c r="Z115" s="5">
        <v>194442.04</v>
      </c>
      <c r="AA115" s="5">
        <v>1</v>
      </c>
      <c r="AB115" s="5">
        <v>120.49</v>
      </c>
      <c r="AC115" s="5">
        <v>6.6345000000000001</v>
      </c>
      <c r="AD115" s="5">
        <v>240.9178</v>
      </c>
      <c r="AE115" s="2" t="s">
        <v>3</v>
      </c>
      <c r="AF115" s="2" t="s">
        <v>3</v>
      </c>
      <c r="AG115" s="2" t="s">
        <v>27</v>
      </c>
      <c r="AH115" s="6">
        <v>7.6099999999999993E-5</v>
      </c>
      <c r="AI115" s="6">
        <v>1.6225E-3</v>
      </c>
      <c r="AJ115" s="6">
        <v>2.8860000000000002E-4</v>
      </c>
      <c r="AK115" s="2" t="s">
        <v>3</v>
      </c>
      <c r="AL115" s="56" t="s">
        <v>4</v>
      </c>
      <c r="AM115" s="56" t="s">
        <v>1</v>
      </c>
    </row>
    <row r="116" spans="1:39">
      <c r="A116" s="2" t="s">
        <v>78</v>
      </c>
      <c r="B116" s="2" t="s">
        <v>96</v>
      </c>
      <c r="C116" s="2" t="s">
        <v>244</v>
      </c>
      <c r="D116" s="2" t="s">
        <v>245</v>
      </c>
      <c r="E116" s="2" t="s">
        <v>194</v>
      </c>
      <c r="F116" s="2" t="s">
        <v>447</v>
      </c>
      <c r="G116" s="9">
        <v>6000236</v>
      </c>
      <c r="H116" s="2" t="s">
        <v>149</v>
      </c>
      <c r="I116" s="2" t="s">
        <v>196</v>
      </c>
      <c r="J116" s="2" t="s">
        <v>83</v>
      </c>
      <c r="K116" s="2" t="s">
        <v>83</v>
      </c>
      <c r="L116" s="2" t="s">
        <v>185</v>
      </c>
      <c r="M116" s="2" t="s">
        <v>118</v>
      </c>
      <c r="N116" s="2" t="s">
        <v>223</v>
      </c>
      <c r="O116" s="2" t="s">
        <v>84</v>
      </c>
      <c r="P116" s="2" t="s">
        <v>247</v>
      </c>
      <c r="Q116" s="2" t="s">
        <v>199</v>
      </c>
      <c r="R116" s="2" t="s">
        <v>189</v>
      </c>
      <c r="S116" s="2" t="s">
        <v>87</v>
      </c>
      <c r="T116" s="5">
        <v>1.38</v>
      </c>
      <c r="U116" s="2" t="s">
        <v>448</v>
      </c>
      <c r="V116" s="6">
        <v>4.4999999999999998E-2</v>
      </c>
      <c r="W116" s="6">
        <v>1.6399999999999998E-2</v>
      </c>
      <c r="X116" s="2" t="s">
        <v>191</v>
      </c>
      <c r="Y116" s="2" t="s">
        <v>84</v>
      </c>
      <c r="Z116" s="5">
        <v>185688</v>
      </c>
      <c r="AA116" s="5">
        <v>1</v>
      </c>
      <c r="AB116" s="5">
        <v>118.26</v>
      </c>
      <c r="AC116" s="5">
        <v>0</v>
      </c>
      <c r="AD116" s="5">
        <v>219.59461999999999</v>
      </c>
      <c r="AE116" s="2" t="s">
        <v>3</v>
      </c>
      <c r="AF116" s="2" t="s">
        <v>3</v>
      </c>
      <c r="AG116" s="2" t="s">
        <v>27</v>
      </c>
      <c r="AH116" s="6">
        <v>6.2799999999999995E-5</v>
      </c>
      <c r="AI116" s="6">
        <v>1.4789E-3</v>
      </c>
      <c r="AJ116" s="6">
        <v>2.63E-4</v>
      </c>
      <c r="AK116" s="2" t="s">
        <v>3</v>
      </c>
      <c r="AL116" s="56" t="s">
        <v>4</v>
      </c>
      <c r="AM116" s="56" t="s">
        <v>1</v>
      </c>
    </row>
    <row r="117" spans="1:39">
      <c r="A117" s="2" t="s">
        <v>78</v>
      </c>
      <c r="B117" s="2" t="s">
        <v>96</v>
      </c>
      <c r="C117" s="2" t="s">
        <v>244</v>
      </c>
      <c r="D117" s="2" t="s">
        <v>245</v>
      </c>
      <c r="E117" s="2" t="s">
        <v>194</v>
      </c>
      <c r="F117" s="2" t="s">
        <v>416</v>
      </c>
      <c r="G117" s="9">
        <v>6000285</v>
      </c>
      <c r="H117" s="2" t="s">
        <v>149</v>
      </c>
      <c r="I117" s="2" t="s">
        <v>196</v>
      </c>
      <c r="J117" s="2" t="s">
        <v>83</v>
      </c>
      <c r="K117" s="2" t="s">
        <v>83</v>
      </c>
      <c r="L117" s="2" t="s">
        <v>185</v>
      </c>
      <c r="M117" s="2" t="s">
        <v>118</v>
      </c>
      <c r="N117" s="2" t="s">
        <v>223</v>
      </c>
      <c r="O117" s="2" t="s">
        <v>84</v>
      </c>
      <c r="P117" s="2" t="s">
        <v>247</v>
      </c>
      <c r="Q117" s="2" t="s">
        <v>199</v>
      </c>
      <c r="R117" s="2" t="s">
        <v>189</v>
      </c>
      <c r="S117" s="2" t="s">
        <v>87</v>
      </c>
      <c r="T117" s="5">
        <v>6.24</v>
      </c>
      <c r="U117" s="2" t="s">
        <v>417</v>
      </c>
      <c r="V117" s="6">
        <v>2.3900000000000001E-2</v>
      </c>
      <c r="W117" s="6">
        <v>2.5099999999999997E-2</v>
      </c>
      <c r="X117" s="2" t="s">
        <v>191</v>
      </c>
      <c r="Y117" s="2" t="s">
        <v>84</v>
      </c>
      <c r="Z117" s="5">
        <v>460000</v>
      </c>
      <c r="AA117" s="5">
        <v>1</v>
      </c>
      <c r="AB117" s="5">
        <v>110.76</v>
      </c>
      <c r="AC117" s="5">
        <v>0</v>
      </c>
      <c r="AD117" s="5">
        <v>509.49599999999998</v>
      </c>
      <c r="AE117" s="2" t="s">
        <v>3</v>
      </c>
      <c r="AF117" s="2" t="s">
        <v>3</v>
      </c>
      <c r="AG117" s="2" t="s">
        <v>27</v>
      </c>
      <c r="AH117" s="6">
        <v>1.182E-4</v>
      </c>
      <c r="AI117" s="6">
        <v>3.4311999999999997E-3</v>
      </c>
      <c r="AJ117" s="6">
        <v>6.1030000000000004E-4</v>
      </c>
      <c r="AK117" s="2" t="s">
        <v>3</v>
      </c>
      <c r="AL117" s="56" t="s">
        <v>4</v>
      </c>
      <c r="AM117" s="56" t="s">
        <v>1</v>
      </c>
    </row>
    <row r="118" spans="1:39">
      <c r="A118" s="2" t="s">
        <v>78</v>
      </c>
      <c r="B118" s="2" t="s">
        <v>96</v>
      </c>
      <c r="C118" s="2" t="s">
        <v>244</v>
      </c>
      <c r="D118" s="2" t="s">
        <v>245</v>
      </c>
      <c r="E118" s="2" t="s">
        <v>194</v>
      </c>
      <c r="F118" s="2" t="s">
        <v>246</v>
      </c>
      <c r="G118" s="9">
        <v>6000392</v>
      </c>
      <c r="H118" s="2" t="s">
        <v>149</v>
      </c>
      <c r="I118" s="2" t="s">
        <v>196</v>
      </c>
      <c r="J118" s="2" t="s">
        <v>83</v>
      </c>
      <c r="K118" s="2" t="s">
        <v>83</v>
      </c>
      <c r="L118" s="2" t="s">
        <v>185</v>
      </c>
      <c r="M118" s="2" t="s">
        <v>118</v>
      </c>
      <c r="N118" s="2" t="s">
        <v>223</v>
      </c>
      <c r="O118" s="2" t="s">
        <v>84</v>
      </c>
      <c r="P118" s="2" t="s">
        <v>247</v>
      </c>
      <c r="Q118" s="2" t="s">
        <v>199</v>
      </c>
      <c r="R118" s="2" t="s">
        <v>189</v>
      </c>
      <c r="S118" s="2" t="s">
        <v>87</v>
      </c>
      <c r="T118" s="5">
        <v>11.12</v>
      </c>
      <c r="U118" s="2" t="s">
        <v>121</v>
      </c>
      <c r="V118" s="6">
        <v>1.2500000000000001E-2</v>
      </c>
      <c r="W118" s="6">
        <v>2.98E-2</v>
      </c>
      <c r="X118" s="2" t="s">
        <v>191</v>
      </c>
      <c r="Y118" s="2" t="s">
        <v>84</v>
      </c>
      <c r="Z118" s="5">
        <v>518461</v>
      </c>
      <c r="AA118" s="5">
        <v>1</v>
      </c>
      <c r="AB118" s="5">
        <v>92.01</v>
      </c>
      <c r="AC118" s="5">
        <v>0</v>
      </c>
      <c r="AD118" s="5">
        <v>477.03595999999999</v>
      </c>
      <c r="AE118" s="2" t="s">
        <v>3</v>
      </c>
      <c r="AF118" s="2" t="s">
        <v>3</v>
      </c>
      <c r="AG118" s="2" t="s">
        <v>27</v>
      </c>
      <c r="AH118" s="6">
        <v>1.2080000000000001E-4</v>
      </c>
      <c r="AI118" s="6">
        <v>3.2125999999999999E-3</v>
      </c>
      <c r="AJ118" s="6">
        <v>5.7140000000000001E-4</v>
      </c>
      <c r="AK118" s="2" t="s">
        <v>3</v>
      </c>
      <c r="AL118" s="56" t="s">
        <v>4</v>
      </c>
      <c r="AM118" s="56" t="s">
        <v>1</v>
      </c>
    </row>
    <row r="119" spans="1:39">
      <c r="A119" s="2" t="s">
        <v>78</v>
      </c>
      <c r="B119" s="2" t="s">
        <v>96</v>
      </c>
      <c r="C119" s="2" t="s">
        <v>248</v>
      </c>
      <c r="D119" s="2" t="s">
        <v>249</v>
      </c>
      <c r="E119" s="2" t="s">
        <v>194</v>
      </c>
      <c r="F119" s="2" t="s">
        <v>449</v>
      </c>
      <c r="G119" s="9">
        <v>1138650</v>
      </c>
      <c r="H119" s="2" t="s">
        <v>149</v>
      </c>
      <c r="I119" s="2" t="s">
        <v>196</v>
      </c>
      <c r="J119" s="2" t="s">
        <v>83</v>
      </c>
      <c r="K119" s="2" t="s">
        <v>83</v>
      </c>
      <c r="L119" s="2" t="s">
        <v>185</v>
      </c>
      <c r="M119" s="2" t="s">
        <v>118</v>
      </c>
      <c r="N119" s="2" t="s">
        <v>197</v>
      </c>
      <c r="O119" s="2" t="s">
        <v>84</v>
      </c>
      <c r="P119" s="2" t="s">
        <v>247</v>
      </c>
      <c r="Q119" s="2" t="s">
        <v>199</v>
      </c>
      <c r="R119" s="2" t="s">
        <v>189</v>
      </c>
      <c r="S119" s="2" t="s">
        <v>87</v>
      </c>
      <c r="T119" s="5">
        <v>3.14</v>
      </c>
      <c r="U119" s="2" t="s">
        <v>450</v>
      </c>
      <c r="V119" s="6">
        <v>1.34E-2</v>
      </c>
      <c r="W119" s="6">
        <v>2.29E-2</v>
      </c>
      <c r="X119" s="2" t="s">
        <v>191</v>
      </c>
      <c r="Y119" s="2" t="s">
        <v>84</v>
      </c>
      <c r="Z119" s="5">
        <v>391148.24</v>
      </c>
      <c r="AA119" s="5">
        <v>1</v>
      </c>
      <c r="AB119" s="5">
        <v>110.26</v>
      </c>
      <c r="AC119" s="5">
        <v>0</v>
      </c>
      <c r="AD119" s="5">
        <v>431.28003999999999</v>
      </c>
      <c r="AE119" s="2" t="s">
        <v>3</v>
      </c>
      <c r="AF119" s="2" t="s">
        <v>3</v>
      </c>
      <c r="AG119" s="2" t="s">
        <v>27</v>
      </c>
      <c r="AH119" s="6">
        <v>1.362E-4</v>
      </c>
      <c r="AI119" s="6">
        <v>2.9045E-3</v>
      </c>
      <c r="AJ119" s="6">
        <v>5.1659999999999998E-4</v>
      </c>
      <c r="AK119" s="2" t="s">
        <v>3</v>
      </c>
      <c r="AL119" s="56" t="s">
        <v>4</v>
      </c>
      <c r="AM119" s="56" t="s">
        <v>1</v>
      </c>
    </row>
    <row r="120" spans="1:39">
      <c r="A120" s="2" t="s">
        <v>78</v>
      </c>
      <c r="B120" s="2" t="s">
        <v>96</v>
      </c>
      <c r="C120" s="2" t="s">
        <v>248</v>
      </c>
      <c r="D120" s="2" t="s">
        <v>249</v>
      </c>
      <c r="E120" s="2" t="s">
        <v>194</v>
      </c>
      <c r="F120" s="2" t="s">
        <v>250</v>
      </c>
      <c r="G120" s="9">
        <v>1156603</v>
      </c>
      <c r="H120" s="2" t="s">
        <v>149</v>
      </c>
      <c r="I120" s="2" t="s">
        <v>196</v>
      </c>
      <c r="J120" s="2" t="s">
        <v>83</v>
      </c>
      <c r="K120" s="2" t="s">
        <v>83</v>
      </c>
      <c r="L120" s="2" t="s">
        <v>185</v>
      </c>
      <c r="M120" s="2" t="s">
        <v>118</v>
      </c>
      <c r="N120" s="2" t="s">
        <v>197</v>
      </c>
      <c r="O120" s="2" t="s">
        <v>84</v>
      </c>
      <c r="P120" s="2" t="s">
        <v>247</v>
      </c>
      <c r="Q120" s="2" t="s">
        <v>199</v>
      </c>
      <c r="R120" s="2" t="s">
        <v>189</v>
      </c>
      <c r="S120" s="2" t="s">
        <v>87</v>
      </c>
      <c r="T120" s="5">
        <v>2.86</v>
      </c>
      <c r="U120" s="2" t="s">
        <v>251</v>
      </c>
      <c r="V120" s="6">
        <v>1.77E-2</v>
      </c>
      <c r="W120" s="6">
        <v>2.1299999999999999E-2</v>
      </c>
      <c r="X120" s="2" t="s">
        <v>191</v>
      </c>
      <c r="Y120" s="2" t="s">
        <v>84</v>
      </c>
      <c r="Z120" s="5">
        <v>346000</v>
      </c>
      <c r="AA120" s="5">
        <v>1</v>
      </c>
      <c r="AB120" s="5">
        <v>111.11</v>
      </c>
      <c r="AC120" s="5">
        <v>0</v>
      </c>
      <c r="AD120" s="5">
        <v>384.44060000000002</v>
      </c>
      <c r="AE120" s="2" t="s">
        <v>3</v>
      </c>
      <c r="AF120" s="2" t="s">
        <v>3</v>
      </c>
      <c r="AG120" s="2" t="s">
        <v>27</v>
      </c>
      <c r="AH120" s="6">
        <v>1.2550000000000001E-4</v>
      </c>
      <c r="AI120" s="6">
        <v>2.5890000000000002E-3</v>
      </c>
      <c r="AJ120" s="6">
        <v>4.6050000000000003E-4</v>
      </c>
      <c r="AK120" s="2" t="s">
        <v>3</v>
      </c>
      <c r="AL120" s="56" t="s">
        <v>4</v>
      </c>
      <c r="AM120" s="56" t="s">
        <v>1</v>
      </c>
    </row>
    <row r="121" spans="1:39">
      <c r="A121" s="2" t="s">
        <v>78</v>
      </c>
      <c r="B121" s="2" t="s">
        <v>96</v>
      </c>
      <c r="C121" s="2" t="s">
        <v>252</v>
      </c>
      <c r="D121" s="2" t="s">
        <v>253</v>
      </c>
      <c r="E121" s="2" t="s">
        <v>194</v>
      </c>
      <c r="F121" s="2" t="s">
        <v>254</v>
      </c>
      <c r="G121" s="9">
        <v>5850110</v>
      </c>
      <c r="H121" s="2" t="s">
        <v>149</v>
      </c>
      <c r="I121" s="2" t="s">
        <v>204</v>
      </c>
      <c r="J121" s="2" t="s">
        <v>83</v>
      </c>
      <c r="K121" s="2" t="s">
        <v>83</v>
      </c>
      <c r="L121" s="2" t="s">
        <v>185</v>
      </c>
      <c r="M121" s="2" t="s">
        <v>118</v>
      </c>
      <c r="N121" s="2" t="s">
        <v>255</v>
      </c>
      <c r="O121" s="2" t="s">
        <v>84</v>
      </c>
      <c r="P121" s="2" t="s">
        <v>256</v>
      </c>
      <c r="Q121" s="2" t="s">
        <v>199</v>
      </c>
      <c r="R121" s="2" t="s">
        <v>189</v>
      </c>
      <c r="S121" s="2" t="s">
        <v>87</v>
      </c>
      <c r="T121" s="5">
        <v>5.22</v>
      </c>
      <c r="U121" s="2" t="s">
        <v>257</v>
      </c>
      <c r="V121" s="6">
        <v>1.95E-2</v>
      </c>
      <c r="W121" s="6">
        <v>5.0099999999999999E-2</v>
      </c>
      <c r="X121" s="2" t="s">
        <v>191</v>
      </c>
      <c r="Y121" s="2" t="s">
        <v>84</v>
      </c>
      <c r="Z121" s="5">
        <v>576158.52</v>
      </c>
      <c r="AA121" s="5">
        <v>1</v>
      </c>
      <c r="AB121" s="5">
        <v>85.74</v>
      </c>
      <c r="AC121" s="5">
        <v>0</v>
      </c>
      <c r="AD121" s="5">
        <v>493.99831</v>
      </c>
      <c r="AE121" s="2" t="s">
        <v>3</v>
      </c>
      <c r="AF121" s="2" t="s">
        <v>3</v>
      </c>
      <c r="AG121" s="2" t="s">
        <v>27</v>
      </c>
      <c r="AH121" s="6">
        <v>5.264E-4</v>
      </c>
      <c r="AI121" s="6">
        <v>3.3268999999999998E-3</v>
      </c>
      <c r="AJ121" s="6">
        <v>5.9170000000000002E-4</v>
      </c>
      <c r="AK121" s="2" t="s">
        <v>3</v>
      </c>
      <c r="AL121" s="56" t="s">
        <v>4</v>
      </c>
      <c r="AM121" s="56" t="s">
        <v>1</v>
      </c>
    </row>
    <row r="122" spans="1:39">
      <c r="A122" s="2" t="s">
        <v>78</v>
      </c>
      <c r="B122" s="2" t="s">
        <v>96</v>
      </c>
      <c r="C122" s="2" t="s">
        <v>294</v>
      </c>
      <c r="D122" s="2" t="s">
        <v>295</v>
      </c>
      <c r="E122" s="2" t="s">
        <v>194</v>
      </c>
      <c r="F122" s="2" t="s">
        <v>296</v>
      </c>
      <c r="G122" s="9">
        <v>1161751</v>
      </c>
      <c r="H122" s="2" t="s">
        <v>149</v>
      </c>
      <c r="I122" s="2" t="s">
        <v>204</v>
      </c>
      <c r="J122" s="2" t="s">
        <v>83</v>
      </c>
      <c r="K122" s="2" t="s">
        <v>83</v>
      </c>
      <c r="L122" s="2" t="s">
        <v>185</v>
      </c>
      <c r="M122" s="2" t="s">
        <v>118</v>
      </c>
      <c r="N122" s="2" t="s">
        <v>215</v>
      </c>
      <c r="O122" s="2" t="s">
        <v>84</v>
      </c>
      <c r="P122" s="2" t="s">
        <v>297</v>
      </c>
      <c r="Q122" s="2" t="s">
        <v>86</v>
      </c>
      <c r="R122" s="2" t="s">
        <v>189</v>
      </c>
      <c r="S122" s="2" t="s">
        <v>87</v>
      </c>
      <c r="T122" s="5">
        <v>3.1</v>
      </c>
      <c r="U122" s="2" t="s">
        <v>298</v>
      </c>
      <c r="V122" s="6">
        <v>2.0499999999999997E-2</v>
      </c>
      <c r="W122" s="6">
        <v>5.0700000000000002E-2</v>
      </c>
      <c r="X122" s="2" t="s">
        <v>191</v>
      </c>
      <c r="Y122" s="2" t="s">
        <v>84</v>
      </c>
      <c r="Z122" s="5">
        <v>1162083.1299999999</v>
      </c>
      <c r="AA122" s="5">
        <v>1</v>
      </c>
      <c r="AB122" s="5">
        <v>91.55</v>
      </c>
      <c r="AC122" s="5">
        <v>0</v>
      </c>
      <c r="AD122" s="5">
        <v>1063.8870999999999</v>
      </c>
      <c r="AE122" s="2" t="s">
        <v>3</v>
      </c>
      <c r="AF122" s="2" t="s">
        <v>3</v>
      </c>
      <c r="AG122" s="2" t="s">
        <v>27</v>
      </c>
      <c r="AH122" s="6">
        <v>2.3998999999999999E-3</v>
      </c>
      <c r="AI122" s="6">
        <v>7.1647999999999998E-3</v>
      </c>
      <c r="AJ122" s="6">
        <v>1.2742999999999999E-3</v>
      </c>
      <c r="AK122" s="2" t="s">
        <v>3</v>
      </c>
      <c r="AL122" s="56" t="s">
        <v>4</v>
      </c>
      <c r="AM122" s="56" t="s">
        <v>1</v>
      </c>
    </row>
    <row r="123" spans="1:39">
      <c r="A123" s="2" t="s">
        <v>78</v>
      </c>
      <c r="B123" s="2" t="s">
        <v>96</v>
      </c>
      <c r="C123" s="2" t="s">
        <v>308</v>
      </c>
      <c r="D123" s="2" t="s">
        <v>309</v>
      </c>
      <c r="E123" s="2" t="s">
        <v>194</v>
      </c>
      <c r="F123" s="2" t="s">
        <v>458</v>
      </c>
      <c r="G123" s="9">
        <v>6120224</v>
      </c>
      <c r="H123" s="2" t="s">
        <v>149</v>
      </c>
      <c r="I123" s="2" t="s">
        <v>196</v>
      </c>
      <c r="J123" s="2" t="s">
        <v>83</v>
      </c>
      <c r="K123" s="2" t="s">
        <v>83</v>
      </c>
      <c r="L123" s="2" t="s">
        <v>185</v>
      </c>
      <c r="M123" s="2" t="s">
        <v>118</v>
      </c>
      <c r="N123" s="2" t="s">
        <v>197</v>
      </c>
      <c r="O123" s="2" t="s">
        <v>84</v>
      </c>
      <c r="P123" s="2" t="s">
        <v>297</v>
      </c>
      <c r="Q123" s="2" t="s">
        <v>86</v>
      </c>
      <c r="R123" s="2" t="s">
        <v>189</v>
      </c>
      <c r="S123" s="2" t="s">
        <v>87</v>
      </c>
      <c r="T123" s="5">
        <v>3.27</v>
      </c>
      <c r="U123" s="2" t="s">
        <v>206</v>
      </c>
      <c r="V123" s="6">
        <v>1.8000000000000002E-2</v>
      </c>
      <c r="W123" s="6">
        <v>2.41E-2</v>
      </c>
      <c r="X123" s="2" t="s">
        <v>191</v>
      </c>
      <c r="Y123" s="2" t="s">
        <v>84</v>
      </c>
      <c r="Z123" s="5">
        <v>101600</v>
      </c>
      <c r="AA123" s="5">
        <v>1</v>
      </c>
      <c r="AB123" s="5">
        <v>110.59</v>
      </c>
      <c r="AC123" s="5">
        <v>0</v>
      </c>
      <c r="AD123" s="5">
        <v>112.35944000000001</v>
      </c>
      <c r="AE123" s="2" t="s">
        <v>3</v>
      </c>
      <c r="AF123" s="2" t="s">
        <v>3</v>
      </c>
      <c r="AG123" s="2" t="s">
        <v>27</v>
      </c>
      <c r="AH123" s="6">
        <v>1.2880000000000001E-4</v>
      </c>
      <c r="AI123" s="6">
        <v>7.5670000000000002E-4</v>
      </c>
      <c r="AJ123" s="6">
        <v>1.3459999999999999E-4</v>
      </c>
      <c r="AK123" s="2" t="s">
        <v>3</v>
      </c>
      <c r="AL123" s="56" t="s">
        <v>4</v>
      </c>
      <c r="AM123" s="56" t="s">
        <v>1</v>
      </c>
    </row>
    <row r="124" spans="1:39">
      <c r="A124" s="2" t="s">
        <v>78</v>
      </c>
      <c r="B124" s="2" t="s">
        <v>96</v>
      </c>
      <c r="C124" s="2" t="s">
        <v>418</v>
      </c>
      <c r="D124" s="2" t="s">
        <v>419</v>
      </c>
      <c r="E124" s="2" t="s">
        <v>194</v>
      </c>
      <c r="F124" s="2" t="s">
        <v>420</v>
      </c>
      <c r="G124" s="9">
        <v>6990154</v>
      </c>
      <c r="H124" s="2" t="s">
        <v>149</v>
      </c>
      <c r="I124" s="2" t="s">
        <v>196</v>
      </c>
      <c r="J124" s="2" t="s">
        <v>83</v>
      </c>
      <c r="K124" s="2" t="s">
        <v>83</v>
      </c>
      <c r="L124" s="2" t="s">
        <v>185</v>
      </c>
      <c r="M124" s="2" t="s">
        <v>118</v>
      </c>
      <c r="N124" s="2" t="s">
        <v>197</v>
      </c>
      <c r="O124" s="2" t="s">
        <v>84</v>
      </c>
      <c r="P124" s="2" t="s">
        <v>297</v>
      </c>
      <c r="Q124" s="2" t="s">
        <v>86</v>
      </c>
      <c r="R124" s="2" t="s">
        <v>189</v>
      </c>
      <c r="S124" s="2" t="s">
        <v>87</v>
      </c>
      <c r="T124" s="5">
        <v>1.21</v>
      </c>
      <c r="U124" s="2" t="s">
        <v>200</v>
      </c>
      <c r="V124" s="6">
        <v>4.9500000000000002E-2</v>
      </c>
      <c r="W124" s="6">
        <v>3.8900000000000004E-2</v>
      </c>
      <c r="X124" s="2" t="s">
        <v>191</v>
      </c>
      <c r="Y124" s="2" t="s">
        <v>84</v>
      </c>
      <c r="Z124" s="5">
        <v>331949.33</v>
      </c>
      <c r="AA124" s="5">
        <v>1</v>
      </c>
      <c r="AB124" s="5">
        <v>138.43</v>
      </c>
      <c r="AC124" s="5">
        <v>0</v>
      </c>
      <c r="AD124" s="5">
        <v>459.51745</v>
      </c>
      <c r="AE124" s="2" t="s">
        <v>3</v>
      </c>
      <c r="AF124" s="2" t="s">
        <v>3</v>
      </c>
      <c r="AG124" s="2" t="s">
        <v>27</v>
      </c>
      <c r="AH124" s="6">
        <v>7.5579999999999994E-4</v>
      </c>
      <c r="AI124" s="6">
        <v>3.0947000000000001E-3</v>
      </c>
      <c r="AJ124" s="6">
        <v>5.5039999999999993E-4</v>
      </c>
      <c r="AK124" s="2" t="s">
        <v>3</v>
      </c>
      <c r="AL124" s="56" t="s">
        <v>4</v>
      </c>
      <c r="AM124" s="56" t="s">
        <v>1</v>
      </c>
    </row>
    <row r="125" spans="1:39">
      <c r="A125" s="2" t="s">
        <v>78</v>
      </c>
      <c r="B125" s="2" t="s">
        <v>96</v>
      </c>
      <c r="C125" s="2" t="s">
        <v>459</v>
      </c>
      <c r="D125" s="2" t="s">
        <v>460</v>
      </c>
      <c r="E125" s="2" t="s">
        <v>194</v>
      </c>
      <c r="F125" s="2" t="s">
        <v>461</v>
      </c>
      <c r="G125" s="9">
        <v>1135888</v>
      </c>
      <c r="H125" s="2" t="s">
        <v>149</v>
      </c>
      <c r="I125" s="2" t="s">
        <v>196</v>
      </c>
      <c r="J125" s="2" t="s">
        <v>83</v>
      </c>
      <c r="K125" s="2" t="s">
        <v>83</v>
      </c>
      <c r="L125" s="2" t="s">
        <v>185</v>
      </c>
      <c r="M125" s="2" t="s">
        <v>118</v>
      </c>
      <c r="N125" s="2" t="s">
        <v>205</v>
      </c>
      <c r="O125" s="2" t="s">
        <v>84</v>
      </c>
      <c r="P125" s="2" t="s">
        <v>297</v>
      </c>
      <c r="Q125" s="2" t="s">
        <v>86</v>
      </c>
      <c r="R125" s="2" t="s">
        <v>189</v>
      </c>
      <c r="S125" s="2" t="s">
        <v>87</v>
      </c>
      <c r="T125" s="5">
        <v>3.14</v>
      </c>
      <c r="U125" s="2" t="s">
        <v>462</v>
      </c>
      <c r="V125" s="6">
        <v>3.9E-2</v>
      </c>
      <c r="W125" s="6">
        <v>3.5699999999999996E-2</v>
      </c>
      <c r="X125" s="2" t="s">
        <v>191</v>
      </c>
      <c r="Y125" s="2" t="s">
        <v>84</v>
      </c>
      <c r="Z125" s="5">
        <v>720147.05</v>
      </c>
      <c r="AA125" s="5">
        <v>1</v>
      </c>
      <c r="AB125" s="5">
        <v>115.37</v>
      </c>
      <c r="AC125" s="5">
        <v>0</v>
      </c>
      <c r="AD125" s="5">
        <v>830.83365000000003</v>
      </c>
      <c r="AE125" s="2" t="s">
        <v>3</v>
      </c>
      <c r="AF125" s="2" t="s">
        <v>3</v>
      </c>
      <c r="AG125" s="2" t="s">
        <v>27</v>
      </c>
      <c r="AH125" s="6">
        <v>4.8910000000000002E-4</v>
      </c>
      <c r="AI125" s="6">
        <v>5.5953000000000001E-3</v>
      </c>
      <c r="AJ125" s="6">
        <v>9.951999999999999E-4</v>
      </c>
      <c r="AK125" s="2" t="s">
        <v>3</v>
      </c>
      <c r="AL125" s="56" t="s">
        <v>4</v>
      </c>
      <c r="AM125" s="56" t="s">
        <v>1</v>
      </c>
    </row>
    <row r="126" spans="1:39">
      <c r="A126" s="2" t="s">
        <v>78</v>
      </c>
      <c r="B126" s="2" t="s">
        <v>96</v>
      </c>
      <c r="C126" s="2" t="s">
        <v>308</v>
      </c>
      <c r="D126" s="2" t="s">
        <v>309</v>
      </c>
      <c r="E126" s="2" t="s">
        <v>194</v>
      </c>
      <c r="F126" s="2" t="s">
        <v>310</v>
      </c>
      <c r="G126" s="9">
        <v>6120240</v>
      </c>
      <c r="H126" s="2" t="s">
        <v>149</v>
      </c>
      <c r="I126" s="2" t="s">
        <v>196</v>
      </c>
      <c r="J126" s="2" t="s">
        <v>83</v>
      </c>
      <c r="K126" s="2" t="s">
        <v>83</v>
      </c>
      <c r="L126" s="2" t="s">
        <v>185</v>
      </c>
      <c r="M126" s="2" t="s">
        <v>118</v>
      </c>
      <c r="N126" s="2" t="s">
        <v>197</v>
      </c>
      <c r="O126" s="2" t="s">
        <v>84</v>
      </c>
      <c r="P126" s="2" t="s">
        <v>306</v>
      </c>
      <c r="Q126" s="2" t="s">
        <v>86</v>
      </c>
      <c r="R126" s="2" t="s">
        <v>189</v>
      </c>
      <c r="S126" s="2" t="s">
        <v>87</v>
      </c>
      <c r="T126" s="5">
        <v>1.69</v>
      </c>
      <c r="U126" s="2" t="s">
        <v>307</v>
      </c>
      <c r="V126" s="6">
        <v>2.2499999999999999E-2</v>
      </c>
      <c r="W126" s="6">
        <v>3.1E-2</v>
      </c>
      <c r="X126" s="2" t="s">
        <v>191</v>
      </c>
      <c r="Y126" s="2" t="s">
        <v>84</v>
      </c>
      <c r="Z126" s="5">
        <v>96428.03</v>
      </c>
      <c r="AA126" s="5">
        <v>1</v>
      </c>
      <c r="AB126" s="5">
        <v>110.87</v>
      </c>
      <c r="AC126" s="5">
        <v>0</v>
      </c>
      <c r="AD126" s="5">
        <v>106.90975</v>
      </c>
      <c r="AE126" s="2" t="s">
        <v>3</v>
      </c>
      <c r="AF126" s="2" t="s">
        <v>3</v>
      </c>
      <c r="AG126" s="2" t="s">
        <v>27</v>
      </c>
      <c r="AH126" s="6">
        <v>1.931E-4</v>
      </c>
      <c r="AI126" s="6">
        <v>7.1999999999999994E-4</v>
      </c>
      <c r="AJ126" s="6">
        <v>1.281E-4</v>
      </c>
      <c r="AK126" s="2" t="s">
        <v>3</v>
      </c>
      <c r="AL126" s="56" t="s">
        <v>4</v>
      </c>
      <c r="AM126" s="56" t="s">
        <v>1</v>
      </c>
    </row>
    <row r="127" spans="1:39">
      <c r="A127" s="2" t="s">
        <v>78</v>
      </c>
      <c r="B127" s="2" t="s">
        <v>96</v>
      </c>
      <c r="C127" s="2" t="s">
        <v>311</v>
      </c>
      <c r="D127" s="2" t="s">
        <v>312</v>
      </c>
      <c r="E127" s="2" t="s">
        <v>194</v>
      </c>
      <c r="F127" s="2" t="s">
        <v>317</v>
      </c>
      <c r="G127" s="9">
        <v>7390222</v>
      </c>
      <c r="H127" s="2" t="s">
        <v>149</v>
      </c>
      <c r="I127" s="2" t="s">
        <v>204</v>
      </c>
      <c r="J127" s="2" t="s">
        <v>83</v>
      </c>
      <c r="K127" s="2" t="s">
        <v>83</v>
      </c>
      <c r="L127" s="2" t="s">
        <v>185</v>
      </c>
      <c r="M127" s="2" t="s">
        <v>118</v>
      </c>
      <c r="N127" s="2" t="s">
        <v>314</v>
      </c>
      <c r="O127" s="2" t="s">
        <v>84</v>
      </c>
      <c r="P127" s="2" t="s">
        <v>315</v>
      </c>
      <c r="Q127" s="2" t="s">
        <v>86</v>
      </c>
      <c r="R127" s="2" t="s">
        <v>189</v>
      </c>
      <c r="S127" s="2" t="s">
        <v>87</v>
      </c>
      <c r="T127" s="5">
        <v>3.41</v>
      </c>
      <c r="U127" s="2" t="s">
        <v>318</v>
      </c>
      <c r="V127" s="6">
        <v>0.04</v>
      </c>
      <c r="W127" s="6">
        <v>5.0199999999999995E-2</v>
      </c>
      <c r="X127" s="2" t="s">
        <v>191</v>
      </c>
      <c r="Y127" s="2" t="s">
        <v>84</v>
      </c>
      <c r="Z127" s="5">
        <v>648000</v>
      </c>
      <c r="AA127" s="5">
        <v>1</v>
      </c>
      <c r="AB127" s="5">
        <v>97.7</v>
      </c>
      <c r="AC127" s="5">
        <v>0</v>
      </c>
      <c r="AD127" s="5">
        <v>633.096</v>
      </c>
      <c r="AE127" s="2" t="s">
        <v>3</v>
      </c>
      <c r="AF127" s="2" t="s">
        <v>3</v>
      </c>
      <c r="AG127" s="2" t="s">
        <v>27</v>
      </c>
      <c r="AH127" s="6">
        <v>9.5640000000000005E-4</v>
      </c>
      <c r="AI127" s="6">
        <v>4.2636000000000002E-3</v>
      </c>
      <c r="AJ127" s="6">
        <v>7.5829999999999995E-4</v>
      </c>
      <c r="AK127" s="2" t="s">
        <v>3</v>
      </c>
      <c r="AL127" s="56" t="s">
        <v>4</v>
      </c>
      <c r="AM127" s="56" t="s">
        <v>1</v>
      </c>
    </row>
    <row r="128" spans="1:39">
      <c r="A128" s="2" t="s">
        <v>78</v>
      </c>
      <c r="B128" s="2" t="s">
        <v>96</v>
      </c>
      <c r="C128" s="2" t="s">
        <v>319</v>
      </c>
      <c r="D128" s="2" t="s">
        <v>320</v>
      </c>
      <c r="E128" s="2" t="s">
        <v>194</v>
      </c>
      <c r="F128" s="2" t="s">
        <v>321</v>
      </c>
      <c r="G128" s="9">
        <v>2590511</v>
      </c>
      <c r="H128" s="2" t="s">
        <v>149</v>
      </c>
      <c r="I128" s="2" t="s">
        <v>204</v>
      </c>
      <c r="J128" s="2" t="s">
        <v>83</v>
      </c>
      <c r="K128" s="2" t="s">
        <v>83</v>
      </c>
      <c r="L128" s="2" t="s">
        <v>185</v>
      </c>
      <c r="M128" s="2" t="s">
        <v>118</v>
      </c>
      <c r="N128" s="2" t="s">
        <v>223</v>
      </c>
      <c r="O128" s="2" t="s">
        <v>84</v>
      </c>
      <c r="P128" s="2" t="s">
        <v>315</v>
      </c>
      <c r="Q128" s="2" t="s">
        <v>86</v>
      </c>
      <c r="R128" s="2" t="s">
        <v>189</v>
      </c>
      <c r="S128" s="2" t="s">
        <v>87</v>
      </c>
      <c r="T128" s="5">
        <v>2.72</v>
      </c>
      <c r="U128" s="2" t="s">
        <v>322</v>
      </c>
      <c r="V128" s="6">
        <v>2.7000000000000003E-2</v>
      </c>
      <c r="W128" s="6">
        <v>5.28E-2</v>
      </c>
      <c r="X128" s="2" t="s">
        <v>191</v>
      </c>
      <c r="Y128" s="2" t="s">
        <v>84</v>
      </c>
      <c r="Z128" s="5">
        <v>677040.56</v>
      </c>
      <c r="AA128" s="5">
        <v>1</v>
      </c>
      <c r="AB128" s="5">
        <v>93.45</v>
      </c>
      <c r="AC128" s="5">
        <v>0</v>
      </c>
      <c r="AD128" s="5">
        <v>632.69439999999997</v>
      </c>
      <c r="AE128" s="2" t="s">
        <v>3</v>
      </c>
      <c r="AF128" s="2" t="s">
        <v>3</v>
      </c>
      <c r="AG128" s="2" t="s">
        <v>27</v>
      </c>
      <c r="AH128" s="6">
        <v>9.6199999999999996E-4</v>
      </c>
      <c r="AI128" s="6">
        <v>4.2609000000000006E-3</v>
      </c>
      <c r="AJ128" s="6">
        <v>7.5779999999999999E-4</v>
      </c>
      <c r="AK128" s="2" t="s">
        <v>3</v>
      </c>
      <c r="AL128" s="56" t="s">
        <v>4</v>
      </c>
      <c r="AM128" s="56" t="s">
        <v>1</v>
      </c>
    </row>
    <row r="129" spans="1:39">
      <c r="A129" s="2" t="s">
        <v>78</v>
      </c>
      <c r="B129" s="2" t="s">
        <v>96</v>
      </c>
      <c r="C129" s="2" t="s">
        <v>323</v>
      </c>
      <c r="D129" s="2" t="s">
        <v>324</v>
      </c>
      <c r="E129" s="2" t="s">
        <v>194</v>
      </c>
      <c r="F129" s="2" t="s">
        <v>325</v>
      </c>
      <c r="G129" s="9">
        <v>5760301</v>
      </c>
      <c r="H129" s="2" t="s">
        <v>149</v>
      </c>
      <c r="I129" s="2" t="s">
        <v>204</v>
      </c>
      <c r="J129" s="2" t="s">
        <v>83</v>
      </c>
      <c r="K129" s="2" t="s">
        <v>83</v>
      </c>
      <c r="L129" s="2" t="s">
        <v>185</v>
      </c>
      <c r="M129" s="2" t="s">
        <v>118</v>
      </c>
      <c r="N129" s="2" t="s">
        <v>314</v>
      </c>
      <c r="O129" s="2" t="s">
        <v>84</v>
      </c>
      <c r="P129" s="2" t="s">
        <v>315</v>
      </c>
      <c r="Q129" s="2" t="s">
        <v>86</v>
      </c>
      <c r="R129" s="2" t="s">
        <v>189</v>
      </c>
      <c r="S129" s="2" t="s">
        <v>87</v>
      </c>
      <c r="T129" s="5">
        <v>2.64</v>
      </c>
      <c r="U129" s="2" t="s">
        <v>251</v>
      </c>
      <c r="V129" s="6">
        <v>2.2000000000000002E-2</v>
      </c>
      <c r="W129" s="6">
        <v>4.7699999999999992E-2</v>
      </c>
      <c r="X129" s="2" t="s">
        <v>191</v>
      </c>
      <c r="Y129" s="2" t="s">
        <v>84</v>
      </c>
      <c r="Z129" s="5">
        <v>465488.89</v>
      </c>
      <c r="AA129" s="5">
        <v>1</v>
      </c>
      <c r="AB129" s="5">
        <v>94.15</v>
      </c>
      <c r="AC129" s="5">
        <v>0</v>
      </c>
      <c r="AD129" s="5">
        <v>438.25778000000003</v>
      </c>
      <c r="AE129" s="2" t="s">
        <v>3</v>
      </c>
      <c r="AF129" s="2" t="s">
        <v>3</v>
      </c>
      <c r="AG129" s="2" t="s">
        <v>27</v>
      </c>
      <c r="AH129" s="6">
        <v>4.0259999999999997E-4</v>
      </c>
      <c r="AI129" s="6">
        <v>2.9515000000000001E-3</v>
      </c>
      <c r="AJ129" s="6">
        <v>5.2499999999999997E-4</v>
      </c>
      <c r="AK129" s="2" t="s">
        <v>3</v>
      </c>
      <c r="AL129" s="56" t="s">
        <v>4</v>
      </c>
      <c r="AM129" s="56" t="s">
        <v>1</v>
      </c>
    </row>
    <row r="130" spans="1:39">
      <c r="A130" s="2" t="s">
        <v>78</v>
      </c>
      <c r="B130" s="2" t="s">
        <v>96</v>
      </c>
      <c r="C130" s="2" t="s">
        <v>326</v>
      </c>
      <c r="D130" s="2" t="s">
        <v>327</v>
      </c>
      <c r="E130" s="2" t="s">
        <v>194</v>
      </c>
      <c r="F130" s="2" t="s">
        <v>328</v>
      </c>
      <c r="G130" s="9">
        <v>1141696</v>
      </c>
      <c r="H130" s="2" t="s">
        <v>149</v>
      </c>
      <c r="I130" s="2" t="s">
        <v>196</v>
      </c>
      <c r="J130" s="2" t="s">
        <v>83</v>
      </c>
      <c r="K130" s="2" t="s">
        <v>83</v>
      </c>
      <c r="L130" s="2" t="s">
        <v>185</v>
      </c>
      <c r="M130" s="2" t="s">
        <v>118</v>
      </c>
      <c r="N130" s="2" t="s">
        <v>197</v>
      </c>
      <c r="O130" s="2" t="s">
        <v>84</v>
      </c>
      <c r="P130" s="2" t="s">
        <v>315</v>
      </c>
      <c r="Q130" s="2" t="s">
        <v>86</v>
      </c>
      <c r="R130" s="2" t="s">
        <v>189</v>
      </c>
      <c r="S130" s="2" t="s">
        <v>87</v>
      </c>
      <c r="T130" s="5">
        <v>2.08</v>
      </c>
      <c r="U130" s="2" t="s">
        <v>229</v>
      </c>
      <c r="V130" s="6">
        <v>2.0499999999999997E-2</v>
      </c>
      <c r="W130" s="6">
        <v>2.4900000000000002E-2</v>
      </c>
      <c r="X130" s="2" t="s">
        <v>191</v>
      </c>
      <c r="Y130" s="2" t="s">
        <v>84</v>
      </c>
      <c r="Z130" s="5">
        <v>165000</v>
      </c>
      <c r="AA130" s="5">
        <v>1</v>
      </c>
      <c r="AB130" s="5">
        <v>112.41</v>
      </c>
      <c r="AC130" s="5">
        <v>0</v>
      </c>
      <c r="AD130" s="5">
        <v>185.47649999999999</v>
      </c>
      <c r="AE130" s="2" t="s">
        <v>3</v>
      </c>
      <c r="AF130" s="2" t="s">
        <v>3</v>
      </c>
      <c r="AG130" s="2" t="s">
        <v>27</v>
      </c>
      <c r="AH130" s="6">
        <v>1.872E-4</v>
      </c>
      <c r="AI130" s="6">
        <v>1.2490999999999999E-3</v>
      </c>
      <c r="AJ130" s="6">
        <v>2.2220000000000001E-4</v>
      </c>
      <c r="AK130" s="2" t="s">
        <v>3</v>
      </c>
      <c r="AL130" s="56" t="s">
        <v>4</v>
      </c>
      <c r="AM130" s="56" t="s">
        <v>1</v>
      </c>
    </row>
    <row r="131" spans="1:39">
      <c r="A131" s="2" t="s">
        <v>78</v>
      </c>
      <c r="B131" s="2" t="s">
        <v>96</v>
      </c>
      <c r="C131" s="2" t="s">
        <v>329</v>
      </c>
      <c r="D131" s="2" t="s">
        <v>330</v>
      </c>
      <c r="E131" s="2" t="s">
        <v>194</v>
      </c>
      <c r="F131" s="2" t="s">
        <v>463</v>
      </c>
      <c r="G131" s="9">
        <v>1132836</v>
      </c>
      <c r="H131" s="2" t="s">
        <v>149</v>
      </c>
      <c r="I131" s="2" t="s">
        <v>204</v>
      </c>
      <c r="J131" s="2" t="s">
        <v>83</v>
      </c>
      <c r="K131" s="2" t="s">
        <v>83</v>
      </c>
      <c r="L131" s="2" t="s">
        <v>185</v>
      </c>
      <c r="M131" s="2" t="s">
        <v>118</v>
      </c>
      <c r="N131" s="2" t="s">
        <v>332</v>
      </c>
      <c r="O131" s="2" t="s">
        <v>84</v>
      </c>
      <c r="P131" s="2" t="s">
        <v>315</v>
      </c>
      <c r="Q131" s="2" t="s">
        <v>86</v>
      </c>
      <c r="R131" s="2" t="s">
        <v>189</v>
      </c>
      <c r="S131" s="2" t="s">
        <v>87</v>
      </c>
      <c r="T131" s="5">
        <v>0.74</v>
      </c>
      <c r="U131" s="2" t="s">
        <v>464</v>
      </c>
      <c r="V131" s="6">
        <v>4.1399999999999999E-2</v>
      </c>
      <c r="W131" s="6">
        <v>5.0900000000000001E-2</v>
      </c>
      <c r="X131" s="2" t="s">
        <v>191</v>
      </c>
      <c r="Y131" s="2" t="s">
        <v>84</v>
      </c>
      <c r="Z131" s="5">
        <v>0</v>
      </c>
      <c r="AA131" s="5">
        <v>1</v>
      </c>
      <c r="AB131" s="5">
        <v>100.34</v>
      </c>
      <c r="AC131" s="5">
        <v>0</v>
      </c>
      <c r="AD131" s="5">
        <v>1.0000000000000001E-5</v>
      </c>
      <c r="AE131" s="2" t="s">
        <v>3</v>
      </c>
      <c r="AF131" s="2" t="s">
        <v>3</v>
      </c>
      <c r="AG131" s="2" t="s">
        <v>27</v>
      </c>
      <c r="AH131" s="6">
        <v>0</v>
      </c>
      <c r="AI131" s="6">
        <v>0</v>
      </c>
      <c r="AJ131" s="6">
        <v>0</v>
      </c>
      <c r="AK131" s="2" t="s">
        <v>3</v>
      </c>
      <c r="AL131" s="56" t="s">
        <v>4</v>
      </c>
      <c r="AM131" s="56" t="s">
        <v>1</v>
      </c>
    </row>
    <row r="132" spans="1:39">
      <c r="A132" s="2" t="s">
        <v>78</v>
      </c>
      <c r="B132" s="2" t="s">
        <v>96</v>
      </c>
      <c r="C132" s="2" t="s">
        <v>329</v>
      </c>
      <c r="D132" s="2" t="s">
        <v>330</v>
      </c>
      <c r="E132" s="2" t="s">
        <v>194</v>
      </c>
      <c r="F132" s="2" t="s">
        <v>331</v>
      </c>
      <c r="G132" s="9">
        <v>1143080</v>
      </c>
      <c r="H132" s="2" t="s">
        <v>149</v>
      </c>
      <c r="I132" s="2" t="s">
        <v>204</v>
      </c>
      <c r="J132" s="2" t="s">
        <v>83</v>
      </c>
      <c r="K132" s="2" t="s">
        <v>83</v>
      </c>
      <c r="L132" s="2" t="s">
        <v>185</v>
      </c>
      <c r="M132" s="2" t="s">
        <v>118</v>
      </c>
      <c r="N132" s="2" t="s">
        <v>332</v>
      </c>
      <c r="O132" s="2" t="s">
        <v>84</v>
      </c>
      <c r="P132" s="2" t="s">
        <v>315</v>
      </c>
      <c r="Q132" s="2" t="s">
        <v>86</v>
      </c>
      <c r="R132" s="2" t="s">
        <v>189</v>
      </c>
      <c r="S132" s="2" t="s">
        <v>87</v>
      </c>
      <c r="T132" s="5">
        <v>2.31</v>
      </c>
      <c r="U132" s="2" t="s">
        <v>333</v>
      </c>
      <c r="V132" s="6">
        <v>2.5000000000000001E-2</v>
      </c>
      <c r="W132" s="6">
        <v>4.8300000000000003E-2</v>
      </c>
      <c r="X132" s="2" t="s">
        <v>191</v>
      </c>
      <c r="Y132" s="2" t="s">
        <v>84</v>
      </c>
      <c r="Z132" s="5">
        <v>535092.68000000005</v>
      </c>
      <c r="AA132" s="5">
        <v>1</v>
      </c>
      <c r="AB132" s="5">
        <v>95.46</v>
      </c>
      <c r="AC132" s="5">
        <v>0</v>
      </c>
      <c r="AD132" s="5">
        <v>510.79946999999999</v>
      </c>
      <c r="AE132" s="2" t="s">
        <v>3</v>
      </c>
      <c r="AF132" s="2" t="s">
        <v>3</v>
      </c>
      <c r="AG132" s="2" t="s">
        <v>27</v>
      </c>
      <c r="AH132" s="6">
        <v>5.7470000000000004E-4</v>
      </c>
      <c r="AI132" s="6">
        <v>3.4399999999999999E-3</v>
      </c>
      <c r="AJ132" s="6">
        <v>6.1180000000000002E-4</v>
      </c>
      <c r="AK132" s="2" t="s">
        <v>3</v>
      </c>
      <c r="AL132" s="56" t="s">
        <v>4</v>
      </c>
      <c r="AM132" s="56" t="s">
        <v>1</v>
      </c>
    </row>
    <row r="133" spans="1:39">
      <c r="A133" s="2" t="s">
        <v>78</v>
      </c>
      <c r="B133" s="2" t="s">
        <v>96</v>
      </c>
      <c r="C133" s="2" t="s">
        <v>342</v>
      </c>
      <c r="D133" s="2" t="s">
        <v>343</v>
      </c>
      <c r="E133" s="2" t="s">
        <v>194</v>
      </c>
      <c r="F133" s="2" t="s">
        <v>344</v>
      </c>
      <c r="G133" s="9">
        <v>1133149</v>
      </c>
      <c r="H133" s="2" t="s">
        <v>149</v>
      </c>
      <c r="I133" s="2" t="s">
        <v>196</v>
      </c>
      <c r="J133" s="2" t="s">
        <v>83</v>
      </c>
      <c r="K133" s="2" t="s">
        <v>83</v>
      </c>
      <c r="L133" s="2" t="s">
        <v>185</v>
      </c>
      <c r="M133" s="2" t="s">
        <v>118</v>
      </c>
      <c r="N133" s="2" t="s">
        <v>197</v>
      </c>
      <c r="O133" s="2" t="s">
        <v>84</v>
      </c>
      <c r="P133" s="2" t="s">
        <v>345</v>
      </c>
      <c r="Q133" s="2" t="s">
        <v>86</v>
      </c>
      <c r="R133" s="2" t="s">
        <v>189</v>
      </c>
      <c r="S133" s="2" t="s">
        <v>87</v>
      </c>
      <c r="T133" s="5">
        <v>2.0299999999999998</v>
      </c>
      <c r="U133" s="2" t="s">
        <v>346</v>
      </c>
      <c r="V133" s="6">
        <v>3.2000000000000001E-2</v>
      </c>
      <c r="W133" s="6">
        <v>2.2200000000000001E-2</v>
      </c>
      <c r="X133" s="2" t="s">
        <v>191</v>
      </c>
      <c r="Y133" s="2" t="s">
        <v>84</v>
      </c>
      <c r="Z133" s="5">
        <v>165600</v>
      </c>
      <c r="AA133" s="5">
        <v>1</v>
      </c>
      <c r="AB133" s="5">
        <v>116.39</v>
      </c>
      <c r="AC133" s="5">
        <v>0</v>
      </c>
      <c r="AD133" s="5">
        <v>192.74184</v>
      </c>
      <c r="AE133" s="2" t="s">
        <v>3</v>
      </c>
      <c r="AF133" s="2" t="s">
        <v>3</v>
      </c>
      <c r="AG133" s="2" t="s">
        <v>27</v>
      </c>
      <c r="AH133" s="6">
        <v>1.18E-4</v>
      </c>
      <c r="AI133" s="6">
        <v>1.2979999999999999E-3</v>
      </c>
      <c r="AJ133" s="6">
        <v>2.309E-4</v>
      </c>
      <c r="AK133" s="2" t="s">
        <v>3</v>
      </c>
      <c r="AL133" s="56" t="s">
        <v>4</v>
      </c>
      <c r="AM133" s="56" t="s">
        <v>1</v>
      </c>
    </row>
    <row r="134" spans="1:39">
      <c r="A134" s="2" t="s">
        <v>78</v>
      </c>
      <c r="B134" s="2" t="s">
        <v>96</v>
      </c>
      <c r="C134" s="2" t="s">
        <v>347</v>
      </c>
      <c r="D134" s="2" t="s">
        <v>348</v>
      </c>
      <c r="E134" s="2" t="s">
        <v>194</v>
      </c>
      <c r="F134" s="2" t="s">
        <v>349</v>
      </c>
      <c r="G134" s="9">
        <v>1133487</v>
      </c>
      <c r="H134" s="2" t="s">
        <v>149</v>
      </c>
      <c r="I134" s="2" t="s">
        <v>196</v>
      </c>
      <c r="J134" s="2" t="s">
        <v>83</v>
      </c>
      <c r="K134" s="2" t="s">
        <v>83</v>
      </c>
      <c r="L134" s="2" t="s">
        <v>185</v>
      </c>
      <c r="M134" s="2" t="s">
        <v>118</v>
      </c>
      <c r="N134" s="2" t="s">
        <v>197</v>
      </c>
      <c r="O134" s="2" t="s">
        <v>84</v>
      </c>
      <c r="P134" s="2" t="s">
        <v>345</v>
      </c>
      <c r="Q134" s="2" t="s">
        <v>86</v>
      </c>
      <c r="R134" s="2" t="s">
        <v>189</v>
      </c>
      <c r="S134" s="2" t="s">
        <v>87</v>
      </c>
      <c r="T134" s="5">
        <v>2.69</v>
      </c>
      <c r="U134" s="2" t="s">
        <v>164</v>
      </c>
      <c r="V134" s="6">
        <v>2.3399999999999997E-2</v>
      </c>
      <c r="W134" s="6">
        <v>2.3E-2</v>
      </c>
      <c r="X134" s="2" t="s">
        <v>191</v>
      </c>
      <c r="Y134" s="2" t="s">
        <v>84</v>
      </c>
      <c r="Z134" s="5">
        <v>124235.3</v>
      </c>
      <c r="AA134" s="5">
        <v>1</v>
      </c>
      <c r="AB134" s="5">
        <v>111.84</v>
      </c>
      <c r="AC134" s="5">
        <v>0</v>
      </c>
      <c r="AD134" s="5">
        <v>138.94475</v>
      </c>
      <c r="AE134" s="2" t="s">
        <v>3</v>
      </c>
      <c r="AF134" s="2" t="s">
        <v>3</v>
      </c>
      <c r="AG134" s="2" t="s">
        <v>27</v>
      </c>
      <c r="AH134" s="6">
        <v>5.8799999999999999E-5</v>
      </c>
      <c r="AI134" s="6">
        <v>9.3570000000000003E-4</v>
      </c>
      <c r="AJ134" s="6">
        <v>1.6639999999999998E-4</v>
      </c>
      <c r="AK134" s="2" t="s">
        <v>3</v>
      </c>
      <c r="AL134" s="56" t="s">
        <v>4</v>
      </c>
      <c r="AM134" s="56" t="s">
        <v>1</v>
      </c>
    </row>
    <row r="135" spans="1:39">
      <c r="A135" s="2" t="s">
        <v>78</v>
      </c>
      <c r="B135" s="2" t="s">
        <v>96</v>
      </c>
      <c r="C135" s="2" t="s">
        <v>258</v>
      </c>
      <c r="D135" s="2" t="s">
        <v>259</v>
      </c>
      <c r="E135" s="2" t="s">
        <v>194</v>
      </c>
      <c r="F135" s="2" t="s">
        <v>465</v>
      </c>
      <c r="G135" s="9">
        <v>6130207</v>
      </c>
      <c r="H135" s="2" t="s">
        <v>149</v>
      </c>
      <c r="I135" s="2" t="s">
        <v>196</v>
      </c>
      <c r="J135" s="2" t="s">
        <v>83</v>
      </c>
      <c r="K135" s="2" t="s">
        <v>83</v>
      </c>
      <c r="L135" s="2" t="s">
        <v>185</v>
      </c>
      <c r="M135" s="2" t="s">
        <v>118</v>
      </c>
      <c r="N135" s="2" t="s">
        <v>197</v>
      </c>
      <c r="O135" s="2" t="s">
        <v>84</v>
      </c>
      <c r="P135" s="2" t="s">
        <v>345</v>
      </c>
      <c r="Q135" s="2" t="s">
        <v>86</v>
      </c>
      <c r="R135" s="2" t="s">
        <v>189</v>
      </c>
      <c r="S135" s="2" t="s">
        <v>87</v>
      </c>
      <c r="T135" s="5">
        <v>2.59</v>
      </c>
      <c r="U135" s="2" t="s">
        <v>466</v>
      </c>
      <c r="V135" s="6">
        <v>1.5800000000000002E-2</v>
      </c>
      <c r="W135" s="6">
        <v>2.0799999999999999E-2</v>
      </c>
      <c r="X135" s="2" t="s">
        <v>191</v>
      </c>
      <c r="Y135" s="2" t="s">
        <v>84</v>
      </c>
      <c r="Z135" s="5">
        <v>621036</v>
      </c>
      <c r="AA135" s="5">
        <v>1</v>
      </c>
      <c r="AB135" s="5">
        <v>112.1</v>
      </c>
      <c r="AC135" s="5">
        <v>0</v>
      </c>
      <c r="AD135" s="5">
        <v>696.18134999999995</v>
      </c>
      <c r="AE135" s="2" t="s">
        <v>3</v>
      </c>
      <c r="AF135" s="2" t="s">
        <v>3</v>
      </c>
      <c r="AG135" s="2" t="s">
        <v>27</v>
      </c>
      <c r="AH135" s="6">
        <v>1.3350999999999999E-3</v>
      </c>
      <c r="AI135" s="6">
        <v>4.6885E-3</v>
      </c>
      <c r="AJ135" s="6">
        <v>8.3390000000000005E-4</v>
      </c>
      <c r="AK135" s="2" t="s">
        <v>3</v>
      </c>
      <c r="AL135" s="56" t="s">
        <v>4</v>
      </c>
      <c r="AM135" s="56" t="s">
        <v>1</v>
      </c>
    </row>
    <row r="136" spans="1:39">
      <c r="A136" s="2" t="s">
        <v>78</v>
      </c>
      <c r="B136" s="2" t="s">
        <v>96</v>
      </c>
      <c r="C136" s="2" t="s">
        <v>354</v>
      </c>
      <c r="D136" s="2" t="s">
        <v>355</v>
      </c>
      <c r="E136" s="2" t="s">
        <v>194</v>
      </c>
      <c r="F136" s="2" t="s">
        <v>356</v>
      </c>
      <c r="G136" s="9">
        <v>2260545</v>
      </c>
      <c r="H136" s="2" t="s">
        <v>149</v>
      </c>
      <c r="I136" s="2" t="s">
        <v>196</v>
      </c>
      <c r="J136" s="2" t="s">
        <v>83</v>
      </c>
      <c r="K136" s="2" t="s">
        <v>83</v>
      </c>
      <c r="L136" s="2" t="s">
        <v>185</v>
      </c>
      <c r="M136" s="2" t="s">
        <v>118</v>
      </c>
      <c r="N136" s="2" t="s">
        <v>197</v>
      </c>
      <c r="O136" s="2" t="s">
        <v>84</v>
      </c>
      <c r="P136" s="2" t="s">
        <v>345</v>
      </c>
      <c r="Q136" s="2" t="s">
        <v>86</v>
      </c>
      <c r="R136" s="2" t="s">
        <v>189</v>
      </c>
      <c r="S136" s="2" t="s">
        <v>87</v>
      </c>
      <c r="T136" s="5">
        <v>2.2400000000000002</v>
      </c>
      <c r="U136" s="2" t="s">
        <v>357</v>
      </c>
      <c r="V136" s="6">
        <v>2.4E-2</v>
      </c>
      <c r="W136" s="6">
        <v>2.2400000000000003E-2</v>
      </c>
      <c r="X136" s="2" t="s">
        <v>191</v>
      </c>
      <c r="Y136" s="2" t="s">
        <v>84</v>
      </c>
      <c r="Z136" s="5">
        <v>531957.42000000004</v>
      </c>
      <c r="AA136" s="5">
        <v>1</v>
      </c>
      <c r="AB136" s="5">
        <v>112.83</v>
      </c>
      <c r="AC136" s="5">
        <v>0</v>
      </c>
      <c r="AD136" s="5">
        <v>600.20754999999997</v>
      </c>
      <c r="AE136" s="2" t="s">
        <v>3</v>
      </c>
      <c r="AF136" s="2" t="s">
        <v>3</v>
      </c>
      <c r="AG136" s="2" t="s">
        <v>27</v>
      </c>
      <c r="AH136" s="6">
        <v>9.2189999999999991E-4</v>
      </c>
      <c r="AI136" s="6">
        <v>4.0420999999999999E-3</v>
      </c>
      <c r="AJ136" s="6">
        <v>7.1889999999999996E-4</v>
      </c>
      <c r="AK136" s="2" t="s">
        <v>3</v>
      </c>
      <c r="AL136" s="56" t="s">
        <v>4</v>
      </c>
      <c r="AM136" s="56" t="s">
        <v>1</v>
      </c>
    </row>
    <row r="137" spans="1:39">
      <c r="A137" s="2" t="s">
        <v>78</v>
      </c>
      <c r="B137" s="2" t="s">
        <v>96</v>
      </c>
      <c r="C137" s="2" t="s">
        <v>358</v>
      </c>
      <c r="D137" s="2" t="s">
        <v>359</v>
      </c>
      <c r="E137" s="2" t="s">
        <v>194</v>
      </c>
      <c r="F137" s="2" t="s">
        <v>360</v>
      </c>
      <c r="G137" s="9">
        <v>3230208</v>
      </c>
      <c r="H137" s="2" t="s">
        <v>149</v>
      </c>
      <c r="I137" s="2" t="s">
        <v>196</v>
      </c>
      <c r="J137" s="2" t="s">
        <v>83</v>
      </c>
      <c r="K137" s="2" t="s">
        <v>83</v>
      </c>
      <c r="L137" s="2" t="s">
        <v>185</v>
      </c>
      <c r="M137" s="2" t="s">
        <v>118</v>
      </c>
      <c r="N137" s="2" t="s">
        <v>197</v>
      </c>
      <c r="O137" s="2" t="s">
        <v>84</v>
      </c>
      <c r="P137" s="2" t="s">
        <v>345</v>
      </c>
      <c r="Q137" s="2" t="s">
        <v>86</v>
      </c>
      <c r="R137" s="2" t="s">
        <v>189</v>
      </c>
      <c r="S137" s="2" t="s">
        <v>87</v>
      </c>
      <c r="T137" s="5">
        <v>1.24</v>
      </c>
      <c r="U137" s="2" t="s">
        <v>361</v>
      </c>
      <c r="V137" s="6">
        <v>2.3E-2</v>
      </c>
      <c r="W137" s="6">
        <v>1.95E-2</v>
      </c>
      <c r="X137" s="2" t="s">
        <v>191</v>
      </c>
      <c r="Y137" s="2" t="s">
        <v>84</v>
      </c>
      <c r="Z137" s="5">
        <v>266443.36</v>
      </c>
      <c r="AA137" s="5">
        <v>1</v>
      </c>
      <c r="AB137" s="5">
        <v>114.63</v>
      </c>
      <c r="AC137" s="5">
        <v>0</v>
      </c>
      <c r="AD137" s="5">
        <v>305.42401999999998</v>
      </c>
      <c r="AE137" s="2" t="s">
        <v>3</v>
      </c>
      <c r="AF137" s="2" t="s">
        <v>3</v>
      </c>
      <c r="AG137" s="2" t="s">
        <v>27</v>
      </c>
      <c r="AH137" s="6">
        <v>2.139E-4</v>
      </c>
      <c r="AI137" s="6">
        <v>2.0569E-3</v>
      </c>
      <c r="AJ137" s="6">
        <v>3.658E-4</v>
      </c>
      <c r="AK137" s="2" t="s">
        <v>3</v>
      </c>
      <c r="AL137" s="56" t="s">
        <v>4</v>
      </c>
      <c r="AM137" s="56" t="s">
        <v>1</v>
      </c>
    </row>
    <row r="138" spans="1:39">
      <c r="A138" s="2" t="s">
        <v>78</v>
      </c>
      <c r="B138" s="2" t="s">
        <v>96</v>
      </c>
      <c r="C138" s="2" t="s">
        <v>358</v>
      </c>
      <c r="D138" s="2" t="s">
        <v>359</v>
      </c>
      <c r="E138" s="2" t="s">
        <v>194</v>
      </c>
      <c r="F138" s="2" t="s">
        <v>362</v>
      </c>
      <c r="G138" s="9">
        <v>3230232</v>
      </c>
      <c r="H138" s="2" t="s">
        <v>149</v>
      </c>
      <c r="I138" s="2" t="s">
        <v>196</v>
      </c>
      <c r="J138" s="2" t="s">
        <v>83</v>
      </c>
      <c r="K138" s="2" t="s">
        <v>83</v>
      </c>
      <c r="L138" s="2" t="s">
        <v>185</v>
      </c>
      <c r="M138" s="2" t="s">
        <v>118</v>
      </c>
      <c r="N138" s="2" t="s">
        <v>197</v>
      </c>
      <c r="O138" s="2" t="s">
        <v>84</v>
      </c>
      <c r="P138" s="2" t="s">
        <v>345</v>
      </c>
      <c r="Q138" s="2" t="s">
        <v>86</v>
      </c>
      <c r="R138" s="2" t="s">
        <v>189</v>
      </c>
      <c r="S138" s="2" t="s">
        <v>87</v>
      </c>
      <c r="T138" s="5">
        <v>1.96</v>
      </c>
      <c r="U138" s="2" t="s">
        <v>363</v>
      </c>
      <c r="V138" s="6">
        <v>2.1499999999999998E-2</v>
      </c>
      <c r="W138" s="6">
        <v>1.9599999999999999E-2</v>
      </c>
      <c r="X138" s="2" t="s">
        <v>191</v>
      </c>
      <c r="Y138" s="2" t="s">
        <v>84</v>
      </c>
      <c r="Z138" s="5">
        <v>263396.84000000003</v>
      </c>
      <c r="AA138" s="5">
        <v>1</v>
      </c>
      <c r="AB138" s="5">
        <v>115.25</v>
      </c>
      <c r="AC138" s="5">
        <v>0</v>
      </c>
      <c r="AD138" s="5">
        <v>303.56484999999998</v>
      </c>
      <c r="AE138" s="2" t="s">
        <v>3</v>
      </c>
      <c r="AF138" s="2" t="s">
        <v>3</v>
      </c>
      <c r="AG138" s="2" t="s">
        <v>27</v>
      </c>
      <c r="AH138" s="6">
        <v>2.1819999999999999E-4</v>
      </c>
      <c r="AI138" s="6">
        <v>2.0444E-3</v>
      </c>
      <c r="AJ138" s="6">
        <v>3.6360000000000006E-4</v>
      </c>
      <c r="AK138" s="2" t="s">
        <v>3</v>
      </c>
      <c r="AL138" s="56" t="s">
        <v>4</v>
      </c>
      <c r="AM138" s="56" t="s">
        <v>1</v>
      </c>
    </row>
    <row r="139" spans="1:39">
      <c r="A139" s="2" t="s">
        <v>78</v>
      </c>
      <c r="B139" s="2" t="s">
        <v>96</v>
      </c>
      <c r="C139" s="2" t="s">
        <v>358</v>
      </c>
      <c r="D139" s="2" t="s">
        <v>359</v>
      </c>
      <c r="E139" s="2" t="s">
        <v>194</v>
      </c>
      <c r="F139" s="2" t="s">
        <v>367</v>
      </c>
      <c r="G139" s="9">
        <v>3230398</v>
      </c>
      <c r="H139" s="2" t="s">
        <v>149</v>
      </c>
      <c r="I139" s="2" t="s">
        <v>196</v>
      </c>
      <c r="J139" s="2" t="s">
        <v>83</v>
      </c>
      <c r="K139" s="2" t="s">
        <v>83</v>
      </c>
      <c r="L139" s="2" t="s">
        <v>185</v>
      </c>
      <c r="M139" s="2" t="s">
        <v>118</v>
      </c>
      <c r="N139" s="2" t="s">
        <v>197</v>
      </c>
      <c r="O139" s="2" t="s">
        <v>84</v>
      </c>
      <c r="P139" s="2" t="s">
        <v>345</v>
      </c>
      <c r="Q139" s="2" t="s">
        <v>86</v>
      </c>
      <c r="R139" s="2" t="s">
        <v>189</v>
      </c>
      <c r="S139" s="2" t="s">
        <v>87</v>
      </c>
      <c r="T139" s="5">
        <v>4.76</v>
      </c>
      <c r="U139" s="2" t="s">
        <v>368</v>
      </c>
      <c r="V139" s="6">
        <v>1.43E-2</v>
      </c>
      <c r="W139" s="6">
        <v>2.6499999999999999E-2</v>
      </c>
      <c r="X139" s="2" t="s">
        <v>191</v>
      </c>
      <c r="Y139" s="2" t="s">
        <v>84</v>
      </c>
      <c r="Z139" s="5">
        <v>363000</v>
      </c>
      <c r="AA139" s="5">
        <v>1</v>
      </c>
      <c r="AB139" s="5">
        <v>105.95</v>
      </c>
      <c r="AC139" s="5">
        <v>0</v>
      </c>
      <c r="AD139" s="5">
        <v>384.5985</v>
      </c>
      <c r="AE139" s="2" t="s">
        <v>3</v>
      </c>
      <c r="AF139" s="2" t="s">
        <v>3</v>
      </c>
      <c r="AG139" s="2" t="s">
        <v>27</v>
      </c>
      <c r="AH139" s="6">
        <v>3.1940000000000001E-4</v>
      </c>
      <c r="AI139" s="6">
        <v>2.5901000000000001E-3</v>
      </c>
      <c r="AJ139" s="6">
        <v>4.6069999999999998E-4</v>
      </c>
      <c r="AK139" s="2" t="s">
        <v>3</v>
      </c>
      <c r="AL139" s="56" t="s">
        <v>4</v>
      </c>
      <c r="AM139" s="56" t="s">
        <v>1</v>
      </c>
    </row>
    <row r="140" spans="1:39">
      <c r="A140" s="2" t="s">
        <v>78</v>
      </c>
      <c r="B140" s="2" t="s">
        <v>96</v>
      </c>
      <c r="C140" s="2" t="s">
        <v>358</v>
      </c>
      <c r="D140" s="2" t="s">
        <v>359</v>
      </c>
      <c r="E140" s="2" t="s">
        <v>194</v>
      </c>
      <c r="F140" s="2" t="s">
        <v>369</v>
      </c>
      <c r="G140" s="9">
        <v>3230422</v>
      </c>
      <c r="H140" s="2" t="s">
        <v>149</v>
      </c>
      <c r="I140" s="2" t="s">
        <v>196</v>
      </c>
      <c r="J140" s="2" t="s">
        <v>83</v>
      </c>
      <c r="K140" s="2" t="s">
        <v>83</v>
      </c>
      <c r="L140" s="2" t="s">
        <v>185</v>
      </c>
      <c r="M140" s="2" t="s">
        <v>118</v>
      </c>
      <c r="N140" s="2" t="s">
        <v>197</v>
      </c>
      <c r="O140" s="2" t="s">
        <v>84</v>
      </c>
      <c r="P140" s="2" t="s">
        <v>345</v>
      </c>
      <c r="Q140" s="2" t="s">
        <v>86</v>
      </c>
      <c r="R140" s="2" t="s">
        <v>189</v>
      </c>
      <c r="S140" s="2" t="s">
        <v>87</v>
      </c>
      <c r="T140" s="5">
        <v>5.66</v>
      </c>
      <c r="U140" s="2" t="s">
        <v>370</v>
      </c>
      <c r="V140" s="6">
        <v>2.5000000000000001E-3</v>
      </c>
      <c r="W140" s="6">
        <v>2.7000000000000003E-2</v>
      </c>
      <c r="X140" s="2" t="s">
        <v>191</v>
      </c>
      <c r="Y140" s="2" t="s">
        <v>84</v>
      </c>
      <c r="Z140" s="5">
        <v>583999.19999999995</v>
      </c>
      <c r="AA140" s="5">
        <v>1</v>
      </c>
      <c r="AB140" s="5">
        <v>95.66</v>
      </c>
      <c r="AC140" s="5">
        <v>0</v>
      </c>
      <c r="AD140" s="5">
        <v>558.65363000000002</v>
      </c>
      <c r="AE140" s="2" t="s">
        <v>3</v>
      </c>
      <c r="AF140" s="2" t="s">
        <v>3</v>
      </c>
      <c r="AG140" s="2" t="s">
        <v>27</v>
      </c>
      <c r="AH140" s="6">
        <v>4.6000000000000001E-4</v>
      </c>
      <c r="AI140" s="6">
        <v>3.7623000000000001E-3</v>
      </c>
      <c r="AJ140" s="6">
        <v>6.6919999999999989E-4</v>
      </c>
      <c r="AK140" s="2" t="s">
        <v>3</v>
      </c>
      <c r="AL140" s="56" t="s">
        <v>4</v>
      </c>
      <c r="AM140" s="56" t="s">
        <v>1</v>
      </c>
    </row>
    <row r="141" spans="1:39">
      <c r="A141" s="2" t="s">
        <v>78</v>
      </c>
      <c r="B141" s="2" t="s">
        <v>96</v>
      </c>
      <c r="C141" s="2" t="s">
        <v>391</v>
      </c>
      <c r="D141" s="2" t="s">
        <v>392</v>
      </c>
      <c r="E141" s="2" t="s">
        <v>194</v>
      </c>
      <c r="F141" s="2" t="s">
        <v>467</v>
      </c>
      <c r="G141" s="9">
        <v>1140615</v>
      </c>
      <c r="H141" s="2" t="s">
        <v>149</v>
      </c>
      <c r="I141" s="2" t="s">
        <v>196</v>
      </c>
      <c r="J141" s="2" t="s">
        <v>83</v>
      </c>
      <c r="K141" s="2" t="s">
        <v>83</v>
      </c>
      <c r="L141" s="2" t="s">
        <v>185</v>
      </c>
      <c r="M141" s="2" t="s">
        <v>118</v>
      </c>
      <c r="N141" s="2" t="s">
        <v>197</v>
      </c>
      <c r="O141" s="2" t="s">
        <v>84</v>
      </c>
      <c r="P141" s="2" t="s">
        <v>345</v>
      </c>
      <c r="Q141" s="2" t="s">
        <v>86</v>
      </c>
      <c r="R141" s="2" t="s">
        <v>189</v>
      </c>
      <c r="S141" s="2" t="s">
        <v>87</v>
      </c>
      <c r="T141" s="5">
        <v>5.21</v>
      </c>
      <c r="U141" s="2" t="s">
        <v>394</v>
      </c>
      <c r="V141" s="6">
        <v>1.6E-2</v>
      </c>
      <c r="W141" s="6">
        <v>1.1399999999999999E-2</v>
      </c>
      <c r="X141" s="2" t="s">
        <v>191</v>
      </c>
      <c r="Y141" s="2" t="s">
        <v>84</v>
      </c>
      <c r="Z141" s="5">
        <v>51691.21</v>
      </c>
      <c r="AA141" s="5">
        <v>1</v>
      </c>
      <c r="AB141" s="5">
        <v>112.74</v>
      </c>
      <c r="AC141" s="5">
        <v>0</v>
      </c>
      <c r="AD141" s="5">
        <v>58.276670000000003</v>
      </c>
      <c r="AE141" s="2" t="s">
        <v>3</v>
      </c>
      <c r="AF141" s="2" t="s">
        <v>3</v>
      </c>
      <c r="AG141" s="2" t="s">
        <v>27</v>
      </c>
      <c r="AH141" s="6">
        <v>1.3329999999999999E-4</v>
      </c>
      <c r="AI141" s="6">
        <v>3.925E-4</v>
      </c>
      <c r="AJ141" s="6">
        <v>6.9800000000000003E-5</v>
      </c>
      <c r="AK141" s="2" t="s">
        <v>3</v>
      </c>
      <c r="AL141" s="56" t="s">
        <v>4</v>
      </c>
      <c r="AM141" s="56" t="s">
        <v>1</v>
      </c>
    </row>
    <row r="142" spans="1:39">
      <c r="A142" s="2" t="s">
        <v>78</v>
      </c>
      <c r="B142" s="2" t="s">
        <v>96</v>
      </c>
      <c r="C142" s="2" t="s">
        <v>468</v>
      </c>
      <c r="D142" s="2" t="s">
        <v>469</v>
      </c>
      <c r="E142" s="2" t="s">
        <v>194</v>
      </c>
      <c r="F142" s="2" t="s">
        <v>470</v>
      </c>
      <c r="G142" s="9">
        <v>7770191</v>
      </c>
      <c r="H142" s="2" t="s">
        <v>149</v>
      </c>
      <c r="I142" s="2" t="s">
        <v>196</v>
      </c>
      <c r="J142" s="2" t="s">
        <v>83</v>
      </c>
      <c r="K142" s="2" t="s">
        <v>83</v>
      </c>
      <c r="L142" s="2" t="s">
        <v>185</v>
      </c>
      <c r="M142" s="2" t="s">
        <v>118</v>
      </c>
      <c r="N142" s="2" t="s">
        <v>471</v>
      </c>
      <c r="O142" s="2" t="s">
        <v>84</v>
      </c>
      <c r="P142" s="2" t="s">
        <v>345</v>
      </c>
      <c r="Q142" s="2" t="s">
        <v>86</v>
      </c>
      <c r="R142" s="2" t="s">
        <v>189</v>
      </c>
      <c r="S142" s="2" t="s">
        <v>87</v>
      </c>
      <c r="T142" s="5">
        <v>2.89</v>
      </c>
      <c r="U142" s="2" t="s">
        <v>472</v>
      </c>
      <c r="V142" s="6">
        <v>2.9900000000000003E-2</v>
      </c>
      <c r="W142" s="6">
        <v>1.8700000000000001E-2</v>
      </c>
      <c r="X142" s="2" t="s">
        <v>191</v>
      </c>
      <c r="Y142" s="2" t="s">
        <v>84</v>
      </c>
      <c r="Z142" s="5">
        <v>518255.16</v>
      </c>
      <c r="AA142" s="5">
        <v>1</v>
      </c>
      <c r="AB142" s="5">
        <v>116.68</v>
      </c>
      <c r="AC142" s="5">
        <v>0</v>
      </c>
      <c r="AD142" s="5">
        <v>604.70011999999997</v>
      </c>
      <c r="AE142" s="2" t="s">
        <v>3</v>
      </c>
      <c r="AF142" s="2" t="s">
        <v>3</v>
      </c>
      <c r="AG142" s="2" t="s">
        <v>27</v>
      </c>
      <c r="AH142" s="6">
        <v>2.9254999999999997E-3</v>
      </c>
      <c r="AI142" s="6">
        <v>4.0724000000000003E-3</v>
      </c>
      <c r="AJ142" s="6">
        <v>7.2429999999999999E-4</v>
      </c>
      <c r="AK142" s="2" t="s">
        <v>3</v>
      </c>
      <c r="AL142" s="56" t="s">
        <v>4</v>
      </c>
      <c r="AM142" s="56" t="s">
        <v>1</v>
      </c>
    </row>
    <row r="143" spans="1:39">
      <c r="A143" s="2" t="s">
        <v>78</v>
      </c>
      <c r="B143" s="2" t="s">
        <v>96</v>
      </c>
      <c r="C143" s="2" t="s">
        <v>371</v>
      </c>
      <c r="D143" s="2" t="s">
        <v>372</v>
      </c>
      <c r="E143" s="2" t="s">
        <v>194</v>
      </c>
      <c r="F143" s="2" t="s">
        <v>373</v>
      </c>
      <c r="G143" s="9">
        <v>3900354</v>
      </c>
      <c r="H143" s="2" t="s">
        <v>149</v>
      </c>
      <c r="I143" s="2" t="s">
        <v>204</v>
      </c>
      <c r="J143" s="2" t="s">
        <v>83</v>
      </c>
      <c r="K143" s="2" t="s">
        <v>83</v>
      </c>
      <c r="L143" s="2" t="s">
        <v>185</v>
      </c>
      <c r="M143" s="2" t="s">
        <v>118</v>
      </c>
      <c r="N143" s="2" t="s">
        <v>197</v>
      </c>
      <c r="O143" s="2" t="s">
        <v>84</v>
      </c>
      <c r="P143" s="2" t="s">
        <v>374</v>
      </c>
      <c r="Q143" s="2" t="s">
        <v>86</v>
      </c>
      <c r="R143" s="2" t="s">
        <v>189</v>
      </c>
      <c r="S143" s="2" t="s">
        <v>87</v>
      </c>
      <c r="T143" s="5">
        <v>1.86</v>
      </c>
      <c r="U143" s="2" t="s">
        <v>375</v>
      </c>
      <c r="V143" s="6">
        <v>3.85E-2</v>
      </c>
      <c r="W143" s="6">
        <v>4.7599999999999996E-2</v>
      </c>
      <c r="X143" s="2" t="s">
        <v>191</v>
      </c>
      <c r="Y143" s="2" t="s">
        <v>84</v>
      </c>
      <c r="Z143" s="5">
        <v>175000</v>
      </c>
      <c r="AA143" s="5">
        <v>1</v>
      </c>
      <c r="AB143" s="5">
        <v>98.71</v>
      </c>
      <c r="AC143" s="5">
        <v>0</v>
      </c>
      <c r="AD143" s="5">
        <v>172.74250000000001</v>
      </c>
      <c r="AE143" s="2" t="s">
        <v>3</v>
      </c>
      <c r="AF143" s="2" t="s">
        <v>3</v>
      </c>
      <c r="AG143" s="2" t="s">
        <v>27</v>
      </c>
      <c r="AH143" s="6">
        <v>2.4340000000000001E-4</v>
      </c>
      <c r="AI143" s="6">
        <v>1.1632999999999999E-3</v>
      </c>
      <c r="AJ143" s="6">
        <v>2.0689999999999999E-4</v>
      </c>
      <c r="AK143" s="2" t="s">
        <v>3</v>
      </c>
      <c r="AL143" s="56" t="s">
        <v>4</v>
      </c>
      <c r="AM143" s="56" t="s">
        <v>1</v>
      </c>
    </row>
    <row r="144" spans="1:39">
      <c r="A144" s="2" t="s">
        <v>78</v>
      </c>
      <c r="B144" s="2" t="s">
        <v>96</v>
      </c>
      <c r="C144" s="2" t="s">
        <v>371</v>
      </c>
      <c r="D144" s="2" t="s">
        <v>372</v>
      </c>
      <c r="E144" s="2" t="s">
        <v>194</v>
      </c>
      <c r="F144" s="2" t="s">
        <v>376</v>
      </c>
      <c r="G144" s="9">
        <v>1189414</v>
      </c>
      <c r="H144" s="2" t="s">
        <v>149</v>
      </c>
      <c r="I144" s="2" t="s">
        <v>196</v>
      </c>
      <c r="J144" s="2" t="s">
        <v>83</v>
      </c>
      <c r="K144" s="2" t="s">
        <v>83</v>
      </c>
      <c r="L144" s="2" t="s">
        <v>185</v>
      </c>
      <c r="M144" s="2" t="s">
        <v>118</v>
      </c>
      <c r="N144" s="2" t="s">
        <v>197</v>
      </c>
      <c r="O144" s="2" t="s">
        <v>84</v>
      </c>
      <c r="P144" s="2" t="s">
        <v>374</v>
      </c>
      <c r="Q144" s="2" t="s">
        <v>86</v>
      </c>
      <c r="R144" s="2" t="s">
        <v>189</v>
      </c>
      <c r="S144" s="2" t="s">
        <v>87</v>
      </c>
      <c r="T144" s="5">
        <v>7.44</v>
      </c>
      <c r="U144" s="2" t="s">
        <v>377</v>
      </c>
      <c r="V144" s="6">
        <v>2.5600000000000001E-2</v>
      </c>
      <c r="W144" s="6">
        <v>3.9599999999999996E-2</v>
      </c>
      <c r="X144" s="2" t="s">
        <v>191</v>
      </c>
      <c r="Y144" s="2" t="s">
        <v>84</v>
      </c>
      <c r="Z144" s="5">
        <v>130000</v>
      </c>
      <c r="AA144" s="5">
        <v>1</v>
      </c>
      <c r="AB144" s="5">
        <v>94.33</v>
      </c>
      <c r="AC144" s="5">
        <v>0</v>
      </c>
      <c r="AD144" s="5">
        <v>122.629</v>
      </c>
      <c r="AE144" s="2" t="s">
        <v>3</v>
      </c>
      <c r="AF144" s="2" t="s">
        <v>3</v>
      </c>
      <c r="AG144" s="2" t="s">
        <v>27</v>
      </c>
      <c r="AH144" s="6">
        <v>1.237E-4</v>
      </c>
      <c r="AI144" s="6">
        <v>8.2589999999999996E-4</v>
      </c>
      <c r="AJ144" s="6">
        <v>1.4689999999999999E-4</v>
      </c>
      <c r="AK144" s="2" t="s">
        <v>3</v>
      </c>
      <c r="AL144" s="56" t="s">
        <v>4</v>
      </c>
      <c r="AM144" s="56" t="s">
        <v>1</v>
      </c>
    </row>
    <row r="145" spans="1:39">
      <c r="A145" s="2" t="s">
        <v>78</v>
      </c>
      <c r="B145" s="2" t="s">
        <v>96</v>
      </c>
      <c r="C145" s="2" t="s">
        <v>382</v>
      </c>
      <c r="D145" s="2" t="s">
        <v>383</v>
      </c>
      <c r="E145" s="2" t="s">
        <v>194</v>
      </c>
      <c r="F145" s="2" t="s">
        <v>384</v>
      </c>
      <c r="G145" s="9">
        <v>1192772</v>
      </c>
      <c r="H145" s="2" t="s">
        <v>149</v>
      </c>
      <c r="I145" s="2" t="s">
        <v>204</v>
      </c>
      <c r="J145" s="2" t="s">
        <v>83</v>
      </c>
      <c r="K145" s="2" t="s">
        <v>83</v>
      </c>
      <c r="L145" s="2" t="s">
        <v>185</v>
      </c>
      <c r="M145" s="2" t="s">
        <v>118</v>
      </c>
      <c r="N145" s="2" t="s">
        <v>255</v>
      </c>
      <c r="O145" s="2" t="s">
        <v>84</v>
      </c>
      <c r="P145" s="2" t="s">
        <v>374</v>
      </c>
      <c r="Q145" s="2" t="s">
        <v>86</v>
      </c>
      <c r="R145" s="2" t="s">
        <v>189</v>
      </c>
      <c r="S145" s="2" t="s">
        <v>87</v>
      </c>
      <c r="T145" s="5">
        <v>5.08</v>
      </c>
      <c r="U145" s="2" t="s">
        <v>385</v>
      </c>
      <c r="V145" s="6">
        <v>4.3799999999999999E-2</v>
      </c>
      <c r="W145" s="6">
        <v>4.9400000000000006E-2</v>
      </c>
      <c r="X145" s="2" t="s">
        <v>191</v>
      </c>
      <c r="Y145" s="2" t="s">
        <v>84</v>
      </c>
      <c r="Z145" s="5">
        <v>515000</v>
      </c>
      <c r="AA145" s="5">
        <v>1</v>
      </c>
      <c r="AB145" s="5">
        <v>98.59</v>
      </c>
      <c r="AC145" s="5">
        <v>0</v>
      </c>
      <c r="AD145" s="5">
        <v>507.73849999999999</v>
      </c>
      <c r="AE145" s="2" t="s">
        <v>3</v>
      </c>
      <c r="AF145" s="2" t="s">
        <v>3</v>
      </c>
      <c r="AG145" s="2" t="s">
        <v>27</v>
      </c>
      <c r="AH145" s="6">
        <v>1.0299999999999999E-3</v>
      </c>
      <c r="AI145" s="6">
        <v>3.4194000000000004E-3</v>
      </c>
      <c r="AJ145" s="6">
        <v>6.0820000000000004E-4</v>
      </c>
      <c r="AK145" s="2" t="s">
        <v>3</v>
      </c>
      <c r="AL145" s="56" t="s">
        <v>4</v>
      </c>
      <c r="AM145" s="56" t="s">
        <v>1</v>
      </c>
    </row>
    <row r="146" spans="1:39">
      <c r="A146" s="2" t="s">
        <v>78</v>
      </c>
      <c r="B146" s="2" t="s">
        <v>96</v>
      </c>
      <c r="C146" s="2" t="s">
        <v>386</v>
      </c>
      <c r="D146" s="2" t="s">
        <v>387</v>
      </c>
      <c r="E146" s="2" t="s">
        <v>194</v>
      </c>
      <c r="F146" s="2" t="s">
        <v>388</v>
      </c>
      <c r="G146" s="9">
        <v>1172253</v>
      </c>
      <c r="H146" s="2" t="s">
        <v>149</v>
      </c>
      <c r="I146" s="2" t="s">
        <v>204</v>
      </c>
      <c r="J146" s="2" t="s">
        <v>83</v>
      </c>
      <c r="K146" s="2" t="s">
        <v>83</v>
      </c>
      <c r="L146" s="2" t="s">
        <v>185</v>
      </c>
      <c r="M146" s="2" t="s">
        <v>118</v>
      </c>
      <c r="N146" s="2" t="s">
        <v>389</v>
      </c>
      <c r="O146" s="2" t="s">
        <v>84</v>
      </c>
      <c r="P146" s="2" t="s">
        <v>374</v>
      </c>
      <c r="Q146" s="2" t="s">
        <v>86</v>
      </c>
      <c r="R146" s="2" t="s">
        <v>189</v>
      </c>
      <c r="S146" s="2" t="s">
        <v>87</v>
      </c>
      <c r="T146" s="5">
        <v>2.34</v>
      </c>
      <c r="U146" s="2" t="s">
        <v>390</v>
      </c>
      <c r="V146" s="6">
        <v>2.18E-2</v>
      </c>
      <c r="W146" s="6">
        <v>5.0300000000000004E-2</v>
      </c>
      <c r="X146" s="2" t="s">
        <v>191</v>
      </c>
      <c r="Y146" s="2" t="s">
        <v>84</v>
      </c>
      <c r="Z146" s="5">
        <v>584868.19999999995</v>
      </c>
      <c r="AA146" s="5">
        <v>1</v>
      </c>
      <c r="AB146" s="5">
        <v>94.01</v>
      </c>
      <c r="AC146" s="5">
        <v>0</v>
      </c>
      <c r="AD146" s="5">
        <v>549.83459000000005</v>
      </c>
      <c r="AE146" s="2" t="s">
        <v>3</v>
      </c>
      <c r="AF146" s="2" t="s">
        <v>3</v>
      </c>
      <c r="AG146" s="2" t="s">
        <v>27</v>
      </c>
      <c r="AH146" s="6">
        <v>1.5364E-3</v>
      </c>
      <c r="AI146" s="6">
        <v>3.7029000000000003E-3</v>
      </c>
      <c r="AJ146" s="6">
        <v>6.5860000000000007E-4</v>
      </c>
      <c r="AK146" s="2" t="s">
        <v>3</v>
      </c>
      <c r="AL146" s="56" t="s">
        <v>4</v>
      </c>
      <c r="AM146" s="56" t="s">
        <v>1</v>
      </c>
    </row>
    <row r="147" spans="1:39">
      <c r="A147" s="2" t="s">
        <v>78</v>
      </c>
      <c r="B147" s="2" t="s">
        <v>96</v>
      </c>
      <c r="C147" s="2" t="s">
        <v>473</v>
      </c>
      <c r="D147" s="2" t="s">
        <v>474</v>
      </c>
      <c r="E147" s="2" t="s">
        <v>194</v>
      </c>
      <c r="F147" s="2" t="s">
        <v>475</v>
      </c>
      <c r="G147" s="9">
        <v>1136068</v>
      </c>
      <c r="H147" s="2" t="s">
        <v>149</v>
      </c>
      <c r="I147" s="2" t="s">
        <v>204</v>
      </c>
      <c r="J147" s="2" t="s">
        <v>83</v>
      </c>
      <c r="K147" s="2" t="s">
        <v>83</v>
      </c>
      <c r="L147" s="2" t="s">
        <v>185</v>
      </c>
      <c r="M147" s="2" t="s">
        <v>118</v>
      </c>
      <c r="N147" s="2" t="s">
        <v>255</v>
      </c>
      <c r="O147" s="2" t="s">
        <v>84</v>
      </c>
      <c r="P147" s="2" t="s">
        <v>374</v>
      </c>
      <c r="Q147" s="2" t="s">
        <v>86</v>
      </c>
      <c r="R147" s="2" t="s">
        <v>189</v>
      </c>
      <c r="S147" s="2" t="s">
        <v>87</v>
      </c>
      <c r="T147" s="5">
        <v>0.33</v>
      </c>
      <c r="U147" s="2" t="s">
        <v>476</v>
      </c>
      <c r="V147" s="6">
        <v>3.9199999999999999E-2</v>
      </c>
      <c r="W147" s="6">
        <v>5.0799999999999998E-2</v>
      </c>
      <c r="X147" s="2" t="s">
        <v>191</v>
      </c>
      <c r="Y147" s="2" t="s">
        <v>84</v>
      </c>
      <c r="Z147" s="5">
        <v>469115</v>
      </c>
      <c r="AA147" s="5">
        <v>1</v>
      </c>
      <c r="AB147" s="5">
        <v>100.3</v>
      </c>
      <c r="AC147" s="5">
        <v>0</v>
      </c>
      <c r="AD147" s="5">
        <v>470.52233999999999</v>
      </c>
      <c r="AE147" s="2" t="s">
        <v>3</v>
      </c>
      <c r="AF147" s="2" t="s">
        <v>3</v>
      </c>
      <c r="AG147" s="2" t="s">
        <v>27</v>
      </c>
      <c r="AH147" s="6">
        <v>1.0287E-3</v>
      </c>
      <c r="AI147" s="6">
        <v>3.1687999999999998E-3</v>
      </c>
      <c r="AJ147" s="6">
        <v>5.6360000000000004E-4</v>
      </c>
      <c r="AK147" s="2" t="s">
        <v>3</v>
      </c>
      <c r="AL147" s="56" t="s">
        <v>4</v>
      </c>
      <c r="AM147" s="56" t="s">
        <v>1</v>
      </c>
    </row>
    <row r="148" spans="1:39">
      <c r="A148" s="2" t="s">
        <v>78</v>
      </c>
      <c r="B148" s="2" t="s">
        <v>96</v>
      </c>
      <c r="C148" s="2" t="s">
        <v>473</v>
      </c>
      <c r="D148" s="2" t="s">
        <v>474</v>
      </c>
      <c r="E148" s="2" t="s">
        <v>194</v>
      </c>
      <c r="F148" s="2" t="s">
        <v>477</v>
      </c>
      <c r="G148" s="9">
        <v>1160647</v>
      </c>
      <c r="H148" s="2" t="s">
        <v>149</v>
      </c>
      <c r="I148" s="2" t="s">
        <v>204</v>
      </c>
      <c r="J148" s="2" t="s">
        <v>83</v>
      </c>
      <c r="K148" s="2" t="s">
        <v>83</v>
      </c>
      <c r="L148" s="2" t="s">
        <v>185</v>
      </c>
      <c r="M148" s="2" t="s">
        <v>118</v>
      </c>
      <c r="N148" s="2" t="s">
        <v>255</v>
      </c>
      <c r="O148" s="2" t="s">
        <v>84</v>
      </c>
      <c r="P148" s="2" t="s">
        <v>374</v>
      </c>
      <c r="Q148" s="2" t="s">
        <v>86</v>
      </c>
      <c r="R148" s="2" t="s">
        <v>189</v>
      </c>
      <c r="S148" s="2" t="s">
        <v>87</v>
      </c>
      <c r="T148" s="5">
        <v>5.55</v>
      </c>
      <c r="U148" s="2" t="s">
        <v>478</v>
      </c>
      <c r="V148" s="6">
        <v>2.64E-2</v>
      </c>
      <c r="W148" s="6">
        <v>5.04E-2</v>
      </c>
      <c r="X148" s="2" t="s">
        <v>191</v>
      </c>
      <c r="Y148" s="2" t="s">
        <v>84</v>
      </c>
      <c r="Z148" s="5">
        <v>513526.98</v>
      </c>
      <c r="AA148" s="5">
        <v>1</v>
      </c>
      <c r="AB148" s="5">
        <v>88.01</v>
      </c>
      <c r="AC148" s="5">
        <v>0</v>
      </c>
      <c r="AD148" s="5">
        <v>451.95508999999998</v>
      </c>
      <c r="AE148" s="2" t="s">
        <v>3</v>
      </c>
      <c r="AF148" s="2" t="s">
        <v>3</v>
      </c>
      <c r="AG148" s="2" t="s">
        <v>27</v>
      </c>
      <c r="AH148" s="6">
        <v>3.1379999999999998E-4</v>
      </c>
      <c r="AI148" s="6">
        <v>3.0436999999999999E-3</v>
      </c>
      <c r="AJ148" s="6">
        <v>5.4140000000000004E-4</v>
      </c>
      <c r="AK148" s="2" t="s">
        <v>3</v>
      </c>
      <c r="AL148" s="56" t="s">
        <v>4</v>
      </c>
      <c r="AM148" s="56" t="s">
        <v>1</v>
      </c>
    </row>
    <row r="149" spans="1:39">
      <c r="A149" s="2" t="s">
        <v>78</v>
      </c>
      <c r="B149" s="2" t="s">
        <v>96</v>
      </c>
      <c r="C149" s="2" t="s">
        <v>391</v>
      </c>
      <c r="D149" s="2" t="s">
        <v>392</v>
      </c>
      <c r="E149" s="2" t="s">
        <v>194</v>
      </c>
      <c r="F149" s="2" t="s">
        <v>393</v>
      </c>
      <c r="G149" s="9">
        <v>1140607</v>
      </c>
      <c r="H149" s="2" t="s">
        <v>149</v>
      </c>
      <c r="I149" s="2" t="s">
        <v>196</v>
      </c>
      <c r="J149" s="2" t="s">
        <v>83</v>
      </c>
      <c r="K149" s="2" t="s">
        <v>83</v>
      </c>
      <c r="L149" s="2" t="s">
        <v>185</v>
      </c>
      <c r="M149" s="2" t="s">
        <v>118</v>
      </c>
      <c r="N149" s="2" t="s">
        <v>197</v>
      </c>
      <c r="O149" s="2" t="s">
        <v>84</v>
      </c>
      <c r="P149" s="2" t="s">
        <v>374</v>
      </c>
      <c r="Q149" s="2" t="s">
        <v>86</v>
      </c>
      <c r="R149" s="2" t="s">
        <v>189</v>
      </c>
      <c r="S149" s="2" t="s">
        <v>87</v>
      </c>
      <c r="T149" s="5">
        <v>1.69</v>
      </c>
      <c r="U149" s="2" t="s">
        <v>394</v>
      </c>
      <c r="V149" s="6">
        <v>2.1499999999999998E-2</v>
      </c>
      <c r="W149" s="6">
        <v>2.4799999999999999E-2</v>
      </c>
      <c r="X149" s="2" t="s">
        <v>191</v>
      </c>
      <c r="Y149" s="2" t="s">
        <v>84</v>
      </c>
      <c r="Z149" s="5">
        <v>624918</v>
      </c>
      <c r="AA149" s="5">
        <v>1</v>
      </c>
      <c r="AB149" s="5">
        <v>113.52</v>
      </c>
      <c r="AC149" s="5">
        <v>0</v>
      </c>
      <c r="AD149" s="5">
        <v>709.40691000000004</v>
      </c>
      <c r="AE149" s="2" t="s">
        <v>3</v>
      </c>
      <c r="AF149" s="2" t="s">
        <v>3</v>
      </c>
      <c r="AG149" s="2" t="s">
        <v>27</v>
      </c>
      <c r="AH149" s="6">
        <v>3.1859999999999999E-4</v>
      </c>
      <c r="AI149" s="6">
        <v>4.7775999999999999E-3</v>
      </c>
      <c r="AJ149" s="6">
        <v>8.497E-4</v>
      </c>
      <c r="AK149" s="2" t="s">
        <v>3</v>
      </c>
      <c r="AL149" s="56" t="s">
        <v>4</v>
      </c>
      <c r="AM149" s="56" t="s">
        <v>1</v>
      </c>
    </row>
    <row r="150" spans="1:39">
      <c r="A150" s="2" t="s">
        <v>78</v>
      </c>
      <c r="B150" s="2" t="s">
        <v>96</v>
      </c>
      <c r="C150" s="2" t="s">
        <v>248</v>
      </c>
      <c r="D150" s="2" t="s">
        <v>249</v>
      </c>
      <c r="E150" s="2" t="s">
        <v>194</v>
      </c>
      <c r="F150" s="2" t="s">
        <v>395</v>
      </c>
      <c r="G150" s="9">
        <v>1178672</v>
      </c>
      <c r="H150" s="2" t="s">
        <v>149</v>
      </c>
      <c r="I150" s="2" t="s">
        <v>196</v>
      </c>
      <c r="J150" s="2" t="s">
        <v>83</v>
      </c>
      <c r="K150" s="2" t="s">
        <v>83</v>
      </c>
      <c r="L150" s="2" t="s">
        <v>185</v>
      </c>
      <c r="M150" s="2" t="s">
        <v>118</v>
      </c>
      <c r="N150" s="2" t="s">
        <v>197</v>
      </c>
      <c r="O150" s="2" t="s">
        <v>84</v>
      </c>
      <c r="P150" s="2" t="s">
        <v>85</v>
      </c>
      <c r="Q150" s="2" t="s">
        <v>86</v>
      </c>
      <c r="R150" s="2" t="s">
        <v>189</v>
      </c>
      <c r="S150" s="2" t="s">
        <v>87</v>
      </c>
      <c r="T150" s="5">
        <v>7.25</v>
      </c>
      <c r="U150" s="2" t="s">
        <v>396</v>
      </c>
      <c r="V150" s="6">
        <v>9.0000000000000011E-3</v>
      </c>
      <c r="W150" s="6">
        <v>2.9300000000000003E-2</v>
      </c>
      <c r="X150" s="2" t="s">
        <v>191</v>
      </c>
      <c r="Y150" s="2" t="s">
        <v>84</v>
      </c>
      <c r="Z150" s="5">
        <v>260000</v>
      </c>
      <c r="AA150" s="5">
        <v>1</v>
      </c>
      <c r="AB150" s="5">
        <v>95.37</v>
      </c>
      <c r="AC150" s="5">
        <v>0</v>
      </c>
      <c r="AD150" s="5">
        <v>247.96199999999999</v>
      </c>
      <c r="AE150" s="2" t="s">
        <v>3</v>
      </c>
      <c r="AF150" s="2" t="s">
        <v>3</v>
      </c>
      <c r="AG150" s="2" t="s">
        <v>27</v>
      </c>
      <c r="AH150" s="6">
        <v>1.009E-4</v>
      </c>
      <c r="AI150" s="6">
        <v>1.6699E-3</v>
      </c>
      <c r="AJ150" s="6">
        <v>2.9700000000000001E-4</v>
      </c>
      <c r="AK150" s="2" t="s">
        <v>3</v>
      </c>
      <c r="AL150" s="56" t="s">
        <v>4</v>
      </c>
      <c r="AM150" s="56" t="s">
        <v>1</v>
      </c>
    </row>
    <row r="151" spans="1:39">
      <c r="A151" s="2" t="s">
        <v>78</v>
      </c>
      <c r="B151" s="2" t="s">
        <v>96</v>
      </c>
      <c r="C151" s="2" t="s">
        <v>397</v>
      </c>
      <c r="D151" s="2" t="s">
        <v>398</v>
      </c>
      <c r="E151" s="2" t="s">
        <v>194</v>
      </c>
      <c r="F151" s="2" t="s">
        <v>399</v>
      </c>
      <c r="G151" s="9">
        <v>1203157</v>
      </c>
      <c r="H151" s="2" t="s">
        <v>149</v>
      </c>
      <c r="I151" s="2" t="s">
        <v>196</v>
      </c>
      <c r="J151" s="2" t="s">
        <v>83</v>
      </c>
      <c r="K151" s="2" t="s">
        <v>83</v>
      </c>
      <c r="L151" s="2" t="s">
        <v>185</v>
      </c>
      <c r="M151" s="2" t="s">
        <v>118</v>
      </c>
      <c r="N151" s="2" t="s">
        <v>400</v>
      </c>
      <c r="O151" s="2" t="s">
        <v>84</v>
      </c>
      <c r="P151" s="2" t="s">
        <v>401</v>
      </c>
      <c r="Q151" s="2" t="s">
        <v>86</v>
      </c>
      <c r="R151" s="2" t="s">
        <v>189</v>
      </c>
      <c r="S151" s="2" t="s">
        <v>87</v>
      </c>
      <c r="T151" s="5">
        <v>5.61</v>
      </c>
      <c r="U151" s="2" t="s">
        <v>402</v>
      </c>
      <c r="V151" s="6">
        <v>2.1099999999999997E-2</v>
      </c>
      <c r="W151" s="6">
        <v>2.0099999999999996E-2</v>
      </c>
      <c r="X151" s="2" t="s">
        <v>191</v>
      </c>
      <c r="Y151" s="2" t="s">
        <v>84</v>
      </c>
      <c r="Z151" s="5">
        <v>320000</v>
      </c>
      <c r="AA151" s="5">
        <v>1</v>
      </c>
      <c r="AB151" s="5">
        <v>101.35</v>
      </c>
      <c r="AC151" s="5">
        <v>0</v>
      </c>
      <c r="AD151" s="5">
        <v>324.32</v>
      </c>
      <c r="AE151" s="2" t="s">
        <v>3</v>
      </c>
      <c r="AF151" s="2" t="s">
        <v>3</v>
      </c>
      <c r="AG151" s="2" t="s">
        <v>27</v>
      </c>
      <c r="AH151" s="6">
        <v>2.0469999999999999E-4</v>
      </c>
      <c r="AI151" s="6">
        <v>2.1841999999999999E-3</v>
      </c>
      <c r="AJ151" s="6">
        <v>3.8850000000000001E-4</v>
      </c>
      <c r="AK151" s="2" t="s">
        <v>3</v>
      </c>
      <c r="AL151" s="56" t="s">
        <v>4</v>
      </c>
      <c r="AM151" s="56" t="s">
        <v>1</v>
      </c>
    </row>
    <row r="152" spans="1:39">
      <c r="A152" s="2" t="s">
        <v>78</v>
      </c>
      <c r="B152" s="2" t="s">
        <v>96</v>
      </c>
      <c r="C152" s="2" t="s">
        <v>403</v>
      </c>
      <c r="D152" s="2" t="s">
        <v>404</v>
      </c>
      <c r="E152" s="2" t="s">
        <v>194</v>
      </c>
      <c r="F152" s="2" t="s">
        <v>437</v>
      </c>
      <c r="G152" s="9">
        <v>6040372</v>
      </c>
      <c r="H152" s="2" t="s">
        <v>149</v>
      </c>
      <c r="I152" s="2" t="s">
        <v>196</v>
      </c>
      <c r="J152" s="2" t="s">
        <v>83</v>
      </c>
      <c r="K152" s="2" t="s">
        <v>83</v>
      </c>
      <c r="L152" s="2" t="s">
        <v>185</v>
      </c>
      <c r="M152" s="2" t="s">
        <v>118</v>
      </c>
      <c r="N152" s="2" t="s">
        <v>400</v>
      </c>
      <c r="O152" s="2" t="s">
        <v>84</v>
      </c>
      <c r="P152" s="2" t="s">
        <v>401</v>
      </c>
      <c r="Q152" s="2" t="s">
        <v>86</v>
      </c>
      <c r="R152" s="2" t="s">
        <v>189</v>
      </c>
      <c r="S152" s="2" t="s">
        <v>87</v>
      </c>
      <c r="T152" s="5">
        <v>1.23</v>
      </c>
      <c r="U152" s="2" t="s">
        <v>316</v>
      </c>
      <c r="V152" s="6">
        <v>8.3000000000000001E-3</v>
      </c>
      <c r="W152" s="6">
        <v>1.3899999999999999E-2</v>
      </c>
      <c r="X152" s="2" t="s">
        <v>191</v>
      </c>
      <c r="Y152" s="2" t="s">
        <v>84</v>
      </c>
      <c r="Z152" s="5">
        <v>372903</v>
      </c>
      <c r="AA152" s="5">
        <v>1</v>
      </c>
      <c r="AB152" s="5">
        <v>111.66</v>
      </c>
      <c r="AC152" s="5">
        <v>0</v>
      </c>
      <c r="AD152" s="5">
        <v>416.38348000000002</v>
      </c>
      <c r="AE152" s="2" t="s">
        <v>3</v>
      </c>
      <c r="AF152" s="2" t="s">
        <v>3</v>
      </c>
      <c r="AG152" s="2" t="s">
        <v>27</v>
      </c>
      <c r="AH152" s="6">
        <v>1.225E-4</v>
      </c>
      <c r="AI152" s="6">
        <v>2.8042000000000002E-3</v>
      </c>
      <c r="AJ152" s="6">
        <v>4.9869999999999992E-4</v>
      </c>
      <c r="AK152" s="2" t="s">
        <v>3</v>
      </c>
      <c r="AL152" s="56" t="s">
        <v>4</v>
      </c>
      <c r="AM152" s="56" t="s">
        <v>1</v>
      </c>
    </row>
    <row r="153" spans="1:39">
      <c r="A153" s="2" t="s">
        <v>78</v>
      </c>
      <c r="B153" s="2" t="s">
        <v>96</v>
      </c>
      <c r="C153" s="2" t="s">
        <v>403</v>
      </c>
      <c r="D153" s="2" t="s">
        <v>404</v>
      </c>
      <c r="E153" s="2" t="s">
        <v>194</v>
      </c>
      <c r="F153" s="2" t="s">
        <v>405</v>
      </c>
      <c r="G153" s="9">
        <v>1201839</v>
      </c>
      <c r="H153" s="2" t="s">
        <v>149</v>
      </c>
      <c r="I153" s="2" t="s">
        <v>196</v>
      </c>
      <c r="J153" s="2" t="s">
        <v>83</v>
      </c>
      <c r="K153" s="2" t="s">
        <v>83</v>
      </c>
      <c r="L153" s="2" t="s">
        <v>185</v>
      </c>
      <c r="M153" s="2" t="s">
        <v>118</v>
      </c>
      <c r="N153" s="2" t="s">
        <v>400</v>
      </c>
      <c r="O153" s="2" t="s">
        <v>84</v>
      </c>
      <c r="P153" s="2" t="s">
        <v>401</v>
      </c>
      <c r="Q153" s="2" t="s">
        <v>86</v>
      </c>
      <c r="R153" s="2" t="s">
        <v>189</v>
      </c>
      <c r="S153" s="2" t="s">
        <v>87</v>
      </c>
      <c r="T153" s="5">
        <v>5.53</v>
      </c>
      <c r="U153" s="2" t="s">
        <v>406</v>
      </c>
      <c r="V153" s="6">
        <v>2.0199999999999999E-2</v>
      </c>
      <c r="W153" s="6">
        <v>2.0499999999999997E-2</v>
      </c>
      <c r="X153" s="2" t="s">
        <v>191</v>
      </c>
      <c r="Y153" s="2" t="s">
        <v>84</v>
      </c>
      <c r="Z153" s="5">
        <v>751000</v>
      </c>
      <c r="AA153" s="5">
        <v>1</v>
      </c>
      <c r="AB153" s="5">
        <v>100.75</v>
      </c>
      <c r="AC153" s="5">
        <v>0</v>
      </c>
      <c r="AD153" s="5">
        <v>756.63250000000005</v>
      </c>
      <c r="AE153" s="2" t="s">
        <v>3</v>
      </c>
      <c r="AF153" s="2" t="s">
        <v>3</v>
      </c>
      <c r="AG153" s="2" t="s">
        <v>27</v>
      </c>
      <c r="AH153" s="6">
        <v>3.5369999999999998E-4</v>
      </c>
      <c r="AI153" s="6">
        <v>5.0956000000000005E-3</v>
      </c>
      <c r="AJ153" s="6">
        <v>9.0630000000000007E-4</v>
      </c>
      <c r="AK153" s="2" t="s">
        <v>3</v>
      </c>
      <c r="AL153" s="56" t="s">
        <v>4</v>
      </c>
      <c r="AM153" s="56" t="s">
        <v>1</v>
      </c>
    </row>
    <row r="154" spans="1:39">
      <c r="A154" s="2" t="s">
        <v>78</v>
      </c>
      <c r="B154" s="2" t="s">
        <v>96</v>
      </c>
      <c r="C154" s="2" t="s">
        <v>407</v>
      </c>
      <c r="D154" s="2" t="s">
        <v>408</v>
      </c>
      <c r="E154" s="2" t="s">
        <v>194</v>
      </c>
      <c r="F154" s="2" t="s">
        <v>438</v>
      </c>
      <c r="G154" s="9">
        <v>2310498</v>
      </c>
      <c r="H154" s="2" t="s">
        <v>149</v>
      </c>
      <c r="I154" s="2" t="s">
        <v>196</v>
      </c>
      <c r="J154" s="2" t="s">
        <v>83</v>
      </c>
      <c r="K154" s="2" t="s">
        <v>83</v>
      </c>
      <c r="L154" s="2" t="s">
        <v>185</v>
      </c>
      <c r="M154" s="2" t="s">
        <v>118</v>
      </c>
      <c r="N154" s="2" t="s">
        <v>400</v>
      </c>
      <c r="O154" s="2" t="s">
        <v>84</v>
      </c>
      <c r="P154" s="2" t="s">
        <v>401</v>
      </c>
      <c r="Q154" s="2" t="s">
        <v>86</v>
      </c>
      <c r="R154" s="2" t="s">
        <v>189</v>
      </c>
      <c r="S154" s="2" t="s">
        <v>87</v>
      </c>
      <c r="T154" s="5">
        <v>4.55</v>
      </c>
      <c r="U154" s="2" t="s">
        <v>439</v>
      </c>
      <c r="V154" s="6">
        <v>1E-3</v>
      </c>
      <c r="W154" s="6">
        <v>1.9699999999999999E-2</v>
      </c>
      <c r="X154" s="2" t="s">
        <v>191</v>
      </c>
      <c r="Y154" s="2" t="s">
        <v>84</v>
      </c>
      <c r="Z154" s="5">
        <v>224000</v>
      </c>
      <c r="AA154" s="5">
        <v>1</v>
      </c>
      <c r="AB154" s="5">
        <v>100.35</v>
      </c>
      <c r="AC154" s="5">
        <v>0</v>
      </c>
      <c r="AD154" s="5">
        <v>224.78399999999999</v>
      </c>
      <c r="AE154" s="2" t="s">
        <v>3</v>
      </c>
      <c r="AF154" s="2" t="s">
        <v>3</v>
      </c>
      <c r="AG154" s="2" t="s">
        <v>27</v>
      </c>
      <c r="AH154" s="6">
        <v>6.6299999999999999E-5</v>
      </c>
      <c r="AI154" s="6">
        <v>1.5137999999999998E-3</v>
      </c>
      <c r="AJ154" s="6">
        <v>2.6919999999999998E-4</v>
      </c>
      <c r="AK154" s="2" t="s">
        <v>3</v>
      </c>
      <c r="AL154" s="56" t="s">
        <v>4</v>
      </c>
      <c r="AM154" s="56" t="s">
        <v>1</v>
      </c>
    </row>
    <row r="155" spans="1:39">
      <c r="A155" s="2" t="s">
        <v>78</v>
      </c>
      <c r="B155" s="2" t="s">
        <v>96</v>
      </c>
      <c r="C155" s="2" t="s">
        <v>407</v>
      </c>
      <c r="D155" s="2" t="s">
        <v>408</v>
      </c>
      <c r="E155" s="2" t="s">
        <v>194</v>
      </c>
      <c r="F155" s="2" t="s">
        <v>440</v>
      </c>
      <c r="G155" s="9">
        <v>1196807</v>
      </c>
      <c r="H155" s="2" t="s">
        <v>149</v>
      </c>
      <c r="I155" s="2" t="s">
        <v>196</v>
      </c>
      <c r="J155" s="2" t="s">
        <v>83</v>
      </c>
      <c r="K155" s="2" t="s">
        <v>83</v>
      </c>
      <c r="L155" s="2" t="s">
        <v>185</v>
      </c>
      <c r="M155" s="2" t="s">
        <v>118</v>
      </c>
      <c r="N155" s="2" t="s">
        <v>400</v>
      </c>
      <c r="O155" s="2" t="s">
        <v>84</v>
      </c>
      <c r="P155" s="2" t="s">
        <v>401</v>
      </c>
      <c r="Q155" s="2" t="s">
        <v>86</v>
      </c>
      <c r="R155" s="2" t="s">
        <v>189</v>
      </c>
      <c r="S155" s="2" t="s">
        <v>87</v>
      </c>
      <c r="T155" s="5">
        <v>4.3899999999999997</v>
      </c>
      <c r="U155" s="2" t="s">
        <v>441</v>
      </c>
      <c r="V155" s="6">
        <v>2.06E-2</v>
      </c>
      <c r="W155" s="6">
        <v>1.9699999999999999E-2</v>
      </c>
      <c r="X155" s="2" t="s">
        <v>191</v>
      </c>
      <c r="Y155" s="2" t="s">
        <v>84</v>
      </c>
      <c r="Z155" s="5">
        <v>300000</v>
      </c>
      <c r="AA155" s="5">
        <v>1</v>
      </c>
      <c r="AB155" s="5">
        <v>103.41</v>
      </c>
      <c r="AC155" s="5">
        <v>0</v>
      </c>
      <c r="AD155" s="5">
        <v>310.23</v>
      </c>
      <c r="AE155" s="2" t="s">
        <v>3</v>
      </c>
      <c r="AF155" s="2" t="s">
        <v>3</v>
      </c>
      <c r="AG155" s="2" t="s">
        <v>27</v>
      </c>
      <c r="AH155" s="6">
        <v>1.4990000000000001E-4</v>
      </c>
      <c r="AI155" s="6">
        <v>2.0893000000000001E-3</v>
      </c>
      <c r="AJ155" s="6">
        <v>3.7159999999999998E-4</v>
      </c>
      <c r="AK155" s="2" t="s">
        <v>3</v>
      </c>
      <c r="AL155" s="56" t="s">
        <v>4</v>
      </c>
      <c r="AM155" s="56" t="s">
        <v>1</v>
      </c>
    </row>
    <row r="156" spans="1:39">
      <c r="A156" s="2" t="s">
        <v>78</v>
      </c>
      <c r="B156" s="2" t="s">
        <v>96</v>
      </c>
      <c r="C156" s="2" t="s">
        <v>407</v>
      </c>
      <c r="D156" s="2" t="s">
        <v>408</v>
      </c>
      <c r="E156" s="2" t="s">
        <v>194</v>
      </c>
      <c r="F156" s="2" t="s">
        <v>409</v>
      </c>
      <c r="G156" s="9">
        <v>1202142</v>
      </c>
      <c r="H156" s="2" t="s">
        <v>149</v>
      </c>
      <c r="I156" s="2" t="s">
        <v>196</v>
      </c>
      <c r="J156" s="2" t="s">
        <v>83</v>
      </c>
      <c r="K156" s="2" t="s">
        <v>83</v>
      </c>
      <c r="L156" s="2" t="s">
        <v>185</v>
      </c>
      <c r="M156" s="2" t="s">
        <v>118</v>
      </c>
      <c r="N156" s="2" t="s">
        <v>400</v>
      </c>
      <c r="O156" s="2" t="s">
        <v>84</v>
      </c>
      <c r="P156" s="2" t="s">
        <v>401</v>
      </c>
      <c r="Q156" s="2" t="s">
        <v>86</v>
      </c>
      <c r="R156" s="2" t="s">
        <v>189</v>
      </c>
      <c r="S156" s="2" t="s">
        <v>87</v>
      </c>
      <c r="T156" s="5">
        <v>4.92</v>
      </c>
      <c r="U156" s="2" t="s">
        <v>410</v>
      </c>
      <c r="V156" s="6">
        <v>1.9900000000000001E-2</v>
      </c>
      <c r="W156" s="6">
        <v>2.0099999999999996E-2</v>
      </c>
      <c r="X156" s="2" t="s">
        <v>191</v>
      </c>
      <c r="Y156" s="2" t="s">
        <v>84</v>
      </c>
      <c r="Z156" s="5">
        <v>380000</v>
      </c>
      <c r="AA156" s="5">
        <v>1</v>
      </c>
      <c r="AB156" s="5">
        <v>100.72</v>
      </c>
      <c r="AC156" s="5">
        <v>0</v>
      </c>
      <c r="AD156" s="5">
        <v>382.73599999999999</v>
      </c>
      <c r="AE156" s="2" t="s">
        <v>3</v>
      </c>
      <c r="AF156" s="2" t="s">
        <v>3</v>
      </c>
      <c r="AG156" s="2" t="s">
        <v>27</v>
      </c>
      <c r="AH156" s="6">
        <v>1.407E-4</v>
      </c>
      <c r="AI156" s="6">
        <v>2.5775999999999998E-3</v>
      </c>
      <c r="AJ156" s="6">
        <v>4.5839999999999998E-4</v>
      </c>
      <c r="AK156" s="2" t="s">
        <v>3</v>
      </c>
      <c r="AL156" s="56" t="s">
        <v>4</v>
      </c>
      <c r="AM156" s="56" t="s">
        <v>1</v>
      </c>
    </row>
    <row r="157" spans="1:39">
      <c r="A157" s="2" t="s">
        <v>78</v>
      </c>
      <c r="B157" s="2" t="s">
        <v>96</v>
      </c>
      <c r="C157" s="2" t="s">
        <v>407</v>
      </c>
      <c r="D157" s="2" t="s">
        <v>408</v>
      </c>
      <c r="E157" s="2" t="s">
        <v>194</v>
      </c>
      <c r="F157" s="2" t="s">
        <v>479</v>
      </c>
      <c r="G157" s="9">
        <v>2310225</v>
      </c>
      <c r="H157" s="2" t="s">
        <v>149</v>
      </c>
      <c r="I157" s="2" t="s">
        <v>196</v>
      </c>
      <c r="J157" s="2" t="s">
        <v>83</v>
      </c>
      <c r="K157" s="2" t="s">
        <v>83</v>
      </c>
      <c r="L157" s="2" t="s">
        <v>185</v>
      </c>
      <c r="M157" s="2" t="s">
        <v>118</v>
      </c>
      <c r="N157" s="2" t="s">
        <v>400</v>
      </c>
      <c r="O157" s="2" t="s">
        <v>84</v>
      </c>
      <c r="P157" s="2" t="s">
        <v>401</v>
      </c>
      <c r="Q157" s="2" t="s">
        <v>86</v>
      </c>
      <c r="R157" s="2" t="s">
        <v>189</v>
      </c>
      <c r="S157" s="2" t="s">
        <v>87</v>
      </c>
      <c r="T157" s="5">
        <v>3.42</v>
      </c>
      <c r="U157" s="2" t="s">
        <v>480</v>
      </c>
      <c r="V157" s="6">
        <v>1.2199999999999999E-2</v>
      </c>
      <c r="W157" s="6">
        <v>1.8000000000000002E-2</v>
      </c>
      <c r="X157" s="2" t="s">
        <v>191</v>
      </c>
      <c r="Y157" s="2" t="s">
        <v>84</v>
      </c>
      <c r="Z157" s="5">
        <v>552000</v>
      </c>
      <c r="AA157" s="5">
        <v>1</v>
      </c>
      <c r="AB157" s="5">
        <v>111.35</v>
      </c>
      <c r="AC157" s="5">
        <v>0</v>
      </c>
      <c r="AD157" s="5">
        <v>614.65200000000004</v>
      </c>
      <c r="AE157" s="2" t="s">
        <v>3</v>
      </c>
      <c r="AF157" s="2" t="s">
        <v>3</v>
      </c>
      <c r="AG157" s="2" t="s">
        <v>27</v>
      </c>
      <c r="AH157" s="6">
        <v>1.83E-4</v>
      </c>
      <c r="AI157" s="6">
        <v>4.1393999999999997E-3</v>
      </c>
      <c r="AJ157" s="6">
        <v>7.3620000000000001E-4</v>
      </c>
      <c r="AK157" s="2" t="s">
        <v>3</v>
      </c>
      <c r="AL157" s="56" t="s">
        <v>4</v>
      </c>
      <c r="AM157" s="56" t="s">
        <v>1</v>
      </c>
    </row>
    <row r="158" spans="1:39">
      <c r="A158" s="2" t="s">
        <v>78</v>
      </c>
      <c r="B158" s="2" t="s">
        <v>96</v>
      </c>
      <c r="C158" s="2" t="s">
        <v>179</v>
      </c>
      <c r="D158" s="2" t="s">
        <v>180</v>
      </c>
      <c r="E158" s="2" t="s">
        <v>168</v>
      </c>
      <c r="F158" s="2" t="s">
        <v>181</v>
      </c>
      <c r="G158" s="2" t="s">
        <v>182</v>
      </c>
      <c r="H158" s="2" t="s">
        <v>183</v>
      </c>
      <c r="I158" s="2" t="s">
        <v>184</v>
      </c>
      <c r="J158" s="2" t="s">
        <v>148</v>
      </c>
      <c r="K158" s="2" t="s">
        <v>156</v>
      </c>
      <c r="L158" s="2" t="s">
        <v>185</v>
      </c>
      <c r="M158" s="2" t="s">
        <v>149</v>
      </c>
      <c r="N158" s="2" t="s">
        <v>186</v>
      </c>
      <c r="O158" s="2" t="s">
        <v>84</v>
      </c>
      <c r="P158" s="2" t="s">
        <v>187</v>
      </c>
      <c r="Q158" s="2" t="s">
        <v>188</v>
      </c>
      <c r="R158" s="2" t="s">
        <v>189</v>
      </c>
      <c r="S158" s="2" t="s">
        <v>91</v>
      </c>
      <c r="T158" s="5">
        <v>1.006</v>
      </c>
      <c r="U158" s="2" t="s">
        <v>190</v>
      </c>
      <c r="V158" s="6">
        <v>4.0800000000000003E-2</v>
      </c>
      <c r="W158" s="6">
        <v>6.0739999999999995E-2</v>
      </c>
      <c r="X158" s="2" t="s">
        <v>191</v>
      </c>
      <c r="Y158" s="2" t="s">
        <v>84</v>
      </c>
      <c r="Z158" s="5">
        <v>263000</v>
      </c>
      <c r="AA158" s="5">
        <v>3.681</v>
      </c>
      <c r="AB158" s="5">
        <v>100.25149</v>
      </c>
      <c r="AC158" s="5">
        <v>0</v>
      </c>
      <c r="AD158" s="5">
        <v>970.53777000000002</v>
      </c>
      <c r="AE158" s="2" t="s">
        <v>3</v>
      </c>
      <c r="AF158" s="2" t="s">
        <v>3</v>
      </c>
      <c r="AG158" s="2" t="s">
        <v>27</v>
      </c>
      <c r="AH158" s="6">
        <v>8.7600000000000002E-5</v>
      </c>
      <c r="AI158" s="6">
        <v>6.5361999999999998E-3</v>
      </c>
      <c r="AJ158" s="6">
        <v>1.1625000000000001E-3</v>
      </c>
      <c r="AK158" s="9">
        <v>72896715</v>
      </c>
      <c r="AL158" s="56" t="s">
        <v>4</v>
      </c>
      <c r="AM158" s="56" t="s">
        <v>1</v>
      </c>
    </row>
    <row r="159" spans="1:39">
      <c r="A159" s="2" t="s">
        <v>78</v>
      </c>
      <c r="B159" s="2" t="s">
        <v>96</v>
      </c>
      <c r="C159" s="2" t="s">
        <v>263</v>
      </c>
      <c r="D159" s="2" t="s">
        <v>264</v>
      </c>
      <c r="E159" s="2" t="s">
        <v>168</v>
      </c>
      <c r="F159" s="2" t="s">
        <v>265</v>
      </c>
      <c r="G159" s="2" t="s">
        <v>266</v>
      </c>
      <c r="H159" s="2" t="s">
        <v>183</v>
      </c>
      <c r="I159" s="2" t="s">
        <v>184</v>
      </c>
      <c r="J159" s="2" t="s">
        <v>148</v>
      </c>
      <c r="K159" s="2" t="s">
        <v>156</v>
      </c>
      <c r="L159" s="2" t="s">
        <v>185</v>
      </c>
      <c r="M159" s="2" t="s">
        <v>157</v>
      </c>
      <c r="N159" s="2" t="s">
        <v>267</v>
      </c>
      <c r="O159" s="2" t="s">
        <v>84</v>
      </c>
      <c r="P159" s="2" t="s">
        <v>268</v>
      </c>
      <c r="Q159" s="2" t="s">
        <v>188</v>
      </c>
      <c r="R159" s="2" t="s">
        <v>189</v>
      </c>
      <c r="S159" s="2" t="s">
        <v>91</v>
      </c>
      <c r="T159" s="5">
        <v>3.34</v>
      </c>
      <c r="U159" s="2" t="s">
        <v>269</v>
      </c>
      <c r="V159" s="6">
        <v>5.2499999999999998E-2</v>
      </c>
      <c r="W159" s="6">
        <v>4.8499999999999995E-2</v>
      </c>
      <c r="X159" s="2" t="s">
        <v>191</v>
      </c>
      <c r="Y159" s="2" t="s">
        <v>84</v>
      </c>
      <c r="Z159" s="5">
        <v>207000</v>
      </c>
      <c r="AA159" s="5">
        <v>3.681</v>
      </c>
      <c r="AB159" s="5">
        <v>102.14507999999999</v>
      </c>
      <c r="AC159" s="5">
        <v>0</v>
      </c>
      <c r="AD159" s="5">
        <v>778.31179999999995</v>
      </c>
      <c r="AE159" s="2" t="s">
        <v>3</v>
      </c>
      <c r="AF159" s="2" t="s">
        <v>3</v>
      </c>
      <c r="AG159" s="2" t="s">
        <v>27</v>
      </c>
      <c r="AH159" s="6">
        <v>2.0699999999999999E-4</v>
      </c>
      <c r="AI159" s="6">
        <v>5.2415999999999999E-3</v>
      </c>
      <c r="AJ159" s="6">
        <v>9.3229999999999995E-4</v>
      </c>
      <c r="AK159" s="9">
        <v>72911860</v>
      </c>
      <c r="AL159" s="56" t="s">
        <v>4</v>
      </c>
      <c r="AM159" s="56" t="s">
        <v>1</v>
      </c>
    </row>
    <row r="160" spans="1:39">
      <c r="A160" s="2" t="s">
        <v>78</v>
      </c>
      <c r="B160" s="2" t="s">
        <v>96</v>
      </c>
      <c r="C160" s="2" t="s">
        <v>270</v>
      </c>
      <c r="D160" s="2" t="s">
        <v>271</v>
      </c>
      <c r="E160" s="2" t="s">
        <v>168</v>
      </c>
      <c r="F160" s="2" t="s">
        <v>272</v>
      </c>
      <c r="G160" s="2" t="s">
        <v>273</v>
      </c>
      <c r="H160" s="2" t="s">
        <v>183</v>
      </c>
      <c r="I160" s="2" t="s">
        <v>184</v>
      </c>
      <c r="J160" s="2" t="s">
        <v>148</v>
      </c>
      <c r="K160" s="2" t="s">
        <v>156</v>
      </c>
      <c r="L160" s="2" t="s">
        <v>185</v>
      </c>
      <c r="M160" s="2" t="s">
        <v>157</v>
      </c>
      <c r="N160" s="2" t="s">
        <v>274</v>
      </c>
      <c r="O160" s="2" t="s">
        <v>84</v>
      </c>
      <c r="P160" s="2" t="s">
        <v>268</v>
      </c>
      <c r="Q160" s="2" t="s">
        <v>188</v>
      </c>
      <c r="R160" s="2" t="s">
        <v>189</v>
      </c>
      <c r="S160" s="2" t="s">
        <v>91</v>
      </c>
      <c r="T160" s="5">
        <v>0.95799999999999996</v>
      </c>
      <c r="U160" s="2" t="s">
        <v>275</v>
      </c>
      <c r="V160" s="6">
        <v>4.3499999999999997E-2</v>
      </c>
      <c r="W160" s="6">
        <v>5.5469999999999998E-2</v>
      </c>
      <c r="X160" s="2" t="s">
        <v>191</v>
      </c>
      <c r="Y160" s="2" t="s">
        <v>84</v>
      </c>
      <c r="Z160" s="5">
        <v>214000</v>
      </c>
      <c r="AA160" s="5">
        <v>3.681</v>
      </c>
      <c r="AB160" s="5">
        <v>98.779499999999999</v>
      </c>
      <c r="AC160" s="5">
        <v>3.98</v>
      </c>
      <c r="AD160" s="5">
        <v>795.15517</v>
      </c>
      <c r="AE160" s="2" t="s">
        <v>3</v>
      </c>
      <c r="AF160" s="2" t="s">
        <v>3</v>
      </c>
      <c r="AG160" s="2" t="s">
        <v>27</v>
      </c>
      <c r="AH160" s="6">
        <v>2.14E-4</v>
      </c>
      <c r="AI160" s="6">
        <v>5.3549999999999995E-3</v>
      </c>
      <c r="AJ160" s="6">
        <v>9.5240000000000006E-4</v>
      </c>
      <c r="AK160" s="9">
        <v>71554216</v>
      </c>
      <c r="AL160" s="56" t="s">
        <v>4</v>
      </c>
      <c r="AM160" s="56" t="s">
        <v>1</v>
      </c>
    </row>
    <row r="161" spans="1:39">
      <c r="A161" s="2" t="s">
        <v>78</v>
      </c>
      <c r="B161" s="2" t="s">
        <v>96</v>
      </c>
      <c r="C161" s="2" t="s">
        <v>276</v>
      </c>
      <c r="D161" s="2" t="s">
        <v>277</v>
      </c>
      <c r="E161" s="2" t="s">
        <v>168</v>
      </c>
      <c r="F161" s="2" t="s">
        <v>278</v>
      </c>
      <c r="G161" s="2" t="s">
        <v>279</v>
      </c>
      <c r="H161" s="2" t="s">
        <v>183</v>
      </c>
      <c r="I161" s="2" t="s">
        <v>184</v>
      </c>
      <c r="J161" s="2" t="s">
        <v>148</v>
      </c>
      <c r="K161" s="2" t="s">
        <v>156</v>
      </c>
      <c r="L161" s="2" t="s">
        <v>185</v>
      </c>
      <c r="M161" s="2" t="s">
        <v>157</v>
      </c>
      <c r="N161" s="2" t="s">
        <v>267</v>
      </c>
      <c r="O161" s="2" t="s">
        <v>84</v>
      </c>
      <c r="P161" s="2" t="s">
        <v>280</v>
      </c>
      <c r="Q161" s="2" t="s">
        <v>188</v>
      </c>
      <c r="R161" s="2" t="s">
        <v>189</v>
      </c>
      <c r="S161" s="2" t="s">
        <v>91</v>
      </c>
      <c r="T161" s="5">
        <v>1.7509999999999999</v>
      </c>
      <c r="U161" s="2" t="s">
        <v>281</v>
      </c>
      <c r="V161" s="6">
        <v>2.196E-2</v>
      </c>
      <c r="W161" s="6">
        <v>5.8339999999999996E-2</v>
      </c>
      <c r="X161" s="2" t="s">
        <v>191</v>
      </c>
      <c r="Y161" s="2" t="s">
        <v>84</v>
      </c>
      <c r="Z161" s="5">
        <v>226000</v>
      </c>
      <c r="AA161" s="5">
        <v>3.681</v>
      </c>
      <c r="AB161" s="5">
        <v>94.027289999999994</v>
      </c>
      <c r="AC161" s="5">
        <v>0</v>
      </c>
      <c r="AD161" s="5">
        <v>782.21874000000003</v>
      </c>
      <c r="AE161" s="2" t="s">
        <v>3</v>
      </c>
      <c r="AF161" s="2" t="s">
        <v>3</v>
      </c>
      <c r="AG161" s="2" t="s">
        <v>27</v>
      </c>
      <c r="AH161" s="6">
        <v>4.1E-5</v>
      </c>
      <c r="AI161" s="6">
        <v>5.2678999999999998E-3</v>
      </c>
      <c r="AJ161" s="6">
        <v>9.3700000000000001E-4</v>
      </c>
      <c r="AK161" s="9">
        <v>72760531</v>
      </c>
      <c r="AL161" s="56" t="s">
        <v>4</v>
      </c>
      <c r="AM161" s="56" t="s">
        <v>1</v>
      </c>
    </row>
    <row r="162" spans="1:39">
      <c r="A162" s="2" t="s">
        <v>78</v>
      </c>
      <c r="B162" s="2" t="s">
        <v>96</v>
      </c>
      <c r="C162" s="2" t="s">
        <v>288</v>
      </c>
      <c r="D162" s="2" t="s">
        <v>289</v>
      </c>
      <c r="E162" s="2" t="s">
        <v>168</v>
      </c>
      <c r="F162" s="2" t="s">
        <v>290</v>
      </c>
      <c r="G162" s="2" t="s">
        <v>291</v>
      </c>
      <c r="H162" s="2" t="s">
        <v>183</v>
      </c>
      <c r="I162" s="2" t="s">
        <v>184</v>
      </c>
      <c r="J162" s="2" t="s">
        <v>148</v>
      </c>
      <c r="K162" s="2" t="s">
        <v>156</v>
      </c>
      <c r="L162" s="2" t="s">
        <v>185</v>
      </c>
      <c r="M162" s="2" t="s">
        <v>157</v>
      </c>
      <c r="N162" s="2" t="s">
        <v>292</v>
      </c>
      <c r="O162" s="2" t="s">
        <v>84</v>
      </c>
      <c r="P162" s="2" t="s">
        <v>286</v>
      </c>
      <c r="Q162" s="2" t="s">
        <v>188</v>
      </c>
      <c r="R162" s="2" t="s">
        <v>189</v>
      </c>
      <c r="S162" s="2" t="s">
        <v>91</v>
      </c>
      <c r="T162" s="5">
        <v>1.4550000000000001</v>
      </c>
      <c r="U162" s="2" t="s">
        <v>293</v>
      </c>
      <c r="V162" s="6">
        <v>2.6000000000000002E-2</v>
      </c>
      <c r="W162" s="6">
        <v>5.3429999999999998E-2</v>
      </c>
      <c r="X162" s="2" t="s">
        <v>191</v>
      </c>
      <c r="Y162" s="2" t="s">
        <v>84</v>
      </c>
      <c r="Z162" s="5">
        <v>207000</v>
      </c>
      <c r="AA162" s="5">
        <v>3.681</v>
      </c>
      <c r="AB162" s="5">
        <v>97.150090000000006</v>
      </c>
      <c r="AC162" s="5">
        <v>0</v>
      </c>
      <c r="AD162" s="5">
        <v>740.25166000000002</v>
      </c>
      <c r="AE162" s="2" t="s">
        <v>3</v>
      </c>
      <c r="AF162" s="2" t="s">
        <v>3</v>
      </c>
      <c r="AG162" s="2" t="s">
        <v>27</v>
      </c>
      <c r="AH162" s="6">
        <v>4.1399999999999998E-4</v>
      </c>
      <c r="AI162" s="6">
        <v>4.9852999999999998E-3</v>
      </c>
      <c r="AJ162" s="6">
        <v>8.8670000000000003E-4</v>
      </c>
      <c r="AK162" s="9">
        <v>72161367</v>
      </c>
      <c r="AL162" s="56" t="s">
        <v>4</v>
      </c>
      <c r="AM162" s="56" t="s">
        <v>1</v>
      </c>
    </row>
    <row r="163" spans="1:39">
      <c r="A163" s="2" t="s">
        <v>78</v>
      </c>
      <c r="B163" s="2" t="s">
        <v>96</v>
      </c>
      <c r="C163" s="2" t="s">
        <v>451</v>
      </c>
      <c r="D163" s="2" t="s">
        <v>452</v>
      </c>
      <c r="E163" s="2" t="s">
        <v>168</v>
      </c>
      <c r="F163" s="2" t="s">
        <v>453</v>
      </c>
      <c r="G163" s="2" t="s">
        <v>454</v>
      </c>
      <c r="H163" s="2" t="s">
        <v>183</v>
      </c>
      <c r="I163" s="2" t="s">
        <v>184</v>
      </c>
      <c r="J163" s="2" t="s">
        <v>148</v>
      </c>
      <c r="K163" s="2" t="s">
        <v>455</v>
      </c>
      <c r="L163" s="2" t="s">
        <v>185</v>
      </c>
      <c r="M163" s="2" t="s">
        <v>456</v>
      </c>
      <c r="N163" s="2" t="s">
        <v>457</v>
      </c>
      <c r="O163" s="2" t="s">
        <v>84</v>
      </c>
      <c r="P163" s="2" t="s">
        <v>286</v>
      </c>
      <c r="Q163" s="2" t="s">
        <v>188</v>
      </c>
      <c r="R163" s="2" t="s">
        <v>189</v>
      </c>
      <c r="S163" s="2" t="s">
        <v>91</v>
      </c>
      <c r="T163" s="5">
        <v>2.8860000000000001</v>
      </c>
      <c r="U163" s="11">
        <v>55746</v>
      </c>
      <c r="V163" s="6">
        <v>5.6250000000000001E-2</v>
      </c>
      <c r="W163" s="6">
        <v>8.6400000000000005E-2</v>
      </c>
      <c r="X163" s="2" t="s">
        <v>191</v>
      </c>
      <c r="Y163" s="2" t="s">
        <v>84</v>
      </c>
      <c r="Z163" s="5">
        <v>100000</v>
      </c>
      <c r="AA163" s="5">
        <v>3.681</v>
      </c>
      <c r="AB163" s="5">
        <v>102.51187</v>
      </c>
      <c r="AC163" s="5">
        <v>0</v>
      </c>
      <c r="AD163" s="5">
        <v>377.34622999999999</v>
      </c>
      <c r="AE163" s="2" t="s">
        <v>3</v>
      </c>
      <c r="AF163" s="2" t="s">
        <v>3</v>
      </c>
      <c r="AG163" s="2" t="s">
        <v>27</v>
      </c>
      <c r="AH163" s="6">
        <v>1.25E-4</v>
      </c>
      <c r="AI163" s="6">
        <v>2.5413000000000002E-3</v>
      </c>
      <c r="AJ163" s="6">
        <v>4.5199999999999998E-4</v>
      </c>
      <c r="AK163" s="9">
        <v>71402515</v>
      </c>
      <c r="AL163" s="56" t="s">
        <v>4</v>
      </c>
      <c r="AM163" s="56" t="s">
        <v>1</v>
      </c>
    </row>
    <row r="164" spans="1:39">
      <c r="A164" s="2" t="s">
        <v>78</v>
      </c>
      <c r="B164" s="2" t="s">
        <v>98</v>
      </c>
      <c r="C164" s="2" t="s">
        <v>192</v>
      </c>
      <c r="D164" s="2" t="s">
        <v>193</v>
      </c>
      <c r="E164" s="2" t="s">
        <v>194</v>
      </c>
      <c r="F164" s="2" t="s">
        <v>195</v>
      </c>
      <c r="G164" s="9">
        <v>1139849</v>
      </c>
      <c r="H164" s="2" t="s">
        <v>149</v>
      </c>
      <c r="I164" s="2" t="s">
        <v>196</v>
      </c>
      <c r="J164" s="2" t="s">
        <v>83</v>
      </c>
      <c r="K164" s="2" t="s">
        <v>83</v>
      </c>
      <c r="L164" s="2" t="s">
        <v>185</v>
      </c>
      <c r="M164" s="2" t="s">
        <v>118</v>
      </c>
      <c r="N164" s="2" t="s">
        <v>197</v>
      </c>
      <c r="O164" s="2" t="s">
        <v>84</v>
      </c>
      <c r="P164" s="2" t="s">
        <v>198</v>
      </c>
      <c r="Q164" s="2" t="s">
        <v>199</v>
      </c>
      <c r="R164" s="2" t="s">
        <v>189</v>
      </c>
      <c r="S164" s="2" t="s">
        <v>87</v>
      </c>
      <c r="T164" s="5">
        <v>1.64</v>
      </c>
      <c r="U164" s="2" t="s">
        <v>200</v>
      </c>
      <c r="V164" s="6">
        <v>2.5000000000000001E-2</v>
      </c>
      <c r="W164" s="6">
        <v>2.4700000000000003E-2</v>
      </c>
      <c r="X164" s="2" t="s">
        <v>191</v>
      </c>
      <c r="Y164" s="2" t="s">
        <v>84</v>
      </c>
      <c r="Z164" s="5">
        <v>1773226</v>
      </c>
      <c r="AA164" s="5">
        <v>1</v>
      </c>
      <c r="AB164" s="5">
        <v>113.86</v>
      </c>
      <c r="AC164" s="5">
        <v>0</v>
      </c>
      <c r="AD164" s="5">
        <v>2018.99512</v>
      </c>
      <c r="AE164" s="2" t="s">
        <v>3</v>
      </c>
      <c r="AF164" s="2" t="s">
        <v>3</v>
      </c>
      <c r="AG164" s="2" t="s">
        <v>27</v>
      </c>
      <c r="AH164" s="6">
        <v>5.3690000000000005E-3</v>
      </c>
      <c r="AI164" s="6">
        <v>1.3597099999999999E-2</v>
      </c>
      <c r="AJ164" s="6">
        <v>2.4183999999999998E-3</v>
      </c>
      <c r="AK164" s="2" t="s">
        <v>3</v>
      </c>
      <c r="AL164" s="56" t="s">
        <v>4</v>
      </c>
      <c r="AM164" s="56" t="s">
        <v>1</v>
      </c>
    </row>
    <row r="165" spans="1:39">
      <c r="A165" s="2" t="s">
        <v>78</v>
      </c>
      <c r="B165" s="2" t="s">
        <v>98</v>
      </c>
      <c r="C165" s="2" t="s">
        <v>201</v>
      </c>
      <c r="D165" s="2" t="s">
        <v>202</v>
      </c>
      <c r="E165" s="2" t="s">
        <v>194</v>
      </c>
      <c r="F165" s="2" t="s">
        <v>203</v>
      </c>
      <c r="G165" s="9">
        <v>1168368</v>
      </c>
      <c r="H165" s="2" t="s">
        <v>149</v>
      </c>
      <c r="I165" s="2" t="s">
        <v>204</v>
      </c>
      <c r="J165" s="2" t="s">
        <v>83</v>
      </c>
      <c r="K165" s="2" t="s">
        <v>83</v>
      </c>
      <c r="L165" s="2" t="s">
        <v>185</v>
      </c>
      <c r="M165" s="2" t="s">
        <v>118</v>
      </c>
      <c r="N165" s="2" t="s">
        <v>205</v>
      </c>
      <c r="O165" s="2" t="s">
        <v>84</v>
      </c>
      <c r="P165" s="2" t="s">
        <v>198</v>
      </c>
      <c r="Q165" s="2" t="s">
        <v>199</v>
      </c>
      <c r="R165" s="2" t="s">
        <v>189</v>
      </c>
      <c r="S165" s="2" t="s">
        <v>87</v>
      </c>
      <c r="T165" s="5">
        <v>2.5499999999999998</v>
      </c>
      <c r="U165" s="2" t="s">
        <v>206</v>
      </c>
      <c r="V165" s="6">
        <v>2.58E-2</v>
      </c>
      <c r="W165" s="6">
        <v>5.2600000000000001E-2</v>
      </c>
      <c r="X165" s="2" t="s">
        <v>191</v>
      </c>
      <c r="Y165" s="2" t="s">
        <v>84</v>
      </c>
      <c r="Z165" s="5">
        <v>2400000</v>
      </c>
      <c r="AA165" s="5">
        <v>1</v>
      </c>
      <c r="AB165" s="5">
        <v>94.23</v>
      </c>
      <c r="AC165" s="5">
        <v>0</v>
      </c>
      <c r="AD165" s="5">
        <v>2261.52</v>
      </c>
      <c r="AE165" s="2" t="s">
        <v>3</v>
      </c>
      <c r="AF165" s="2" t="s">
        <v>3</v>
      </c>
      <c r="AG165" s="2" t="s">
        <v>27</v>
      </c>
      <c r="AH165" s="6">
        <v>8.9549999999999994E-3</v>
      </c>
      <c r="AI165" s="6">
        <v>1.52304E-2</v>
      </c>
      <c r="AJ165" s="6">
        <v>2.7089000000000002E-3</v>
      </c>
      <c r="AK165" s="2" t="s">
        <v>3</v>
      </c>
      <c r="AL165" s="56" t="s">
        <v>4</v>
      </c>
      <c r="AM165" s="56" t="s">
        <v>1</v>
      </c>
    </row>
    <row r="166" spans="1:39">
      <c r="A166" s="2" t="s">
        <v>78</v>
      </c>
      <c r="B166" s="2" t="s">
        <v>98</v>
      </c>
      <c r="C166" s="2" t="s">
        <v>411</v>
      </c>
      <c r="D166" s="2" t="s">
        <v>412</v>
      </c>
      <c r="E166" s="2" t="s">
        <v>194</v>
      </c>
      <c r="F166" s="2" t="s">
        <v>413</v>
      </c>
      <c r="G166" s="9">
        <v>1141332</v>
      </c>
      <c r="H166" s="2" t="s">
        <v>149</v>
      </c>
      <c r="I166" s="2" t="s">
        <v>184</v>
      </c>
      <c r="J166" s="2" t="s">
        <v>83</v>
      </c>
      <c r="K166" s="2" t="s">
        <v>83</v>
      </c>
      <c r="L166" s="2" t="s">
        <v>185</v>
      </c>
      <c r="M166" s="2" t="s">
        <v>118</v>
      </c>
      <c r="N166" s="2" t="s">
        <v>414</v>
      </c>
      <c r="O166" s="2" t="s">
        <v>84</v>
      </c>
      <c r="P166" s="2" t="s">
        <v>198</v>
      </c>
      <c r="Q166" s="2" t="s">
        <v>199</v>
      </c>
      <c r="R166" s="2" t="s">
        <v>189</v>
      </c>
      <c r="S166" s="2" t="s">
        <v>87</v>
      </c>
      <c r="T166" s="5">
        <v>3.29</v>
      </c>
      <c r="U166" s="2" t="s">
        <v>415</v>
      </c>
      <c r="V166" s="6">
        <v>4.6900000000000004E-2</v>
      </c>
      <c r="W166" s="6">
        <v>6.9000000000000006E-2</v>
      </c>
      <c r="X166" s="2" t="s">
        <v>191</v>
      </c>
      <c r="Y166" s="2" t="s">
        <v>84</v>
      </c>
      <c r="Z166" s="5">
        <v>990679.19</v>
      </c>
      <c r="AA166" s="5">
        <v>1</v>
      </c>
      <c r="AB166" s="5">
        <v>98.27</v>
      </c>
      <c r="AC166" s="5">
        <v>0</v>
      </c>
      <c r="AD166" s="5">
        <v>973.54043999999999</v>
      </c>
      <c r="AE166" s="2" t="s">
        <v>3</v>
      </c>
      <c r="AF166" s="2" t="s">
        <v>3</v>
      </c>
      <c r="AG166" s="2" t="s">
        <v>27</v>
      </c>
      <c r="AH166" s="6">
        <v>7.046E-4</v>
      </c>
      <c r="AI166" s="6">
        <v>6.5564000000000004E-3</v>
      </c>
      <c r="AJ166" s="6">
        <v>1.1661E-3</v>
      </c>
      <c r="AK166" s="2" t="s">
        <v>3</v>
      </c>
      <c r="AL166" s="56" t="s">
        <v>4</v>
      </c>
      <c r="AM166" s="56" t="s">
        <v>1</v>
      </c>
    </row>
    <row r="167" spans="1:39">
      <c r="A167" s="2" t="s">
        <v>78</v>
      </c>
      <c r="B167" s="2" t="s">
        <v>98</v>
      </c>
      <c r="C167" s="2" t="s">
        <v>212</v>
      </c>
      <c r="D167" s="2" t="s">
        <v>213</v>
      </c>
      <c r="E167" s="2" t="s">
        <v>194</v>
      </c>
      <c r="F167" s="2" t="s">
        <v>218</v>
      </c>
      <c r="G167" s="9">
        <v>7200173</v>
      </c>
      <c r="H167" s="2" t="s">
        <v>149</v>
      </c>
      <c r="I167" s="2" t="s">
        <v>204</v>
      </c>
      <c r="J167" s="2" t="s">
        <v>83</v>
      </c>
      <c r="K167" s="2" t="s">
        <v>83</v>
      </c>
      <c r="L167" s="2" t="s">
        <v>185</v>
      </c>
      <c r="M167" s="2" t="s">
        <v>118</v>
      </c>
      <c r="N167" s="2" t="s">
        <v>215</v>
      </c>
      <c r="O167" s="2" t="s">
        <v>84</v>
      </c>
      <c r="P167" s="2" t="s">
        <v>216</v>
      </c>
      <c r="Q167" s="2" t="s">
        <v>199</v>
      </c>
      <c r="R167" s="2" t="s">
        <v>189</v>
      </c>
      <c r="S167" s="2" t="s">
        <v>87</v>
      </c>
      <c r="T167" s="5">
        <v>1.99</v>
      </c>
      <c r="U167" s="2" t="s">
        <v>219</v>
      </c>
      <c r="V167" s="6">
        <v>3.4500000000000003E-2</v>
      </c>
      <c r="W167" s="6">
        <v>5.0499999999999996E-2</v>
      </c>
      <c r="X167" s="2" t="s">
        <v>191</v>
      </c>
      <c r="Y167" s="2" t="s">
        <v>84</v>
      </c>
      <c r="Z167" s="5">
        <v>3449846.69</v>
      </c>
      <c r="AA167" s="5">
        <v>1</v>
      </c>
      <c r="AB167" s="5">
        <v>97.31</v>
      </c>
      <c r="AC167" s="5">
        <v>0</v>
      </c>
      <c r="AD167" s="5">
        <v>3357.0458100000001</v>
      </c>
      <c r="AE167" s="2" t="s">
        <v>3</v>
      </c>
      <c r="AF167" s="2" t="s">
        <v>3</v>
      </c>
      <c r="AG167" s="2" t="s">
        <v>27</v>
      </c>
      <c r="AH167" s="6">
        <v>4.7360000000000006E-3</v>
      </c>
      <c r="AI167" s="6">
        <v>2.2608299999999998E-2</v>
      </c>
      <c r="AJ167" s="6">
        <v>4.0211000000000005E-3</v>
      </c>
      <c r="AK167" s="2" t="s">
        <v>3</v>
      </c>
      <c r="AL167" s="56" t="s">
        <v>4</v>
      </c>
      <c r="AM167" s="56" t="s">
        <v>1</v>
      </c>
    </row>
    <row r="168" spans="1:39">
      <c r="A168" s="2" t="s">
        <v>78</v>
      </c>
      <c r="B168" s="2" t="s">
        <v>98</v>
      </c>
      <c r="C168" s="2" t="s">
        <v>220</v>
      </c>
      <c r="D168" s="2" t="s">
        <v>221</v>
      </c>
      <c r="E168" s="2" t="s">
        <v>194</v>
      </c>
      <c r="F168" s="2" t="s">
        <v>481</v>
      </c>
      <c r="G168" s="9">
        <v>1140656</v>
      </c>
      <c r="H168" s="2" t="s">
        <v>149</v>
      </c>
      <c r="I168" s="2" t="s">
        <v>204</v>
      </c>
      <c r="J168" s="2" t="s">
        <v>83</v>
      </c>
      <c r="K168" s="2" t="s">
        <v>83</v>
      </c>
      <c r="L168" s="2" t="s">
        <v>185</v>
      </c>
      <c r="M168" s="2" t="s">
        <v>118</v>
      </c>
      <c r="N168" s="2" t="s">
        <v>223</v>
      </c>
      <c r="O168" s="2" t="s">
        <v>84</v>
      </c>
      <c r="P168" s="2" t="s">
        <v>216</v>
      </c>
      <c r="Q168" s="2" t="s">
        <v>199</v>
      </c>
      <c r="R168" s="2" t="s">
        <v>189</v>
      </c>
      <c r="S168" s="2" t="s">
        <v>87</v>
      </c>
      <c r="T168" s="5">
        <v>0.65</v>
      </c>
      <c r="U168" s="2" t="s">
        <v>482</v>
      </c>
      <c r="V168" s="6">
        <v>2.9500000000000002E-2</v>
      </c>
      <c r="W168" s="6">
        <v>5.3600000000000002E-2</v>
      </c>
      <c r="X168" s="2" t="s">
        <v>191</v>
      </c>
      <c r="Y168" s="2" t="s">
        <v>84</v>
      </c>
      <c r="Z168" s="5">
        <v>1605905.23</v>
      </c>
      <c r="AA168" s="5">
        <v>1</v>
      </c>
      <c r="AB168" s="5">
        <v>99.49</v>
      </c>
      <c r="AC168" s="5">
        <v>0</v>
      </c>
      <c r="AD168" s="5">
        <v>1597.7151100000001</v>
      </c>
      <c r="AE168" s="2" t="s">
        <v>3</v>
      </c>
      <c r="AF168" s="2" t="s">
        <v>3</v>
      </c>
      <c r="AG168" s="2" t="s">
        <v>27</v>
      </c>
      <c r="AH168" s="6">
        <v>1.33968E-2</v>
      </c>
      <c r="AI168" s="6">
        <v>1.0759899999999999E-2</v>
      </c>
      <c r="AJ168" s="6">
        <v>1.9138E-3</v>
      </c>
      <c r="AK168" s="2" t="s">
        <v>3</v>
      </c>
      <c r="AL168" s="56" t="s">
        <v>4</v>
      </c>
      <c r="AM168" s="56" t="s">
        <v>1</v>
      </c>
    </row>
    <row r="169" spans="1:39">
      <c r="A169" s="2" t="s">
        <v>78</v>
      </c>
      <c r="B169" s="2" t="s">
        <v>98</v>
      </c>
      <c r="C169" s="2" t="s">
        <v>220</v>
      </c>
      <c r="D169" s="2" t="s">
        <v>221</v>
      </c>
      <c r="E169" s="2" t="s">
        <v>194</v>
      </c>
      <c r="F169" s="2" t="s">
        <v>222</v>
      </c>
      <c r="G169" s="9">
        <v>1157700</v>
      </c>
      <c r="H169" s="2" t="s">
        <v>149</v>
      </c>
      <c r="I169" s="2" t="s">
        <v>204</v>
      </c>
      <c r="J169" s="2" t="s">
        <v>83</v>
      </c>
      <c r="K169" s="2" t="s">
        <v>83</v>
      </c>
      <c r="L169" s="2" t="s">
        <v>185</v>
      </c>
      <c r="M169" s="2" t="s">
        <v>118</v>
      </c>
      <c r="N169" s="2" t="s">
        <v>223</v>
      </c>
      <c r="O169" s="2" t="s">
        <v>84</v>
      </c>
      <c r="P169" s="2" t="s">
        <v>216</v>
      </c>
      <c r="Q169" s="2" t="s">
        <v>199</v>
      </c>
      <c r="R169" s="2" t="s">
        <v>189</v>
      </c>
      <c r="S169" s="2" t="s">
        <v>87</v>
      </c>
      <c r="T169" s="5">
        <v>1.91</v>
      </c>
      <c r="U169" s="2" t="s">
        <v>224</v>
      </c>
      <c r="V169" s="6">
        <v>3.2899999999999999E-2</v>
      </c>
      <c r="W169" s="6">
        <v>5.16E-2</v>
      </c>
      <c r="X169" s="2" t="s">
        <v>191</v>
      </c>
      <c r="Y169" s="2" t="s">
        <v>84</v>
      </c>
      <c r="Z169" s="5">
        <v>1200000</v>
      </c>
      <c r="AA169" s="5">
        <v>1</v>
      </c>
      <c r="AB169" s="5">
        <v>96.66</v>
      </c>
      <c r="AC169" s="5">
        <v>0</v>
      </c>
      <c r="AD169" s="5">
        <v>1159.92</v>
      </c>
      <c r="AE169" s="2" t="s">
        <v>3</v>
      </c>
      <c r="AF169" s="2" t="s">
        <v>3</v>
      </c>
      <c r="AG169" s="2" t="s">
        <v>27</v>
      </c>
      <c r="AH169" s="6">
        <v>2.4627E-3</v>
      </c>
      <c r="AI169" s="6">
        <v>7.8115999999999993E-3</v>
      </c>
      <c r="AJ169" s="6">
        <v>1.3894000000000001E-3</v>
      </c>
      <c r="AK169" s="2" t="s">
        <v>3</v>
      </c>
      <c r="AL169" s="56" t="s">
        <v>4</v>
      </c>
      <c r="AM169" s="56" t="s">
        <v>1</v>
      </c>
    </row>
    <row r="170" spans="1:39">
      <c r="A170" s="2" t="s">
        <v>78</v>
      </c>
      <c r="B170" s="2" t="s">
        <v>98</v>
      </c>
      <c r="C170" s="2" t="s">
        <v>225</v>
      </c>
      <c r="D170" s="2" t="s">
        <v>226</v>
      </c>
      <c r="E170" s="2" t="s">
        <v>194</v>
      </c>
      <c r="F170" s="2" t="s">
        <v>227</v>
      </c>
      <c r="G170" s="9">
        <v>1141852</v>
      </c>
      <c r="H170" s="2" t="s">
        <v>149</v>
      </c>
      <c r="I170" s="2" t="s">
        <v>204</v>
      </c>
      <c r="J170" s="2" t="s">
        <v>83</v>
      </c>
      <c r="K170" s="2" t="s">
        <v>83</v>
      </c>
      <c r="L170" s="2" t="s">
        <v>185</v>
      </c>
      <c r="M170" s="2" t="s">
        <v>118</v>
      </c>
      <c r="N170" s="2" t="s">
        <v>228</v>
      </c>
      <c r="O170" s="2" t="s">
        <v>84</v>
      </c>
      <c r="P170" s="2" t="s">
        <v>216</v>
      </c>
      <c r="Q170" s="2" t="s">
        <v>199</v>
      </c>
      <c r="R170" s="2" t="s">
        <v>189</v>
      </c>
      <c r="S170" s="2" t="s">
        <v>87</v>
      </c>
      <c r="T170" s="5">
        <v>2.15</v>
      </c>
      <c r="U170" s="2" t="s">
        <v>229</v>
      </c>
      <c r="V170" s="6">
        <v>2.6499999999999999E-2</v>
      </c>
      <c r="W170" s="6">
        <v>5.3099999999999994E-2</v>
      </c>
      <c r="X170" s="2" t="s">
        <v>191</v>
      </c>
      <c r="Y170" s="2" t="s">
        <v>84</v>
      </c>
      <c r="Z170" s="5">
        <v>1392861.43</v>
      </c>
      <c r="AA170" s="5">
        <v>1</v>
      </c>
      <c r="AB170" s="5">
        <v>94.87</v>
      </c>
      <c r="AC170" s="5">
        <v>0</v>
      </c>
      <c r="AD170" s="5">
        <v>1321.4076299999999</v>
      </c>
      <c r="AE170" s="2" t="s">
        <v>3</v>
      </c>
      <c r="AF170" s="2" t="s">
        <v>3</v>
      </c>
      <c r="AG170" s="2" t="s">
        <v>27</v>
      </c>
      <c r="AH170" s="6">
        <v>2.2664E-3</v>
      </c>
      <c r="AI170" s="6">
        <v>8.8991000000000001E-3</v>
      </c>
      <c r="AJ170" s="6">
        <v>1.5828000000000001E-3</v>
      </c>
      <c r="AK170" s="2" t="s">
        <v>3</v>
      </c>
      <c r="AL170" s="56" t="s">
        <v>4</v>
      </c>
      <c r="AM170" s="56" t="s">
        <v>1</v>
      </c>
    </row>
    <row r="171" spans="1:39">
      <c r="A171" s="2" t="s">
        <v>78</v>
      </c>
      <c r="B171" s="2" t="s">
        <v>98</v>
      </c>
      <c r="C171" s="2" t="s">
        <v>230</v>
      </c>
      <c r="D171" s="2" t="s">
        <v>231</v>
      </c>
      <c r="E171" s="2" t="s">
        <v>194</v>
      </c>
      <c r="F171" s="2" t="s">
        <v>232</v>
      </c>
      <c r="G171" s="9">
        <v>1150812</v>
      </c>
      <c r="H171" s="2" t="s">
        <v>149</v>
      </c>
      <c r="I171" s="2" t="s">
        <v>204</v>
      </c>
      <c r="J171" s="2" t="s">
        <v>83</v>
      </c>
      <c r="K171" s="2" t="s">
        <v>83</v>
      </c>
      <c r="L171" s="2" t="s">
        <v>185</v>
      </c>
      <c r="M171" s="2" t="s">
        <v>118</v>
      </c>
      <c r="N171" s="2" t="s">
        <v>233</v>
      </c>
      <c r="O171" s="2" t="s">
        <v>84</v>
      </c>
      <c r="P171" s="2" t="s">
        <v>216</v>
      </c>
      <c r="Q171" s="2" t="s">
        <v>199</v>
      </c>
      <c r="R171" s="2" t="s">
        <v>189</v>
      </c>
      <c r="S171" s="2" t="s">
        <v>87</v>
      </c>
      <c r="T171" s="5">
        <v>1.44</v>
      </c>
      <c r="U171" s="2" t="s">
        <v>234</v>
      </c>
      <c r="V171" s="6">
        <v>3.2500000000000001E-2</v>
      </c>
      <c r="W171" s="6">
        <v>5.1900000000000002E-2</v>
      </c>
      <c r="X171" s="2" t="s">
        <v>191</v>
      </c>
      <c r="Y171" s="2" t="s">
        <v>84</v>
      </c>
      <c r="Z171" s="5">
        <v>885281.06</v>
      </c>
      <c r="AA171" s="5">
        <v>1</v>
      </c>
      <c r="AB171" s="5">
        <v>98.17</v>
      </c>
      <c r="AC171" s="5">
        <v>0</v>
      </c>
      <c r="AD171" s="5">
        <v>869.08041000000003</v>
      </c>
      <c r="AE171" s="2" t="s">
        <v>3</v>
      </c>
      <c r="AF171" s="2" t="s">
        <v>3</v>
      </c>
      <c r="AG171" s="2" t="s">
        <v>27</v>
      </c>
      <c r="AH171" s="6">
        <v>2.7942000000000002E-3</v>
      </c>
      <c r="AI171" s="6">
        <v>5.8528999999999994E-3</v>
      </c>
      <c r="AJ171" s="6">
        <v>1.041E-3</v>
      </c>
      <c r="AK171" s="2" t="s">
        <v>3</v>
      </c>
      <c r="AL171" s="56" t="s">
        <v>4</v>
      </c>
      <c r="AM171" s="56" t="s">
        <v>1</v>
      </c>
    </row>
    <row r="172" spans="1:39">
      <c r="A172" s="2" t="s">
        <v>78</v>
      </c>
      <c r="B172" s="2" t="s">
        <v>98</v>
      </c>
      <c r="C172" s="2" t="s">
        <v>235</v>
      </c>
      <c r="D172" s="2" t="s">
        <v>236</v>
      </c>
      <c r="E172" s="2" t="s">
        <v>194</v>
      </c>
      <c r="F172" s="2" t="s">
        <v>237</v>
      </c>
      <c r="G172" s="9">
        <v>1199488</v>
      </c>
      <c r="H172" s="2" t="s">
        <v>149</v>
      </c>
      <c r="I172" s="2" t="s">
        <v>204</v>
      </c>
      <c r="J172" s="2" t="s">
        <v>83</v>
      </c>
      <c r="K172" s="2" t="s">
        <v>83</v>
      </c>
      <c r="L172" s="2" t="s">
        <v>185</v>
      </c>
      <c r="M172" s="2" t="s">
        <v>118</v>
      </c>
      <c r="N172" s="2" t="s">
        <v>223</v>
      </c>
      <c r="O172" s="2" t="s">
        <v>84</v>
      </c>
      <c r="P172" s="2" t="s">
        <v>238</v>
      </c>
      <c r="Q172" s="2" t="s">
        <v>199</v>
      </c>
      <c r="R172" s="2" t="s">
        <v>189</v>
      </c>
      <c r="S172" s="2" t="s">
        <v>87</v>
      </c>
      <c r="T172" s="5">
        <v>3.07</v>
      </c>
      <c r="U172" s="2" t="s">
        <v>239</v>
      </c>
      <c r="V172" s="6">
        <v>7.2499999999999995E-2</v>
      </c>
      <c r="W172" s="6">
        <v>6.2300000000000001E-2</v>
      </c>
      <c r="X172" s="2" t="s">
        <v>191</v>
      </c>
      <c r="Y172" s="2" t="s">
        <v>84</v>
      </c>
      <c r="Z172" s="5">
        <v>2237490</v>
      </c>
      <c r="AA172" s="5">
        <v>1</v>
      </c>
      <c r="AB172" s="5">
        <v>108.29</v>
      </c>
      <c r="AC172" s="5">
        <v>0</v>
      </c>
      <c r="AD172" s="5">
        <v>2422.9779199999998</v>
      </c>
      <c r="AE172" s="2" t="s">
        <v>3</v>
      </c>
      <c r="AF172" s="2" t="s">
        <v>3</v>
      </c>
      <c r="AG172" s="2" t="s">
        <v>27</v>
      </c>
      <c r="AH172" s="6">
        <v>2.7967999999999999E-3</v>
      </c>
      <c r="AI172" s="6">
        <v>1.6317700000000001E-2</v>
      </c>
      <c r="AJ172" s="6">
        <v>2.9023E-3</v>
      </c>
      <c r="AK172" s="2" t="s">
        <v>3</v>
      </c>
      <c r="AL172" s="56" t="s">
        <v>4</v>
      </c>
      <c r="AM172" s="56" t="s">
        <v>1</v>
      </c>
    </row>
    <row r="173" spans="1:39">
      <c r="A173" s="2" t="s">
        <v>78</v>
      </c>
      <c r="B173" s="2" t="s">
        <v>98</v>
      </c>
      <c r="C173" s="2" t="s">
        <v>240</v>
      </c>
      <c r="D173" s="2" t="s">
        <v>241</v>
      </c>
      <c r="E173" s="2" t="s">
        <v>194</v>
      </c>
      <c r="F173" s="2" t="s">
        <v>242</v>
      </c>
      <c r="G173" s="9">
        <v>1198571</v>
      </c>
      <c r="H173" s="2" t="s">
        <v>149</v>
      </c>
      <c r="I173" s="2" t="s">
        <v>204</v>
      </c>
      <c r="J173" s="2" t="s">
        <v>83</v>
      </c>
      <c r="K173" s="2" t="s">
        <v>83</v>
      </c>
      <c r="L173" s="2" t="s">
        <v>185</v>
      </c>
      <c r="M173" s="2" t="s">
        <v>118</v>
      </c>
      <c r="N173" s="2" t="s">
        <v>223</v>
      </c>
      <c r="O173" s="2" t="s">
        <v>84</v>
      </c>
      <c r="P173" s="2" t="s">
        <v>238</v>
      </c>
      <c r="Q173" s="2" t="s">
        <v>199</v>
      </c>
      <c r="R173" s="2" t="s">
        <v>189</v>
      </c>
      <c r="S173" s="2" t="s">
        <v>87</v>
      </c>
      <c r="T173" s="5">
        <v>4.5599999999999996</v>
      </c>
      <c r="U173" s="2" t="s">
        <v>243</v>
      </c>
      <c r="V173" s="6">
        <v>6.7699999999999996E-2</v>
      </c>
      <c r="W173" s="6">
        <v>5.8799999999999998E-2</v>
      </c>
      <c r="X173" s="2" t="s">
        <v>191</v>
      </c>
      <c r="Y173" s="2" t="s">
        <v>84</v>
      </c>
      <c r="Z173" s="5">
        <v>2700000</v>
      </c>
      <c r="AA173" s="5">
        <v>1</v>
      </c>
      <c r="AB173" s="5">
        <v>108.96</v>
      </c>
      <c r="AC173" s="5">
        <v>0</v>
      </c>
      <c r="AD173" s="5">
        <v>2941.92</v>
      </c>
      <c r="AE173" s="2" t="s">
        <v>3</v>
      </c>
      <c r="AF173" s="2" t="s">
        <v>3</v>
      </c>
      <c r="AG173" s="2" t="s">
        <v>27</v>
      </c>
      <c r="AH173" s="6">
        <v>3.5999999999999999E-3</v>
      </c>
      <c r="AI173" s="6">
        <v>1.98126E-2</v>
      </c>
      <c r="AJ173" s="6">
        <v>3.5238999999999999E-3</v>
      </c>
      <c r="AK173" s="2" t="s">
        <v>3</v>
      </c>
      <c r="AL173" s="56" t="s">
        <v>4</v>
      </c>
      <c r="AM173" s="56" t="s">
        <v>1</v>
      </c>
    </row>
    <row r="174" spans="1:39">
      <c r="A174" s="2" t="s">
        <v>78</v>
      </c>
      <c r="B174" s="2" t="s">
        <v>98</v>
      </c>
      <c r="C174" s="2" t="s">
        <v>244</v>
      </c>
      <c r="D174" s="2" t="s">
        <v>245</v>
      </c>
      <c r="E174" s="2" t="s">
        <v>194</v>
      </c>
      <c r="F174" s="2" t="s">
        <v>416</v>
      </c>
      <c r="G174" s="9">
        <v>6000285</v>
      </c>
      <c r="H174" s="2" t="s">
        <v>149</v>
      </c>
      <c r="I174" s="2" t="s">
        <v>196</v>
      </c>
      <c r="J174" s="2" t="s">
        <v>83</v>
      </c>
      <c r="K174" s="2" t="s">
        <v>83</v>
      </c>
      <c r="L174" s="2" t="s">
        <v>185</v>
      </c>
      <c r="M174" s="2" t="s">
        <v>118</v>
      </c>
      <c r="N174" s="2" t="s">
        <v>223</v>
      </c>
      <c r="O174" s="2" t="s">
        <v>84</v>
      </c>
      <c r="P174" s="2" t="s">
        <v>247</v>
      </c>
      <c r="Q174" s="2" t="s">
        <v>199</v>
      </c>
      <c r="R174" s="2" t="s">
        <v>189</v>
      </c>
      <c r="S174" s="2" t="s">
        <v>87</v>
      </c>
      <c r="T174" s="5">
        <v>6.24</v>
      </c>
      <c r="U174" s="2" t="s">
        <v>417</v>
      </c>
      <c r="V174" s="6">
        <v>2.3900000000000001E-2</v>
      </c>
      <c r="W174" s="6">
        <v>2.5099999999999997E-2</v>
      </c>
      <c r="X174" s="2" t="s">
        <v>191</v>
      </c>
      <c r="Y174" s="2" t="s">
        <v>84</v>
      </c>
      <c r="Z174" s="5">
        <v>1200000</v>
      </c>
      <c r="AA174" s="5">
        <v>1</v>
      </c>
      <c r="AB174" s="5">
        <v>110.76</v>
      </c>
      <c r="AC174" s="5">
        <v>0</v>
      </c>
      <c r="AD174" s="5">
        <v>1329.12</v>
      </c>
      <c r="AE174" s="2" t="s">
        <v>3</v>
      </c>
      <c r="AF174" s="2" t="s">
        <v>3</v>
      </c>
      <c r="AG174" s="2" t="s">
        <v>27</v>
      </c>
      <c r="AH174" s="6">
        <v>3.0849999999999996E-4</v>
      </c>
      <c r="AI174" s="6">
        <v>8.9511E-3</v>
      </c>
      <c r="AJ174" s="6">
        <v>1.5920000000000001E-3</v>
      </c>
      <c r="AK174" s="2" t="s">
        <v>3</v>
      </c>
      <c r="AL174" s="56" t="s">
        <v>4</v>
      </c>
      <c r="AM174" s="56" t="s">
        <v>1</v>
      </c>
    </row>
    <row r="175" spans="1:39">
      <c r="A175" s="2" t="s">
        <v>78</v>
      </c>
      <c r="B175" s="2" t="s">
        <v>98</v>
      </c>
      <c r="C175" s="2" t="s">
        <v>244</v>
      </c>
      <c r="D175" s="2" t="s">
        <v>245</v>
      </c>
      <c r="E175" s="2" t="s">
        <v>194</v>
      </c>
      <c r="F175" s="2" t="s">
        <v>246</v>
      </c>
      <c r="G175" s="9">
        <v>6000392</v>
      </c>
      <c r="H175" s="2" t="s">
        <v>149</v>
      </c>
      <c r="I175" s="2" t="s">
        <v>196</v>
      </c>
      <c r="J175" s="2" t="s">
        <v>83</v>
      </c>
      <c r="K175" s="2" t="s">
        <v>83</v>
      </c>
      <c r="L175" s="2" t="s">
        <v>185</v>
      </c>
      <c r="M175" s="2" t="s">
        <v>118</v>
      </c>
      <c r="N175" s="2" t="s">
        <v>223</v>
      </c>
      <c r="O175" s="2" t="s">
        <v>84</v>
      </c>
      <c r="P175" s="2" t="s">
        <v>247</v>
      </c>
      <c r="Q175" s="2" t="s">
        <v>199</v>
      </c>
      <c r="R175" s="2" t="s">
        <v>189</v>
      </c>
      <c r="S175" s="2" t="s">
        <v>87</v>
      </c>
      <c r="T175" s="5">
        <v>11.12</v>
      </c>
      <c r="U175" s="2" t="s">
        <v>121</v>
      </c>
      <c r="V175" s="6">
        <v>1.2500000000000001E-2</v>
      </c>
      <c r="W175" s="6">
        <v>2.98E-2</v>
      </c>
      <c r="X175" s="2" t="s">
        <v>191</v>
      </c>
      <c r="Y175" s="2" t="s">
        <v>84</v>
      </c>
      <c r="Z175" s="5">
        <v>1697809</v>
      </c>
      <c r="AA175" s="5">
        <v>1</v>
      </c>
      <c r="AB175" s="5">
        <v>92.01</v>
      </c>
      <c r="AC175" s="5">
        <v>0</v>
      </c>
      <c r="AD175" s="5">
        <v>1562.1540600000001</v>
      </c>
      <c r="AE175" s="2" t="s">
        <v>3</v>
      </c>
      <c r="AF175" s="2" t="s">
        <v>3</v>
      </c>
      <c r="AG175" s="2" t="s">
        <v>27</v>
      </c>
      <c r="AH175" s="6">
        <v>3.9550000000000002E-4</v>
      </c>
      <c r="AI175" s="6">
        <v>1.0520499999999999E-2</v>
      </c>
      <c r="AJ175" s="6">
        <v>1.8712000000000002E-3</v>
      </c>
      <c r="AK175" s="2" t="s">
        <v>3</v>
      </c>
      <c r="AL175" s="56" t="s">
        <v>4</v>
      </c>
      <c r="AM175" s="56" t="s">
        <v>1</v>
      </c>
    </row>
    <row r="176" spans="1:39">
      <c r="A176" s="2" t="s">
        <v>78</v>
      </c>
      <c r="B176" s="2" t="s">
        <v>98</v>
      </c>
      <c r="C176" s="2" t="s">
        <v>248</v>
      </c>
      <c r="D176" s="2" t="s">
        <v>249</v>
      </c>
      <c r="E176" s="2" t="s">
        <v>194</v>
      </c>
      <c r="F176" s="2" t="s">
        <v>250</v>
      </c>
      <c r="G176" s="9">
        <v>1156603</v>
      </c>
      <c r="H176" s="2" t="s">
        <v>149</v>
      </c>
      <c r="I176" s="2" t="s">
        <v>196</v>
      </c>
      <c r="J176" s="2" t="s">
        <v>83</v>
      </c>
      <c r="K176" s="2" t="s">
        <v>83</v>
      </c>
      <c r="L176" s="2" t="s">
        <v>185</v>
      </c>
      <c r="M176" s="2" t="s">
        <v>118</v>
      </c>
      <c r="N176" s="2" t="s">
        <v>197</v>
      </c>
      <c r="O176" s="2" t="s">
        <v>84</v>
      </c>
      <c r="P176" s="2" t="s">
        <v>247</v>
      </c>
      <c r="Q176" s="2" t="s">
        <v>199</v>
      </c>
      <c r="R176" s="2" t="s">
        <v>189</v>
      </c>
      <c r="S176" s="2" t="s">
        <v>87</v>
      </c>
      <c r="T176" s="5">
        <v>2.86</v>
      </c>
      <c r="U176" s="2" t="s">
        <v>251</v>
      </c>
      <c r="V176" s="6">
        <v>1.77E-2</v>
      </c>
      <c r="W176" s="6">
        <v>2.1299999999999999E-2</v>
      </c>
      <c r="X176" s="2" t="s">
        <v>191</v>
      </c>
      <c r="Y176" s="2" t="s">
        <v>84</v>
      </c>
      <c r="Z176" s="5">
        <v>1000000</v>
      </c>
      <c r="AA176" s="5">
        <v>1</v>
      </c>
      <c r="AB176" s="5">
        <v>111.11</v>
      </c>
      <c r="AC176" s="5">
        <v>0</v>
      </c>
      <c r="AD176" s="5">
        <v>1111.0999999999999</v>
      </c>
      <c r="AE176" s="2" t="s">
        <v>3</v>
      </c>
      <c r="AF176" s="2" t="s">
        <v>3</v>
      </c>
      <c r="AG176" s="2" t="s">
        <v>27</v>
      </c>
      <c r="AH176" s="6">
        <v>3.6269999999999998E-4</v>
      </c>
      <c r="AI176" s="6">
        <v>7.4827999999999995E-3</v>
      </c>
      <c r="AJ176" s="6">
        <v>1.3309000000000001E-3</v>
      </c>
      <c r="AK176" s="2" t="s">
        <v>3</v>
      </c>
      <c r="AL176" s="56" t="s">
        <v>4</v>
      </c>
      <c r="AM176" s="56" t="s">
        <v>1</v>
      </c>
    </row>
    <row r="177" spans="1:39">
      <c r="A177" s="2" t="s">
        <v>78</v>
      </c>
      <c r="B177" s="2" t="s">
        <v>98</v>
      </c>
      <c r="C177" s="2" t="s">
        <v>252</v>
      </c>
      <c r="D177" s="2" t="s">
        <v>253</v>
      </c>
      <c r="E177" s="2" t="s">
        <v>194</v>
      </c>
      <c r="F177" s="2" t="s">
        <v>254</v>
      </c>
      <c r="G177" s="9">
        <v>5850110</v>
      </c>
      <c r="H177" s="2" t="s">
        <v>149</v>
      </c>
      <c r="I177" s="2" t="s">
        <v>204</v>
      </c>
      <c r="J177" s="2" t="s">
        <v>83</v>
      </c>
      <c r="K177" s="2" t="s">
        <v>83</v>
      </c>
      <c r="L177" s="2" t="s">
        <v>185</v>
      </c>
      <c r="M177" s="2" t="s">
        <v>118</v>
      </c>
      <c r="N177" s="2" t="s">
        <v>255</v>
      </c>
      <c r="O177" s="2" t="s">
        <v>84</v>
      </c>
      <c r="P177" s="2" t="s">
        <v>256</v>
      </c>
      <c r="Q177" s="2" t="s">
        <v>199</v>
      </c>
      <c r="R177" s="2" t="s">
        <v>189</v>
      </c>
      <c r="S177" s="2" t="s">
        <v>87</v>
      </c>
      <c r="T177" s="5">
        <v>5.22</v>
      </c>
      <c r="U177" s="2" t="s">
        <v>257</v>
      </c>
      <c r="V177" s="6">
        <v>1.95E-2</v>
      </c>
      <c r="W177" s="6">
        <v>5.0099999999999999E-2</v>
      </c>
      <c r="X177" s="2" t="s">
        <v>191</v>
      </c>
      <c r="Y177" s="2" t="s">
        <v>84</v>
      </c>
      <c r="Z177" s="5">
        <v>2614791.2999999998</v>
      </c>
      <c r="AA177" s="5">
        <v>1</v>
      </c>
      <c r="AB177" s="5">
        <v>85.74</v>
      </c>
      <c r="AC177" s="5">
        <v>0</v>
      </c>
      <c r="AD177" s="5">
        <v>2241.9220599999999</v>
      </c>
      <c r="AE177" s="2" t="s">
        <v>3</v>
      </c>
      <c r="AF177" s="2" t="s">
        <v>3</v>
      </c>
      <c r="AG177" s="2" t="s">
        <v>27</v>
      </c>
      <c r="AH177" s="6">
        <v>2.3890000000000001E-3</v>
      </c>
      <c r="AI177" s="6">
        <v>1.5098400000000001E-2</v>
      </c>
      <c r="AJ177" s="6">
        <v>2.6854000000000001E-3</v>
      </c>
      <c r="AK177" s="2" t="s">
        <v>3</v>
      </c>
      <c r="AL177" s="56" t="s">
        <v>4</v>
      </c>
      <c r="AM177" s="56" t="s">
        <v>1</v>
      </c>
    </row>
    <row r="178" spans="1:39">
      <c r="A178" s="2" t="s">
        <v>78</v>
      </c>
      <c r="B178" s="2" t="s">
        <v>98</v>
      </c>
      <c r="C178" s="2" t="s">
        <v>294</v>
      </c>
      <c r="D178" s="2" t="s">
        <v>295</v>
      </c>
      <c r="E178" s="2" t="s">
        <v>194</v>
      </c>
      <c r="F178" s="2" t="s">
        <v>296</v>
      </c>
      <c r="G178" s="9">
        <v>1161751</v>
      </c>
      <c r="H178" s="2" t="s">
        <v>149</v>
      </c>
      <c r="I178" s="2" t="s">
        <v>204</v>
      </c>
      <c r="J178" s="2" t="s">
        <v>83</v>
      </c>
      <c r="K178" s="2" t="s">
        <v>83</v>
      </c>
      <c r="L178" s="2" t="s">
        <v>185</v>
      </c>
      <c r="M178" s="2" t="s">
        <v>118</v>
      </c>
      <c r="N178" s="2" t="s">
        <v>215</v>
      </c>
      <c r="O178" s="2" t="s">
        <v>84</v>
      </c>
      <c r="P178" s="2" t="s">
        <v>297</v>
      </c>
      <c r="Q178" s="2" t="s">
        <v>86</v>
      </c>
      <c r="R178" s="2" t="s">
        <v>189</v>
      </c>
      <c r="S178" s="2" t="s">
        <v>87</v>
      </c>
      <c r="T178" s="5">
        <v>3.1</v>
      </c>
      <c r="U178" s="2" t="s">
        <v>298</v>
      </c>
      <c r="V178" s="6">
        <v>2.0499999999999997E-2</v>
      </c>
      <c r="W178" s="6">
        <v>5.0700000000000002E-2</v>
      </c>
      <c r="X178" s="2" t="s">
        <v>191</v>
      </c>
      <c r="Y178" s="2" t="s">
        <v>84</v>
      </c>
      <c r="Z178" s="5">
        <v>3873213.07</v>
      </c>
      <c r="AA178" s="5">
        <v>1</v>
      </c>
      <c r="AB178" s="5">
        <v>91.55</v>
      </c>
      <c r="AC178" s="5">
        <v>0</v>
      </c>
      <c r="AD178" s="5">
        <v>3545.9265599999999</v>
      </c>
      <c r="AE178" s="2" t="s">
        <v>3</v>
      </c>
      <c r="AF178" s="2" t="s">
        <v>3</v>
      </c>
      <c r="AG178" s="2" t="s">
        <v>27</v>
      </c>
      <c r="AH178" s="6">
        <v>7.9991000000000003E-3</v>
      </c>
      <c r="AI178" s="6">
        <v>2.38803E-2</v>
      </c>
      <c r="AJ178" s="6">
        <v>4.2474000000000001E-3</v>
      </c>
      <c r="AK178" s="2" t="s">
        <v>3</v>
      </c>
      <c r="AL178" s="56" t="s">
        <v>4</v>
      </c>
      <c r="AM178" s="56" t="s">
        <v>1</v>
      </c>
    </row>
    <row r="179" spans="1:39">
      <c r="A179" s="2" t="s">
        <v>78</v>
      </c>
      <c r="B179" s="2" t="s">
        <v>98</v>
      </c>
      <c r="C179" s="2" t="s">
        <v>459</v>
      </c>
      <c r="D179" s="2" t="s">
        <v>460</v>
      </c>
      <c r="E179" s="2" t="s">
        <v>194</v>
      </c>
      <c r="F179" s="2" t="s">
        <v>461</v>
      </c>
      <c r="G179" s="9">
        <v>1135888</v>
      </c>
      <c r="H179" s="2" t="s">
        <v>149</v>
      </c>
      <c r="I179" s="2" t="s">
        <v>196</v>
      </c>
      <c r="J179" s="2" t="s">
        <v>83</v>
      </c>
      <c r="K179" s="2" t="s">
        <v>83</v>
      </c>
      <c r="L179" s="2" t="s">
        <v>185</v>
      </c>
      <c r="M179" s="2" t="s">
        <v>118</v>
      </c>
      <c r="N179" s="2" t="s">
        <v>205</v>
      </c>
      <c r="O179" s="2" t="s">
        <v>84</v>
      </c>
      <c r="P179" s="2" t="s">
        <v>297</v>
      </c>
      <c r="Q179" s="2" t="s">
        <v>86</v>
      </c>
      <c r="R179" s="2" t="s">
        <v>189</v>
      </c>
      <c r="S179" s="2" t="s">
        <v>87</v>
      </c>
      <c r="T179" s="5">
        <v>3.14</v>
      </c>
      <c r="U179" s="2" t="s">
        <v>462</v>
      </c>
      <c r="V179" s="6">
        <v>3.9E-2</v>
      </c>
      <c r="W179" s="6">
        <v>3.5699999999999996E-2</v>
      </c>
      <c r="X179" s="2" t="s">
        <v>191</v>
      </c>
      <c r="Y179" s="2" t="s">
        <v>84</v>
      </c>
      <c r="Z179" s="5">
        <v>1125473.94</v>
      </c>
      <c r="AA179" s="5">
        <v>1</v>
      </c>
      <c r="AB179" s="5">
        <v>115.37</v>
      </c>
      <c r="AC179" s="5">
        <v>0</v>
      </c>
      <c r="AD179" s="5">
        <v>1298.45928</v>
      </c>
      <c r="AE179" s="2" t="s">
        <v>3</v>
      </c>
      <c r="AF179" s="2" t="s">
        <v>3</v>
      </c>
      <c r="AG179" s="2" t="s">
        <v>27</v>
      </c>
      <c r="AH179" s="6">
        <v>7.6439999999999993E-4</v>
      </c>
      <c r="AI179" s="6">
        <v>8.7445999999999999E-3</v>
      </c>
      <c r="AJ179" s="6">
        <v>1.5552999999999999E-3</v>
      </c>
      <c r="AK179" s="2" t="s">
        <v>3</v>
      </c>
      <c r="AL179" s="56" t="s">
        <v>4</v>
      </c>
      <c r="AM179" s="56" t="s">
        <v>1</v>
      </c>
    </row>
    <row r="180" spans="1:39">
      <c r="A180" s="2" t="s">
        <v>78</v>
      </c>
      <c r="B180" s="2" t="s">
        <v>98</v>
      </c>
      <c r="C180" s="2" t="s">
        <v>303</v>
      </c>
      <c r="D180" s="2" t="s">
        <v>304</v>
      </c>
      <c r="E180" s="2" t="s">
        <v>194</v>
      </c>
      <c r="F180" s="2" t="s">
        <v>421</v>
      </c>
      <c r="G180" s="9">
        <v>1260546</v>
      </c>
      <c r="H180" s="2" t="s">
        <v>149</v>
      </c>
      <c r="I180" s="2" t="s">
        <v>196</v>
      </c>
      <c r="J180" s="2" t="s">
        <v>83</v>
      </c>
      <c r="K180" s="2" t="s">
        <v>83</v>
      </c>
      <c r="L180" s="2" t="s">
        <v>185</v>
      </c>
      <c r="M180" s="2" t="s">
        <v>118</v>
      </c>
      <c r="N180" s="2" t="s">
        <v>228</v>
      </c>
      <c r="O180" s="2" t="s">
        <v>84</v>
      </c>
      <c r="P180" s="2" t="s">
        <v>306</v>
      </c>
      <c r="Q180" s="2" t="s">
        <v>86</v>
      </c>
      <c r="R180" s="2" t="s">
        <v>189</v>
      </c>
      <c r="S180" s="2" t="s">
        <v>87</v>
      </c>
      <c r="T180" s="5">
        <v>0.5</v>
      </c>
      <c r="U180" s="2" t="s">
        <v>422</v>
      </c>
      <c r="V180" s="6">
        <v>5.3499999999999999E-2</v>
      </c>
      <c r="W180" s="6">
        <v>1.95E-2</v>
      </c>
      <c r="X180" s="2" t="s">
        <v>191</v>
      </c>
      <c r="Y180" s="2" t="s">
        <v>84</v>
      </c>
      <c r="Z180" s="5">
        <v>1030347</v>
      </c>
      <c r="AA180" s="5">
        <v>1</v>
      </c>
      <c r="AB180" s="5">
        <v>117.67</v>
      </c>
      <c r="AC180" s="5">
        <v>0</v>
      </c>
      <c r="AD180" s="5">
        <v>1212.40931</v>
      </c>
      <c r="AE180" s="2" t="s">
        <v>3</v>
      </c>
      <c r="AF180" s="2" t="s">
        <v>3</v>
      </c>
      <c r="AG180" s="2" t="s">
        <v>27</v>
      </c>
      <c r="AH180" s="6">
        <v>3.1167E-3</v>
      </c>
      <c r="AI180" s="6">
        <v>8.1650999999999998E-3</v>
      </c>
      <c r="AJ180" s="6">
        <v>1.4521999999999998E-3</v>
      </c>
      <c r="AK180" s="2" t="s">
        <v>3</v>
      </c>
      <c r="AL180" s="56" t="s">
        <v>4</v>
      </c>
      <c r="AM180" s="56" t="s">
        <v>1</v>
      </c>
    </row>
    <row r="181" spans="1:39">
      <c r="A181" s="2" t="s">
        <v>78</v>
      </c>
      <c r="B181" s="2" t="s">
        <v>98</v>
      </c>
      <c r="C181" s="2" t="s">
        <v>303</v>
      </c>
      <c r="D181" s="2" t="s">
        <v>304</v>
      </c>
      <c r="E181" s="2" t="s">
        <v>194</v>
      </c>
      <c r="F181" s="2" t="s">
        <v>305</v>
      </c>
      <c r="G181" s="9">
        <v>1260603</v>
      </c>
      <c r="H181" s="2" t="s">
        <v>149</v>
      </c>
      <c r="I181" s="2" t="s">
        <v>196</v>
      </c>
      <c r="J181" s="2" t="s">
        <v>83</v>
      </c>
      <c r="K181" s="2" t="s">
        <v>83</v>
      </c>
      <c r="L181" s="2" t="s">
        <v>185</v>
      </c>
      <c r="M181" s="2" t="s">
        <v>118</v>
      </c>
      <c r="N181" s="2" t="s">
        <v>228</v>
      </c>
      <c r="O181" s="2" t="s">
        <v>84</v>
      </c>
      <c r="P181" s="2" t="s">
        <v>306</v>
      </c>
      <c r="Q181" s="2" t="s">
        <v>86</v>
      </c>
      <c r="R181" s="2" t="s">
        <v>189</v>
      </c>
      <c r="S181" s="2" t="s">
        <v>87</v>
      </c>
      <c r="T181" s="5">
        <v>1.97</v>
      </c>
      <c r="U181" s="2" t="s">
        <v>307</v>
      </c>
      <c r="V181" s="6">
        <v>0.04</v>
      </c>
      <c r="W181" s="6">
        <v>4.3700000000000003E-2</v>
      </c>
      <c r="X181" s="2" t="s">
        <v>191</v>
      </c>
      <c r="Y181" s="2" t="s">
        <v>84</v>
      </c>
      <c r="Z181" s="5">
        <v>3289806</v>
      </c>
      <c r="AA181" s="5">
        <v>1</v>
      </c>
      <c r="AB181" s="5">
        <v>111.92</v>
      </c>
      <c r="AC181" s="5">
        <v>0</v>
      </c>
      <c r="AD181" s="5">
        <v>3681.9508700000001</v>
      </c>
      <c r="AE181" s="2" t="s">
        <v>3</v>
      </c>
      <c r="AF181" s="2" t="s">
        <v>3</v>
      </c>
      <c r="AG181" s="2" t="s">
        <v>27</v>
      </c>
      <c r="AH181" s="6">
        <v>1.2675E-3</v>
      </c>
      <c r="AI181" s="6">
        <v>2.47964E-2</v>
      </c>
      <c r="AJ181" s="6">
        <v>4.4102999999999998E-3</v>
      </c>
      <c r="AK181" s="2" t="s">
        <v>3</v>
      </c>
      <c r="AL181" s="56" t="s">
        <v>4</v>
      </c>
      <c r="AM181" s="56" t="s">
        <v>1</v>
      </c>
    </row>
    <row r="182" spans="1:39">
      <c r="A182" s="2" t="s">
        <v>78</v>
      </c>
      <c r="B182" s="2" t="s">
        <v>98</v>
      </c>
      <c r="C182" s="2" t="s">
        <v>308</v>
      </c>
      <c r="D182" s="2" t="s">
        <v>309</v>
      </c>
      <c r="E182" s="2" t="s">
        <v>194</v>
      </c>
      <c r="F182" s="2" t="s">
        <v>310</v>
      </c>
      <c r="G182" s="9">
        <v>6120240</v>
      </c>
      <c r="H182" s="2" t="s">
        <v>149</v>
      </c>
      <c r="I182" s="2" t="s">
        <v>196</v>
      </c>
      <c r="J182" s="2" t="s">
        <v>83</v>
      </c>
      <c r="K182" s="2" t="s">
        <v>83</v>
      </c>
      <c r="L182" s="2" t="s">
        <v>185</v>
      </c>
      <c r="M182" s="2" t="s">
        <v>118</v>
      </c>
      <c r="N182" s="2" t="s">
        <v>197</v>
      </c>
      <c r="O182" s="2" t="s">
        <v>84</v>
      </c>
      <c r="P182" s="2" t="s">
        <v>306</v>
      </c>
      <c r="Q182" s="2" t="s">
        <v>86</v>
      </c>
      <c r="R182" s="2" t="s">
        <v>189</v>
      </c>
      <c r="S182" s="2" t="s">
        <v>87</v>
      </c>
      <c r="T182" s="5">
        <v>1.69</v>
      </c>
      <c r="U182" s="2" t="s">
        <v>307</v>
      </c>
      <c r="V182" s="6">
        <v>2.2499999999999999E-2</v>
      </c>
      <c r="W182" s="6">
        <v>3.1E-2</v>
      </c>
      <c r="X182" s="2" t="s">
        <v>191</v>
      </c>
      <c r="Y182" s="2" t="s">
        <v>84</v>
      </c>
      <c r="Z182" s="5">
        <v>780567.28</v>
      </c>
      <c r="AA182" s="5">
        <v>1</v>
      </c>
      <c r="AB182" s="5">
        <v>110.87</v>
      </c>
      <c r="AC182" s="5">
        <v>0</v>
      </c>
      <c r="AD182" s="5">
        <v>865.41494</v>
      </c>
      <c r="AE182" s="2" t="s">
        <v>3</v>
      </c>
      <c r="AF182" s="2" t="s">
        <v>3</v>
      </c>
      <c r="AG182" s="2" t="s">
        <v>27</v>
      </c>
      <c r="AH182" s="6">
        <v>1.5634000000000002E-3</v>
      </c>
      <c r="AI182" s="6">
        <v>5.8282000000000004E-3</v>
      </c>
      <c r="AJ182" s="6">
        <v>1.0365999999999999E-3</v>
      </c>
      <c r="AK182" s="2" t="s">
        <v>3</v>
      </c>
      <c r="AL182" s="56" t="s">
        <v>4</v>
      </c>
      <c r="AM182" s="56" t="s">
        <v>1</v>
      </c>
    </row>
    <row r="183" spans="1:39">
      <c r="A183" s="2" t="s">
        <v>78</v>
      </c>
      <c r="B183" s="2" t="s">
        <v>98</v>
      </c>
      <c r="C183" s="2" t="s">
        <v>311</v>
      </c>
      <c r="D183" s="2" t="s">
        <v>312</v>
      </c>
      <c r="E183" s="2" t="s">
        <v>194</v>
      </c>
      <c r="F183" s="2" t="s">
        <v>313</v>
      </c>
      <c r="G183" s="9">
        <v>7390149</v>
      </c>
      <c r="H183" s="2" t="s">
        <v>149</v>
      </c>
      <c r="I183" s="2" t="s">
        <v>204</v>
      </c>
      <c r="J183" s="2" t="s">
        <v>83</v>
      </c>
      <c r="K183" s="2" t="s">
        <v>83</v>
      </c>
      <c r="L183" s="2" t="s">
        <v>185</v>
      </c>
      <c r="M183" s="2" t="s">
        <v>118</v>
      </c>
      <c r="N183" s="2" t="s">
        <v>314</v>
      </c>
      <c r="O183" s="2" t="s">
        <v>84</v>
      </c>
      <c r="P183" s="2" t="s">
        <v>315</v>
      </c>
      <c r="Q183" s="2" t="s">
        <v>86</v>
      </c>
      <c r="R183" s="2" t="s">
        <v>189</v>
      </c>
      <c r="S183" s="2" t="s">
        <v>87</v>
      </c>
      <c r="T183" s="5">
        <v>1.2</v>
      </c>
      <c r="U183" s="2" t="s">
        <v>316</v>
      </c>
      <c r="V183" s="6">
        <v>0.04</v>
      </c>
      <c r="W183" s="6">
        <v>4.8899999999999999E-2</v>
      </c>
      <c r="X183" s="2" t="s">
        <v>191</v>
      </c>
      <c r="Y183" s="2" t="s">
        <v>84</v>
      </c>
      <c r="Z183" s="5">
        <v>1526944.36</v>
      </c>
      <c r="AA183" s="5">
        <v>1</v>
      </c>
      <c r="AB183" s="5">
        <v>100.02</v>
      </c>
      <c r="AC183" s="5">
        <v>0</v>
      </c>
      <c r="AD183" s="5">
        <v>1527.24974</v>
      </c>
      <c r="AE183" s="2" t="s">
        <v>3</v>
      </c>
      <c r="AF183" s="2" t="s">
        <v>3</v>
      </c>
      <c r="AG183" s="2" t="s">
        <v>27</v>
      </c>
      <c r="AH183" s="6">
        <v>7.7259999999999994E-3</v>
      </c>
      <c r="AI183" s="6">
        <v>1.02854E-2</v>
      </c>
      <c r="AJ183" s="6">
        <v>1.8293999999999999E-3</v>
      </c>
      <c r="AK183" s="2" t="s">
        <v>3</v>
      </c>
      <c r="AL183" s="56" t="s">
        <v>4</v>
      </c>
      <c r="AM183" s="56" t="s">
        <v>1</v>
      </c>
    </row>
    <row r="184" spans="1:39">
      <c r="A184" s="2" t="s">
        <v>78</v>
      </c>
      <c r="B184" s="2" t="s">
        <v>98</v>
      </c>
      <c r="C184" s="2" t="s">
        <v>311</v>
      </c>
      <c r="D184" s="2" t="s">
        <v>312</v>
      </c>
      <c r="E184" s="2" t="s">
        <v>194</v>
      </c>
      <c r="F184" s="2" t="s">
        <v>317</v>
      </c>
      <c r="G184" s="9">
        <v>7390222</v>
      </c>
      <c r="H184" s="2" t="s">
        <v>149</v>
      </c>
      <c r="I184" s="2" t="s">
        <v>204</v>
      </c>
      <c r="J184" s="2" t="s">
        <v>83</v>
      </c>
      <c r="K184" s="2" t="s">
        <v>83</v>
      </c>
      <c r="L184" s="2" t="s">
        <v>185</v>
      </c>
      <c r="M184" s="2" t="s">
        <v>118</v>
      </c>
      <c r="N184" s="2" t="s">
        <v>314</v>
      </c>
      <c r="O184" s="2" t="s">
        <v>84</v>
      </c>
      <c r="P184" s="2" t="s">
        <v>315</v>
      </c>
      <c r="Q184" s="2" t="s">
        <v>86</v>
      </c>
      <c r="R184" s="2" t="s">
        <v>189</v>
      </c>
      <c r="S184" s="2" t="s">
        <v>87</v>
      </c>
      <c r="T184" s="5">
        <v>3.41</v>
      </c>
      <c r="U184" s="2" t="s">
        <v>318</v>
      </c>
      <c r="V184" s="6">
        <v>0.04</v>
      </c>
      <c r="W184" s="6">
        <v>5.0199999999999995E-2</v>
      </c>
      <c r="X184" s="2" t="s">
        <v>191</v>
      </c>
      <c r="Y184" s="2" t="s">
        <v>84</v>
      </c>
      <c r="Z184" s="5">
        <v>2381250.08</v>
      </c>
      <c r="AA184" s="5">
        <v>1</v>
      </c>
      <c r="AB184" s="5">
        <v>97.7</v>
      </c>
      <c r="AC184" s="5">
        <v>0</v>
      </c>
      <c r="AD184" s="5">
        <v>2326.4813199999999</v>
      </c>
      <c r="AE184" s="2" t="s">
        <v>3</v>
      </c>
      <c r="AF184" s="2" t="s">
        <v>3</v>
      </c>
      <c r="AG184" s="2" t="s">
        <v>27</v>
      </c>
      <c r="AH184" s="6">
        <v>3.5148000000000002E-3</v>
      </c>
      <c r="AI184" s="6">
        <v>1.5667899999999998E-2</v>
      </c>
      <c r="AJ184" s="6">
        <v>2.7866999999999996E-3</v>
      </c>
      <c r="AK184" s="2" t="s">
        <v>3</v>
      </c>
      <c r="AL184" s="56" t="s">
        <v>4</v>
      </c>
      <c r="AM184" s="56" t="s">
        <v>1</v>
      </c>
    </row>
    <row r="185" spans="1:39">
      <c r="A185" s="2" t="s">
        <v>78</v>
      </c>
      <c r="B185" s="2" t="s">
        <v>98</v>
      </c>
      <c r="C185" s="2" t="s">
        <v>319</v>
      </c>
      <c r="D185" s="2" t="s">
        <v>320</v>
      </c>
      <c r="E185" s="2" t="s">
        <v>194</v>
      </c>
      <c r="F185" s="2" t="s">
        <v>321</v>
      </c>
      <c r="G185" s="9">
        <v>2590511</v>
      </c>
      <c r="H185" s="2" t="s">
        <v>149</v>
      </c>
      <c r="I185" s="2" t="s">
        <v>204</v>
      </c>
      <c r="J185" s="2" t="s">
        <v>83</v>
      </c>
      <c r="K185" s="2" t="s">
        <v>83</v>
      </c>
      <c r="L185" s="2" t="s">
        <v>185</v>
      </c>
      <c r="M185" s="2" t="s">
        <v>118</v>
      </c>
      <c r="N185" s="2" t="s">
        <v>223</v>
      </c>
      <c r="O185" s="2" t="s">
        <v>84</v>
      </c>
      <c r="P185" s="2" t="s">
        <v>315</v>
      </c>
      <c r="Q185" s="2" t="s">
        <v>86</v>
      </c>
      <c r="R185" s="2" t="s">
        <v>189</v>
      </c>
      <c r="S185" s="2" t="s">
        <v>87</v>
      </c>
      <c r="T185" s="5">
        <v>2.72</v>
      </c>
      <c r="U185" s="2" t="s">
        <v>322</v>
      </c>
      <c r="V185" s="6">
        <v>2.7000000000000003E-2</v>
      </c>
      <c r="W185" s="6">
        <v>5.28E-2</v>
      </c>
      <c r="X185" s="2" t="s">
        <v>191</v>
      </c>
      <c r="Y185" s="2" t="s">
        <v>84</v>
      </c>
      <c r="Z185" s="5">
        <v>3562011.44</v>
      </c>
      <c r="AA185" s="5">
        <v>1</v>
      </c>
      <c r="AB185" s="5">
        <v>93.45</v>
      </c>
      <c r="AC185" s="5">
        <v>0</v>
      </c>
      <c r="AD185" s="5">
        <v>3328.6996899999999</v>
      </c>
      <c r="AE185" s="2" t="s">
        <v>3</v>
      </c>
      <c r="AF185" s="2" t="s">
        <v>3</v>
      </c>
      <c r="AG185" s="2" t="s">
        <v>27</v>
      </c>
      <c r="AH185" s="6">
        <v>5.0616000000000003E-3</v>
      </c>
      <c r="AI185" s="6">
        <v>2.2417400000000001E-2</v>
      </c>
      <c r="AJ185" s="6">
        <v>3.9871999999999998E-3</v>
      </c>
      <c r="AK185" s="2" t="s">
        <v>3</v>
      </c>
      <c r="AL185" s="56" t="s">
        <v>4</v>
      </c>
      <c r="AM185" s="56" t="s">
        <v>1</v>
      </c>
    </row>
    <row r="186" spans="1:39">
      <c r="A186" s="2" t="s">
        <v>78</v>
      </c>
      <c r="B186" s="2" t="s">
        <v>98</v>
      </c>
      <c r="C186" s="2" t="s">
        <v>323</v>
      </c>
      <c r="D186" s="2" t="s">
        <v>324</v>
      </c>
      <c r="E186" s="2" t="s">
        <v>194</v>
      </c>
      <c r="F186" s="2" t="s">
        <v>325</v>
      </c>
      <c r="G186" s="9">
        <v>5760301</v>
      </c>
      <c r="H186" s="2" t="s">
        <v>149</v>
      </c>
      <c r="I186" s="2" t="s">
        <v>204</v>
      </c>
      <c r="J186" s="2" t="s">
        <v>83</v>
      </c>
      <c r="K186" s="2" t="s">
        <v>83</v>
      </c>
      <c r="L186" s="2" t="s">
        <v>185</v>
      </c>
      <c r="M186" s="2" t="s">
        <v>118</v>
      </c>
      <c r="N186" s="2" t="s">
        <v>314</v>
      </c>
      <c r="O186" s="2" t="s">
        <v>84</v>
      </c>
      <c r="P186" s="2" t="s">
        <v>315</v>
      </c>
      <c r="Q186" s="2" t="s">
        <v>86</v>
      </c>
      <c r="R186" s="2" t="s">
        <v>189</v>
      </c>
      <c r="S186" s="2" t="s">
        <v>87</v>
      </c>
      <c r="T186" s="5">
        <v>2.64</v>
      </c>
      <c r="U186" s="2" t="s">
        <v>251</v>
      </c>
      <c r="V186" s="6">
        <v>2.2000000000000002E-2</v>
      </c>
      <c r="W186" s="6">
        <v>4.7699999999999992E-2</v>
      </c>
      <c r="X186" s="2" t="s">
        <v>191</v>
      </c>
      <c r="Y186" s="2" t="s">
        <v>84</v>
      </c>
      <c r="Z186" s="5">
        <v>1032892.44</v>
      </c>
      <c r="AA186" s="5">
        <v>1</v>
      </c>
      <c r="AB186" s="5">
        <v>94.15</v>
      </c>
      <c r="AC186" s="5">
        <v>0</v>
      </c>
      <c r="AD186" s="5">
        <v>972.46822999999995</v>
      </c>
      <c r="AE186" s="2" t="s">
        <v>3</v>
      </c>
      <c r="AF186" s="2" t="s">
        <v>3</v>
      </c>
      <c r="AG186" s="2" t="s">
        <v>27</v>
      </c>
      <c r="AH186" s="6">
        <v>8.9349999999999998E-4</v>
      </c>
      <c r="AI186" s="6">
        <v>6.5491999999999998E-3</v>
      </c>
      <c r="AJ186" s="6">
        <v>1.1647999999999999E-3</v>
      </c>
      <c r="AK186" s="2" t="s">
        <v>3</v>
      </c>
      <c r="AL186" s="56" t="s">
        <v>4</v>
      </c>
      <c r="AM186" s="56" t="s">
        <v>1</v>
      </c>
    </row>
    <row r="187" spans="1:39">
      <c r="A187" s="2" t="s">
        <v>78</v>
      </c>
      <c r="B187" s="2" t="s">
        <v>98</v>
      </c>
      <c r="C187" s="2" t="s">
        <v>326</v>
      </c>
      <c r="D187" s="2" t="s">
        <v>327</v>
      </c>
      <c r="E187" s="2" t="s">
        <v>194</v>
      </c>
      <c r="F187" s="2" t="s">
        <v>328</v>
      </c>
      <c r="G187" s="9">
        <v>1141696</v>
      </c>
      <c r="H187" s="2" t="s">
        <v>149</v>
      </c>
      <c r="I187" s="2" t="s">
        <v>196</v>
      </c>
      <c r="J187" s="2" t="s">
        <v>83</v>
      </c>
      <c r="K187" s="2" t="s">
        <v>83</v>
      </c>
      <c r="L187" s="2" t="s">
        <v>185</v>
      </c>
      <c r="M187" s="2" t="s">
        <v>118</v>
      </c>
      <c r="N187" s="2" t="s">
        <v>197</v>
      </c>
      <c r="O187" s="2" t="s">
        <v>84</v>
      </c>
      <c r="P187" s="2" t="s">
        <v>315</v>
      </c>
      <c r="Q187" s="2" t="s">
        <v>86</v>
      </c>
      <c r="R187" s="2" t="s">
        <v>189</v>
      </c>
      <c r="S187" s="2" t="s">
        <v>87</v>
      </c>
      <c r="T187" s="5">
        <v>2.08</v>
      </c>
      <c r="U187" s="2" t="s">
        <v>229</v>
      </c>
      <c r="V187" s="6">
        <v>2.0499999999999997E-2</v>
      </c>
      <c r="W187" s="6">
        <v>2.4900000000000002E-2</v>
      </c>
      <c r="X187" s="2" t="s">
        <v>191</v>
      </c>
      <c r="Y187" s="2" t="s">
        <v>84</v>
      </c>
      <c r="Z187" s="5">
        <v>522000</v>
      </c>
      <c r="AA187" s="5">
        <v>1</v>
      </c>
      <c r="AB187" s="5">
        <v>112.41</v>
      </c>
      <c r="AC187" s="5">
        <v>0</v>
      </c>
      <c r="AD187" s="5">
        <v>586.78020000000004</v>
      </c>
      <c r="AE187" s="2" t="s">
        <v>3</v>
      </c>
      <c r="AF187" s="2" t="s">
        <v>3</v>
      </c>
      <c r="AG187" s="2" t="s">
        <v>27</v>
      </c>
      <c r="AH187" s="6">
        <v>5.9230000000000003E-4</v>
      </c>
      <c r="AI187" s="6">
        <v>3.9516999999999998E-3</v>
      </c>
      <c r="AJ187" s="6">
        <v>7.0290000000000001E-4</v>
      </c>
      <c r="AK187" s="2" t="s">
        <v>3</v>
      </c>
      <c r="AL187" s="56" t="s">
        <v>4</v>
      </c>
      <c r="AM187" s="56" t="s">
        <v>1</v>
      </c>
    </row>
    <row r="188" spans="1:39">
      <c r="A188" s="2" t="s">
        <v>78</v>
      </c>
      <c r="B188" s="2" t="s">
        <v>98</v>
      </c>
      <c r="C188" s="2" t="s">
        <v>329</v>
      </c>
      <c r="D188" s="2" t="s">
        <v>330</v>
      </c>
      <c r="E188" s="2" t="s">
        <v>194</v>
      </c>
      <c r="F188" s="2" t="s">
        <v>331</v>
      </c>
      <c r="G188" s="9">
        <v>1143080</v>
      </c>
      <c r="H188" s="2" t="s">
        <v>149</v>
      </c>
      <c r="I188" s="2" t="s">
        <v>204</v>
      </c>
      <c r="J188" s="2" t="s">
        <v>83</v>
      </c>
      <c r="K188" s="2" t="s">
        <v>83</v>
      </c>
      <c r="L188" s="2" t="s">
        <v>185</v>
      </c>
      <c r="M188" s="2" t="s">
        <v>118</v>
      </c>
      <c r="N188" s="2" t="s">
        <v>332</v>
      </c>
      <c r="O188" s="2" t="s">
        <v>84</v>
      </c>
      <c r="P188" s="2" t="s">
        <v>315</v>
      </c>
      <c r="Q188" s="2" t="s">
        <v>86</v>
      </c>
      <c r="R188" s="2" t="s">
        <v>189</v>
      </c>
      <c r="S188" s="2" t="s">
        <v>87</v>
      </c>
      <c r="T188" s="5">
        <v>2.31</v>
      </c>
      <c r="U188" s="2" t="s">
        <v>333</v>
      </c>
      <c r="V188" s="6">
        <v>2.5000000000000001E-2</v>
      </c>
      <c r="W188" s="6">
        <v>4.8300000000000003E-2</v>
      </c>
      <c r="X188" s="2" t="s">
        <v>191</v>
      </c>
      <c r="Y188" s="2" t="s">
        <v>84</v>
      </c>
      <c r="Z188" s="5">
        <v>2628489.65</v>
      </c>
      <c r="AA188" s="5">
        <v>1</v>
      </c>
      <c r="AB188" s="5">
        <v>95.46</v>
      </c>
      <c r="AC188" s="5">
        <v>0</v>
      </c>
      <c r="AD188" s="5">
        <v>2509.1562100000001</v>
      </c>
      <c r="AE188" s="2" t="s">
        <v>3</v>
      </c>
      <c r="AF188" s="2" t="s">
        <v>3</v>
      </c>
      <c r="AG188" s="2" t="s">
        <v>27</v>
      </c>
      <c r="AH188" s="6">
        <v>2.8233000000000004E-3</v>
      </c>
      <c r="AI188" s="6">
        <v>1.6898099999999999E-2</v>
      </c>
      <c r="AJ188" s="6">
        <v>3.0054999999999999E-3</v>
      </c>
      <c r="AK188" s="2" t="s">
        <v>3</v>
      </c>
      <c r="AL188" s="56" t="s">
        <v>4</v>
      </c>
      <c r="AM188" s="56" t="s">
        <v>1</v>
      </c>
    </row>
    <row r="189" spans="1:39">
      <c r="A189" s="2" t="s">
        <v>78</v>
      </c>
      <c r="B189" s="2" t="s">
        <v>98</v>
      </c>
      <c r="C189" s="2" t="s">
        <v>334</v>
      </c>
      <c r="D189" s="2" t="s">
        <v>335</v>
      </c>
      <c r="E189" s="2" t="s">
        <v>194</v>
      </c>
      <c r="F189" s="2" t="s">
        <v>423</v>
      </c>
      <c r="G189" s="9">
        <v>1132505</v>
      </c>
      <c r="H189" s="2" t="s">
        <v>149</v>
      </c>
      <c r="I189" s="2" t="s">
        <v>204</v>
      </c>
      <c r="J189" s="2" t="s">
        <v>83</v>
      </c>
      <c r="K189" s="2" t="s">
        <v>83</v>
      </c>
      <c r="L189" s="2" t="s">
        <v>185</v>
      </c>
      <c r="M189" s="2" t="s">
        <v>118</v>
      </c>
      <c r="N189" s="2" t="s">
        <v>223</v>
      </c>
      <c r="O189" s="2" t="s">
        <v>84</v>
      </c>
      <c r="P189" s="2" t="s">
        <v>315</v>
      </c>
      <c r="Q189" s="2" t="s">
        <v>86</v>
      </c>
      <c r="R189" s="2" t="s">
        <v>189</v>
      </c>
      <c r="S189" s="2" t="s">
        <v>87</v>
      </c>
      <c r="T189" s="5">
        <v>0.16</v>
      </c>
      <c r="U189" s="2" t="s">
        <v>424</v>
      </c>
      <c r="V189" s="6">
        <v>6.1500000000000006E-2</v>
      </c>
      <c r="W189" s="6">
        <v>5.4199999999999998E-2</v>
      </c>
      <c r="X189" s="2" t="s">
        <v>191</v>
      </c>
      <c r="Y189" s="2" t="s">
        <v>84</v>
      </c>
      <c r="Z189" s="5">
        <v>349415</v>
      </c>
      <c r="AA189" s="5">
        <v>1</v>
      </c>
      <c r="AB189" s="5">
        <v>100.66</v>
      </c>
      <c r="AC189" s="5">
        <v>0</v>
      </c>
      <c r="AD189" s="5">
        <v>351.72113000000002</v>
      </c>
      <c r="AE189" s="2" t="s">
        <v>3</v>
      </c>
      <c r="AF189" s="2" t="s">
        <v>3</v>
      </c>
      <c r="AG189" s="2" t="s">
        <v>27</v>
      </c>
      <c r="AH189" s="6">
        <v>5.0299999999999997E-4</v>
      </c>
      <c r="AI189" s="6">
        <v>2.3687000000000001E-3</v>
      </c>
      <c r="AJ189" s="6">
        <v>4.2129999999999999E-4</v>
      </c>
      <c r="AK189" s="2" t="s">
        <v>3</v>
      </c>
      <c r="AL189" s="56" t="s">
        <v>4</v>
      </c>
      <c r="AM189" s="56" t="s">
        <v>1</v>
      </c>
    </row>
    <row r="190" spans="1:39">
      <c r="A190" s="2" t="s">
        <v>78</v>
      </c>
      <c r="B190" s="2" t="s">
        <v>98</v>
      </c>
      <c r="C190" s="2" t="s">
        <v>338</v>
      </c>
      <c r="D190" s="2" t="s">
        <v>339</v>
      </c>
      <c r="E190" s="2" t="s">
        <v>194</v>
      </c>
      <c r="F190" s="2" t="s">
        <v>340</v>
      </c>
      <c r="G190" s="9">
        <v>1156397</v>
      </c>
      <c r="H190" s="2" t="s">
        <v>149</v>
      </c>
      <c r="I190" s="2" t="s">
        <v>204</v>
      </c>
      <c r="J190" s="2" t="s">
        <v>83</v>
      </c>
      <c r="K190" s="2" t="s">
        <v>83</v>
      </c>
      <c r="L190" s="2" t="s">
        <v>185</v>
      </c>
      <c r="M190" s="2" t="s">
        <v>118</v>
      </c>
      <c r="N190" s="2" t="s">
        <v>332</v>
      </c>
      <c r="O190" s="2" t="s">
        <v>84</v>
      </c>
      <c r="P190" s="2" t="s">
        <v>315</v>
      </c>
      <c r="Q190" s="2" t="s">
        <v>86</v>
      </c>
      <c r="R190" s="2" t="s">
        <v>189</v>
      </c>
      <c r="S190" s="2" t="s">
        <v>87</v>
      </c>
      <c r="T190" s="5">
        <v>2.2000000000000002</v>
      </c>
      <c r="U190" s="2" t="s">
        <v>341</v>
      </c>
      <c r="V190" s="6">
        <v>0.04</v>
      </c>
      <c r="W190" s="6">
        <v>4.7300000000000002E-2</v>
      </c>
      <c r="X190" s="2" t="s">
        <v>191</v>
      </c>
      <c r="Y190" s="2" t="s">
        <v>84</v>
      </c>
      <c r="Z190" s="5">
        <v>910318.22</v>
      </c>
      <c r="AA190" s="5">
        <v>1</v>
      </c>
      <c r="AB190" s="5">
        <v>101.47</v>
      </c>
      <c r="AC190" s="5">
        <v>0</v>
      </c>
      <c r="AD190" s="5">
        <v>923.69988999999998</v>
      </c>
      <c r="AE190" s="2" t="s">
        <v>3</v>
      </c>
      <c r="AF190" s="2" t="s">
        <v>3</v>
      </c>
      <c r="AG190" s="2" t="s">
        <v>27</v>
      </c>
      <c r="AH190" s="6">
        <v>1.3372999999999998E-3</v>
      </c>
      <c r="AI190" s="6">
        <v>6.2207E-3</v>
      </c>
      <c r="AJ190" s="6">
        <v>1.1064E-3</v>
      </c>
      <c r="AK190" s="2" t="s">
        <v>3</v>
      </c>
      <c r="AL190" s="56" t="s">
        <v>4</v>
      </c>
      <c r="AM190" s="56" t="s">
        <v>1</v>
      </c>
    </row>
    <row r="191" spans="1:39">
      <c r="A191" s="2" t="s">
        <v>78</v>
      </c>
      <c r="B191" s="2" t="s">
        <v>98</v>
      </c>
      <c r="C191" s="2" t="s">
        <v>521</v>
      </c>
      <c r="D191" s="2" t="s">
        <v>522</v>
      </c>
      <c r="E191" s="2" t="s">
        <v>194</v>
      </c>
      <c r="F191" s="2" t="s">
        <v>523</v>
      </c>
      <c r="G191" s="9">
        <v>1161512</v>
      </c>
      <c r="H191" s="2" t="s">
        <v>149</v>
      </c>
      <c r="I191" s="2" t="s">
        <v>196</v>
      </c>
      <c r="J191" s="2" t="s">
        <v>83</v>
      </c>
      <c r="K191" s="2" t="s">
        <v>83</v>
      </c>
      <c r="L191" s="2" t="s">
        <v>185</v>
      </c>
      <c r="M191" s="2" t="s">
        <v>118</v>
      </c>
      <c r="N191" s="2" t="s">
        <v>197</v>
      </c>
      <c r="O191" s="2" t="s">
        <v>84</v>
      </c>
      <c r="P191" s="2" t="s">
        <v>345</v>
      </c>
      <c r="Q191" s="2" t="s">
        <v>86</v>
      </c>
      <c r="R191" s="2" t="s">
        <v>189</v>
      </c>
      <c r="S191" s="2" t="s">
        <v>87</v>
      </c>
      <c r="T191" s="5">
        <v>1.61</v>
      </c>
      <c r="U191" s="2" t="s">
        <v>524</v>
      </c>
      <c r="V191" s="6">
        <v>2E-3</v>
      </c>
      <c r="W191" s="6">
        <v>2.1499999999999998E-2</v>
      </c>
      <c r="X191" s="2" t="s">
        <v>191</v>
      </c>
      <c r="Y191" s="2" t="s">
        <v>84</v>
      </c>
      <c r="Z191" s="5">
        <v>520800</v>
      </c>
      <c r="AA191" s="5">
        <v>1</v>
      </c>
      <c r="AB191" s="5">
        <v>107.31</v>
      </c>
      <c r="AC191" s="5">
        <v>0</v>
      </c>
      <c r="AD191" s="5">
        <v>558.87048000000004</v>
      </c>
      <c r="AE191" s="2" t="s">
        <v>3</v>
      </c>
      <c r="AF191" s="2" t="s">
        <v>3</v>
      </c>
      <c r="AG191" s="2" t="s">
        <v>27</v>
      </c>
      <c r="AH191" s="6">
        <v>1.6533000000000001E-3</v>
      </c>
      <c r="AI191" s="6">
        <v>3.7637999999999999E-3</v>
      </c>
      <c r="AJ191" s="6">
        <v>6.6940000000000001E-4</v>
      </c>
      <c r="AK191" s="2" t="s">
        <v>3</v>
      </c>
      <c r="AL191" s="56" t="s">
        <v>4</v>
      </c>
      <c r="AM191" s="56" t="s">
        <v>1</v>
      </c>
    </row>
    <row r="192" spans="1:39">
      <c r="A192" s="2" t="s">
        <v>78</v>
      </c>
      <c r="B192" s="2" t="s">
        <v>98</v>
      </c>
      <c r="C192" s="2" t="s">
        <v>350</v>
      </c>
      <c r="D192" s="2" t="s">
        <v>351</v>
      </c>
      <c r="E192" s="2" t="s">
        <v>194</v>
      </c>
      <c r="F192" s="2" t="s">
        <v>352</v>
      </c>
      <c r="G192" s="9">
        <v>7590219</v>
      </c>
      <c r="H192" s="2" t="s">
        <v>149</v>
      </c>
      <c r="I192" s="2" t="s">
        <v>196</v>
      </c>
      <c r="J192" s="2" t="s">
        <v>83</v>
      </c>
      <c r="K192" s="2" t="s">
        <v>83</v>
      </c>
      <c r="L192" s="2" t="s">
        <v>185</v>
      </c>
      <c r="M192" s="2" t="s">
        <v>118</v>
      </c>
      <c r="N192" s="2" t="s">
        <v>197</v>
      </c>
      <c r="O192" s="2" t="s">
        <v>84</v>
      </c>
      <c r="P192" s="2" t="s">
        <v>345</v>
      </c>
      <c r="Q192" s="2" t="s">
        <v>86</v>
      </c>
      <c r="R192" s="2" t="s">
        <v>189</v>
      </c>
      <c r="S192" s="2" t="s">
        <v>87</v>
      </c>
      <c r="T192" s="5">
        <v>3.84</v>
      </c>
      <c r="U192" s="2" t="s">
        <v>353</v>
      </c>
      <c r="V192" s="6">
        <v>5.0000000000000001E-3</v>
      </c>
      <c r="W192" s="6">
        <v>2.5600000000000001E-2</v>
      </c>
      <c r="X192" s="2" t="s">
        <v>191</v>
      </c>
      <c r="Y192" s="2" t="s">
        <v>84</v>
      </c>
      <c r="Z192" s="5">
        <v>1028566.03</v>
      </c>
      <c r="AA192" s="5">
        <v>1</v>
      </c>
      <c r="AB192" s="5">
        <v>103.12</v>
      </c>
      <c r="AC192" s="5">
        <v>0</v>
      </c>
      <c r="AD192" s="5">
        <v>1060.6572900000001</v>
      </c>
      <c r="AE192" s="2" t="s">
        <v>3</v>
      </c>
      <c r="AF192" s="2" t="s">
        <v>3</v>
      </c>
      <c r="AG192" s="2" t="s">
        <v>27</v>
      </c>
      <c r="AH192" s="6">
        <v>5.463E-4</v>
      </c>
      <c r="AI192" s="6">
        <v>7.1431000000000003E-3</v>
      </c>
      <c r="AJ192" s="6">
        <v>1.2704999999999999E-3</v>
      </c>
      <c r="AK192" s="2" t="s">
        <v>3</v>
      </c>
      <c r="AL192" s="56" t="s">
        <v>4</v>
      </c>
      <c r="AM192" s="56" t="s">
        <v>1</v>
      </c>
    </row>
    <row r="193" spans="1:39">
      <c r="A193" s="2" t="s">
        <v>78</v>
      </c>
      <c r="B193" s="2" t="s">
        <v>98</v>
      </c>
      <c r="C193" s="2" t="s">
        <v>258</v>
      </c>
      <c r="D193" s="2" t="s">
        <v>259</v>
      </c>
      <c r="E193" s="2" t="s">
        <v>194</v>
      </c>
      <c r="F193" s="2" t="s">
        <v>465</v>
      </c>
      <c r="G193" s="9">
        <v>6130207</v>
      </c>
      <c r="H193" s="2" t="s">
        <v>149</v>
      </c>
      <c r="I193" s="2" t="s">
        <v>196</v>
      </c>
      <c r="J193" s="2" t="s">
        <v>83</v>
      </c>
      <c r="K193" s="2" t="s">
        <v>83</v>
      </c>
      <c r="L193" s="2" t="s">
        <v>185</v>
      </c>
      <c r="M193" s="2" t="s">
        <v>118</v>
      </c>
      <c r="N193" s="2" t="s">
        <v>197</v>
      </c>
      <c r="O193" s="2" t="s">
        <v>84</v>
      </c>
      <c r="P193" s="2" t="s">
        <v>345</v>
      </c>
      <c r="Q193" s="2" t="s">
        <v>86</v>
      </c>
      <c r="R193" s="2" t="s">
        <v>189</v>
      </c>
      <c r="S193" s="2" t="s">
        <v>87</v>
      </c>
      <c r="T193" s="5">
        <v>2.59</v>
      </c>
      <c r="U193" s="2" t="s">
        <v>466</v>
      </c>
      <c r="V193" s="6">
        <v>1.5800000000000002E-2</v>
      </c>
      <c r="W193" s="6">
        <v>2.0799999999999999E-2</v>
      </c>
      <c r="X193" s="2" t="s">
        <v>191</v>
      </c>
      <c r="Y193" s="2" t="s">
        <v>84</v>
      </c>
      <c r="Z193" s="5">
        <v>486352.29</v>
      </c>
      <c r="AA193" s="5">
        <v>1</v>
      </c>
      <c r="AB193" s="5">
        <v>112.1</v>
      </c>
      <c r="AC193" s="5">
        <v>0</v>
      </c>
      <c r="AD193" s="5">
        <v>545.20091000000002</v>
      </c>
      <c r="AE193" s="2" t="s">
        <v>3</v>
      </c>
      <c r="AF193" s="2" t="s">
        <v>3</v>
      </c>
      <c r="AG193" s="2" t="s">
        <v>27</v>
      </c>
      <c r="AH193" s="6">
        <v>1.0455E-3</v>
      </c>
      <c r="AI193" s="6">
        <v>3.6717E-3</v>
      </c>
      <c r="AJ193" s="6">
        <v>6.5299999999999993E-4</v>
      </c>
      <c r="AK193" s="2" t="s">
        <v>3</v>
      </c>
      <c r="AL193" s="56" t="s">
        <v>4</v>
      </c>
      <c r="AM193" s="56" t="s">
        <v>1</v>
      </c>
    </row>
    <row r="194" spans="1:39">
      <c r="A194" s="2" t="s">
        <v>78</v>
      </c>
      <c r="B194" s="2" t="s">
        <v>98</v>
      </c>
      <c r="C194" s="2" t="s">
        <v>354</v>
      </c>
      <c r="D194" s="2" t="s">
        <v>355</v>
      </c>
      <c r="E194" s="2" t="s">
        <v>194</v>
      </c>
      <c r="F194" s="2" t="s">
        <v>356</v>
      </c>
      <c r="G194" s="9">
        <v>2260545</v>
      </c>
      <c r="H194" s="2" t="s">
        <v>149</v>
      </c>
      <c r="I194" s="2" t="s">
        <v>196</v>
      </c>
      <c r="J194" s="2" t="s">
        <v>83</v>
      </c>
      <c r="K194" s="2" t="s">
        <v>83</v>
      </c>
      <c r="L194" s="2" t="s">
        <v>185</v>
      </c>
      <c r="M194" s="2" t="s">
        <v>118</v>
      </c>
      <c r="N194" s="2" t="s">
        <v>197</v>
      </c>
      <c r="O194" s="2" t="s">
        <v>84</v>
      </c>
      <c r="P194" s="2" t="s">
        <v>345</v>
      </c>
      <c r="Q194" s="2" t="s">
        <v>86</v>
      </c>
      <c r="R194" s="2" t="s">
        <v>189</v>
      </c>
      <c r="S194" s="2" t="s">
        <v>87</v>
      </c>
      <c r="T194" s="5">
        <v>2.2400000000000002</v>
      </c>
      <c r="U194" s="2" t="s">
        <v>357</v>
      </c>
      <c r="V194" s="6">
        <v>2.4E-2</v>
      </c>
      <c r="W194" s="6">
        <v>2.2400000000000003E-2</v>
      </c>
      <c r="X194" s="2" t="s">
        <v>191</v>
      </c>
      <c r="Y194" s="2" t="s">
        <v>84</v>
      </c>
      <c r="Z194" s="5">
        <v>360756.64</v>
      </c>
      <c r="AA194" s="5">
        <v>1</v>
      </c>
      <c r="AB194" s="5">
        <v>112.83</v>
      </c>
      <c r="AC194" s="5">
        <v>0</v>
      </c>
      <c r="AD194" s="5">
        <v>407.04171000000002</v>
      </c>
      <c r="AE194" s="2" t="s">
        <v>3</v>
      </c>
      <c r="AF194" s="2" t="s">
        <v>3</v>
      </c>
      <c r="AG194" s="2" t="s">
        <v>27</v>
      </c>
      <c r="AH194" s="6">
        <v>6.2520000000000002E-4</v>
      </c>
      <c r="AI194" s="6">
        <v>2.7412999999999999E-3</v>
      </c>
      <c r="AJ194" s="6">
        <v>4.8759999999999998E-4</v>
      </c>
      <c r="AK194" s="2" t="s">
        <v>3</v>
      </c>
      <c r="AL194" s="56" t="s">
        <v>4</v>
      </c>
      <c r="AM194" s="56" t="s">
        <v>1</v>
      </c>
    </row>
    <row r="195" spans="1:39">
      <c r="A195" s="2" t="s">
        <v>78</v>
      </c>
      <c r="B195" s="2" t="s">
        <v>98</v>
      </c>
      <c r="C195" s="2" t="s">
        <v>358</v>
      </c>
      <c r="D195" s="2" t="s">
        <v>359</v>
      </c>
      <c r="E195" s="2" t="s">
        <v>194</v>
      </c>
      <c r="F195" s="2" t="s">
        <v>360</v>
      </c>
      <c r="G195" s="9">
        <v>3230208</v>
      </c>
      <c r="H195" s="2" t="s">
        <v>149</v>
      </c>
      <c r="I195" s="2" t="s">
        <v>196</v>
      </c>
      <c r="J195" s="2" t="s">
        <v>83</v>
      </c>
      <c r="K195" s="2" t="s">
        <v>83</v>
      </c>
      <c r="L195" s="2" t="s">
        <v>185</v>
      </c>
      <c r="M195" s="2" t="s">
        <v>118</v>
      </c>
      <c r="N195" s="2" t="s">
        <v>197</v>
      </c>
      <c r="O195" s="2" t="s">
        <v>84</v>
      </c>
      <c r="P195" s="2" t="s">
        <v>345</v>
      </c>
      <c r="Q195" s="2" t="s">
        <v>86</v>
      </c>
      <c r="R195" s="2" t="s">
        <v>189</v>
      </c>
      <c r="S195" s="2" t="s">
        <v>87</v>
      </c>
      <c r="T195" s="5">
        <v>1.24</v>
      </c>
      <c r="U195" s="2" t="s">
        <v>361</v>
      </c>
      <c r="V195" s="6">
        <v>2.3E-2</v>
      </c>
      <c r="W195" s="6">
        <v>1.95E-2</v>
      </c>
      <c r="X195" s="2" t="s">
        <v>191</v>
      </c>
      <c r="Y195" s="2" t="s">
        <v>84</v>
      </c>
      <c r="Z195" s="5">
        <v>1258777.02</v>
      </c>
      <c r="AA195" s="5">
        <v>1</v>
      </c>
      <c r="AB195" s="5">
        <v>114.63</v>
      </c>
      <c r="AC195" s="5">
        <v>0</v>
      </c>
      <c r="AD195" s="5">
        <v>1442.9360899999999</v>
      </c>
      <c r="AE195" s="2" t="s">
        <v>3</v>
      </c>
      <c r="AF195" s="2" t="s">
        <v>3</v>
      </c>
      <c r="AG195" s="2" t="s">
        <v>27</v>
      </c>
      <c r="AH195" s="6">
        <v>1.0107E-3</v>
      </c>
      <c r="AI195" s="6">
        <v>9.7175999999999998E-3</v>
      </c>
      <c r="AJ195" s="6">
        <v>1.7283999999999999E-3</v>
      </c>
      <c r="AK195" s="2" t="s">
        <v>3</v>
      </c>
      <c r="AL195" s="56" t="s">
        <v>4</v>
      </c>
      <c r="AM195" s="56" t="s">
        <v>1</v>
      </c>
    </row>
    <row r="196" spans="1:39">
      <c r="A196" s="2" t="s">
        <v>78</v>
      </c>
      <c r="B196" s="2" t="s">
        <v>98</v>
      </c>
      <c r="C196" s="2" t="s">
        <v>358</v>
      </c>
      <c r="D196" s="2" t="s">
        <v>359</v>
      </c>
      <c r="E196" s="2" t="s">
        <v>194</v>
      </c>
      <c r="F196" s="2" t="s">
        <v>362</v>
      </c>
      <c r="G196" s="9">
        <v>3230232</v>
      </c>
      <c r="H196" s="2" t="s">
        <v>149</v>
      </c>
      <c r="I196" s="2" t="s">
        <v>196</v>
      </c>
      <c r="J196" s="2" t="s">
        <v>83</v>
      </c>
      <c r="K196" s="2" t="s">
        <v>83</v>
      </c>
      <c r="L196" s="2" t="s">
        <v>185</v>
      </c>
      <c r="M196" s="2" t="s">
        <v>118</v>
      </c>
      <c r="N196" s="2" t="s">
        <v>197</v>
      </c>
      <c r="O196" s="2" t="s">
        <v>84</v>
      </c>
      <c r="P196" s="2" t="s">
        <v>345</v>
      </c>
      <c r="Q196" s="2" t="s">
        <v>86</v>
      </c>
      <c r="R196" s="2" t="s">
        <v>189</v>
      </c>
      <c r="S196" s="2" t="s">
        <v>87</v>
      </c>
      <c r="T196" s="5">
        <v>1.96</v>
      </c>
      <c r="U196" s="2" t="s">
        <v>363</v>
      </c>
      <c r="V196" s="6">
        <v>2.1499999999999998E-2</v>
      </c>
      <c r="W196" s="6">
        <v>1.9599999999999999E-2</v>
      </c>
      <c r="X196" s="2" t="s">
        <v>191</v>
      </c>
      <c r="Y196" s="2" t="s">
        <v>84</v>
      </c>
      <c r="Z196" s="5">
        <v>979575.18</v>
      </c>
      <c r="AA196" s="5">
        <v>1</v>
      </c>
      <c r="AB196" s="5">
        <v>115.25</v>
      </c>
      <c r="AC196" s="5">
        <v>0</v>
      </c>
      <c r="AD196" s="5">
        <v>1128.96039</v>
      </c>
      <c r="AE196" s="2" t="s">
        <v>3</v>
      </c>
      <c r="AF196" s="2" t="s">
        <v>3</v>
      </c>
      <c r="AG196" s="2" t="s">
        <v>27</v>
      </c>
      <c r="AH196" s="6">
        <v>8.1150000000000005E-4</v>
      </c>
      <c r="AI196" s="6">
        <v>7.6031000000000007E-3</v>
      </c>
      <c r="AJ196" s="6">
        <v>1.3522999999999999E-3</v>
      </c>
      <c r="AK196" s="2" t="s">
        <v>3</v>
      </c>
      <c r="AL196" s="56" t="s">
        <v>4</v>
      </c>
      <c r="AM196" s="56" t="s">
        <v>1</v>
      </c>
    </row>
    <row r="197" spans="1:39">
      <c r="A197" s="2" t="s">
        <v>78</v>
      </c>
      <c r="B197" s="2" t="s">
        <v>98</v>
      </c>
      <c r="C197" s="2" t="s">
        <v>358</v>
      </c>
      <c r="D197" s="2" t="s">
        <v>359</v>
      </c>
      <c r="E197" s="2" t="s">
        <v>194</v>
      </c>
      <c r="F197" s="2" t="s">
        <v>364</v>
      </c>
      <c r="G197" s="9">
        <v>3230273</v>
      </c>
      <c r="H197" s="2" t="s">
        <v>149</v>
      </c>
      <c r="I197" s="2" t="s">
        <v>196</v>
      </c>
      <c r="J197" s="2" t="s">
        <v>83</v>
      </c>
      <c r="K197" s="2" t="s">
        <v>83</v>
      </c>
      <c r="L197" s="2" t="s">
        <v>185</v>
      </c>
      <c r="M197" s="2" t="s">
        <v>118</v>
      </c>
      <c r="N197" s="2" t="s">
        <v>197</v>
      </c>
      <c r="O197" s="2" t="s">
        <v>84</v>
      </c>
      <c r="P197" s="2" t="s">
        <v>345</v>
      </c>
      <c r="Q197" s="2" t="s">
        <v>86</v>
      </c>
      <c r="R197" s="2" t="s">
        <v>189</v>
      </c>
      <c r="S197" s="2" t="s">
        <v>87</v>
      </c>
      <c r="T197" s="5">
        <v>4.07</v>
      </c>
      <c r="U197" s="2" t="s">
        <v>365</v>
      </c>
      <c r="V197" s="6">
        <v>2.2499999999999999E-2</v>
      </c>
      <c r="W197" s="6">
        <v>2.5099999999999997E-2</v>
      </c>
      <c r="X197" s="2" t="s">
        <v>191</v>
      </c>
      <c r="Y197" s="2" t="s">
        <v>84</v>
      </c>
      <c r="Z197" s="5">
        <v>1333041.3600000001</v>
      </c>
      <c r="AA197" s="5">
        <v>1</v>
      </c>
      <c r="AB197" s="5">
        <v>112.68</v>
      </c>
      <c r="AC197" s="5">
        <v>0</v>
      </c>
      <c r="AD197" s="5">
        <v>1502.0709999999999</v>
      </c>
      <c r="AE197" s="2" t="s">
        <v>3</v>
      </c>
      <c r="AF197" s="2" t="s">
        <v>3</v>
      </c>
      <c r="AG197" s="2" t="s">
        <v>27</v>
      </c>
      <c r="AH197" s="6">
        <v>1.0544E-3</v>
      </c>
      <c r="AI197" s="6">
        <v>1.0115799999999999E-2</v>
      </c>
      <c r="AJ197" s="6">
        <v>1.7991999999999999E-3</v>
      </c>
      <c r="AK197" s="2" t="s">
        <v>3</v>
      </c>
      <c r="AL197" s="56" t="s">
        <v>4</v>
      </c>
      <c r="AM197" s="56" t="s">
        <v>1</v>
      </c>
    </row>
    <row r="198" spans="1:39">
      <c r="A198" s="2" t="s">
        <v>78</v>
      </c>
      <c r="B198" s="2" t="s">
        <v>98</v>
      </c>
      <c r="C198" s="2" t="s">
        <v>358</v>
      </c>
      <c r="D198" s="2" t="s">
        <v>359</v>
      </c>
      <c r="E198" s="2" t="s">
        <v>194</v>
      </c>
      <c r="F198" s="2" t="s">
        <v>366</v>
      </c>
      <c r="G198" s="9">
        <v>3230372</v>
      </c>
      <c r="H198" s="2" t="s">
        <v>149</v>
      </c>
      <c r="I198" s="2" t="s">
        <v>196</v>
      </c>
      <c r="J198" s="2" t="s">
        <v>83</v>
      </c>
      <c r="K198" s="2" t="s">
        <v>83</v>
      </c>
      <c r="L198" s="2" t="s">
        <v>185</v>
      </c>
      <c r="M198" s="2" t="s">
        <v>118</v>
      </c>
      <c r="N198" s="2" t="s">
        <v>197</v>
      </c>
      <c r="O198" s="2" t="s">
        <v>84</v>
      </c>
      <c r="P198" s="2" t="s">
        <v>345</v>
      </c>
      <c r="Q198" s="2" t="s">
        <v>86</v>
      </c>
      <c r="R198" s="2" t="s">
        <v>189</v>
      </c>
      <c r="S198" s="2" t="s">
        <v>87</v>
      </c>
      <c r="T198" s="5">
        <v>3.99</v>
      </c>
      <c r="U198" s="2" t="s">
        <v>346</v>
      </c>
      <c r="V198" s="6">
        <v>6.5000000000000006E-3</v>
      </c>
      <c r="W198" s="6">
        <v>2.3300000000000001E-2</v>
      </c>
      <c r="X198" s="2" t="s">
        <v>191</v>
      </c>
      <c r="Y198" s="2" t="s">
        <v>84</v>
      </c>
      <c r="Z198" s="5">
        <v>782978.72</v>
      </c>
      <c r="AA198" s="5">
        <v>1</v>
      </c>
      <c r="AB198" s="5">
        <v>104.53</v>
      </c>
      <c r="AC198" s="5">
        <v>0</v>
      </c>
      <c r="AD198" s="5">
        <v>818.44764999999995</v>
      </c>
      <c r="AE198" s="2" t="s">
        <v>3</v>
      </c>
      <c r="AF198" s="2" t="s">
        <v>3</v>
      </c>
      <c r="AG198" s="2" t="s">
        <v>27</v>
      </c>
      <c r="AH198" s="6">
        <v>1.5716E-3</v>
      </c>
      <c r="AI198" s="6">
        <v>5.5118999999999993E-3</v>
      </c>
      <c r="AJ198" s="6">
        <v>9.8030000000000014E-4</v>
      </c>
      <c r="AK198" s="2" t="s">
        <v>3</v>
      </c>
      <c r="AL198" s="56" t="s">
        <v>4</v>
      </c>
      <c r="AM198" s="56" t="s">
        <v>1</v>
      </c>
    </row>
    <row r="199" spans="1:39">
      <c r="A199" s="2" t="s">
        <v>78</v>
      </c>
      <c r="B199" s="2" t="s">
        <v>98</v>
      </c>
      <c r="C199" s="2" t="s">
        <v>358</v>
      </c>
      <c r="D199" s="2" t="s">
        <v>359</v>
      </c>
      <c r="E199" s="2" t="s">
        <v>194</v>
      </c>
      <c r="F199" s="2" t="s">
        <v>367</v>
      </c>
      <c r="G199" s="9">
        <v>3230398</v>
      </c>
      <c r="H199" s="2" t="s">
        <v>149</v>
      </c>
      <c r="I199" s="2" t="s">
        <v>196</v>
      </c>
      <c r="J199" s="2" t="s">
        <v>83</v>
      </c>
      <c r="K199" s="2" t="s">
        <v>83</v>
      </c>
      <c r="L199" s="2" t="s">
        <v>185</v>
      </c>
      <c r="M199" s="2" t="s">
        <v>118</v>
      </c>
      <c r="N199" s="2" t="s">
        <v>197</v>
      </c>
      <c r="O199" s="2" t="s">
        <v>84</v>
      </c>
      <c r="P199" s="2" t="s">
        <v>345</v>
      </c>
      <c r="Q199" s="2" t="s">
        <v>86</v>
      </c>
      <c r="R199" s="2" t="s">
        <v>189</v>
      </c>
      <c r="S199" s="2" t="s">
        <v>87</v>
      </c>
      <c r="T199" s="5">
        <v>4.76</v>
      </c>
      <c r="U199" s="2" t="s">
        <v>368</v>
      </c>
      <c r="V199" s="6">
        <v>1.43E-2</v>
      </c>
      <c r="W199" s="6">
        <v>2.6499999999999999E-2</v>
      </c>
      <c r="X199" s="2" t="s">
        <v>191</v>
      </c>
      <c r="Y199" s="2" t="s">
        <v>84</v>
      </c>
      <c r="Z199" s="5">
        <v>1100000</v>
      </c>
      <c r="AA199" s="5">
        <v>1</v>
      </c>
      <c r="AB199" s="5">
        <v>105.95</v>
      </c>
      <c r="AC199" s="5">
        <v>0</v>
      </c>
      <c r="AD199" s="5">
        <v>1165.45</v>
      </c>
      <c r="AE199" s="2" t="s">
        <v>3</v>
      </c>
      <c r="AF199" s="2" t="s">
        <v>3</v>
      </c>
      <c r="AG199" s="2" t="s">
        <v>27</v>
      </c>
      <c r="AH199" s="6">
        <v>9.68E-4</v>
      </c>
      <c r="AI199" s="6">
        <v>7.8487999999999995E-3</v>
      </c>
      <c r="AJ199" s="6">
        <v>1.3960000000000001E-3</v>
      </c>
      <c r="AK199" s="2" t="s">
        <v>3</v>
      </c>
      <c r="AL199" s="56" t="s">
        <v>4</v>
      </c>
      <c r="AM199" s="56" t="s">
        <v>1</v>
      </c>
    </row>
    <row r="200" spans="1:39">
      <c r="A200" s="2" t="s">
        <v>78</v>
      </c>
      <c r="B200" s="2" t="s">
        <v>98</v>
      </c>
      <c r="C200" s="2" t="s">
        <v>358</v>
      </c>
      <c r="D200" s="2" t="s">
        <v>359</v>
      </c>
      <c r="E200" s="2" t="s">
        <v>194</v>
      </c>
      <c r="F200" s="2" t="s">
        <v>369</v>
      </c>
      <c r="G200" s="9">
        <v>3230422</v>
      </c>
      <c r="H200" s="2" t="s">
        <v>149</v>
      </c>
      <c r="I200" s="2" t="s">
        <v>196</v>
      </c>
      <c r="J200" s="2" t="s">
        <v>83</v>
      </c>
      <c r="K200" s="2" t="s">
        <v>83</v>
      </c>
      <c r="L200" s="2" t="s">
        <v>185</v>
      </c>
      <c r="M200" s="2" t="s">
        <v>118</v>
      </c>
      <c r="N200" s="2" t="s">
        <v>197</v>
      </c>
      <c r="O200" s="2" t="s">
        <v>84</v>
      </c>
      <c r="P200" s="2" t="s">
        <v>345</v>
      </c>
      <c r="Q200" s="2" t="s">
        <v>86</v>
      </c>
      <c r="R200" s="2" t="s">
        <v>189</v>
      </c>
      <c r="S200" s="2" t="s">
        <v>87</v>
      </c>
      <c r="T200" s="5">
        <v>5.66</v>
      </c>
      <c r="U200" s="2" t="s">
        <v>370</v>
      </c>
      <c r="V200" s="6">
        <v>2.5000000000000001E-3</v>
      </c>
      <c r="W200" s="6">
        <v>2.7000000000000003E-2</v>
      </c>
      <c r="X200" s="2" t="s">
        <v>191</v>
      </c>
      <c r="Y200" s="2" t="s">
        <v>84</v>
      </c>
      <c r="Z200" s="5">
        <v>792781.28</v>
      </c>
      <c r="AA200" s="5">
        <v>1</v>
      </c>
      <c r="AB200" s="5">
        <v>95.66</v>
      </c>
      <c r="AC200" s="5">
        <v>0</v>
      </c>
      <c r="AD200" s="5">
        <v>758.37456999999995</v>
      </c>
      <c r="AE200" s="2" t="s">
        <v>3</v>
      </c>
      <c r="AF200" s="2" t="s">
        <v>3</v>
      </c>
      <c r="AG200" s="2" t="s">
        <v>27</v>
      </c>
      <c r="AH200" s="6">
        <v>6.2449999999999995E-4</v>
      </c>
      <c r="AI200" s="6">
        <v>5.1073000000000004E-3</v>
      </c>
      <c r="AJ200" s="6">
        <v>9.0840000000000007E-4</v>
      </c>
      <c r="AK200" s="2" t="s">
        <v>3</v>
      </c>
      <c r="AL200" s="56" t="s">
        <v>4</v>
      </c>
      <c r="AM200" s="56" t="s">
        <v>1</v>
      </c>
    </row>
    <row r="201" spans="1:39">
      <c r="A201" s="2" t="s">
        <v>78</v>
      </c>
      <c r="B201" s="2" t="s">
        <v>98</v>
      </c>
      <c r="C201" s="2" t="s">
        <v>468</v>
      </c>
      <c r="D201" s="2" t="s">
        <v>469</v>
      </c>
      <c r="E201" s="2" t="s">
        <v>194</v>
      </c>
      <c r="F201" s="2" t="s">
        <v>525</v>
      </c>
      <c r="G201" s="9">
        <v>7770217</v>
      </c>
      <c r="H201" s="2" t="s">
        <v>149</v>
      </c>
      <c r="I201" s="2" t="s">
        <v>196</v>
      </c>
      <c r="J201" s="2" t="s">
        <v>83</v>
      </c>
      <c r="K201" s="2" t="s">
        <v>83</v>
      </c>
      <c r="L201" s="2" t="s">
        <v>185</v>
      </c>
      <c r="M201" s="2" t="s">
        <v>118</v>
      </c>
      <c r="N201" s="2" t="s">
        <v>471</v>
      </c>
      <c r="O201" s="2" t="s">
        <v>84</v>
      </c>
      <c r="P201" s="2" t="s">
        <v>345</v>
      </c>
      <c r="Q201" s="2" t="s">
        <v>86</v>
      </c>
      <c r="R201" s="2" t="s">
        <v>189</v>
      </c>
      <c r="S201" s="2" t="s">
        <v>87</v>
      </c>
      <c r="T201" s="5">
        <v>2.41</v>
      </c>
      <c r="U201" s="2" t="s">
        <v>526</v>
      </c>
      <c r="V201" s="6">
        <v>4.2999999999999997E-2</v>
      </c>
      <c r="W201" s="6">
        <v>1.9599999999999999E-2</v>
      </c>
      <c r="X201" s="2" t="s">
        <v>191</v>
      </c>
      <c r="Y201" s="2" t="s">
        <v>84</v>
      </c>
      <c r="Z201" s="5">
        <v>1817955.06</v>
      </c>
      <c r="AA201" s="5">
        <v>1</v>
      </c>
      <c r="AB201" s="5">
        <v>120.32</v>
      </c>
      <c r="AC201" s="5">
        <v>0</v>
      </c>
      <c r="AD201" s="5">
        <v>2187.3635199999999</v>
      </c>
      <c r="AE201" s="2" t="s">
        <v>3</v>
      </c>
      <c r="AF201" s="2" t="s">
        <v>3</v>
      </c>
      <c r="AG201" s="2" t="s">
        <v>27</v>
      </c>
      <c r="AH201" s="6">
        <v>3.5652000000000001E-3</v>
      </c>
      <c r="AI201" s="6">
        <v>1.4731000000000001E-2</v>
      </c>
      <c r="AJ201" s="6">
        <v>2.6199999999999999E-3</v>
      </c>
      <c r="AK201" s="2" t="s">
        <v>3</v>
      </c>
      <c r="AL201" s="56" t="s">
        <v>4</v>
      </c>
      <c r="AM201" s="56" t="s">
        <v>1</v>
      </c>
    </row>
    <row r="202" spans="1:39">
      <c r="A202" s="2" t="s">
        <v>78</v>
      </c>
      <c r="B202" s="2" t="s">
        <v>98</v>
      </c>
      <c r="C202" s="2" t="s">
        <v>371</v>
      </c>
      <c r="D202" s="2" t="s">
        <v>372</v>
      </c>
      <c r="E202" s="2" t="s">
        <v>194</v>
      </c>
      <c r="F202" s="2" t="s">
        <v>376</v>
      </c>
      <c r="G202" s="9">
        <v>1189414</v>
      </c>
      <c r="H202" s="2" t="s">
        <v>149</v>
      </c>
      <c r="I202" s="2" t="s">
        <v>196</v>
      </c>
      <c r="J202" s="2" t="s">
        <v>83</v>
      </c>
      <c r="K202" s="2" t="s">
        <v>83</v>
      </c>
      <c r="L202" s="2" t="s">
        <v>185</v>
      </c>
      <c r="M202" s="2" t="s">
        <v>118</v>
      </c>
      <c r="N202" s="2" t="s">
        <v>197</v>
      </c>
      <c r="O202" s="2" t="s">
        <v>84</v>
      </c>
      <c r="P202" s="2" t="s">
        <v>374</v>
      </c>
      <c r="Q202" s="2" t="s">
        <v>86</v>
      </c>
      <c r="R202" s="2" t="s">
        <v>189</v>
      </c>
      <c r="S202" s="2" t="s">
        <v>87</v>
      </c>
      <c r="T202" s="5">
        <v>7.44</v>
      </c>
      <c r="U202" s="2" t="s">
        <v>377</v>
      </c>
      <c r="V202" s="6">
        <v>2.5600000000000001E-2</v>
      </c>
      <c r="W202" s="6">
        <v>3.9599999999999996E-2</v>
      </c>
      <c r="X202" s="2" t="s">
        <v>191</v>
      </c>
      <c r="Y202" s="2" t="s">
        <v>84</v>
      </c>
      <c r="Z202" s="5">
        <v>600000</v>
      </c>
      <c r="AA202" s="5">
        <v>1</v>
      </c>
      <c r="AB202" s="5">
        <v>94.33</v>
      </c>
      <c r="AC202" s="5">
        <v>0</v>
      </c>
      <c r="AD202" s="5">
        <v>565.98</v>
      </c>
      <c r="AE202" s="2" t="s">
        <v>3</v>
      </c>
      <c r="AF202" s="2" t="s">
        <v>3</v>
      </c>
      <c r="AG202" s="2" t="s">
        <v>27</v>
      </c>
      <c r="AH202" s="6">
        <v>5.7110000000000006E-4</v>
      </c>
      <c r="AI202" s="6">
        <v>3.8116000000000001E-3</v>
      </c>
      <c r="AJ202" s="6">
        <v>6.7790000000000005E-4</v>
      </c>
      <c r="AK202" s="2" t="s">
        <v>3</v>
      </c>
      <c r="AL202" s="56" t="s">
        <v>4</v>
      </c>
      <c r="AM202" s="56" t="s">
        <v>1</v>
      </c>
    </row>
    <row r="203" spans="1:39">
      <c r="A203" s="2" t="s">
        <v>78</v>
      </c>
      <c r="B203" s="2" t="s">
        <v>98</v>
      </c>
      <c r="C203" s="2" t="s">
        <v>382</v>
      </c>
      <c r="D203" s="2" t="s">
        <v>383</v>
      </c>
      <c r="E203" s="2" t="s">
        <v>194</v>
      </c>
      <c r="F203" s="2" t="s">
        <v>384</v>
      </c>
      <c r="G203" s="9">
        <v>1192772</v>
      </c>
      <c r="H203" s="2" t="s">
        <v>149</v>
      </c>
      <c r="I203" s="2" t="s">
        <v>204</v>
      </c>
      <c r="J203" s="2" t="s">
        <v>83</v>
      </c>
      <c r="K203" s="2" t="s">
        <v>83</v>
      </c>
      <c r="L203" s="2" t="s">
        <v>185</v>
      </c>
      <c r="M203" s="2" t="s">
        <v>118</v>
      </c>
      <c r="N203" s="2" t="s">
        <v>255</v>
      </c>
      <c r="O203" s="2" t="s">
        <v>84</v>
      </c>
      <c r="P203" s="2" t="s">
        <v>374</v>
      </c>
      <c r="Q203" s="2" t="s">
        <v>86</v>
      </c>
      <c r="R203" s="2" t="s">
        <v>189</v>
      </c>
      <c r="S203" s="2" t="s">
        <v>87</v>
      </c>
      <c r="T203" s="5">
        <v>5.08</v>
      </c>
      <c r="U203" s="2" t="s">
        <v>385</v>
      </c>
      <c r="V203" s="6">
        <v>4.3799999999999999E-2</v>
      </c>
      <c r="W203" s="6">
        <v>4.9400000000000006E-2</v>
      </c>
      <c r="X203" s="2" t="s">
        <v>191</v>
      </c>
      <c r="Y203" s="2" t="s">
        <v>84</v>
      </c>
      <c r="Z203" s="5">
        <v>1963500</v>
      </c>
      <c r="AA203" s="5">
        <v>1</v>
      </c>
      <c r="AB203" s="5">
        <v>98.59</v>
      </c>
      <c r="AC203" s="5">
        <v>0</v>
      </c>
      <c r="AD203" s="5">
        <v>1935.81465</v>
      </c>
      <c r="AE203" s="2" t="s">
        <v>3</v>
      </c>
      <c r="AF203" s="2" t="s">
        <v>3</v>
      </c>
      <c r="AG203" s="2" t="s">
        <v>27</v>
      </c>
      <c r="AH203" s="6">
        <v>3.9269999999999999E-3</v>
      </c>
      <c r="AI203" s="6">
        <v>1.3036900000000001E-2</v>
      </c>
      <c r="AJ203" s="6">
        <v>2.3186999999999999E-3</v>
      </c>
      <c r="AK203" s="2" t="s">
        <v>3</v>
      </c>
      <c r="AL203" s="56" t="s">
        <v>4</v>
      </c>
      <c r="AM203" s="56" t="s">
        <v>1</v>
      </c>
    </row>
    <row r="204" spans="1:39">
      <c r="A204" s="2" t="s">
        <v>78</v>
      </c>
      <c r="B204" s="2" t="s">
        <v>98</v>
      </c>
      <c r="C204" s="2" t="s">
        <v>386</v>
      </c>
      <c r="D204" s="2" t="s">
        <v>387</v>
      </c>
      <c r="E204" s="2" t="s">
        <v>194</v>
      </c>
      <c r="F204" s="2" t="s">
        <v>388</v>
      </c>
      <c r="G204" s="9">
        <v>1172253</v>
      </c>
      <c r="H204" s="2" t="s">
        <v>149</v>
      </c>
      <c r="I204" s="2" t="s">
        <v>204</v>
      </c>
      <c r="J204" s="2" t="s">
        <v>83</v>
      </c>
      <c r="K204" s="2" t="s">
        <v>83</v>
      </c>
      <c r="L204" s="2" t="s">
        <v>185</v>
      </c>
      <c r="M204" s="2" t="s">
        <v>118</v>
      </c>
      <c r="N204" s="2" t="s">
        <v>389</v>
      </c>
      <c r="O204" s="2" t="s">
        <v>84</v>
      </c>
      <c r="P204" s="2" t="s">
        <v>374</v>
      </c>
      <c r="Q204" s="2" t="s">
        <v>86</v>
      </c>
      <c r="R204" s="2" t="s">
        <v>189</v>
      </c>
      <c r="S204" s="2" t="s">
        <v>87</v>
      </c>
      <c r="T204" s="5">
        <v>2.34</v>
      </c>
      <c r="U204" s="2" t="s">
        <v>390</v>
      </c>
      <c r="V204" s="6">
        <v>2.18E-2</v>
      </c>
      <c r="W204" s="6">
        <v>5.0300000000000004E-2</v>
      </c>
      <c r="X204" s="2" t="s">
        <v>191</v>
      </c>
      <c r="Y204" s="2" t="s">
        <v>84</v>
      </c>
      <c r="Z204" s="5">
        <v>2178382.2000000002</v>
      </c>
      <c r="AA204" s="5">
        <v>1</v>
      </c>
      <c r="AB204" s="5">
        <v>94.01</v>
      </c>
      <c r="AC204" s="5">
        <v>0</v>
      </c>
      <c r="AD204" s="5">
        <v>2047.8970999999999</v>
      </c>
      <c r="AE204" s="2" t="s">
        <v>3</v>
      </c>
      <c r="AF204" s="2" t="s">
        <v>3</v>
      </c>
      <c r="AG204" s="2" t="s">
        <v>27</v>
      </c>
      <c r="AH204" s="6">
        <v>5.7225999999999996E-3</v>
      </c>
      <c r="AI204" s="6">
        <v>1.37917E-2</v>
      </c>
      <c r="AJ204" s="6">
        <v>2.4529999999999999E-3</v>
      </c>
      <c r="AK204" s="2" t="s">
        <v>3</v>
      </c>
      <c r="AL204" s="56" t="s">
        <v>4</v>
      </c>
      <c r="AM204" s="56" t="s">
        <v>1</v>
      </c>
    </row>
    <row r="205" spans="1:39">
      <c r="A205" s="2" t="s">
        <v>78</v>
      </c>
      <c r="B205" s="2" t="s">
        <v>98</v>
      </c>
      <c r="C205" s="2" t="s">
        <v>473</v>
      </c>
      <c r="D205" s="2" t="s">
        <v>474</v>
      </c>
      <c r="E205" s="2" t="s">
        <v>194</v>
      </c>
      <c r="F205" s="2" t="s">
        <v>477</v>
      </c>
      <c r="G205" s="9">
        <v>1160647</v>
      </c>
      <c r="H205" s="2" t="s">
        <v>149</v>
      </c>
      <c r="I205" s="2" t="s">
        <v>204</v>
      </c>
      <c r="J205" s="2" t="s">
        <v>83</v>
      </c>
      <c r="K205" s="2" t="s">
        <v>83</v>
      </c>
      <c r="L205" s="2" t="s">
        <v>185</v>
      </c>
      <c r="M205" s="2" t="s">
        <v>118</v>
      </c>
      <c r="N205" s="2" t="s">
        <v>255</v>
      </c>
      <c r="O205" s="2" t="s">
        <v>84</v>
      </c>
      <c r="P205" s="2" t="s">
        <v>374</v>
      </c>
      <c r="Q205" s="2" t="s">
        <v>86</v>
      </c>
      <c r="R205" s="2" t="s">
        <v>189</v>
      </c>
      <c r="S205" s="2" t="s">
        <v>87</v>
      </c>
      <c r="T205" s="5">
        <v>5.55</v>
      </c>
      <c r="U205" s="2" t="s">
        <v>478</v>
      </c>
      <c r="V205" s="6">
        <v>2.64E-2</v>
      </c>
      <c r="W205" s="6">
        <v>5.04E-2</v>
      </c>
      <c r="X205" s="2" t="s">
        <v>191</v>
      </c>
      <c r="Y205" s="2" t="s">
        <v>84</v>
      </c>
      <c r="Z205" s="5">
        <v>2409858</v>
      </c>
      <c r="AA205" s="5">
        <v>1</v>
      </c>
      <c r="AB205" s="5">
        <v>88.01</v>
      </c>
      <c r="AC205" s="5">
        <v>0</v>
      </c>
      <c r="AD205" s="5">
        <v>2120.9160200000001</v>
      </c>
      <c r="AE205" s="2" t="s">
        <v>3</v>
      </c>
      <c r="AF205" s="2" t="s">
        <v>3</v>
      </c>
      <c r="AG205" s="2" t="s">
        <v>27</v>
      </c>
      <c r="AH205" s="6">
        <v>1.4728E-3</v>
      </c>
      <c r="AI205" s="6">
        <v>1.4283499999999999E-2</v>
      </c>
      <c r="AJ205" s="6">
        <v>2.5404999999999998E-3</v>
      </c>
      <c r="AK205" s="2" t="s">
        <v>3</v>
      </c>
      <c r="AL205" s="56" t="s">
        <v>4</v>
      </c>
      <c r="AM205" s="56" t="s">
        <v>1</v>
      </c>
    </row>
    <row r="206" spans="1:39">
      <c r="A206" s="2" t="s">
        <v>78</v>
      </c>
      <c r="B206" s="2" t="s">
        <v>98</v>
      </c>
      <c r="C206" s="2" t="s">
        <v>391</v>
      </c>
      <c r="D206" s="2" t="s">
        <v>392</v>
      </c>
      <c r="E206" s="2" t="s">
        <v>194</v>
      </c>
      <c r="F206" s="2" t="s">
        <v>393</v>
      </c>
      <c r="G206" s="9">
        <v>1140607</v>
      </c>
      <c r="H206" s="2" t="s">
        <v>149</v>
      </c>
      <c r="I206" s="2" t="s">
        <v>196</v>
      </c>
      <c r="J206" s="2" t="s">
        <v>83</v>
      </c>
      <c r="K206" s="2" t="s">
        <v>83</v>
      </c>
      <c r="L206" s="2" t="s">
        <v>185</v>
      </c>
      <c r="M206" s="2" t="s">
        <v>118</v>
      </c>
      <c r="N206" s="2" t="s">
        <v>197</v>
      </c>
      <c r="O206" s="2" t="s">
        <v>84</v>
      </c>
      <c r="P206" s="2" t="s">
        <v>374</v>
      </c>
      <c r="Q206" s="2" t="s">
        <v>86</v>
      </c>
      <c r="R206" s="2" t="s">
        <v>189</v>
      </c>
      <c r="S206" s="2" t="s">
        <v>87</v>
      </c>
      <c r="T206" s="5">
        <v>1.69</v>
      </c>
      <c r="U206" s="2" t="s">
        <v>394</v>
      </c>
      <c r="V206" s="6">
        <v>2.1499999999999998E-2</v>
      </c>
      <c r="W206" s="6">
        <v>2.4799999999999999E-2</v>
      </c>
      <c r="X206" s="2" t="s">
        <v>191</v>
      </c>
      <c r="Y206" s="2" t="s">
        <v>84</v>
      </c>
      <c r="Z206" s="5">
        <v>2106652</v>
      </c>
      <c r="AA206" s="5">
        <v>1</v>
      </c>
      <c r="AB206" s="5">
        <v>113.52</v>
      </c>
      <c r="AC206" s="5">
        <v>0</v>
      </c>
      <c r="AD206" s="5">
        <v>2391.4713499999998</v>
      </c>
      <c r="AE206" s="2" t="s">
        <v>3</v>
      </c>
      <c r="AF206" s="2" t="s">
        <v>3</v>
      </c>
      <c r="AG206" s="2" t="s">
        <v>27</v>
      </c>
      <c r="AH206" s="6">
        <v>1.0741000000000001E-3</v>
      </c>
      <c r="AI206" s="6">
        <v>1.6105600000000001E-2</v>
      </c>
      <c r="AJ206" s="6">
        <v>2.8644999999999999E-3</v>
      </c>
      <c r="AK206" s="2" t="s">
        <v>3</v>
      </c>
      <c r="AL206" s="56" t="s">
        <v>4</v>
      </c>
      <c r="AM206" s="56" t="s">
        <v>1</v>
      </c>
    </row>
    <row r="207" spans="1:39">
      <c r="A207" s="2" t="s">
        <v>78</v>
      </c>
      <c r="B207" s="2" t="s">
        <v>98</v>
      </c>
      <c r="C207" s="2" t="s">
        <v>248</v>
      </c>
      <c r="D207" s="2" t="s">
        <v>249</v>
      </c>
      <c r="E207" s="2" t="s">
        <v>194</v>
      </c>
      <c r="F207" s="2" t="s">
        <v>395</v>
      </c>
      <c r="G207" s="9">
        <v>1178672</v>
      </c>
      <c r="H207" s="2" t="s">
        <v>149</v>
      </c>
      <c r="I207" s="2" t="s">
        <v>196</v>
      </c>
      <c r="J207" s="2" t="s">
        <v>83</v>
      </c>
      <c r="K207" s="2" t="s">
        <v>83</v>
      </c>
      <c r="L207" s="2" t="s">
        <v>185</v>
      </c>
      <c r="M207" s="2" t="s">
        <v>118</v>
      </c>
      <c r="N207" s="2" t="s">
        <v>197</v>
      </c>
      <c r="O207" s="2" t="s">
        <v>84</v>
      </c>
      <c r="P207" s="2" t="s">
        <v>85</v>
      </c>
      <c r="Q207" s="2" t="s">
        <v>86</v>
      </c>
      <c r="R207" s="2" t="s">
        <v>189</v>
      </c>
      <c r="S207" s="2" t="s">
        <v>87</v>
      </c>
      <c r="T207" s="5">
        <v>7.25</v>
      </c>
      <c r="U207" s="2" t="s">
        <v>396</v>
      </c>
      <c r="V207" s="6">
        <v>9.0000000000000011E-3</v>
      </c>
      <c r="W207" s="6">
        <v>2.9300000000000003E-2</v>
      </c>
      <c r="X207" s="2" t="s">
        <v>191</v>
      </c>
      <c r="Y207" s="2" t="s">
        <v>84</v>
      </c>
      <c r="Z207" s="5">
        <v>1200000</v>
      </c>
      <c r="AA207" s="5">
        <v>1</v>
      </c>
      <c r="AB207" s="5">
        <v>95.37</v>
      </c>
      <c r="AC207" s="5">
        <v>0</v>
      </c>
      <c r="AD207" s="5">
        <v>1144.44</v>
      </c>
      <c r="AE207" s="2" t="s">
        <v>3</v>
      </c>
      <c r="AF207" s="2" t="s">
        <v>3</v>
      </c>
      <c r="AG207" s="2" t="s">
        <v>27</v>
      </c>
      <c r="AH207" s="6">
        <v>4.6569999999999999E-4</v>
      </c>
      <c r="AI207" s="6">
        <v>7.7073000000000003E-3</v>
      </c>
      <c r="AJ207" s="6">
        <v>1.3708000000000001E-3</v>
      </c>
      <c r="AK207" s="2" t="s">
        <v>3</v>
      </c>
      <c r="AL207" s="56" t="s">
        <v>4</v>
      </c>
      <c r="AM207" s="56" t="s">
        <v>1</v>
      </c>
    </row>
    <row r="208" spans="1:39">
      <c r="A208" s="2" t="s">
        <v>78</v>
      </c>
      <c r="B208" s="2" t="s">
        <v>98</v>
      </c>
      <c r="C208" s="2" t="s">
        <v>397</v>
      </c>
      <c r="D208" s="2" t="s">
        <v>398</v>
      </c>
      <c r="E208" s="2" t="s">
        <v>194</v>
      </c>
      <c r="F208" s="2" t="s">
        <v>399</v>
      </c>
      <c r="G208" s="9">
        <v>1203157</v>
      </c>
      <c r="H208" s="2" t="s">
        <v>149</v>
      </c>
      <c r="I208" s="2" t="s">
        <v>196</v>
      </c>
      <c r="J208" s="2" t="s">
        <v>83</v>
      </c>
      <c r="K208" s="2" t="s">
        <v>83</v>
      </c>
      <c r="L208" s="2" t="s">
        <v>185</v>
      </c>
      <c r="M208" s="2" t="s">
        <v>118</v>
      </c>
      <c r="N208" s="2" t="s">
        <v>400</v>
      </c>
      <c r="O208" s="2" t="s">
        <v>84</v>
      </c>
      <c r="P208" s="2" t="s">
        <v>401</v>
      </c>
      <c r="Q208" s="2" t="s">
        <v>86</v>
      </c>
      <c r="R208" s="2" t="s">
        <v>189</v>
      </c>
      <c r="S208" s="2" t="s">
        <v>87</v>
      </c>
      <c r="T208" s="5">
        <v>5.61</v>
      </c>
      <c r="U208" s="2" t="s">
        <v>402</v>
      </c>
      <c r="V208" s="6">
        <v>2.1099999999999997E-2</v>
      </c>
      <c r="W208" s="6">
        <v>2.0099999999999996E-2</v>
      </c>
      <c r="X208" s="2" t="s">
        <v>191</v>
      </c>
      <c r="Y208" s="2" t="s">
        <v>84</v>
      </c>
      <c r="Z208" s="5">
        <v>1400000</v>
      </c>
      <c r="AA208" s="5">
        <v>1</v>
      </c>
      <c r="AB208" s="5">
        <v>101.35</v>
      </c>
      <c r="AC208" s="5">
        <v>0</v>
      </c>
      <c r="AD208" s="5">
        <v>1418.9</v>
      </c>
      <c r="AE208" s="2" t="s">
        <v>3</v>
      </c>
      <c r="AF208" s="2" t="s">
        <v>3</v>
      </c>
      <c r="AG208" s="2" t="s">
        <v>27</v>
      </c>
      <c r="AH208" s="6">
        <v>8.9590000000000004E-4</v>
      </c>
      <c r="AI208" s="6">
        <v>9.5557000000000003E-3</v>
      </c>
      <c r="AJ208" s="6">
        <v>1.6995999999999999E-3</v>
      </c>
      <c r="AK208" s="2" t="s">
        <v>3</v>
      </c>
      <c r="AL208" s="56" t="s">
        <v>4</v>
      </c>
      <c r="AM208" s="56" t="s">
        <v>1</v>
      </c>
    </row>
    <row r="209" spans="1:39">
      <c r="A209" s="2" t="s">
        <v>78</v>
      </c>
      <c r="B209" s="2" t="s">
        <v>98</v>
      </c>
      <c r="C209" s="2" t="s">
        <v>403</v>
      </c>
      <c r="D209" s="2" t="s">
        <v>404</v>
      </c>
      <c r="E209" s="2" t="s">
        <v>194</v>
      </c>
      <c r="F209" s="2" t="s">
        <v>437</v>
      </c>
      <c r="G209" s="9">
        <v>6040372</v>
      </c>
      <c r="H209" s="2" t="s">
        <v>149</v>
      </c>
      <c r="I209" s="2" t="s">
        <v>196</v>
      </c>
      <c r="J209" s="2" t="s">
        <v>83</v>
      </c>
      <c r="K209" s="2" t="s">
        <v>83</v>
      </c>
      <c r="L209" s="2" t="s">
        <v>185</v>
      </c>
      <c r="M209" s="2" t="s">
        <v>118</v>
      </c>
      <c r="N209" s="2" t="s">
        <v>400</v>
      </c>
      <c r="O209" s="2" t="s">
        <v>84</v>
      </c>
      <c r="P209" s="2" t="s">
        <v>401</v>
      </c>
      <c r="Q209" s="2" t="s">
        <v>86</v>
      </c>
      <c r="R209" s="2" t="s">
        <v>189</v>
      </c>
      <c r="S209" s="2" t="s">
        <v>87</v>
      </c>
      <c r="T209" s="5">
        <v>1.23</v>
      </c>
      <c r="U209" s="2" t="s">
        <v>316</v>
      </c>
      <c r="V209" s="6">
        <v>8.3000000000000001E-3</v>
      </c>
      <c r="W209" s="6">
        <v>1.3899999999999999E-2</v>
      </c>
      <c r="X209" s="2" t="s">
        <v>191</v>
      </c>
      <c r="Y209" s="2" t="s">
        <v>84</v>
      </c>
      <c r="Z209" s="5">
        <v>2290297</v>
      </c>
      <c r="AA209" s="5">
        <v>1</v>
      </c>
      <c r="AB209" s="5">
        <v>111.66</v>
      </c>
      <c r="AC209" s="5">
        <v>0</v>
      </c>
      <c r="AD209" s="5">
        <v>2557.3456299999998</v>
      </c>
      <c r="AE209" s="2" t="s">
        <v>3</v>
      </c>
      <c r="AF209" s="2" t="s">
        <v>3</v>
      </c>
      <c r="AG209" s="2" t="s">
        <v>27</v>
      </c>
      <c r="AH209" s="6">
        <v>7.5289999999999992E-4</v>
      </c>
      <c r="AI209" s="6">
        <v>1.7222599999999998E-2</v>
      </c>
      <c r="AJ209" s="6">
        <v>3.0631999999999999E-3</v>
      </c>
      <c r="AK209" s="2" t="s">
        <v>3</v>
      </c>
      <c r="AL209" s="56" t="s">
        <v>4</v>
      </c>
      <c r="AM209" s="56" t="s">
        <v>1</v>
      </c>
    </row>
    <row r="210" spans="1:39">
      <c r="A210" s="2" t="s">
        <v>78</v>
      </c>
      <c r="B210" s="2" t="s">
        <v>98</v>
      </c>
      <c r="C210" s="2" t="s">
        <v>403</v>
      </c>
      <c r="D210" s="2" t="s">
        <v>404</v>
      </c>
      <c r="E210" s="2" t="s">
        <v>194</v>
      </c>
      <c r="F210" s="2" t="s">
        <v>405</v>
      </c>
      <c r="G210" s="9">
        <v>1201839</v>
      </c>
      <c r="H210" s="2" t="s">
        <v>149</v>
      </c>
      <c r="I210" s="2" t="s">
        <v>196</v>
      </c>
      <c r="J210" s="2" t="s">
        <v>83</v>
      </c>
      <c r="K210" s="2" t="s">
        <v>83</v>
      </c>
      <c r="L210" s="2" t="s">
        <v>185</v>
      </c>
      <c r="M210" s="2" t="s">
        <v>118</v>
      </c>
      <c r="N210" s="2" t="s">
        <v>400</v>
      </c>
      <c r="O210" s="2" t="s">
        <v>84</v>
      </c>
      <c r="P210" s="2" t="s">
        <v>401</v>
      </c>
      <c r="Q210" s="2" t="s">
        <v>86</v>
      </c>
      <c r="R210" s="2" t="s">
        <v>189</v>
      </c>
      <c r="S210" s="2" t="s">
        <v>87</v>
      </c>
      <c r="T210" s="5">
        <v>5.53</v>
      </c>
      <c r="U210" s="2" t="s">
        <v>406</v>
      </c>
      <c r="V210" s="6">
        <v>2.0199999999999999E-2</v>
      </c>
      <c r="W210" s="6">
        <v>2.0499999999999997E-2</v>
      </c>
      <c r="X210" s="2" t="s">
        <v>191</v>
      </c>
      <c r="Y210" s="2" t="s">
        <v>84</v>
      </c>
      <c r="Z210" s="5">
        <v>2900000</v>
      </c>
      <c r="AA210" s="5">
        <v>1</v>
      </c>
      <c r="AB210" s="5">
        <v>100.75</v>
      </c>
      <c r="AC210" s="5">
        <v>0</v>
      </c>
      <c r="AD210" s="5">
        <v>2921.75</v>
      </c>
      <c r="AE210" s="2" t="s">
        <v>3</v>
      </c>
      <c r="AF210" s="2" t="s">
        <v>3</v>
      </c>
      <c r="AG210" s="2" t="s">
        <v>27</v>
      </c>
      <c r="AH210" s="6">
        <v>1.3661000000000001E-3</v>
      </c>
      <c r="AI210" s="6">
        <v>1.9676800000000001E-2</v>
      </c>
      <c r="AJ210" s="6">
        <v>3.4997000000000001E-3</v>
      </c>
      <c r="AK210" s="2" t="s">
        <v>3</v>
      </c>
      <c r="AL210" s="56" t="s">
        <v>4</v>
      </c>
      <c r="AM210" s="56" t="s">
        <v>1</v>
      </c>
    </row>
    <row r="211" spans="1:39">
      <c r="A211" s="2" t="s">
        <v>78</v>
      </c>
      <c r="B211" s="2" t="s">
        <v>98</v>
      </c>
      <c r="C211" s="2" t="s">
        <v>407</v>
      </c>
      <c r="D211" s="2" t="s">
        <v>408</v>
      </c>
      <c r="E211" s="2" t="s">
        <v>194</v>
      </c>
      <c r="F211" s="2" t="s">
        <v>438</v>
      </c>
      <c r="G211" s="9">
        <v>2310498</v>
      </c>
      <c r="H211" s="2" t="s">
        <v>149</v>
      </c>
      <c r="I211" s="2" t="s">
        <v>196</v>
      </c>
      <c r="J211" s="2" t="s">
        <v>83</v>
      </c>
      <c r="K211" s="2" t="s">
        <v>83</v>
      </c>
      <c r="L211" s="2" t="s">
        <v>185</v>
      </c>
      <c r="M211" s="2" t="s">
        <v>118</v>
      </c>
      <c r="N211" s="2" t="s">
        <v>400</v>
      </c>
      <c r="O211" s="2" t="s">
        <v>84</v>
      </c>
      <c r="P211" s="2" t="s">
        <v>401</v>
      </c>
      <c r="Q211" s="2" t="s">
        <v>86</v>
      </c>
      <c r="R211" s="2" t="s">
        <v>189</v>
      </c>
      <c r="S211" s="2" t="s">
        <v>87</v>
      </c>
      <c r="T211" s="5">
        <v>4.55</v>
      </c>
      <c r="U211" s="2" t="s">
        <v>439</v>
      </c>
      <c r="V211" s="6">
        <v>1E-3</v>
      </c>
      <c r="W211" s="6">
        <v>1.9699999999999999E-2</v>
      </c>
      <c r="X211" s="2" t="s">
        <v>191</v>
      </c>
      <c r="Y211" s="2" t="s">
        <v>84</v>
      </c>
      <c r="Z211" s="5">
        <v>832000</v>
      </c>
      <c r="AA211" s="5">
        <v>1</v>
      </c>
      <c r="AB211" s="5">
        <v>100.35</v>
      </c>
      <c r="AC211" s="5">
        <v>0</v>
      </c>
      <c r="AD211" s="5">
        <v>834.91200000000003</v>
      </c>
      <c r="AE211" s="2" t="s">
        <v>3</v>
      </c>
      <c r="AF211" s="2" t="s">
        <v>3</v>
      </c>
      <c r="AG211" s="2" t="s">
        <v>27</v>
      </c>
      <c r="AH211" s="6">
        <v>2.4629999999999997E-4</v>
      </c>
      <c r="AI211" s="6">
        <v>5.6227999999999998E-3</v>
      </c>
      <c r="AJ211" s="6">
        <v>1.0001000000000001E-3</v>
      </c>
      <c r="AK211" s="2" t="s">
        <v>3</v>
      </c>
      <c r="AL211" s="56" t="s">
        <v>4</v>
      </c>
      <c r="AM211" s="56" t="s">
        <v>1</v>
      </c>
    </row>
    <row r="212" spans="1:39">
      <c r="A212" s="2" t="s">
        <v>78</v>
      </c>
      <c r="B212" s="2" t="s">
        <v>98</v>
      </c>
      <c r="C212" s="2" t="s">
        <v>407</v>
      </c>
      <c r="D212" s="2" t="s">
        <v>408</v>
      </c>
      <c r="E212" s="2" t="s">
        <v>194</v>
      </c>
      <c r="F212" s="2" t="s">
        <v>440</v>
      </c>
      <c r="G212" s="9">
        <v>1196807</v>
      </c>
      <c r="H212" s="2" t="s">
        <v>149</v>
      </c>
      <c r="I212" s="2" t="s">
        <v>196</v>
      </c>
      <c r="J212" s="2" t="s">
        <v>83</v>
      </c>
      <c r="K212" s="2" t="s">
        <v>83</v>
      </c>
      <c r="L212" s="2" t="s">
        <v>185</v>
      </c>
      <c r="M212" s="2" t="s">
        <v>118</v>
      </c>
      <c r="N212" s="2" t="s">
        <v>400</v>
      </c>
      <c r="O212" s="2" t="s">
        <v>84</v>
      </c>
      <c r="P212" s="2" t="s">
        <v>401</v>
      </c>
      <c r="Q212" s="2" t="s">
        <v>86</v>
      </c>
      <c r="R212" s="2" t="s">
        <v>189</v>
      </c>
      <c r="S212" s="2" t="s">
        <v>87</v>
      </c>
      <c r="T212" s="5">
        <v>4.3899999999999997</v>
      </c>
      <c r="U212" s="2" t="s">
        <v>441</v>
      </c>
      <c r="V212" s="6">
        <v>2.06E-2</v>
      </c>
      <c r="W212" s="6">
        <v>1.9699999999999999E-2</v>
      </c>
      <c r="X212" s="2" t="s">
        <v>191</v>
      </c>
      <c r="Y212" s="2" t="s">
        <v>84</v>
      </c>
      <c r="Z212" s="5">
        <v>1400000</v>
      </c>
      <c r="AA212" s="5">
        <v>1</v>
      </c>
      <c r="AB212" s="5">
        <v>103.41</v>
      </c>
      <c r="AC212" s="5">
        <v>0</v>
      </c>
      <c r="AD212" s="5">
        <v>1447.74</v>
      </c>
      <c r="AE212" s="2" t="s">
        <v>3</v>
      </c>
      <c r="AF212" s="2" t="s">
        <v>3</v>
      </c>
      <c r="AG212" s="2" t="s">
        <v>27</v>
      </c>
      <c r="AH212" s="6">
        <v>6.9989999999999994E-4</v>
      </c>
      <c r="AI212" s="6">
        <v>9.7499000000000006E-3</v>
      </c>
      <c r="AJ212" s="6">
        <v>1.7341000000000001E-3</v>
      </c>
      <c r="AK212" s="2" t="s">
        <v>3</v>
      </c>
      <c r="AL212" s="56" t="s">
        <v>4</v>
      </c>
      <c r="AM212" s="56" t="s">
        <v>1</v>
      </c>
    </row>
    <row r="213" spans="1:39">
      <c r="A213" s="2" t="s">
        <v>78</v>
      </c>
      <c r="B213" s="2" t="s">
        <v>98</v>
      </c>
      <c r="C213" s="2" t="s">
        <v>407</v>
      </c>
      <c r="D213" s="2" t="s">
        <v>408</v>
      </c>
      <c r="E213" s="2" t="s">
        <v>194</v>
      </c>
      <c r="F213" s="2" t="s">
        <v>409</v>
      </c>
      <c r="G213" s="9">
        <v>1202142</v>
      </c>
      <c r="H213" s="2" t="s">
        <v>149</v>
      </c>
      <c r="I213" s="2" t="s">
        <v>196</v>
      </c>
      <c r="J213" s="2" t="s">
        <v>83</v>
      </c>
      <c r="K213" s="2" t="s">
        <v>83</v>
      </c>
      <c r="L213" s="2" t="s">
        <v>185</v>
      </c>
      <c r="M213" s="2" t="s">
        <v>118</v>
      </c>
      <c r="N213" s="2" t="s">
        <v>400</v>
      </c>
      <c r="O213" s="2" t="s">
        <v>84</v>
      </c>
      <c r="P213" s="2" t="s">
        <v>401</v>
      </c>
      <c r="Q213" s="2" t="s">
        <v>86</v>
      </c>
      <c r="R213" s="2" t="s">
        <v>189</v>
      </c>
      <c r="S213" s="2" t="s">
        <v>87</v>
      </c>
      <c r="T213" s="5">
        <v>4.92</v>
      </c>
      <c r="U213" s="2" t="s">
        <v>410</v>
      </c>
      <c r="V213" s="6">
        <v>1.9900000000000001E-2</v>
      </c>
      <c r="W213" s="6">
        <v>2.0099999999999996E-2</v>
      </c>
      <c r="X213" s="2" t="s">
        <v>191</v>
      </c>
      <c r="Y213" s="2" t="s">
        <v>84</v>
      </c>
      <c r="Z213" s="5">
        <v>1700000</v>
      </c>
      <c r="AA213" s="5">
        <v>1</v>
      </c>
      <c r="AB213" s="5">
        <v>100.72</v>
      </c>
      <c r="AC213" s="5">
        <v>0</v>
      </c>
      <c r="AD213" s="5">
        <v>1712.24</v>
      </c>
      <c r="AE213" s="2" t="s">
        <v>3</v>
      </c>
      <c r="AF213" s="2" t="s">
        <v>3</v>
      </c>
      <c r="AG213" s="2" t="s">
        <v>27</v>
      </c>
      <c r="AH213" s="6">
        <v>6.2960000000000002E-4</v>
      </c>
      <c r="AI213" s="6">
        <v>1.1531199999999998E-2</v>
      </c>
      <c r="AJ213" s="6">
        <v>2.0509E-3</v>
      </c>
      <c r="AK213" s="2" t="s">
        <v>3</v>
      </c>
      <c r="AL213" s="56" t="s">
        <v>4</v>
      </c>
      <c r="AM213" s="56" t="s">
        <v>1</v>
      </c>
    </row>
    <row r="214" spans="1:39">
      <c r="A214" s="2" t="s">
        <v>78</v>
      </c>
      <c r="B214" s="2" t="s">
        <v>98</v>
      </c>
      <c r="C214" s="2" t="s">
        <v>407</v>
      </c>
      <c r="D214" s="2" t="s">
        <v>408</v>
      </c>
      <c r="E214" s="2" t="s">
        <v>194</v>
      </c>
      <c r="F214" s="2" t="s">
        <v>442</v>
      </c>
      <c r="G214" s="9">
        <v>2310217</v>
      </c>
      <c r="H214" s="2" t="s">
        <v>149</v>
      </c>
      <c r="I214" s="2" t="s">
        <v>196</v>
      </c>
      <c r="J214" s="2" t="s">
        <v>83</v>
      </c>
      <c r="K214" s="2" t="s">
        <v>83</v>
      </c>
      <c r="L214" s="2" t="s">
        <v>185</v>
      </c>
      <c r="M214" s="2" t="s">
        <v>118</v>
      </c>
      <c r="N214" s="2" t="s">
        <v>400</v>
      </c>
      <c r="O214" s="2" t="s">
        <v>84</v>
      </c>
      <c r="P214" s="2" t="s">
        <v>401</v>
      </c>
      <c r="Q214" s="2" t="s">
        <v>86</v>
      </c>
      <c r="R214" s="2" t="s">
        <v>189</v>
      </c>
      <c r="S214" s="2" t="s">
        <v>87</v>
      </c>
      <c r="T214" s="5">
        <v>0.5</v>
      </c>
      <c r="U214" s="2" t="s">
        <v>443</v>
      </c>
      <c r="V214" s="6">
        <v>8.6E-3</v>
      </c>
      <c r="W214" s="6">
        <v>1.3000000000000001E-2</v>
      </c>
      <c r="X214" s="2" t="s">
        <v>191</v>
      </c>
      <c r="Y214" s="2" t="s">
        <v>84</v>
      </c>
      <c r="Z214" s="5">
        <v>3749097</v>
      </c>
      <c r="AA214" s="5">
        <v>1</v>
      </c>
      <c r="AB214" s="5">
        <v>113.09</v>
      </c>
      <c r="AC214" s="5">
        <v>0</v>
      </c>
      <c r="AD214" s="5">
        <v>4239.8537900000001</v>
      </c>
      <c r="AE214" s="2" t="s">
        <v>3</v>
      </c>
      <c r="AF214" s="2" t="s">
        <v>3</v>
      </c>
      <c r="AG214" s="2" t="s">
        <v>27</v>
      </c>
      <c r="AH214" s="6">
        <v>1.4988000000000002E-3</v>
      </c>
      <c r="AI214" s="6">
        <v>2.8553600000000002E-2</v>
      </c>
      <c r="AJ214" s="6">
        <v>5.0785000000000005E-3</v>
      </c>
      <c r="AK214" s="2" t="s">
        <v>3</v>
      </c>
      <c r="AL214" s="56" t="s">
        <v>4</v>
      </c>
      <c r="AM214" s="56" t="s">
        <v>1</v>
      </c>
    </row>
    <row r="215" spans="1:39">
      <c r="A215" s="2" t="s">
        <v>78</v>
      </c>
      <c r="B215" s="2" t="s">
        <v>98</v>
      </c>
      <c r="C215" s="2" t="s">
        <v>179</v>
      </c>
      <c r="D215" s="2" t="s">
        <v>180</v>
      </c>
      <c r="E215" s="2" t="s">
        <v>168</v>
      </c>
      <c r="F215" s="2" t="s">
        <v>181</v>
      </c>
      <c r="G215" s="2" t="s">
        <v>182</v>
      </c>
      <c r="H215" s="2" t="s">
        <v>183</v>
      </c>
      <c r="I215" s="2" t="s">
        <v>184</v>
      </c>
      <c r="J215" s="2" t="s">
        <v>148</v>
      </c>
      <c r="K215" s="2" t="s">
        <v>156</v>
      </c>
      <c r="L215" s="2" t="s">
        <v>185</v>
      </c>
      <c r="M215" s="2" t="s">
        <v>149</v>
      </c>
      <c r="N215" s="2" t="s">
        <v>186</v>
      </c>
      <c r="O215" s="2" t="s">
        <v>84</v>
      </c>
      <c r="P215" s="2" t="s">
        <v>187</v>
      </c>
      <c r="Q215" s="2" t="s">
        <v>188</v>
      </c>
      <c r="R215" s="2" t="s">
        <v>189</v>
      </c>
      <c r="S215" s="2" t="s">
        <v>91</v>
      </c>
      <c r="T215" s="5">
        <v>1.006</v>
      </c>
      <c r="U215" s="2" t="s">
        <v>190</v>
      </c>
      <c r="V215" s="6">
        <v>4.0800000000000003E-2</v>
      </c>
      <c r="W215" s="6">
        <v>6.0739999999999995E-2</v>
      </c>
      <c r="X215" s="2" t="s">
        <v>191</v>
      </c>
      <c r="Y215" s="2" t="s">
        <v>84</v>
      </c>
      <c r="Z215" s="5">
        <v>1255000</v>
      </c>
      <c r="AA215" s="5">
        <v>3.681</v>
      </c>
      <c r="AB215" s="5">
        <v>100.25149</v>
      </c>
      <c r="AC215" s="5">
        <v>0</v>
      </c>
      <c r="AD215" s="5">
        <v>4631.2734099999998</v>
      </c>
      <c r="AE215" s="2" t="s">
        <v>3</v>
      </c>
      <c r="AF215" s="2" t="s">
        <v>3</v>
      </c>
      <c r="AG215" s="2" t="s">
        <v>27</v>
      </c>
      <c r="AH215" s="6">
        <v>4.1829999999999998E-4</v>
      </c>
      <c r="AI215" s="6">
        <v>3.1189700000000001E-2</v>
      </c>
      <c r="AJ215" s="6">
        <v>5.5474000000000001E-3</v>
      </c>
      <c r="AK215" s="9">
        <v>72896715</v>
      </c>
      <c r="AL215" s="56" t="s">
        <v>4</v>
      </c>
      <c r="AM215" s="56" t="s">
        <v>1</v>
      </c>
    </row>
    <row r="216" spans="1:39">
      <c r="A216" s="2" t="s">
        <v>78</v>
      </c>
      <c r="B216" s="2" t="s">
        <v>98</v>
      </c>
      <c r="C216" s="2" t="s">
        <v>483</v>
      </c>
      <c r="D216" s="2" t="s">
        <v>484</v>
      </c>
      <c r="E216" s="2" t="s">
        <v>168</v>
      </c>
      <c r="F216" s="2" t="s">
        <v>485</v>
      </c>
      <c r="G216" s="2" t="s">
        <v>486</v>
      </c>
      <c r="H216" s="2" t="s">
        <v>183</v>
      </c>
      <c r="I216" s="2" t="s">
        <v>184</v>
      </c>
      <c r="J216" s="2" t="s">
        <v>148</v>
      </c>
      <c r="K216" s="2" t="s">
        <v>487</v>
      </c>
      <c r="L216" s="2" t="s">
        <v>185</v>
      </c>
      <c r="M216" s="2" t="s">
        <v>149</v>
      </c>
      <c r="N216" s="2" t="s">
        <v>488</v>
      </c>
      <c r="O216" s="2" t="s">
        <v>84</v>
      </c>
      <c r="P216" s="2" t="s">
        <v>489</v>
      </c>
      <c r="Q216" s="2" t="s">
        <v>151</v>
      </c>
      <c r="R216" s="2" t="s">
        <v>189</v>
      </c>
      <c r="S216" s="2" t="s">
        <v>91</v>
      </c>
      <c r="T216" s="5">
        <v>11.121</v>
      </c>
      <c r="U216" s="2" t="s">
        <v>490</v>
      </c>
      <c r="V216" s="6">
        <v>6.6250000000000003E-2</v>
      </c>
      <c r="W216" s="6">
        <v>6.3869999999999996E-2</v>
      </c>
      <c r="X216" s="2" t="s">
        <v>191</v>
      </c>
      <c r="Y216" s="2" t="s">
        <v>84</v>
      </c>
      <c r="Z216" s="5">
        <v>100000</v>
      </c>
      <c r="AA216" s="5">
        <v>3.681</v>
      </c>
      <c r="AB216" s="5">
        <v>103.33663</v>
      </c>
      <c r="AC216" s="5">
        <v>0</v>
      </c>
      <c r="AD216" s="5">
        <v>380.38216999999997</v>
      </c>
      <c r="AE216" s="2" t="s">
        <v>3</v>
      </c>
      <c r="AF216" s="2" t="s">
        <v>3</v>
      </c>
      <c r="AG216" s="2" t="s">
        <v>27</v>
      </c>
      <c r="AH216" s="6">
        <v>2.8570000000000001E-4</v>
      </c>
      <c r="AI216" s="6">
        <v>2.5617000000000001E-3</v>
      </c>
      <c r="AJ216" s="6">
        <v>4.5560000000000002E-4</v>
      </c>
      <c r="AK216" s="9">
        <v>71340079</v>
      </c>
      <c r="AL216" s="56" t="s">
        <v>4</v>
      </c>
      <c r="AM216" s="56" t="s">
        <v>1</v>
      </c>
    </row>
    <row r="217" spans="1:39">
      <c r="A217" s="2" t="s">
        <v>78</v>
      </c>
      <c r="B217" s="2" t="s">
        <v>98</v>
      </c>
      <c r="C217" s="2" t="s">
        <v>491</v>
      </c>
      <c r="D217" s="2" t="s">
        <v>492</v>
      </c>
      <c r="E217" s="2" t="s">
        <v>168</v>
      </c>
      <c r="F217" s="2" t="s">
        <v>493</v>
      </c>
      <c r="G217" s="2" t="s">
        <v>494</v>
      </c>
      <c r="H217" s="2" t="s">
        <v>183</v>
      </c>
      <c r="I217" s="2" t="s">
        <v>184</v>
      </c>
      <c r="J217" s="2" t="s">
        <v>148</v>
      </c>
      <c r="K217" s="2" t="s">
        <v>495</v>
      </c>
      <c r="L217" s="2" t="s">
        <v>185</v>
      </c>
      <c r="M217" s="2" t="s">
        <v>496</v>
      </c>
      <c r="N217" s="2" t="s">
        <v>497</v>
      </c>
      <c r="O217" s="2" t="s">
        <v>84</v>
      </c>
      <c r="P217" s="2" t="s">
        <v>268</v>
      </c>
      <c r="Q217" s="2" t="s">
        <v>188</v>
      </c>
      <c r="R217" s="2" t="s">
        <v>189</v>
      </c>
      <c r="S217" s="2" t="s">
        <v>91</v>
      </c>
      <c r="T217" s="5">
        <v>2.7090000000000001</v>
      </c>
      <c r="U217" s="2" t="s">
        <v>498</v>
      </c>
      <c r="V217" s="6">
        <v>4.7500000000000001E-2</v>
      </c>
      <c r="W217" s="6">
        <v>5.4219999999999997E-2</v>
      </c>
      <c r="X217" s="2" t="s">
        <v>191</v>
      </c>
      <c r="Y217" s="2" t="s">
        <v>84</v>
      </c>
      <c r="Z217" s="5">
        <v>82000</v>
      </c>
      <c r="AA217" s="5">
        <v>3.681</v>
      </c>
      <c r="AB217" s="5">
        <v>100.35393000000001</v>
      </c>
      <c r="AC217" s="5">
        <v>0</v>
      </c>
      <c r="AD217" s="5">
        <v>302.91032999999999</v>
      </c>
      <c r="AE217" s="2" t="s">
        <v>3</v>
      </c>
      <c r="AF217" s="2" t="s">
        <v>3</v>
      </c>
      <c r="AG217" s="2" t="s">
        <v>27</v>
      </c>
      <c r="AH217" s="6">
        <v>1.171E-4</v>
      </c>
      <c r="AI217" s="6">
        <v>2.0399999999999997E-3</v>
      </c>
      <c r="AJ217" s="6">
        <v>3.6279999999999998E-4</v>
      </c>
      <c r="AK217" s="9">
        <v>72480957</v>
      </c>
      <c r="AL217" s="56" t="s">
        <v>4</v>
      </c>
      <c r="AM217" s="56" t="s">
        <v>1</v>
      </c>
    </row>
    <row r="218" spans="1:39">
      <c r="A218" s="2" t="s">
        <v>78</v>
      </c>
      <c r="B218" s="2" t="s">
        <v>98</v>
      </c>
      <c r="C218" s="2" t="s">
        <v>263</v>
      </c>
      <c r="D218" s="2" t="s">
        <v>264</v>
      </c>
      <c r="E218" s="2" t="s">
        <v>168</v>
      </c>
      <c r="F218" s="2" t="s">
        <v>265</v>
      </c>
      <c r="G218" s="2" t="s">
        <v>266</v>
      </c>
      <c r="H218" s="2" t="s">
        <v>183</v>
      </c>
      <c r="I218" s="2" t="s">
        <v>184</v>
      </c>
      <c r="J218" s="2" t="s">
        <v>148</v>
      </c>
      <c r="K218" s="2" t="s">
        <v>156</v>
      </c>
      <c r="L218" s="2" t="s">
        <v>185</v>
      </c>
      <c r="M218" s="2" t="s">
        <v>157</v>
      </c>
      <c r="N218" s="2" t="s">
        <v>267</v>
      </c>
      <c r="O218" s="2" t="s">
        <v>84</v>
      </c>
      <c r="P218" s="2" t="s">
        <v>268</v>
      </c>
      <c r="Q218" s="2" t="s">
        <v>188</v>
      </c>
      <c r="R218" s="2" t="s">
        <v>189</v>
      </c>
      <c r="S218" s="2" t="s">
        <v>91</v>
      </c>
      <c r="T218" s="5">
        <v>3.34</v>
      </c>
      <c r="U218" s="2" t="s">
        <v>269</v>
      </c>
      <c r="V218" s="6">
        <v>5.2499999999999998E-2</v>
      </c>
      <c r="W218" s="6">
        <v>4.8499999999999995E-2</v>
      </c>
      <c r="X218" s="2" t="s">
        <v>191</v>
      </c>
      <c r="Y218" s="2" t="s">
        <v>84</v>
      </c>
      <c r="Z218" s="5">
        <v>966000</v>
      </c>
      <c r="AA218" s="5">
        <v>3.681</v>
      </c>
      <c r="AB218" s="5">
        <v>102.14507999999999</v>
      </c>
      <c r="AC218" s="5">
        <v>0</v>
      </c>
      <c r="AD218" s="5">
        <v>3632.12174</v>
      </c>
      <c r="AE218" s="2" t="s">
        <v>3</v>
      </c>
      <c r="AF218" s="2" t="s">
        <v>3</v>
      </c>
      <c r="AG218" s="2" t="s">
        <v>27</v>
      </c>
      <c r="AH218" s="6">
        <v>9.6600000000000006E-4</v>
      </c>
      <c r="AI218" s="6">
        <v>2.4460799999999998E-2</v>
      </c>
      <c r="AJ218" s="6">
        <v>4.3505999999999996E-3</v>
      </c>
      <c r="AK218" s="9">
        <v>72911860</v>
      </c>
      <c r="AL218" s="56" t="s">
        <v>4</v>
      </c>
      <c r="AM218" s="56" t="s">
        <v>1</v>
      </c>
    </row>
    <row r="219" spans="1:39">
      <c r="A219" s="2" t="s">
        <v>78</v>
      </c>
      <c r="B219" s="2" t="s">
        <v>98</v>
      </c>
      <c r="C219" s="2" t="s">
        <v>270</v>
      </c>
      <c r="D219" s="2" t="s">
        <v>271</v>
      </c>
      <c r="E219" s="2" t="s">
        <v>168</v>
      </c>
      <c r="F219" s="2" t="s">
        <v>272</v>
      </c>
      <c r="G219" s="2" t="s">
        <v>273</v>
      </c>
      <c r="H219" s="2" t="s">
        <v>183</v>
      </c>
      <c r="I219" s="2" t="s">
        <v>184</v>
      </c>
      <c r="J219" s="2" t="s">
        <v>148</v>
      </c>
      <c r="K219" s="2" t="s">
        <v>156</v>
      </c>
      <c r="L219" s="2" t="s">
        <v>185</v>
      </c>
      <c r="M219" s="2" t="s">
        <v>157</v>
      </c>
      <c r="N219" s="2" t="s">
        <v>274</v>
      </c>
      <c r="O219" s="2" t="s">
        <v>84</v>
      </c>
      <c r="P219" s="2" t="s">
        <v>268</v>
      </c>
      <c r="Q219" s="2" t="s">
        <v>188</v>
      </c>
      <c r="R219" s="2" t="s">
        <v>189</v>
      </c>
      <c r="S219" s="2" t="s">
        <v>91</v>
      </c>
      <c r="T219" s="5">
        <v>0.95799999999999996</v>
      </c>
      <c r="U219" s="2" t="s">
        <v>275</v>
      </c>
      <c r="V219" s="6">
        <v>4.3499999999999997E-2</v>
      </c>
      <c r="W219" s="6">
        <v>5.5469999999999998E-2</v>
      </c>
      <c r="X219" s="2" t="s">
        <v>191</v>
      </c>
      <c r="Y219" s="2" t="s">
        <v>84</v>
      </c>
      <c r="Z219" s="5">
        <v>990000</v>
      </c>
      <c r="AA219" s="5">
        <v>3.681</v>
      </c>
      <c r="AB219" s="5">
        <v>98.779499999999999</v>
      </c>
      <c r="AC219" s="5">
        <v>21.409600000000001</v>
      </c>
      <c r="AD219" s="5">
        <v>3678.5216099999998</v>
      </c>
      <c r="AE219" s="2" t="s">
        <v>3</v>
      </c>
      <c r="AF219" s="2" t="s">
        <v>3</v>
      </c>
      <c r="AG219" s="2" t="s">
        <v>27</v>
      </c>
      <c r="AH219" s="6">
        <v>9.8999999999999999E-4</v>
      </c>
      <c r="AI219" s="6">
        <v>2.4773299999999998E-2</v>
      </c>
      <c r="AJ219" s="6">
        <v>4.4061999999999999E-3</v>
      </c>
      <c r="AK219" s="9">
        <v>71554216</v>
      </c>
      <c r="AL219" s="56" t="s">
        <v>4</v>
      </c>
      <c r="AM219" s="56" t="s">
        <v>1</v>
      </c>
    </row>
    <row r="220" spans="1:39">
      <c r="A220" s="2" t="s">
        <v>78</v>
      </c>
      <c r="B220" s="2" t="s">
        <v>98</v>
      </c>
      <c r="C220" s="2" t="s">
        <v>499</v>
      </c>
      <c r="D220" s="2" t="s">
        <v>500</v>
      </c>
      <c r="E220" s="2" t="s">
        <v>168</v>
      </c>
      <c r="F220" s="2" t="s">
        <v>501</v>
      </c>
      <c r="G220" s="2" t="s">
        <v>502</v>
      </c>
      <c r="H220" s="2" t="s">
        <v>183</v>
      </c>
      <c r="I220" s="2" t="s">
        <v>184</v>
      </c>
      <c r="J220" s="2" t="s">
        <v>148</v>
      </c>
      <c r="K220" s="2" t="s">
        <v>503</v>
      </c>
      <c r="L220" s="2" t="s">
        <v>185</v>
      </c>
      <c r="M220" s="2" t="s">
        <v>496</v>
      </c>
      <c r="N220" s="2" t="s">
        <v>504</v>
      </c>
      <c r="O220" s="2" t="s">
        <v>84</v>
      </c>
      <c r="P220" s="2" t="s">
        <v>268</v>
      </c>
      <c r="Q220" s="2" t="s">
        <v>505</v>
      </c>
      <c r="R220" s="2" t="s">
        <v>189</v>
      </c>
      <c r="S220" s="2" t="s">
        <v>91</v>
      </c>
      <c r="T220" s="5">
        <v>3.94</v>
      </c>
      <c r="U220" s="2" t="s">
        <v>506</v>
      </c>
      <c r="V220" s="6">
        <v>5.5E-2</v>
      </c>
      <c r="W220" s="6">
        <v>5.765E-2</v>
      </c>
      <c r="X220" s="2" t="s">
        <v>191</v>
      </c>
      <c r="Y220" s="2" t="s">
        <v>84</v>
      </c>
      <c r="Z220" s="5">
        <v>120000</v>
      </c>
      <c r="AA220" s="5">
        <v>3.681</v>
      </c>
      <c r="AB220" s="5">
        <v>62.957720000000002</v>
      </c>
      <c r="AC220" s="5">
        <v>0</v>
      </c>
      <c r="AD220" s="5">
        <v>278.09683999999999</v>
      </c>
      <c r="AE220" s="2" t="s">
        <v>3</v>
      </c>
      <c r="AF220" s="2" t="s">
        <v>3</v>
      </c>
      <c r="AG220" s="2" t="s">
        <v>27</v>
      </c>
      <c r="AH220" s="6">
        <v>2.086E-4</v>
      </c>
      <c r="AI220" s="6">
        <v>1.8729E-3</v>
      </c>
      <c r="AJ220" s="6">
        <v>3.3310000000000002E-4</v>
      </c>
      <c r="AK220" s="9">
        <v>72480445</v>
      </c>
      <c r="AL220" s="56" t="s">
        <v>4</v>
      </c>
      <c r="AM220" s="56" t="s">
        <v>1</v>
      </c>
    </row>
    <row r="221" spans="1:39">
      <c r="A221" s="2" t="s">
        <v>78</v>
      </c>
      <c r="B221" s="2" t="s">
        <v>98</v>
      </c>
      <c r="C221" s="2" t="s">
        <v>276</v>
      </c>
      <c r="D221" s="2" t="s">
        <v>277</v>
      </c>
      <c r="E221" s="2" t="s">
        <v>168</v>
      </c>
      <c r="F221" s="2" t="s">
        <v>278</v>
      </c>
      <c r="G221" s="2" t="s">
        <v>279</v>
      </c>
      <c r="H221" s="2" t="s">
        <v>183</v>
      </c>
      <c r="I221" s="2" t="s">
        <v>184</v>
      </c>
      <c r="J221" s="2" t="s">
        <v>148</v>
      </c>
      <c r="K221" s="2" t="s">
        <v>156</v>
      </c>
      <c r="L221" s="2" t="s">
        <v>185</v>
      </c>
      <c r="M221" s="2" t="s">
        <v>157</v>
      </c>
      <c r="N221" s="2" t="s">
        <v>267</v>
      </c>
      <c r="O221" s="2" t="s">
        <v>84</v>
      </c>
      <c r="P221" s="2" t="s">
        <v>280</v>
      </c>
      <c r="Q221" s="2" t="s">
        <v>188</v>
      </c>
      <c r="R221" s="2" t="s">
        <v>189</v>
      </c>
      <c r="S221" s="2" t="s">
        <v>91</v>
      </c>
      <c r="T221" s="5">
        <v>1.7509999999999999</v>
      </c>
      <c r="U221" s="2" t="s">
        <v>281</v>
      </c>
      <c r="V221" s="6">
        <v>2.196E-2</v>
      </c>
      <c r="W221" s="6">
        <v>5.8339999999999996E-2</v>
      </c>
      <c r="X221" s="2" t="s">
        <v>191</v>
      </c>
      <c r="Y221" s="2" t="s">
        <v>84</v>
      </c>
      <c r="Z221" s="5">
        <v>1030000</v>
      </c>
      <c r="AA221" s="5">
        <v>3.681</v>
      </c>
      <c r="AB221" s="5">
        <v>94.027289999999994</v>
      </c>
      <c r="AC221" s="5">
        <v>0</v>
      </c>
      <c r="AD221" s="5">
        <v>3564.9792400000001</v>
      </c>
      <c r="AE221" s="2" t="s">
        <v>3</v>
      </c>
      <c r="AF221" s="2" t="s">
        <v>3</v>
      </c>
      <c r="AG221" s="2" t="s">
        <v>27</v>
      </c>
      <c r="AH221" s="6">
        <v>1.872E-4</v>
      </c>
      <c r="AI221" s="6">
        <v>2.4008600000000001E-2</v>
      </c>
      <c r="AJ221" s="6">
        <v>4.2702E-3</v>
      </c>
      <c r="AK221" s="9">
        <v>72760531</v>
      </c>
      <c r="AL221" s="56" t="s">
        <v>4</v>
      </c>
      <c r="AM221" s="56" t="s">
        <v>1</v>
      </c>
    </row>
    <row r="222" spans="1:39">
      <c r="A222" s="2" t="s">
        <v>78</v>
      </c>
      <c r="B222" s="2" t="s">
        <v>98</v>
      </c>
      <c r="C222" s="2" t="s">
        <v>507</v>
      </c>
      <c r="D222" s="2" t="s">
        <v>508</v>
      </c>
      <c r="E222" s="2" t="s">
        <v>168</v>
      </c>
      <c r="F222" s="2" t="s">
        <v>509</v>
      </c>
      <c r="G222" s="2" t="s">
        <v>510</v>
      </c>
      <c r="H222" s="2" t="s">
        <v>183</v>
      </c>
      <c r="I222" s="2" t="s">
        <v>184</v>
      </c>
      <c r="J222" s="2" t="s">
        <v>148</v>
      </c>
      <c r="K222" s="2" t="s">
        <v>511</v>
      </c>
      <c r="L222" s="2" t="s">
        <v>185</v>
      </c>
      <c r="M222" s="2" t="s">
        <v>149</v>
      </c>
      <c r="N222" s="2" t="s">
        <v>186</v>
      </c>
      <c r="O222" s="2" t="s">
        <v>84</v>
      </c>
      <c r="P222" s="2" t="s">
        <v>286</v>
      </c>
      <c r="Q222" s="2" t="s">
        <v>505</v>
      </c>
      <c r="R222" s="2" t="s">
        <v>189</v>
      </c>
      <c r="S222" s="2" t="s">
        <v>91</v>
      </c>
      <c r="T222" s="5">
        <v>1.966</v>
      </c>
      <c r="U222" s="2" t="s">
        <v>512</v>
      </c>
      <c r="V222" s="6">
        <v>4.4000000000000004E-2</v>
      </c>
      <c r="W222" s="6">
        <v>5.6059999999999999E-2</v>
      </c>
      <c r="X222" s="2" t="s">
        <v>191</v>
      </c>
      <c r="Y222" s="2" t="s">
        <v>84</v>
      </c>
      <c r="Z222" s="5">
        <v>82000</v>
      </c>
      <c r="AA222" s="5">
        <v>3.681</v>
      </c>
      <c r="AB222" s="5">
        <v>99.152050000000003</v>
      </c>
      <c r="AC222" s="5">
        <v>0</v>
      </c>
      <c r="AD222" s="5">
        <v>299.28255000000001</v>
      </c>
      <c r="AE222" s="2" t="s">
        <v>3</v>
      </c>
      <c r="AF222" s="2" t="s">
        <v>3</v>
      </c>
      <c r="AG222" s="2" t="s">
        <v>27</v>
      </c>
      <c r="AH222" s="6">
        <v>5.4599999999999999E-5</v>
      </c>
      <c r="AI222" s="6">
        <v>2.0154999999999999E-3</v>
      </c>
      <c r="AJ222" s="6">
        <v>3.5849999999999999E-4</v>
      </c>
      <c r="AK222" s="9">
        <v>71406292</v>
      </c>
      <c r="AL222" s="56" t="s">
        <v>4</v>
      </c>
      <c r="AM222" s="56" t="s">
        <v>1</v>
      </c>
    </row>
    <row r="223" spans="1:39">
      <c r="A223" s="2" t="s">
        <v>78</v>
      </c>
      <c r="B223" s="2" t="s">
        <v>98</v>
      </c>
      <c r="C223" s="2" t="s">
        <v>282</v>
      </c>
      <c r="D223" s="2" t="s">
        <v>283</v>
      </c>
      <c r="E223" s="2" t="s">
        <v>168</v>
      </c>
      <c r="F223" s="2" t="s">
        <v>284</v>
      </c>
      <c r="G223" s="2" t="s">
        <v>285</v>
      </c>
      <c r="H223" s="2" t="s">
        <v>183</v>
      </c>
      <c r="I223" s="2" t="s">
        <v>184</v>
      </c>
      <c r="J223" s="2" t="s">
        <v>148</v>
      </c>
      <c r="K223" s="2" t="s">
        <v>156</v>
      </c>
      <c r="L223" s="2" t="s">
        <v>185</v>
      </c>
      <c r="M223" s="2" t="s">
        <v>157</v>
      </c>
      <c r="N223" s="2" t="s">
        <v>186</v>
      </c>
      <c r="O223" s="2" t="s">
        <v>84</v>
      </c>
      <c r="P223" s="2" t="s">
        <v>286</v>
      </c>
      <c r="Q223" s="2" t="s">
        <v>188</v>
      </c>
      <c r="R223" s="2" t="s">
        <v>189</v>
      </c>
      <c r="S223" s="2" t="s">
        <v>91</v>
      </c>
      <c r="T223" s="5">
        <v>0.14000000000000001</v>
      </c>
      <c r="U223" s="2" t="s">
        <v>287</v>
      </c>
      <c r="V223" s="6">
        <v>4.1399999999999999E-2</v>
      </c>
      <c r="W223" s="6">
        <v>6.6710000000000005E-2</v>
      </c>
      <c r="X223" s="2" t="s">
        <v>191</v>
      </c>
      <c r="Y223" s="2" t="s">
        <v>84</v>
      </c>
      <c r="Z223" s="5">
        <v>755000</v>
      </c>
      <c r="AA223" s="5">
        <v>3.681</v>
      </c>
      <c r="AB223" s="5">
        <v>101.19298999999999</v>
      </c>
      <c r="AC223" s="5">
        <v>0</v>
      </c>
      <c r="AD223" s="5">
        <v>2812.31007</v>
      </c>
      <c r="AE223" s="2" t="s">
        <v>3</v>
      </c>
      <c r="AF223" s="2" t="s">
        <v>3</v>
      </c>
      <c r="AG223" s="2" t="s">
        <v>27</v>
      </c>
      <c r="AH223" s="6">
        <v>5.0330000000000004E-4</v>
      </c>
      <c r="AI223" s="6">
        <v>1.89397E-2</v>
      </c>
      <c r="AJ223" s="6">
        <v>3.3685999999999998E-3</v>
      </c>
      <c r="AK223" s="9">
        <v>72899750</v>
      </c>
      <c r="AL223" s="56" t="s">
        <v>4</v>
      </c>
      <c r="AM223" s="56" t="s">
        <v>1</v>
      </c>
    </row>
    <row r="224" spans="1:39">
      <c r="A224" s="2" t="s">
        <v>78</v>
      </c>
      <c r="B224" s="2" t="s">
        <v>98</v>
      </c>
      <c r="C224" s="2" t="s">
        <v>288</v>
      </c>
      <c r="D224" s="2" t="s">
        <v>289</v>
      </c>
      <c r="E224" s="2" t="s">
        <v>168</v>
      </c>
      <c r="F224" s="2" t="s">
        <v>290</v>
      </c>
      <c r="G224" s="2" t="s">
        <v>291</v>
      </c>
      <c r="H224" s="2" t="s">
        <v>183</v>
      </c>
      <c r="I224" s="2" t="s">
        <v>184</v>
      </c>
      <c r="J224" s="2" t="s">
        <v>148</v>
      </c>
      <c r="K224" s="2" t="s">
        <v>156</v>
      </c>
      <c r="L224" s="2" t="s">
        <v>185</v>
      </c>
      <c r="M224" s="2" t="s">
        <v>157</v>
      </c>
      <c r="N224" s="2" t="s">
        <v>292</v>
      </c>
      <c r="O224" s="2" t="s">
        <v>84</v>
      </c>
      <c r="P224" s="2" t="s">
        <v>286</v>
      </c>
      <c r="Q224" s="2" t="s">
        <v>188</v>
      </c>
      <c r="R224" s="2" t="s">
        <v>189</v>
      </c>
      <c r="S224" s="2" t="s">
        <v>91</v>
      </c>
      <c r="T224" s="5">
        <v>1.4550000000000001</v>
      </c>
      <c r="U224" s="2" t="s">
        <v>293</v>
      </c>
      <c r="V224" s="6">
        <v>2.6000000000000002E-2</v>
      </c>
      <c r="W224" s="6">
        <v>5.3429999999999998E-2</v>
      </c>
      <c r="X224" s="2" t="s">
        <v>191</v>
      </c>
      <c r="Y224" s="2" t="s">
        <v>84</v>
      </c>
      <c r="Z224" s="5">
        <v>700000</v>
      </c>
      <c r="AA224" s="5">
        <v>3.681</v>
      </c>
      <c r="AB224" s="5">
        <v>97.150090000000006</v>
      </c>
      <c r="AC224" s="5">
        <v>0</v>
      </c>
      <c r="AD224" s="5">
        <v>2503.2665000000002</v>
      </c>
      <c r="AE224" s="2" t="s">
        <v>3</v>
      </c>
      <c r="AF224" s="2" t="s">
        <v>3</v>
      </c>
      <c r="AG224" s="2" t="s">
        <v>27</v>
      </c>
      <c r="AH224" s="6">
        <v>1.4000000000000002E-3</v>
      </c>
      <c r="AI224" s="6">
        <v>1.6858399999999999E-2</v>
      </c>
      <c r="AJ224" s="6">
        <v>2.9984E-3</v>
      </c>
      <c r="AK224" s="9">
        <v>72161367</v>
      </c>
      <c r="AL224" s="56" t="s">
        <v>4</v>
      </c>
      <c r="AM224" s="56" t="s">
        <v>1</v>
      </c>
    </row>
    <row r="225" spans="1:39">
      <c r="A225" s="2" t="s">
        <v>78</v>
      </c>
      <c r="B225" s="2" t="s">
        <v>98</v>
      </c>
      <c r="C225" s="2" t="s">
        <v>513</v>
      </c>
      <c r="D225" s="2" t="s">
        <v>514</v>
      </c>
      <c r="E225" s="2" t="s">
        <v>168</v>
      </c>
      <c r="F225" s="2" t="s">
        <v>515</v>
      </c>
      <c r="G225" s="2" t="s">
        <v>516</v>
      </c>
      <c r="H225" s="2" t="s">
        <v>183</v>
      </c>
      <c r="I225" s="2" t="s">
        <v>184</v>
      </c>
      <c r="J225" s="2" t="s">
        <v>148</v>
      </c>
      <c r="K225" s="2" t="s">
        <v>83</v>
      </c>
      <c r="L225" s="2" t="s">
        <v>185</v>
      </c>
      <c r="M225" s="2" t="s">
        <v>149</v>
      </c>
      <c r="N225" s="2" t="s">
        <v>504</v>
      </c>
      <c r="O225" s="2" t="s">
        <v>84</v>
      </c>
      <c r="P225" s="2" t="s">
        <v>286</v>
      </c>
      <c r="Q225" s="2" t="s">
        <v>188</v>
      </c>
      <c r="R225" s="2" t="s">
        <v>189</v>
      </c>
      <c r="S225" s="2" t="s">
        <v>91</v>
      </c>
      <c r="T225" s="5">
        <v>3.1379999999999999</v>
      </c>
      <c r="U225" s="2" t="s">
        <v>517</v>
      </c>
      <c r="V225" s="6">
        <v>7.7499999999999999E-2</v>
      </c>
      <c r="W225" s="6">
        <v>5.9660000000000005E-2</v>
      </c>
      <c r="X225" s="2" t="s">
        <v>191</v>
      </c>
      <c r="Y225" s="2" t="s">
        <v>84</v>
      </c>
      <c r="Z225" s="5">
        <v>280000</v>
      </c>
      <c r="AA225" s="5">
        <v>3.681</v>
      </c>
      <c r="AB225" s="5">
        <v>108.25646999999999</v>
      </c>
      <c r="AC225" s="5">
        <v>0</v>
      </c>
      <c r="AD225" s="5">
        <v>1115.7777900000001</v>
      </c>
      <c r="AE225" s="2" t="s">
        <v>3</v>
      </c>
      <c r="AF225" s="2" t="s">
        <v>3</v>
      </c>
      <c r="AG225" s="2" t="s">
        <v>27</v>
      </c>
      <c r="AH225" s="6">
        <v>9.3329999999999997E-4</v>
      </c>
      <c r="AI225" s="6">
        <v>7.5143000000000007E-3</v>
      </c>
      <c r="AJ225" s="6">
        <v>1.3365E-3</v>
      </c>
      <c r="AK225" s="9">
        <v>71077234</v>
      </c>
      <c r="AL225" s="56" t="s">
        <v>4</v>
      </c>
      <c r="AM225" s="56" t="s">
        <v>1</v>
      </c>
    </row>
    <row r="226" spans="1:39">
      <c r="A226" s="2" t="s">
        <v>78</v>
      </c>
      <c r="B226" s="2" t="s">
        <v>98</v>
      </c>
      <c r="C226" s="2" t="s">
        <v>513</v>
      </c>
      <c r="D226" s="2" t="s">
        <v>514</v>
      </c>
      <c r="E226" s="2" t="s">
        <v>168</v>
      </c>
      <c r="F226" s="2" t="s">
        <v>518</v>
      </c>
      <c r="G226" s="2" t="s">
        <v>519</v>
      </c>
      <c r="H226" s="2" t="s">
        <v>183</v>
      </c>
      <c r="I226" s="2" t="s">
        <v>184</v>
      </c>
      <c r="J226" s="2" t="s">
        <v>148</v>
      </c>
      <c r="K226" s="2" t="s">
        <v>83</v>
      </c>
      <c r="L226" s="2" t="s">
        <v>185</v>
      </c>
      <c r="M226" s="2" t="s">
        <v>149</v>
      </c>
      <c r="N226" s="2" t="s">
        <v>504</v>
      </c>
      <c r="O226" s="2" t="s">
        <v>84</v>
      </c>
      <c r="P226" s="2" t="s">
        <v>286</v>
      </c>
      <c r="Q226" s="2" t="s">
        <v>188</v>
      </c>
      <c r="R226" s="2" t="s">
        <v>189</v>
      </c>
      <c r="S226" s="2" t="s">
        <v>91</v>
      </c>
      <c r="T226" s="5">
        <v>13.775</v>
      </c>
      <c r="U226" s="2" t="s">
        <v>520</v>
      </c>
      <c r="V226" s="6">
        <v>8.1000000000000003E-2</v>
      </c>
      <c r="W226" s="6">
        <v>7.041E-2</v>
      </c>
      <c r="X226" s="2" t="s">
        <v>191</v>
      </c>
      <c r="Y226" s="2" t="s">
        <v>84</v>
      </c>
      <c r="Z226" s="5">
        <v>200000</v>
      </c>
      <c r="AA226" s="5">
        <v>3.681</v>
      </c>
      <c r="AB226" s="5">
        <v>117.67749999999999</v>
      </c>
      <c r="AC226" s="5">
        <v>0</v>
      </c>
      <c r="AD226" s="5">
        <v>866.34176000000002</v>
      </c>
      <c r="AE226" s="2" t="s">
        <v>3</v>
      </c>
      <c r="AF226" s="2" t="s">
        <v>3</v>
      </c>
      <c r="AG226" s="2" t="s">
        <v>27</v>
      </c>
      <c r="AH226" s="6">
        <v>1.6000000000000001E-3</v>
      </c>
      <c r="AI226" s="6">
        <v>5.8344E-3</v>
      </c>
      <c r="AJ226" s="6">
        <v>1.0376999999999999E-3</v>
      </c>
      <c r="AK226" s="9">
        <v>71084297</v>
      </c>
      <c r="AL226" s="56" t="s">
        <v>4</v>
      </c>
      <c r="AM226" s="56" t="s">
        <v>1</v>
      </c>
    </row>
    <row r="227" spans="1:39">
      <c r="A227" s="2" t="s">
        <v>78</v>
      </c>
      <c r="B227" s="2" t="s">
        <v>78</v>
      </c>
      <c r="C227" s="2" t="s">
        <v>3</v>
      </c>
      <c r="D227" s="2" t="s">
        <v>3</v>
      </c>
      <c r="E227" s="2" t="s">
        <v>3</v>
      </c>
      <c r="F227" s="2" t="s">
        <v>3</v>
      </c>
      <c r="G227" s="2" t="s">
        <v>3</v>
      </c>
      <c r="H227" s="2" t="s">
        <v>3</v>
      </c>
      <c r="I227" s="2" t="s">
        <v>3</v>
      </c>
      <c r="J227" s="2" t="s">
        <v>3</v>
      </c>
      <c r="K227" s="2" t="s">
        <v>3</v>
      </c>
      <c r="L227" s="2" t="s">
        <v>3</v>
      </c>
      <c r="M227" s="2" t="s">
        <v>3</v>
      </c>
      <c r="N227" s="2" t="s">
        <v>3</v>
      </c>
      <c r="O227" s="2" t="s">
        <v>3</v>
      </c>
      <c r="P227" s="2" t="s">
        <v>3</v>
      </c>
      <c r="Q227" s="2" t="s">
        <v>3</v>
      </c>
      <c r="R227" s="2" t="s">
        <v>3</v>
      </c>
      <c r="S227" s="2" t="s">
        <v>3</v>
      </c>
      <c r="T227" s="2" t="s">
        <v>3</v>
      </c>
      <c r="U227" s="2" t="s">
        <v>3</v>
      </c>
      <c r="V227" s="2" t="s">
        <v>3</v>
      </c>
      <c r="W227" s="2" t="s">
        <v>3</v>
      </c>
      <c r="X227" s="2" t="s">
        <v>3</v>
      </c>
      <c r="Y227" s="2" t="s">
        <v>3</v>
      </c>
      <c r="Z227" s="2" t="s">
        <v>3</v>
      </c>
      <c r="AA227" s="2" t="s">
        <v>3</v>
      </c>
      <c r="AB227" s="2" t="s">
        <v>3</v>
      </c>
      <c r="AC227" s="2" t="s">
        <v>3</v>
      </c>
      <c r="AD227" s="2" t="s">
        <v>3</v>
      </c>
      <c r="AE227" s="2" t="s">
        <v>3</v>
      </c>
      <c r="AF227" s="2" t="s">
        <v>3</v>
      </c>
      <c r="AG227" s="2" t="s">
        <v>3</v>
      </c>
      <c r="AH227" s="2" t="s">
        <v>3</v>
      </c>
      <c r="AI227" s="2" t="s">
        <v>3</v>
      </c>
      <c r="AJ227" s="2" t="s">
        <v>3</v>
      </c>
      <c r="AK227" s="2" t="s">
        <v>3</v>
      </c>
      <c r="AL227" s="56" t="s">
        <v>4</v>
      </c>
      <c r="AM227" s="56" t="s">
        <v>1</v>
      </c>
    </row>
    <row r="228" spans="1:39">
      <c r="A228" s="2" t="s">
        <v>3</v>
      </c>
      <c r="B228" s="2" t="s">
        <v>100</v>
      </c>
      <c r="C228" s="2" t="s">
        <v>3</v>
      </c>
      <c r="D228" s="2" t="s">
        <v>3</v>
      </c>
      <c r="E228" s="2" t="s">
        <v>3</v>
      </c>
      <c r="F228" s="2" t="s">
        <v>3</v>
      </c>
      <c r="G228" s="2" t="s">
        <v>3</v>
      </c>
      <c r="H228" s="2" t="s">
        <v>3</v>
      </c>
      <c r="I228" s="2" t="s">
        <v>3</v>
      </c>
      <c r="J228" s="2" t="s">
        <v>3</v>
      </c>
      <c r="K228" s="2" t="s">
        <v>3</v>
      </c>
      <c r="L228" s="2" t="s">
        <v>3</v>
      </c>
      <c r="M228" s="2" t="s">
        <v>3</v>
      </c>
      <c r="N228" s="2" t="s">
        <v>3</v>
      </c>
      <c r="O228" s="2" t="s">
        <v>3</v>
      </c>
      <c r="P228" s="2" t="s">
        <v>3</v>
      </c>
      <c r="Q228" s="2" t="s">
        <v>3</v>
      </c>
      <c r="R228" s="2" t="s">
        <v>3</v>
      </c>
      <c r="S228" s="2" t="s">
        <v>3</v>
      </c>
      <c r="T228" s="2" t="s">
        <v>3</v>
      </c>
      <c r="U228" s="2" t="s">
        <v>3</v>
      </c>
      <c r="V228" s="2" t="s">
        <v>3</v>
      </c>
      <c r="W228" s="2" t="s">
        <v>3</v>
      </c>
      <c r="X228" s="2" t="s">
        <v>3</v>
      </c>
      <c r="Y228" s="2" t="s">
        <v>3</v>
      </c>
      <c r="Z228" s="2" t="s">
        <v>3</v>
      </c>
      <c r="AA228" s="2" t="s">
        <v>3</v>
      </c>
      <c r="AB228" s="2" t="s">
        <v>3</v>
      </c>
      <c r="AC228" s="2" t="s">
        <v>3</v>
      </c>
      <c r="AD228" s="2" t="s">
        <v>3</v>
      </c>
      <c r="AE228" s="2" t="s">
        <v>3</v>
      </c>
      <c r="AF228" s="2" t="s">
        <v>3</v>
      </c>
      <c r="AG228" s="2" t="s">
        <v>3</v>
      </c>
      <c r="AH228" s="2" t="s">
        <v>3</v>
      </c>
      <c r="AI228" s="2" t="s">
        <v>3</v>
      </c>
      <c r="AJ228" s="2" t="s">
        <v>3</v>
      </c>
      <c r="AK228" s="2" t="s">
        <v>3</v>
      </c>
      <c r="AL228" s="56" t="s">
        <v>4</v>
      </c>
      <c r="AM228" s="56" t="s">
        <v>1</v>
      </c>
    </row>
    <row r="229" spans="1:39">
      <c r="B229" s="13" t="s">
        <v>24</v>
      </c>
    </row>
    <row r="230" spans="1:39">
      <c r="B230" s="13" t="s">
        <v>25</v>
      </c>
    </row>
  </sheetData>
  <autoFilter ref="A2:AK230"/>
  <mergeCells count="3">
    <mergeCell ref="AL2:AL228"/>
    <mergeCell ref="AM1:AM228"/>
    <mergeCell ref="B1:AL1"/>
  </mergeCells>
  <conditionalFormatting sqref="AN3:AN226">
    <cfRule type="cellIs" dxfId="0" priority="1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AA196"/>
  <sheetViews>
    <sheetView rightToLeft="1" topLeftCell="E145" zoomScale="55" zoomScaleNormal="55" workbookViewId="0">
      <selection activeCell="E165" sqref="A165:XFD196"/>
    </sheetView>
  </sheetViews>
  <sheetFormatPr defaultRowHeight="14.25"/>
  <cols>
    <col min="1" max="1" width="36" customWidth="1"/>
    <col min="2" max="2" width="12" customWidth="1"/>
    <col min="3" max="3" width="30" customWidth="1"/>
    <col min="4" max="4" width="12" customWidth="1"/>
    <col min="5" max="5" width="21" customWidth="1"/>
    <col min="6" max="6" width="28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42" customWidth="1"/>
    <col min="15" max="15" width="19" customWidth="1"/>
    <col min="16" max="16" width="16" customWidth="1"/>
    <col min="17" max="17" width="19" customWidth="1"/>
    <col min="18" max="18" width="12" customWidth="1"/>
    <col min="19" max="19" width="15" customWidth="1"/>
    <col min="20" max="20" width="22.125" customWidth="1"/>
    <col min="21" max="21" width="24" customWidth="1"/>
    <col min="22" max="22" width="23" customWidth="1"/>
    <col min="23" max="23" width="25" customWidth="1"/>
    <col min="24" max="24" width="23" customWidth="1"/>
    <col min="25" max="25" width="11" customWidth="1"/>
  </cols>
  <sheetData>
    <row r="1" spans="1:27">
      <c r="B1" s="57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AA1" s="57" t="s">
        <v>1</v>
      </c>
    </row>
    <row r="2" spans="1:27" ht="21.75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105</v>
      </c>
      <c r="N2" s="4" t="s">
        <v>171</v>
      </c>
      <c r="O2" s="4" t="s">
        <v>172</v>
      </c>
      <c r="P2" s="4" t="s">
        <v>71</v>
      </c>
      <c r="Q2" s="4" t="s">
        <v>111</v>
      </c>
      <c r="R2" s="4" t="s">
        <v>73</v>
      </c>
      <c r="S2" s="4" t="s">
        <v>112</v>
      </c>
      <c r="T2" s="4" t="s">
        <v>110</v>
      </c>
      <c r="U2" s="4" t="s">
        <v>75</v>
      </c>
      <c r="V2" s="4" t="s">
        <v>114</v>
      </c>
      <c r="W2" s="4" t="s">
        <v>76</v>
      </c>
      <c r="X2" s="4" t="s">
        <v>77</v>
      </c>
      <c r="Y2" s="4" t="s">
        <v>3</v>
      </c>
      <c r="Z2" s="57" t="s">
        <v>4</v>
      </c>
      <c r="AA2" s="57" t="s">
        <v>1</v>
      </c>
    </row>
    <row r="3" spans="1:27">
      <c r="A3" s="2" t="s">
        <v>78</v>
      </c>
      <c r="B3" s="2" t="s">
        <v>78</v>
      </c>
      <c r="C3" s="2" t="s">
        <v>527</v>
      </c>
      <c r="D3" s="2" t="s">
        <v>528</v>
      </c>
      <c r="E3" s="2" t="s">
        <v>194</v>
      </c>
      <c r="F3" s="2" t="s">
        <v>527</v>
      </c>
      <c r="G3" s="9">
        <v>1091065</v>
      </c>
      <c r="H3" s="2" t="s">
        <v>149</v>
      </c>
      <c r="I3" s="2" t="s">
        <v>529</v>
      </c>
      <c r="J3" s="2" t="s">
        <v>83</v>
      </c>
      <c r="K3" s="2" t="s">
        <v>83</v>
      </c>
      <c r="L3" s="2" t="s">
        <v>185</v>
      </c>
      <c r="M3" s="2" t="s">
        <v>118</v>
      </c>
      <c r="N3" s="2" t="s">
        <v>530</v>
      </c>
      <c r="O3" s="2" t="s">
        <v>84</v>
      </c>
      <c r="P3" s="2" t="s">
        <v>87</v>
      </c>
      <c r="Q3" s="5">
        <v>987</v>
      </c>
      <c r="R3" s="5">
        <v>1</v>
      </c>
      <c r="S3" s="5">
        <v>3622</v>
      </c>
      <c r="T3" s="5">
        <v>0</v>
      </c>
      <c r="U3" s="5">
        <v>35.749139999999997</v>
      </c>
      <c r="V3" s="6">
        <v>8.8999999999999995E-6</v>
      </c>
      <c r="W3" s="6">
        <v>3.6479999999999998E-4</v>
      </c>
      <c r="X3" s="6">
        <v>4.2799999999999997E-5</v>
      </c>
      <c r="Y3" s="2" t="s">
        <v>3</v>
      </c>
      <c r="Z3" s="57" t="s">
        <v>4</v>
      </c>
      <c r="AA3" s="57" t="s">
        <v>1</v>
      </c>
    </row>
    <row r="4" spans="1:27">
      <c r="A4" s="2" t="s">
        <v>78</v>
      </c>
      <c r="B4" s="2" t="s">
        <v>78</v>
      </c>
      <c r="C4" s="2" t="s">
        <v>403</v>
      </c>
      <c r="D4" s="2" t="s">
        <v>404</v>
      </c>
      <c r="E4" s="2" t="s">
        <v>194</v>
      </c>
      <c r="F4" s="2" t="s">
        <v>403</v>
      </c>
      <c r="G4" s="9">
        <v>604611</v>
      </c>
      <c r="H4" s="2" t="s">
        <v>149</v>
      </c>
      <c r="I4" s="2" t="s">
        <v>529</v>
      </c>
      <c r="J4" s="2" t="s">
        <v>83</v>
      </c>
      <c r="K4" s="2" t="s">
        <v>83</v>
      </c>
      <c r="L4" s="2" t="s">
        <v>185</v>
      </c>
      <c r="M4" s="2" t="s">
        <v>118</v>
      </c>
      <c r="N4" s="2" t="s">
        <v>400</v>
      </c>
      <c r="O4" s="2" t="s">
        <v>84</v>
      </c>
      <c r="P4" s="2" t="s">
        <v>87</v>
      </c>
      <c r="Q4" s="5">
        <v>8415</v>
      </c>
      <c r="R4" s="5">
        <v>1</v>
      </c>
      <c r="S4" s="5">
        <v>3100</v>
      </c>
      <c r="T4" s="5">
        <v>2.0171000000000001</v>
      </c>
      <c r="U4" s="5">
        <v>262.88213999999999</v>
      </c>
      <c r="V4" s="6">
        <v>5.5000000000000007E-6</v>
      </c>
      <c r="W4" s="6">
        <v>2.6825E-3</v>
      </c>
      <c r="X4" s="6">
        <v>3.1489999999999996E-4</v>
      </c>
      <c r="Y4" s="2" t="s">
        <v>3</v>
      </c>
      <c r="Z4" s="57" t="s">
        <v>4</v>
      </c>
      <c r="AA4" s="57" t="s">
        <v>1</v>
      </c>
    </row>
    <row r="5" spans="1:27">
      <c r="A5" s="2" t="s">
        <v>78</v>
      </c>
      <c r="B5" s="2" t="s">
        <v>78</v>
      </c>
      <c r="C5" s="2" t="s">
        <v>531</v>
      </c>
      <c r="D5" s="2" t="s">
        <v>532</v>
      </c>
      <c r="E5" s="2" t="s">
        <v>194</v>
      </c>
      <c r="F5" s="2" t="s">
        <v>533</v>
      </c>
      <c r="G5" s="9">
        <v>256016</v>
      </c>
      <c r="H5" s="2" t="s">
        <v>149</v>
      </c>
      <c r="I5" s="2" t="s">
        <v>529</v>
      </c>
      <c r="J5" s="2" t="s">
        <v>83</v>
      </c>
      <c r="K5" s="2" t="s">
        <v>83</v>
      </c>
      <c r="L5" s="2" t="s">
        <v>185</v>
      </c>
      <c r="M5" s="2" t="s">
        <v>118</v>
      </c>
      <c r="N5" s="2" t="s">
        <v>534</v>
      </c>
      <c r="O5" s="2" t="s">
        <v>84</v>
      </c>
      <c r="P5" s="2" t="s">
        <v>87</v>
      </c>
      <c r="Q5" s="5">
        <v>132</v>
      </c>
      <c r="R5" s="5">
        <v>1</v>
      </c>
      <c r="S5" s="5">
        <v>30030</v>
      </c>
      <c r="T5" s="5">
        <v>0</v>
      </c>
      <c r="U5" s="5">
        <v>39.639600000000002</v>
      </c>
      <c r="V5" s="6">
        <v>8.599999999999999E-6</v>
      </c>
      <c r="W5" s="6">
        <v>4.0450000000000002E-4</v>
      </c>
      <c r="X5" s="6">
        <v>4.7499999999999996E-5</v>
      </c>
      <c r="Y5" s="2" t="s">
        <v>3</v>
      </c>
      <c r="Z5" s="57" t="s">
        <v>4</v>
      </c>
      <c r="AA5" s="57" t="s">
        <v>1</v>
      </c>
    </row>
    <row r="6" spans="1:27">
      <c r="A6" s="2" t="s">
        <v>78</v>
      </c>
      <c r="B6" s="2" t="s">
        <v>78</v>
      </c>
      <c r="C6" s="2" t="s">
        <v>535</v>
      </c>
      <c r="D6" s="2" t="s">
        <v>536</v>
      </c>
      <c r="E6" s="2" t="s">
        <v>194</v>
      </c>
      <c r="F6" s="2" t="s">
        <v>537</v>
      </c>
      <c r="G6" s="9">
        <v>224014</v>
      </c>
      <c r="H6" s="2" t="s">
        <v>149</v>
      </c>
      <c r="I6" s="2" t="s">
        <v>529</v>
      </c>
      <c r="J6" s="2" t="s">
        <v>83</v>
      </c>
      <c r="K6" s="2" t="s">
        <v>83</v>
      </c>
      <c r="L6" s="2" t="s">
        <v>185</v>
      </c>
      <c r="M6" s="2" t="s">
        <v>118</v>
      </c>
      <c r="N6" s="2" t="s">
        <v>255</v>
      </c>
      <c r="O6" s="2" t="s">
        <v>84</v>
      </c>
      <c r="P6" s="2" t="s">
        <v>87</v>
      </c>
      <c r="Q6" s="5">
        <v>822</v>
      </c>
      <c r="R6" s="5">
        <v>1</v>
      </c>
      <c r="S6" s="5">
        <v>6569</v>
      </c>
      <c r="T6" s="5">
        <v>0</v>
      </c>
      <c r="U6" s="5">
        <v>53.99718</v>
      </c>
      <c r="V6" s="6">
        <v>1.0399999999999999E-5</v>
      </c>
      <c r="W6" s="6">
        <v>5.5100000000000006E-4</v>
      </c>
      <c r="X6" s="6">
        <v>6.4700000000000001E-5</v>
      </c>
      <c r="Y6" s="2" t="s">
        <v>3</v>
      </c>
      <c r="Z6" s="57" t="s">
        <v>4</v>
      </c>
      <c r="AA6" s="57" t="s">
        <v>1</v>
      </c>
    </row>
    <row r="7" spans="1:27">
      <c r="A7" s="2" t="s">
        <v>78</v>
      </c>
      <c r="B7" s="2" t="s">
        <v>78</v>
      </c>
      <c r="C7" s="2" t="s">
        <v>538</v>
      </c>
      <c r="D7" s="2" t="s">
        <v>539</v>
      </c>
      <c r="E7" s="2" t="s">
        <v>194</v>
      </c>
      <c r="F7" s="2" t="s">
        <v>540</v>
      </c>
      <c r="G7" s="9">
        <v>475020</v>
      </c>
      <c r="H7" s="2" t="s">
        <v>149</v>
      </c>
      <c r="I7" s="2" t="s">
        <v>529</v>
      </c>
      <c r="J7" s="2" t="s">
        <v>83</v>
      </c>
      <c r="K7" s="2" t="s">
        <v>83</v>
      </c>
      <c r="L7" s="2" t="s">
        <v>185</v>
      </c>
      <c r="M7" s="2" t="s">
        <v>118</v>
      </c>
      <c r="N7" s="2" t="s">
        <v>414</v>
      </c>
      <c r="O7" s="2" t="s">
        <v>84</v>
      </c>
      <c r="P7" s="2" t="s">
        <v>87</v>
      </c>
      <c r="Q7" s="5">
        <v>3000</v>
      </c>
      <c r="R7" s="5">
        <v>1</v>
      </c>
      <c r="S7" s="5">
        <v>935.3</v>
      </c>
      <c r="T7" s="5">
        <v>0.5645</v>
      </c>
      <c r="U7" s="5">
        <v>28.623519999999999</v>
      </c>
      <c r="V7" s="6">
        <v>2.5000000000000002E-6</v>
      </c>
      <c r="W7" s="6">
        <v>2.921E-4</v>
      </c>
      <c r="X7" s="6">
        <v>3.43E-5</v>
      </c>
      <c r="Y7" s="2" t="s">
        <v>3</v>
      </c>
      <c r="Z7" s="57" t="s">
        <v>4</v>
      </c>
      <c r="AA7" s="57" t="s">
        <v>1</v>
      </c>
    </row>
    <row r="8" spans="1:27">
      <c r="A8" s="2" t="s">
        <v>78</v>
      </c>
      <c r="B8" s="2" t="s">
        <v>78</v>
      </c>
      <c r="C8" s="2" t="s">
        <v>378</v>
      </c>
      <c r="D8" s="2" t="s">
        <v>379</v>
      </c>
      <c r="E8" s="2" t="s">
        <v>194</v>
      </c>
      <c r="F8" s="2" t="s">
        <v>378</v>
      </c>
      <c r="G8" s="9">
        <v>230011</v>
      </c>
      <c r="H8" s="2" t="s">
        <v>149</v>
      </c>
      <c r="I8" s="2" t="s">
        <v>529</v>
      </c>
      <c r="J8" s="2" t="s">
        <v>83</v>
      </c>
      <c r="K8" s="2" t="s">
        <v>83</v>
      </c>
      <c r="L8" s="2" t="s">
        <v>185</v>
      </c>
      <c r="M8" s="2" t="s">
        <v>118</v>
      </c>
      <c r="N8" s="2" t="s">
        <v>332</v>
      </c>
      <c r="O8" s="2" t="s">
        <v>84</v>
      </c>
      <c r="P8" s="2" t="s">
        <v>87</v>
      </c>
      <c r="Q8" s="5">
        <v>33331</v>
      </c>
      <c r="R8" s="5">
        <v>1</v>
      </c>
      <c r="S8" s="5">
        <v>473</v>
      </c>
      <c r="T8" s="5">
        <v>0</v>
      </c>
      <c r="U8" s="5">
        <v>157.65563</v>
      </c>
      <c r="V8" s="6">
        <v>1.1999999999999999E-5</v>
      </c>
      <c r="W8" s="6">
        <v>1.6087999999999999E-3</v>
      </c>
      <c r="X8" s="6">
        <v>1.8880000000000001E-4</v>
      </c>
      <c r="Y8" s="2" t="s">
        <v>3</v>
      </c>
      <c r="Z8" s="57" t="s">
        <v>4</v>
      </c>
      <c r="AA8" s="57" t="s">
        <v>1</v>
      </c>
    </row>
    <row r="9" spans="1:27">
      <c r="A9" s="2" t="s">
        <v>78</v>
      </c>
      <c r="B9" s="2" t="s">
        <v>78</v>
      </c>
      <c r="C9" s="2" t="s">
        <v>541</v>
      </c>
      <c r="D9" s="2" t="s">
        <v>542</v>
      </c>
      <c r="E9" s="2" t="s">
        <v>194</v>
      </c>
      <c r="F9" s="2" t="s">
        <v>543</v>
      </c>
      <c r="G9" s="9">
        <v>273011</v>
      </c>
      <c r="H9" s="2" t="s">
        <v>149</v>
      </c>
      <c r="I9" s="2" t="s">
        <v>529</v>
      </c>
      <c r="J9" s="2" t="s">
        <v>83</v>
      </c>
      <c r="K9" s="2" t="s">
        <v>83</v>
      </c>
      <c r="L9" s="2" t="s">
        <v>185</v>
      </c>
      <c r="M9" s="2" t="s">
        <v>118</v>
      </c>
      <c r="N9" s="2" t="s">
        <v>544</v>
      </c>
      <c r="O9" s="2" t="s">
        <v>84</v>
      </c>
      <c r="P9" s="2" t="s">
        <v>87</v>
      </c>
      <c r="Q9" s="5">
        <v>70</v>
      </c>
      <c r="R9" s="5">
        <v>1</v>
      </c>
      <c r="S9" s="5">
        <v>95150</v>
      </c>
      <c r="T9" s="5">
        <v>0</v>
      </c>
      <c r="U9" s="5">
        <v>66.605000000000004</v>
      </c>
      <c r="V9" s="6">
        <v>1.1000000000000001E-6</v>
      </c>
      <c r="W9" s="6">
        <v>6.7969999999999999E-4</v>
      </c>
      <c r="X9" s="6">
        <v>7.9799999999999988E-5</v>
      </c>
      <c r="Y9" s="2" t="s">
        <v>3</v>
      </c>
      <c r="Z9" s="57" t="s">
        <v>4</v>
      </c>
      <c r="AA9" s="57" t="s">
        <v>1</v>
      </c>
    </row>
    <row r="10" spans="1:27">
      <c r="A10" s="2" t="s">
        <v>78</v>
      </c>
      <c r="B10" s="2" t="s">
        <v>78</v>
      </c>
      <c r="C10" s="2" t="s">
        <v>545</v>
      </c>
      <c r="D10" s="2" t="s">
        <v>546</v>
      </c>
      <c r="E10" s="2" t="s">
        <v>194</v>
      </c>
      <c r="F10" s="2" t="s">
        <v>547</v>
      </c>
      <c r="G10" s="9">
        <v>767012</v>
      </c>
      <c r="H10" s="2" t="s">
        <v>149</v>
      </c>
      <c r="I10" s="2" t="s">
        <v>529</v>
      </c>
      <c r="J10" s="2" t="s">
        <v>83</v>
      </c>
      <c r="K10" s="2" t="s">
        <v>83</v>
      </c>
      <c r="L10" s="2" t="s">
        <v>185</v>
      </c>
      <c r="M10" s="2" t="s">
        <v>118</v>
      </c>
      <c r="N10" s="2" t="s">
        <v>255</v>
      </c>
      <c r="O10" s="2" t="s">
        <v>84</v>
      </c>
      <c r="P10" s="2" t="s">
        <v>87</v>
      </c>
      <c r="Q10" s="5">
        <v>1022</v>
      </c>
      <c r="R10" s="5">
        <v>1</v>
      </c>
      <c r="S10" s="5">
        <v>3810</v>
      </c>
      <c r="T10" s="5">
        <v>0</v>
      </c>
      <c r="U10" s="5">
        <v>38.938200000000002</v>
      </c>
      <c r="V10" s="6">
        <v>3.9999999999999998E-6</v>
      </c>
      <c r="W10" s="6">
        <v>3.9730000000000001E-4</v>
      </c>
      <c r="X10" s="6">
        <v>4.6600000000000001E-5</v>
      </c>
      <c r="Y10" s="2" t="s">
        <v>3</v>
      </c>
      <c r="Z10" s="57" t="s">
        <v>4</v>
      </c>
      <c r="AA10" s="57" t="s">
        <v>1</v>
      </c>
    </row>
    <row r="11" spans="1:27">
      <c r="A11" s="2" t="s">
        <v>78</v>
      </c>
      <c r="B11" s="2" t="s">
        <v>78</v>
      </c>
      <c r="C11" s="2" t="s">
        <v>548</v>
      </c>
      <c r="D11" s="2" t="s">
        <v>549</v>
      </c>
      <c r="E11" s="2" t="s">
        <v>194</v>
      </c>
      <c r="F11" s="2" t="s">
        <v>548</v>
      </c>
      <c r="G11" s="9">
        <v>445015</v>
      </c>
      <c r="H11" s="2" t="s">
        <v>149</v>
      </c>
      <c r="I11" s="2" t="s">
        <v>529</v>
      </c>
      <c r="J11" s="2" t="s">
        <v>83</v>
      </c>
      <c r="K11" s="2" t="s">
        <v>83</v>
      </c>
      <c r="L11" s="2" t="s">
        <v>185</v>
      </c>
      <c r="M11" s="2" t="s">
        <v>118</v>
      </c>
      <c r="N11" s="2" t="s">
        <v>534</v>
      </c>
      <c r="O11" s="2" t="s">
        <v>84</v>
      </c>
      <c r="P11" s="2" t="s">
        <v>87</v>
      </c>
      <c r="Q11" s="5">
        <v>751</v>
      </c>
      <c r="R11" s="5">
        <v>1</v>
      </c>
      <c r="S11" s="5">
        <v>8160</v>
      </c>
      <c r="T11" s="5">
        <v>0.95369999999999999</v>
      </c>
      <c r="U11" s="5">
        <v>62.235370000000003</v>
      </c>
      <c r="V11" s="6">
        <v>1.1800000000000001E-5</v>
      </c>
      <c r="W11" s="6">
        <v>6.3509999999999999E-4</v>
      </c>
      <c r="X11" s="6">
        <v>7.4499999999999995E-5</v>
      </c>
      <c r="Y11" s="2" t="s">
        <v>3</v>
      </c>
      <c r="Z11" s="57" t="s">
        <v>4</v>
      </c>
      <c r="AA11" s="57" t="s">
        <v>1</v>
      </c>
    </row>
    <row r="12" spans="1:27">
      <c r="A12" s="2" t="s">
        <v>78</v>
      </c>
      <c r="B12" s="2" t="s">
        <v>78</v>
      </c>
      <c r="C12" s="2" t="s">
        <v>550</v>
      </c>
      <c r="D12" s="2" t="s">
        <v>551</v>
      </c>
      <c r="E12" s="2" t="s">
        <v>194</v>
      </c>
      <c r="F12" s="2" t="s">
        <v>550</v>
      </c>
      <c r="G12" s="9">
        <v>691212</v>
      </c>
      <c r="H12" s="2" t="s">
        <v>149</v>
      </c>
      <c r="I12" s="2" t="s">
        <v>529</v>
      </c>
      <c r="J12" s="2" t="s">
        <v>83</v>
      </c>
      <c r="K12" s="2" t="s">
        <v>83</v>
      </c>
      <c r="L12" s="2" t="s">
        <v>185</v>
      </c>
      <c r="M12" s="2" t="s">
        <v>118</v>
      </c>
      <c r="N12" s="2" t="s">
        <v>400</v>
      </c>
      <c r="O12" s="2" t="s">
        <v>84</v>
      </c>
      <c r="P12" s="2" t="s">
        <v>87</v>
      </c>
      <c r="Q12" s="5">
        <v>10879</v>
      </c>
      <c r="R12" s="5">
        <v>1</v>
      </c>
      <c r="S12" s="5">
        <v>1946</v>
      </c>
      <c r="T12" s="5">
        <v>1.6164000000000001</v>
      </c>
      <c r="U12" s="5">
        <v>213.32177999999999</v>
      </c>
      <c r="V12" s="6">
        <v>8.6999999999999997E-6</v>
      </c>
      <c r="W12" s="6">
        <v>2.1768E-3</v>
      </c>
      <c r="X12" s="6">
        <v>2.5549999999999998E-4</v>
      </c>
      <c r="Y12" s="2" t="s">
        <v>3</v>
      </c>
      <c r="Z12" s="57" t="s">
        <v>4</v>
      </c>
      <c r="AA12" s="57" t="s">
        <v>1</v>
      </c>
    </row>
    <row r="13" spans="1:27">
      <c r="A13" s="2" t="s">
        <v>78</v>
      </c>
      <c r="B13" s="2" t="s">
        <v>78</v>
      </c>
      <c r="C13" s="2" t="s">
        <v>552</v>
      </c>
      <c r="D13" s="2" t="s">
        <v>553</v>
      </c>
      <c r="E13" s="2" t="s">
        <v>194</v>
      </c>
      <c r="F13" s="2" t="s">
        <v>552</v>
      </c>
      <c r="G13" s="9">
        <v>695437</v>
      </c>
      <c r="H13" s="2" t="s">
        <v>149</v>
      </c>
      <c r="I13" s="2" t="s">
        <v>529</v>
      </c>
      <c r="J13" s="2" t="s">
        <v>83</v>
      </c>
      <c r="K13" s="2" t="s">
        <v>83</v>
      </c>
      <c r="L13" s="2" t="s">
        <v>185</v>
      </c>
      <c r="M13" s="2" t="s">
        <v>118</v>
      </c>
      <c r="N13" s="2" t="s">
        <v>400</v>
      </c>
      <c r="O13" s="2" t="s">
        <v>84</v>
      </c>
      <c r="P13" s="2" t="s">
        <v>87</v>
      </c>
      <c r="Q13" s="5">
        <v>992</v>
      </c>
      <c r="R13" s="5">
        <v>1</v>
      </c>
      <c r="S13" s="5">
        <v>14000</v>
      </c>
      <c r="T13" s="5">
        <v>0</v>
      </c>
      <c r="U13" s="5">
        <v>138.88</v>
      </c>
      <c r="V13" s="6">
        <v>3.8E-6</v>
      </c>
      <c r="W13" s="6">
        <v>1.4172000000000002E-3</v>
      </c>
      <c r="X13" s="6">
        <v>1.6639999999999998E-4</v>
      </c>
      <c r="Y13" s="2" t="s">
        <v>3</v>
      </c>
      <c r="Z13" s="57" t="s">
        <v>4</v>
      </c>
      <c r="AA13" s="57" t="s">
        <v>1</v>
      </c>
    </row>
    <row r="14" spans="1:27">
      <c r="A14" s="2" t="s">
        <v>78</v>
      </c>
      <c r="B14" s="2" t="s">
        <v>78</v>
      </c>
      <c r="C14" s="2" t="s">
        <v>554</v>
      </c>
      <c r="D14" s="2" t="s">
        <v>555</v>
      </c>
      <c r="E14" s="2" t="s">
        <v>194</v>
      </c>
      <c r="F14" s="2" t="s">
        <v>554</v>
      </c>
      <c r="G14" s="9">
        <v>1081124</v>
      </c>
      <c r="H14" s="2" t="s">
        <v>149</v>
      </c>
      <c r="I14" s="2" t="s">
        <v>529</v>
      </c>
      <c r="J14" s="2" t="s">
        <v>83</v>
      </c>
      <c r="K14" s="2" t="s">
        <v>83</v>
      </c>
      <c r="L14" s="2" t="s">
        <v>185</v>
      </c>
      <c r="M14" s="2" t="s">
        <v>118</v>
      </c>
      <c r="N14" s="2" t="s">
        <v>556</v>
      </c>
      <c r="O14" s="2" t="s">
        <v>84</v>
      </c>
      <c r="P14" s="2" t="s">
        <v>87</v>
      </c>
      <c r="Q14" s="5">
        <v>108</v>
      </c>
      <c r="R14" s="5">
        <v>1</v>
      </c>
      <c r="S14" s="5">
        <v>77500</v>
      </c>
      <c r="T14" s="5">
        <v>0</v>
      </c>
      <c r="U14" s="5">
        <v>83.7</v>
      </c>
      <c r="V14" s="6">
        <v>2.3999999999999999E-6</v>
      </c>
      <c r="W14" s="6">
        <v>8.541E-4</v>
      </c>
      <c r="X14" s="6">
        <v>1.0030000000000001E-4</v>
      </c>
      <c r="Y14" s="2" t="s">
        <v>3</v>
      </c>
      <c r="Z14" s="57" t="s">
        <v>4</v>
      </c>
      <c r="AA14" s="57" t="s">
        <v>1</v>
      </c>
    </row>
    <row r="15" spans="1:27">
      <c r="A15" s="2" t="s">
        <v>78</v>
      </c>
      <c r="B15" s="2" t="s">
        <v>78</v>
      </c>
      <c r="C15" s="2" t="s">
        <v>371</v>
      </c>
      <c r="D15" s="2" t="s">
        <v>372</v>
      </c>
      <c r="E15" s="2" t="s">
        <v>194</v>
      </c>
      <c r="F15" s="2" t="s">
        <v>557</v>
      </c>
      <c r="G15" s="9">
        <v>390013</v>
      </c>
      <c r="H15" s="2" t="s">
        <v>149</v>
      </c>
      <c r="I15" s="2" t="s">
        <v>529</v>
      </c>
      <c r="J15" s="2" t="s">
        <v>83</v>
      </c>
      <c r="K15" s="2" t="s">
        <v>83</v>
      </c>
      <c r="L15" s="2" t="s">
        <v>185</v>
      </c>
      <c r="M15" s="2" t="s">
        <v>118</v>
      </c>
      <c r="N15" s="2" t="s">
        <v>197</v>
      </c>
      <c r="O15" s="2" t="s">
        <v>84</v>
      </c>
      <c r="P15" s="2" t="s">
        <v>87</v>
      </c>
      <c r="Q15" s="5">
        <v>3200</v>
      </c>
      <c r="R15" s="5">
        <v>1</v>
      </c>
      <c r="S15" s="5">
        <v>2653</v>
      </c>
      <c r="T15" s="5">
        <v>0.57599999999999996</v>
      </c>
      <c r="U15" s="5">
        <v>85.471999999999994</v>
      </c>
      <c r="V15" s="6">
        <v>1.7799999999999999E-5</v>
      </c>
      <c r="W15" s="6">
        <v>8.7220000000000006E-4</v>
      </c>
      <c r="X15" s="6">
        <v>1.0240000000000001E-4</v>
      </c>
      <c r="Y15" s="2" t="s">
        <v>3</v>
      </c>
      <c r="Z15" s="57" t="s">
        <v>4</v>
      </c>
      <c r="AA15" s="57" t="s">
        <v>1</v>
      </c>
    </row>
    <row r="16" spans="1:27">
      <c r="A16" s="2" t="s">
        <v>78</v>
      </c>
      <c r="B16" s="2" t="s">
        <v>78</v>
      </c>
      <c r="C16" s="2" t="s">
        <v>558</v>
      </c>
      <c r="D16" s="2" t="s">
        <v>559</v>
      </c>
      <c r="E16" s="2" t="s">
        <v>194</v>
      </c>
      <c r="F16" s="2" t="s">
        <v>560</v>
      </c>
      <c r="G16" s="9">
        <v>662577</v>
      </c>
      <c r="H16" s="2" t="s">
        <v>149</v>
      </c>
      <c r="I16" s="2" t="s">
        <v>529</v>
      </c>
      <c r="J16" s="2" t="s">
        <v>83</v>
      </c>
      <c r="K16" s="2" t="s">
        <v>83</v>
      </c>
      <c r="L16" s="2" t="s">
        <v>185</v>
      </c>
      <c r="M16" s="2" t="s">
        <v>118</v>
      </c>
      <c r="N16" s="2" t="s">
        <v>400</v>
      </c>
      <c r="O16" s="2" t="s">
        <v>84</v>
      </c>
      <c r="P16" s="2" t="s">
        <v>87</v>
      </c>
      <c r="Q16" s="5">
        <v>6399</v>
      </c>
      <c r="R16" s="5">
        <v>1</v>
      </c>
      <c r="S16" s="5">
        <v>3500</v>
      </c>
      <c r="T16" s="5">
        <v>1.6842999999999999</v>
      </c>
      <c r="U16" s="5">
        <v>225.64935</v>
      </c>
      <c r="V16" s="6">
        <v>4.6999999999999999E-6</v>
      </c>
      <c r="W16" s="6">
        <v>2.3026000000000001E-3</v>
      </c>
      <c r="X16" s="6">
        <v>2.7030000000000001E-4</v>
      </c>
      <c r="Y16" s="2" t="s">
        <v>3</v>
      </c>
      <c r="Z16" s="57" t="s">
        <v>4</v>
      </c>
      <c r="AA16" s="57" t="s">
        <v>1</v>
      </c>
    </row>
    <row r="17" spans="1:27">
      <c r="A17" s="2" t="s">
        <v>78</v>
      </c>
      <c r="B17" s="2" t="s">
        <v>78</v>
      </c>
      <c r="C17" s="2" t="s">
        <v>342</v>
      </c>
      <c r="D17" s="2" t="s">
        <v>343</v>
      </c>
      <c r="E17" s="2" t="s">
        <v>194</v>
      </c>
      <c r="F17" s="2" t="s">
        <v>342</v>
      </c>
      <c r="G17" s="9">
        <v>1097278</v>
      </c>
      <c r="H17" s="2" t="s">
        <v>149</v>
      </c>
      <c r="I17" s="2" t="s">
        <v>529</v>
      </c>
      <c r="J17" s="2" t="s">
        <v>83</v>
      </c>
      <c r="K17" s="2" t="s">
        <v>83</v>
      </c>
      <c r="L17" s="2" t="s">
        <v>185</v>
      </c>
      <c r="M17" s="2" t="s">
        <v>118</v>
      </c>
      <c r="N17" s="2" t="s">
        <v>197</v>
      </c>
      <c r="O17" s="2" t="s">
        <v>84</v>
      </c>
      <c r="P17" s="2" t="s">
        <v>87</v>
      </c>
      <c r="Q17" s="5">
        <v>4140</v>
      </c>
      <c r="R17" s="5">
        <v>1</v>
      </c>
      <c r="S17" s="5">
        <v>1749</v>
      </c>
      <c r="T17" s="5">
        <v>0</v>
      </c>
      <c r="U17" s="5">
        <v>72.408600000000007</v>
      </c>
      <c r="V17" s="6">
        <v>8.6999999999999997E-6</v>
      </c>
      <c r="W17" s="6">
        <v>7.3890000000000002E-4</v>
      </c>
      <c r="X17" s="6">
        <v>8.6700000000000007E-5</v>
      </c>
      <c r="Y17" s="2" t="s">
        <v>3</v>
      </c>
      <c r="Z17" s="57" t="s">
        <v>4</v>
      </c>
      <c r="AA17" s="57" t="s">
        <v>1</v>
      </c>
    </row>
    <row r="18" spans="1:27">
      <c r="A18" s="2" t="s">
        <v>78</v>
      </c>
      <c r="B18" s="2" t="s">
        <v>78</v>
      </c>
      <c r="C18" s="2" t="s">
        <v>358</v>
      </c>
      <c r="D18" s="2" t="s">
        <v>359</v>
      </c>
      <c r="E18" s="2" t="s">
        <v>194</v>
      </c>
      <c r="F18" s="2" t="s">
        <v>561</v>
      </c>
      <c r="G18" s="9">
        <v>323014</v>
      </c>
      <c r="H18" s="2" t="s">
        <v>149</v>
      </c>
      <c r="I18" s="2" t="s">
        <v>529</v>
      </c>
      <c r="J18" s="2" t="s">
        <v>83</v>
      </c>
      <c r="K18" s="2" t="s">
        <v>83</v>
      </c>
      <c r="L18" s="2" t="s">
        <v>185</v>
      </c>
      <c r="M18" s="2" t="s">
        <v>118</v>
      </c>
      <c r="N18" s="2" t="s">
        <v>197</v>
      </c>
      <c r="O18" s="2" t="s">
        <v>84</v>
      </c>
      <c r="P18" s="2" t="s">
        <v>87</v>
      </c>
      <c r="Q18" s="5">
        <v>432</v>
      </c>
      <c r="R18" s="5">
        <v>1</v>
      </c>
      <c r="S18" s="5">
        <v>26900</v>
      </c>
      <c r="T18" s="5">
        <v>1.0908</v>
      </c>
      <c r="U18" s="5">
        <v>117.29888</v>
      </c>
      <c r="V18" s="6">
        <v>9.0000000000000002E-6</v>
      </c>
      <c r="W18" s="6">
        <v>1.1969999999999999E-3</v>
      </c>
      <c r="X18" s="6">
        <v>1.405E-4</v>
      </c>
      <c r="Y18" s="2" t="s">
        <v>3</v>
      </c>
      <c r="Z18" s="57" t="s">
        <v>4</v>
      </c>
      <c r="AA18" s="57" t="s">
        <v>1</v>
      </c>
    </row>
    <row r="19" spans="1:27">
      <c r="A19" s="2" t="s">
        <v>78</v>
      </c>
      <c r="B19" s="2" t="s">
        <v>78</v>
      </c>
      <c r="C19" s="2" t="s">
        <v>562</v>
      </c>
      <c r="D19" s="2" t="s">
        <v>563</v>
      </c>
      <c r="E19" s="2" t="s">
        <v>194</v>
      </c>
      <c r="F19" s="2" t="s">
        <v>564</v>
      </c>
      <c r="G19" s="9">
        <v>1087022</v>
      </c>
      <c r="H19" s="2" t="s">
        <v>149</v>
      </c>
      <c r="I19" s="2" t="s">
        <v>529</v>
      </c>
      <c r="J19" s="2" t="s">
        <v>83</v>
      </c>
      <c r="K19" s="2" t="s">
        <v>83</v>
      </c>
      <c r="L19" s="2" t="s">
        <v>185</v>
      </c>
      <c r="M19" s="2" t="s">
        <v>118</v>
      </c>
      <c r="N19" s="2" t="s">
        <v>471</v>
      </c>
      <c r="O19" s="2" t="s">
        <v>84</v>
      </c>
      <c r="P19" s="2" t="s">
        <v>87</v>
      </c>
      <c r="Q19" s="5">
        <v>132</v>
      </c>
      <c r="R19" s="5">
        <v>1</v>
      </c>
      <c r="S19" s="5">
        <v>34140</v>
      </c>
      <c r="T19" s="5">
        <v>0</v>
      </c>
      <c r="U19" s="5">
        <v>45.064799999999998</v>
      </c>
      <c r="V19" s="6">
        <v>9.5000000000000005E-6</v>
      </c>
      <c r="W19" s="6">
        <v>4.5990000000000001E-4</v>
      </c>
      <c r="X19" s="6">
        <v>5.4000000000000005E-5</v>
      </c>
      <c r="Y19" s="2" t="s">
        <v>3</v>
      </c>
      <c r="Z19" s="57" t="s">
        <v>4</v>
      </c>
      <c r="AA19" s="57" t="s">
        <v>1</v>
      </c>
    </row>
    <row r="20" spans="1:27">
      <c r="A20" s="2" t="s">
        <v>78</v>
      </c>
      <c r="B20" s="2" t="s">
        <v>78</v>
      </c>
      <c r="C20" s="2" t="s">
        <v>201</v>
      </c>
      <c r="D20" s="2" t="s">
        <v>202</v>
      </c>
      <c r="E20" s="2" t="s">
        <v>194</v>
      </c>
      <c r="F20" s="2" t="s">
        <v>565</v>
      </c>
      <c r="G20" s="9">
        <v>1090315</v>
      </c>
      <c r="H20" s="2" t="s">
        <v>149</v>
      </c>
      <c r="I20" s="2" t="s">
        <v>529</v>
      </c>
      <c r="J20" s="2" t="s">
        <v>83</v>
      </c>
      <c r="K20" s="2" t="s">
        <v>83</v>
      </c>
      <c r="L20" s="2" t="s">
        <v>185</v>
      </c>
      <c r="M20" s="2" t="s">
        <v>118</v>
      </c>
      <c r="N20" s="2" t="s">
        <v>205</v>
      </c>
      <c r="O20" s="2" t="s">
        <v>84</v>
      </c>
      <c r="P20" s="2" t="s">
        <v>87</v>
      </c>
      <c r="Q20" s="5">
        <v>539</v>
      </c>
      <c r="R20" s="5">
        <v>1</v>
      </c>
      <c r="S20" s="5">
        <v>28600</v>
      </c>
      <c r="T20" s="5">
        <v>0</v>
      </c>
      <c r="U20" s="5">
        <v>154.154</v>
      </c>
      <c r="V20" s="6">
        <v>2.8099999999999999E-5</v>
      </c>
      <c r="W20" s="6">
        <v>1.573E-3</v>
      </c>
      <c r="X20" s="6">
        <v>1.8460000000000001E-4</v>
      </c>
      <c r="Y20" s="2" t="s">
        <v>3</v>
      </c>
      <c r="Z20" s="57" t="s">
        <v>4</v>
      </c>
      <c r="AA20" s="57" t="s">
        <v>1</v>
      </c>
    </row>
    <row r="21" spans="1:27">
      <c r="A21" s="2" t="s">
        <v>78</v>
      </c>
      <c r="B21" s="2" t="s">
        <v>78</v>
      </c>
      <c r="C21" s="2" t="s">
        <v>248</v>
      </c>
      <c r="D21" s="2" t="s">
        <v>249</v>
      </c>
      <c r="E21" s="2" t="s">
        <v>194</v>
      </c>
      <c r="F21" s="2" t="s">
        <v>248</v>
      </c>
      <c r="G21" s="9">
        <v>1119478</v>
      </c>
      <c r="H21" s="2" t="s">
        <v>149</v>
      </c>
      <c r="I21" s="2" t="s">
        <v>529</v>
      </c>
      <c r="J21" s="2" t="s">
        <v>83</v>
      </c>
      <c r="K21" s="2" t="s">
        <v>83</v>
      </c>
      <c r="L21" s="2" t="s">
        <v>185</v>
      </c>
      <c r="M21" s="2" t="s">
        <v>118</v>
      </c>
      <c r="N21" s="2" t="s">
        <v>197</v>
      </c>
      <c r="O21" s="2" t="s">
        <v>84</v>
      </c>
      <c r="P21" s="2" t="s">
        <v>87</v>
      </c>
      <c r="Q21" s="5">
        <v>811</v>
      </c>
      <c r="R21" s="5">
        <v>1</v>
      </c>
      <c r="S21" s="5">
        <v>26610</v>
      </c>
      <c r="T21" s="5">
        <v>0</v>
      </c>
      <c r="U21" s="5">
        <v>215.80709999999999</v>
      </c>
      <c r="V21" s="6">
        <v>6.6000000000000003E-6</v>
      </c>
      <c r="W21" s="6">
        <v>2.2022000000000001E-3</v>
      </c>
      <c r="X21" s="6">
        <v>2.5849999999999999E-4</v>
      </c>
      <c r="Y21" s="2" t="s">
        <v>3</v>
      </c>
      <c r="Z21" s="57" t="s">
        <v>4</v>
      </c>
      <c r="AA21" s="57" t="s">
        <v>1</v>
      </c>
    </row>
    <row r="22" spans="1:27">
      <c r="A22" s="2" t="s">
        <v>78</v>
      </c>
      <c r="B22" s="2" t="s">
        <v>78</v>
      </c>
      <c r="C22" s="2" t="s">
        <v>294</v>
      </c>
      <c r="D22" s="2" t="s">
        <v>295</v>
      </c>
      <c r="E22" s="2" t="s">
        <v>194</v>
      </c>
      <c r="F22" s="2" t="s">
        <v>566</v>
      </c>
      <c r="G22" s="9">
        <v>1123355</v>
      </c>
      <c r="H22" s="2" t="s">
        <v>149</v>
      </c>
      <c r="I22" s="2" t="s">
        <v>529</v>
      </c>
      <c r="J22" s="2" t="s">
        <v>83</v>
      </c>
      <c r="K22" s="2" t="s">
        <v>83</v>
      </c>
      <c r="L22" s="2" t="s">
        <v>185</v>
      </c>
      <c r="M22" s="2" t="s">
        <v>118</v>
      </c>
      <c r="N22" s="2" t="s">
        <v>215</v>
      </c>
      <c r="O22" s="2" t="s">
        <v>84</v>
      </c>
      <c r="P22" s="2" t="s">
        <v>87</v>
      </c>
      <c r="Q22" s="5">
        <v>10311</v>
      </c>
      <c r="R22" s="5">
        <v>1</v>
      </c>
      <c r="S22" s="5">
        <v>1352</v>
      </c>
      <c r="T22" s="5">
        <v>0</v>
      </c>
      <c r="U22" s="5">
        <v>139.40472</v>
      </c>
      <c r="V22" s="6">
        <v>1.88E-5</v>
      </c>
      <c r="W22" s="6">
        <v>1.4224999999999999E-3</v>
      </c>
      <c r="X22" s="6">
        <v>1.6699999999999999E-4</v>
      </c>
      <c r="Y22" s="2" t="s">
        <v>3</v>
      </c>
      <c r="Z22" s="57" t="s">
        <v>4</v>
      </c>
      <c r="AA22" s="57" t="s">
        <v>1</v>
      </c>
    </row>
    <row r="23" spans="1:27">
      <c r="A23" s="2" t="s">
        <v>78</v>
      </c>
      <c r="B23" s="2" t="s">
        <v>78</v>
      </c>
      <c r="C23" s="2" t="s">
        <v>567</v>
      </c>
      <c r="D23" s="2" t="s">
        <v>568</v>
      </c>
      <c r="E23" s="2" t="s">
        <v>194</v>
      </c>
      <c r="F23" s="2" t="s">
        <v>569</v>
      </c>
      <c r="G23" s="9">
        <v>258012</v>
      </c>
      <c r="H23" s="2" t="s">
        <v>149</v>
      </c>
      <c r="I23" s="2" t="s">
        <v>529</v>
      </c>
      <c r="J23" s="2" t="s">
        <v>83</v>
      </c>
      <c r="K23" s="2" t="s">
        <v>83</v>
      </c>
      <c r="L23" s="2" t="s">
        <v>185</v>
      </c>
      <c r="M23" s="2" t="s">
        <v>118</v>
      </c>
      <c r="N23" s="2" t="s">
        <v>389</v>
      </c>
      <c r="O23" s="2" t="s">
        <v>84</v>
      </c>
      <c r="P23" s="2" t="s">
        <v>87</v>
      </c>
      <c r="Q23" s="5">
        <v>200</v>
      </c>
      <c r="R23" s="5">
        <v>1</v>
      </c>
      <c r="S23" s="5">
        <v>30040</v>
      </c>
      <c r="T23" s="5">
        <v>0.52869999999999995</v>
      </c>
      <c r="U23" s="5">
        <v>60.60877</v>
      </c>
      <c r="V23" s="6">
        <v>2.3200000000000001E-5</v>
      </c>
      <c r="W23" s="6">
        <v>6.1850000000000002E-4</v>
      </c>
      <c r="X23" s="6">
        <v>7.2600000000000003E-5</v>
      </c>
      <c r="Y23" s="2" t="s">
        <v>3</v>
      </c>
      <c r="Z23" s="57" t="s">
        <v>4</v>
      </c>
      <c r="AA23" s="57" t="s">
        <v>1</v>
      </c>
    </row>
    <row r="24" spans="1:27">
      <c r="A24" s="2" t="s">
        <v>78</v>
      </c>
      <c r="B24" s="2" t="s">
        <v>78</v>
      </c>
      <c r="C24" s="2" t="s">
        <v>570</v>
      </c>
      <c r="D24" s="2" t="s">
        <v>571</v>
      </c>
      <c r="E24" s="2" t="s">
        <v>194</v>
      </c>
      <c r="F24" s="2" t="s">
        <v>572</v>
      </c>
      <c r="G24" s="9">
        <v>434019</v>
      </c>
      <c r="H24" s="2" t="s">
        <v>149</v>
      </c>
      <c r="I24" s="2" t="s">
        <v>529</v>
      </c>
      <c r="J24" s="2" t="s">
        <v>83</v>
      </c>
      <c r="K24" s="2" t="s">
        <v>83</v>
      </c>
      <c r="L24" s="2" t="s">
        <v>185</v>
      </c>
      <c r="M24" s="2" t="s">
        <v>118</v>
      </c>
      <c r="N24" s="2" t="s">
        <v>205</v>
      </c>
      <c r="O24" s="2" t="s">
        <v>84</v>
      </c>
      <c r="P24" s="2" t="s">
        <v>87</v>
      </c>
      <c r="Q24" s="5">
        <v>11000</v>
      </c>
      <c r="R24" s="5">
        <v>1</v>
      </c>
      <c r="S24" s="5">
        <v>1475</v>
      </c>
      <c r="T24" s="5">
        <v>0</v>
      </c>
      <c r="U24" s="5">
        <v>162.25</v>
      </c>
      <c r="V24" s="6">
        <v>3.4099999999999995E-5</v>
      </c>
      <c r="W24" s="6">
        <v>1.6557E-3</v>
      </c>
      <c r="X24" s="6">
        <v>1.9430000000000001E-4</v>
      </c>
      <c r="Y24" s="2" t="s">
        <v>3</v>
      </c>
      <c r="Z24" s="57" t="s">
        <v>4</v>
      </c>
      <c r="AA24" s="57" t="s">
        <v>1</v>
      </c>
    </row>
    <row r="25" spans="1:27">
      <c r="A25" s="2" t="s">
        <v>78</v>
      </c>
      <c r="B25" s="2" t="s">
        <v>78</v>
      </c>
      <c r="C25" s="2" t="s">
        <v>212</v>
      </c>
      <c r="D25" s="2" t="s">
        <v>213</v>
      </c>
      <c r="E25" s="2" t="s">
        <v>194</v>
      </c>
      <c r="F25" s="2" t="s">
        <v>573</v>
      </c>
      <c r="G25" s="9">
        <v>720011</v>
      </c>
      <c r="H25" s="2" t="s">
        <v>149</v>
      </c>
      <c r="I25" s="2" t="s">
        <v>529</v>
      </c>
      <c r="J25" s="2" t="s">
        <v>83</v>
      </c>
      <c r="K25" s="2" t="s">
        <v>83</v>
      </c>
      <c r="L25" s="2" t="s">
        <v>185</v>
      </c>
      <c r="M25" s="2" t="s">
        <v>118</v>
      </c>
      <c r="N25" s="2" t="s">
        <v>215</v>
      </c>
      <c r="O25" s="2" t="s">
        <v>84</v>
      </c>
      <c r="P25" s="2" t="s">
        <v>87</v>
      </c>
      <c r="Q25" s="5">
        <v>859.1</v>
      </c>
      <c r="R25" s="5">
        <v>1</v>
      </c>
      <c r="S25" s="5">
        <v>6299</v>
      </c>
      <c r="T25" s="5">
        <v>0</v>
      </c>
      <c r="U25" s="5">
        <v>54.114699999999999</v>
      </c>
      <c r="V25" s="6">
        <v>7.2000000000000005E-6</v>
      </c>
      <c r="W25" s="6">
        <v>5.5219999999999998E-4</v>
      </c>
      <c r="X25" s="6">
        <v>6.4800000000000003E-5</v>
      </c>
      <c r="Y25" s="2" t="s">
        <v>3</v>
      </c>
      <c r="Z25" s="57" t="s">
        <v>4</v>
      </c>
      <c r="AA25" s="57" t="s">
        <v>1</v>
      </c>
    </row>
    <row r="26" spans="1:27">
      <c r="A26" s="2" t="s">
        <v>78</v>
      </c>
      <c r="B26" s="2" t="s">
        <v>78</v>
      </c>
      <c r="C26" s="2" t="s">
        <v>574</v>
      </c>
      <c r="D26" s="2" t="s">
        <v>575</v>
      </c>
      <c r="E26" s="2" t="s">
        <v>194</v>
      </c>
      <c r="F26" s="2" t="s">
        <v>574</v>
      </c>
      <c r="G26" s="9">
        <v>1140573</v>
      </c>
      <c r="H26" s="2" t="s">
        <v>149</v>
      </c>
      <c r="I26" s="2" t="s">
        <v>529</v>
      </c>
      <c r="J26" s="2" t="s">
        <v>83</v>
      </c>
      <c r="K26" s="2" t="s">
        <v>83</v>
      </c>
      <c r="L26" s="2" t="s">
        <v>185</v>
      </c>
      <c r="M26" s="2" t="s">
        <v>118</v>
      </c>
      <c r="N26" s="2" t="s">
        <v>197</v>
      </c>
      <c r="O26" s="2" t="s">
        <v>84</v>
      </c>
      <c r="P26" s="2" t="s">
        <v>87</v>
      </c>
      <c r="Q26" s="5">
        <v>24500</v>
      </c>
      <c r="R26" s="5">
        <v>1</v>
      </c>
      <c r="S26" s="5">
        <v>176.3</v>
      </c>
      <c r="T26" s="5">
        <v>0</v>
      </c>
      <c r="U26" s="5">
        <v>43.1935</v>
      </c>
      <c r="V26" s="6">
        <v>3.54E-5</v>
      </c>
      <c r="W26" s="6">
        <v>4.4080000000000004E-4</v>
      </c>
      <c r="X26" s="6">
        <v>5.1700000000000003E-5</v>
      </c>
      <c r="Y26" s="2" t="s">
        <v>3</v>
      </c>
      <c r="Z26" s="57" t="s">
        <v>4</v>
      </c>
      <c r="AA26" s="57" t="s">
        <v>1</v>
      </c>
    </row>
    <row r="27" spans="1:27">
      <c r="A27" s="2" t="s">
        <v>78</v>
      </c>
      <c r="B27" s="2" t="s">
        <v>78</v>
      </c>
      <c r="C27" s="2" t="s">
        <v>576</v>
      </c>
      <c r="D27" s="2" t="s">
        <v>577</v>
      </c>
      <c r="E27" s="2" t="s">
        <v>194</v>
      </c>
      <c r="F27" s="2" t="s">
        <v>576</v>
      </c>
      <c r="G27" s="9">
        <v>1141464</v>
      </c>
      <c r="H27" s="2" t="s">
        <v>149</v>
      </c>
      <c r="I27" s="2" t="s">
        <v>529</v>
      </c>
      <c r="J27" s="2" t="s">
        <v>83</v>
      </c>
      <c r="K27" s="2" t="s">
        <v>83</v>
      </c>
      <c r="L27" s="2" t="s">
        <v>185</v>
      </c>
      <c r="M27" s="2" t="s">
        <v>118</v>
      </c>
      <c r="N27" s="2" t="s">
        <v>210</v>
      </c>
      <c r="O27" s="2" t="s">
        <v>84</v>
      </c>
      <c r="P27" s="2" t="s">
        <v>87</v>
      </c>
      <c r="Q27" s="5">
        <v>4500</v>
      </c>
      <c r="R27" s="5">
        <v>1</v>
      </c>
      <c r="S27" s="5">
        <v>848.3</v>
      </c>
      <c r="T27" s="5">
        <v>0</v>
      </c>
      <c r="U27" s="5">
        <v>38.173499999999997</v>
      </c>
      <c r="V27" s="6">
        <v>6.3100000000000002E-5</v>
      </c>
      <c r="W27" s="6">
        <v>3.8949999999999998E-4</v>
      </c>
      <c r="X27" s="6">
        <v>4.57E-5</v>
      </c>
      <c r="Y27" s="2" t="s">
        <v>3</v>
      </c>
      <c r="Z27" s="57" t="s">
        <v>4</v>
      </c>
      <c r="AA27" s="57" t="s">
        <v>1</v>
      </c>
    </row>
    <row r="28" spans="1:27">
      <c r="A28" s="2" t="s">
        <v>78</v>
      </c>
      <c r="B28" s="2" t="s">
        <v>78</v>
      </c>
      <c r="C28" s="2" t="s">
        <v>578</v>
      </c>
      <c r="D28" s="2" t="s">
        <v>579</v>
      </c>
      <c r="E28" s="2" t="s">
        <v>194</v>
      </c>
      <c r="F28" s="2" t="s">
        <v>578</v>
      </c>
      <c r="G28" s="9">
        <v>1178714</v>
      </c>
      <c r="H28" s="2" t="s">
        <v>149</v>
      </c>
      <c r="I28" s="2" t="s">
        <v>529</v>
      </c>
      <c r="J28" s="2" t="s">
        <v>83</v>
      </c>
      <c r="K28" s="2" t="s">
        <v>83</v>
      </c>
      <c r="L28" s="2" t="s">
        <v>185</v>
      </c>
      <c r="M28" s="2" t="s">
        <v>118</v>
      </c>
      <c r="N28" s="2" t="s">
        <v>471</v>
      </c>
      <c r="O28" s="2" t="s">
        <v>84</v>
      </c>
      <c r="P28" s="2" t="s">
        <v>87</v>
      </c>
      <c r="Q28" s="5">
        <v>1220</v>
      </c>
      <c r="R28" s="5">
        <v>1</v>
      </c>
      <c r="S28" s="5">
        <v>283.8</v>
      </c>
      <c r="T28" s="5">
        <v>0</v>
      </c>
      <c r="U28" s="5">
        <v>3.4623599999999999</v>
      </c>
      <c r="V28" s="6">
        <v>9.5999999999999996E-6</v>
      </c>
      <c r="W28" s="6">
        <v>3.5300000000000004E-5</v>
      </c>
      <c r="X28" s="6">
        <v>4.0999999999999997E-6</v>
      </c>
      <c r="Y28" s="2" t="s">
        <v>3</v>
      </c>
      <c r="Z28" s="57" t="s">
        <v>4</v>
      </c>
      <c r="AA28" s="57" t="s">
        <v>1</v>
      </c>
    </row>
    <row r="29" spans="1:27">
      <c r="A29" s="2" t="s">
        <v>78</v>
      </c>
      <c r="B29" s="2" t="s">
        <v>78</v>
      </c>
      <c r="C29" s="2" t="s">
        <v>580</v>
      </c>
      <c r="D29" s="2" t="s">
        <v>581</v>
      </c>
      <c r="E29" s="2" t="s">
        <v>168</v>
      </c>
      <c r="F29" s="2" t="s">
        <v>582</v>
      </c>
      <c r="G29" s="2" t="s">
        <v>583</v>
      </c>
      <c r="H29" s="2" t="s">
        <v>183</v>
      </c>
      <c r="I29" s="2" t="s">
        <v>529</v>
      </c>
      <c r="J29" s="2" t="s">
        <v>148</v>
      </c>
      <c r="K29" s="2" t="s">
        <v>156</v>
      </c>
      <c r="L29" s="2" t="s">
        <v>185</v>
      </c>
      <c r="M29" s="2" t="s">
        <v>584</v>
      </c>
      <c r="N29" s="2" t="s">
        <v>585</v>
      </c>
      <c r="O29" s="2" t="s">
        <v>84</v>
      </c>
      <c r="P29" s="2" t="s">
        <v>91</v>
      </c>
      <c r="Q29" s="5">
        <v>600</v>
      </c>
      <c r="R29" s="5">
        <v>3.681</v>
      </c>
      <c r="S29" s="5">
        <v>15093</v>
      </c>
      <c r="T29" s="5">
        <v>0</v>
      </c>
      <c r="U29" s="5">
        <v>333.34399000000002</v>
      </c>
      <c r="V29" s="6">
        <v>1.0000000000000001E-7</v>
      </c>
      <c r="W29" s="6">
        <v>3.4016000000000003E-3</v>
      </c>
      <c r="X29" s="6">
        <v>3.993E-4</v>
      </c>
      <c r="Y29" s="9">
        <v>70651708</v>
      </c>
      <c r="Z29" s="57" t="s">
        <v>4</v>
      </c>
      <c r="AA29" s="57" t="s">
        <v>1</v>
      </c>
    </row>
    <row r="30" spans="1:27">
      <c r="A30" s="2" t="s">
        <v>78</v>
      </c>
      <c r="B30" s="2" t="s">
        <v>78</v>
      </c>
      <c r="C30" s="2" t="s">
        <v>586</v>
      </c>
      <c r="D30" s="2" t="s">
        <v>587</v>
      </c>
      <c r="E30" s="2" t="s">
        <v>168</v>
      </c>
      <c r="F30" s="2" t="s">
        <v>588</v>
      </c>
      <c r="G30" s="2" t="s">
        <v>589</v>
      </c>
      <c r="H30" s="2" t="s">
        <v>183</v>
      </c>
      <c r="I30" s="2" t="s">
        <v>529</v>
      </c>
      <c r="J30" s="2" t="s">
        <v>148</v>
      </c>
      <c r="K30" s="2" t="s">
        <v>156</v>
      </c>
      <c r="L30" s="2" t="s">
        <v>185</v>
      </c>
      <c r="M30" s="2" t="s">
        <v>590</v>
      </c>
      <c r="N30" s="2" t="s">
        <v>591</v>
      </c>
      <c r="O30" s="2" t="s">
        <v>84</v>
      </c>
      <c r="P30" s="2" t="s">
        <v>91</v>
      </c>
      <c r="Q30" s="5">
        <v>399</v>
      </c>
      <c r="R30" s="5">
        <v>3.681</v>
      </c>
      <c r="S30" s="5">
        <v>42072</v>
      </c>
      <c r="T30" s="5">
        <v>0</v>
      </c>
      <c r="U30" s="5">
        <v>617.91944999999998</v>
      </c>
      <c r="V30" s="6">
        <v>0</v>
      </c>
      <c r="W30" s="6">
        <v>6.3055000000000003E-3</v>
      </c>
      <c r="X30" s="6">
        <v>7.4019999999999999E-4</v>
      </c>
      <c r="Y30" s="9">
        <v>70388095</v>
      </c>
      <c r="Z30" s="57" t="s">
        <v>4</v>
      </c>
      <c r="AA30" s="57" t="s">
        <v>1</v>
      </c>
    </row>
    <row r="31" spans="1:27">
      <c r="A31" s="2" t="s">
        <v>78</v>
      </c>
      <c r="B31" s="2" t="s">
        <v>78</v>
      </c>
      <c r="C31" s="2" t="s">
        <v>592</v>
      </c>
      <c r="D31" s="2" t="s">
        <v>593</v>
      </c>
      <c r="E31" s="2" t="s">
        <v>168</v>
      </c>
      <c r="F31" s="2" t="s">
        <v>592</v>
      </c>
      <c r="G31" s="2" t="s">
        <v>594</v>
      </c>
      <c r="H31" s="2" t="s">
        <v>183</v>
      </c>
      <c r="I31" s="2" t="s">
        <v>529</v>
      </c>
      <c r="J31" s="2" t="s">
        <v>148</v>
      </c>
      <c r="K31" s="2" t="s">
        <v>156</v>
      </c>
      <c r="L31" s="2" t="s">
        <v>185</v>
      </c>
      <c r="M31" s="2" t="s">
        <v>584</v>
      </c>
      <c r="N31" s="2" t="s">
        <v>595</v>
      </c>
      <c r="O31" s="2" t="s">
        <v>84</v>
      </c>
      <c r="P31" s="2" t="s">
        <v>91</v>
      </c>
      <c r="Q31" s="5">
        <v>79</v>
      </c>
      <c r="R31" s="5">
        <v>3.681</v>
      </c>
      <c r="S31" s="5">
        <v>15819</v>
      </c>
      <c r="T31" s="5">
        <v>0</v>
      </c>
      <c r="U31" s="5">
        <v>46.001489999999997</v>
      </c>
      <c r="V31" s="6">
        <v>0</v>
      </c>
      <c r="W31" s="6">
        <v>4.6940000000000003E-4</v>
      </c>
      <c r="X31" s="6">
        <v>5.5100000000000004E-5</v>
      </c>
      <c r="Y31" s="9">
        <v>70376819</v>
      </c>
      <c r="Z31" s="57" t="s">
        <v>4</v>
      </c>
      <c r="AA31" s="57" t="s">
        <v>1</v>
      </c>
    </row>
    <row r="32" spans="1:27">
      <c r="A32" s="2" t="s">
        <v>78</v>
      </c>
      <c r="B32" s="2" t="s">
        <v>78</v>
      </c>
      <c r="C32" s="2" t="s">
        <v>596</v>
      </c>
      <c r="D32" s="2" t="s">
        <v>597</v>
      </c>
      <c r="E32" s="2" t="s">
        <v>168</v>
      </c>
      <c r="F32" s="2" t="s">
        <v>598</v>
      </c>
      <c r="G32" s="2" t="s">
        <v>599</v>
      </c>
      <c r="H32" s="2" t="s">
        <v>183</v>
      </c>
      <c r="I32" s="2" t="s">
        <v>529</v>
      </c>
      <c r="J32" s="2" t="s">
        <v>148</v>
      </c>
      <c r="K32" s="2" t="s">
        <v>156</v>
      </c>
      <c r="L32" s="2" t="s">
        <v>185</v>
      </c>
      <c r="M32" s="2" t="s">
        <v>149</v>
      </c>
      <c r="N32" s="2" t="s">
        <v>504</v>
      </c>
      <c r="O32" s="2" t="s">
        <v>84</v>
      </c>
      <c r="P32" s="2" t="s">
        <v>91</v>
      </c>
      <c r="Q32" s="5">
        <v>894</v>
      </c>
      <c r="R32" s="5">
        <v>3.681</v>
      </c>
      <c r="S32" s="5">
        <v>6619</v>
      </c>
      <c r="T32" s="5">
        <v>0</v>
      </c>
      <c r="U32" s="5">
        <v>217.81897000000001</v>
      </c>
      <c r="V32" s="6">
        <v>1.4800000000000001E-5</v>
      </c>
      <c r="W32" s="6">
        <v>2.2226999999999998E-3</v>
      </c>
      <c r="X32" s="6">
        <v>2.609E-4</v>
      </c>
      <c r="Y32" s="9">
        <v>70655667</v>
      </c>
      <c r="Z32" s="57" t="s">
        <v>4</v>
      </c>
      <c r="AA32" s="57" t="s">
        <v>1</v>
      </c>
    </row>
    <row r="33" spans="1:27">
      <c r="A33" s="2" t="s">
        <v>78</v>
      </c>
      <c r="B33" s="2" t="s">
        <v>78</v>
      </c>
      <c r="C33" s="2" t="s">
        <v>600</v>
      </c>
      <c r="D33" s="2" t="s">
        <v>601</v>
      </c>
      <c r="E33" s="2" t="s">
        <v>168</v>
      </c>
      <c r="F33" s="2" t="s">
        <v>602</v>
      </c>
      <c r="G33" s="2" t="s">
        <v>603</v>
      </c>
      <c r="H33" s="2" t="s">
        <v>183</v>
      </c>
      <c r="I33" s="2" t="s">
        <v>529</v>
      </c>
      <c r="J33" s="2" t="s">
        <v>148</v>
      </c>
      <c r="K33" s="2" t="s">
        <v>156</v>
      </c>
      <c r="L33" s="2" t="s">
        <v>185</v>
      </c>
      <c r="M33" s="2" t="s">
        <v>584</v>
      </c>
      <c r="N33" s="2" t="s">
        <v>604</v>
      </c>
      <c r="O33" s="2" t="s">
        <v>84</v>
      </c>
      <c r="P33" s="2" t="s">
        <v>91</v>
      </c>
      <c r="Q33" s="5">
        <v>379</v>
      </c>
      <c r="R33" s="5">
        <v>3.681</v>
      </c>
      <c r="S33" s="5">
        <v>6017</v>
      </c>
      <c r="T33" s="5">
        <v>5.4600000000000003E-2</v>
      </c>
      <c r="U33" s="5">
        <v>84.144199999999998</v>
      </c>
      <c r="V33" s="6">
        <v>0</v>
      </c>
      <c r="W33" s="6">
        <v>8.5860000000000005E-4</v>
      </c>
      <c r="X33" s="6">
        <v>1.0080000000000001E-4</v>
      </c>
      <c r="Y33" s="9">
        <v>70464730</v>
      </c>
      <c r="Z33" s="57" t="s">
        <v>4</v>
      </c>
      <c r="AA33" s="57" t="s">
        <v>1</v>
      </c>
    </row>
    <row r="34" spans="1:27">
      <c r="A34" s="2" t="s">
        <v>78</v>
      </c>
      <c r="B34" s="2" t="s">
        <v>78</v>
      </c>
      <c r="C34" s="2" t="s">
        <v>605</v>
      </c>
      <c r="D34" s="2" t="s">
        <v>606</v>
      </c>
      <c r="E34" s="2" t="s">
        <v>168</v>
      </c>
      <c r="F34" s="2" t="s">
        <v>607</v>
      </c>
      <c r="G34" s="2" t="s">
        <v>608</v>
      </c>
      <c r="H34" s="2" t="s">
        <v>183</v>
      </c>
      <c r="I34" s="2" t="s">
        <v>529</v>
      </c>
      <c r="J34" s="2" t="s">
        <v>148</v>
      </c>
      <c r="K34" s="2" t="s">
        <v>156</v>
      </c>
      <c r="L34" s="2" t="s">
        <v>185</v>
      </c>
      <c r="M34" s="2" t="s">
        <v>584</v>
      </c>
      <c r="N34" s="2" t="s">
        <v>186</v>
      </c>
      <c r="O34" s="2" t="s">
        <v>84</v>
      </c>
      <c r="P34" s="2" t="s">
        <v>91</v>
      </c>
      <c r="Q34" s="5">
        <v>390</v>
      </c>
      <c r="R34" s="5">
        <v>3.681</v>
      </c>
      <c r="S34" s="5">
        <v>3792</v>
      </c>
      <c r="T34" s="5">
        <v>0</v>
      </c>
      <c r="U34" s="5">
        <v>54.437570000000001</v>
      </c>
      <c r="V34" s="6">
        <v>0</v>
      </c>
      <c r="W34" s="6">
        <v>5.555E-4</v>
      </c>
      <c r="X34" s="6">
        <v>6.5199999999999999E-5</v>
      </c>
      <c r="Y34" s="9">
        <v>70383138</v>
      </c>
      <c r="Z34" s="57" t="s">
        <v>4</v>
      </c>
      <c r="AA34" s="57" t="s">
        <v>1</v>
      </c>
    </row>
    <row r="35" spans="1:27">
      <c r="A35" s="2" t="s">
        <v>78</v>
      </c>
      <c r="B35" s="2" t="s">
        <v>78</v>
      </c>
      <c r="C35" s="2" t="s">
        <v>609</v>
      </c>
      <c r="D35" s="2" t="s">
        <v>610</v>
      </c>
      <c r="E35" s="2" t="s">
        <v>168</v>
      </c>
      <c r="F35" s="2" t="s">
        <v>611</v>
      </c>
      <c r="G35" s="2" t="s">
        <v>612</v>
      </c>
      <c r="H35" s="2" t="s">
        <v>183</v>
      </c>
      <c r="I35" s="2" t="s">
        <v>529</v>
      </c>
      <c r="J35" s="2" t="s">
        <v>148</v>
      </c>
      <c r="K35" s="2" t="s">
        <v>156</v>
      </c>
      <c r="L35" s="2" t="s">
        <v>185</v>
      </c>
      <c r="M35" s="2" t="s">
        <v>149</v>
      </c>
      <c r="N35" s="2" t="s">
        <v>591</v>
      </c>
      <c r="O35" s="2" t="s">
        <v>84</v>
      </c>
      <c r="P35" s="2" t="s">
        <v>91</v>
      </c>
      <c r="Q35" s="5">
        <v>639</v>
      </c>
      <c r="R35" s="5">
        <v>3.681</v>
      </c>
      <c r="S35" s="5">
        <v>12561</v>
      </c>
      <c r="T35" s="5">
        <v>0</v>
      </c>
      <c r="U35" s="5">
        <v>295.45469000000003</v>
      </c>
      <c r="V35" s="6">
        <v>2.0000000000000002E-7</v>
      </c>
      <c r="W35" s="6">
        <v>3.0148999999999996E-3</v>
      </c>
      <c r="X35" s="6">
        <v>3.5389999999999998E-4</v>
      </c>
      <c r="Y35" s="9">
        <v>70383864</v>
      </c>
      <c r="Z35" s="57" t="s">
        <v>4</v>
      </c>
      <c r="AA35" s="57" t="s">
        <v>1</v>
      </c>
    </row>
    <row r="36" spans="1:27">
      <c r="A36" s="2" t="s">
        <v>78</v>
      </c>
      <c r="B36" s="2" t="s">
        <v>78</v>
      </c>
      <c r="C36" s="2" t="s">
        <v>613</v>
      </c>
      <c r="D36" s="2" t="s">
        <v>614</v>
      </c>
      <c r="E36" s="2" t="s">
        <v>168</v>
      </c>
      <c r="F36" s="2" t="s">
        <v>615</v>
      </c>
      <c r="G36" s="2" t="s">
        <v>616</v>
      </c>
      <c r="H36" s="2" t="s">
        <v>183</v>
      </c>
      <c r="I36" s="2" t="s">
        <v>529</v>
      </c>
      <c r="J36" s="2" t="s">
        <v>148</v>
      </c>
      <c r="K36" s="2" t="s">
        <v>156</v>
      </c>
      <c r="L36" s="2" t="s">
        <v>185</v>
      </c>
      <c r="M36" s="2" t="s">
        <v>149</v>
      </c>
      <c r="N36" s="2" t="s">
        <v>617</v>
      </c>
      <c r="O36" s="2" t="s">
        <v>84</v>
      </c>
      <c r="P36" s="2" t="s">
        <v>91</v>
      </c>
      <c r="Q36" s="5">
        <v>308</v>
      </c>
      <c r="R36" s="5">
        <v>3.681</v>
      </c>
      <c r="S36" s="5">
        <v>27908</v>
      </c>
      <c r="T36" s="5">
        <v>0</v>
      </c>
      <c r="U36" s="5">
        <v>316.40638999999999</v>
      </c>
      <c r="V36" s="6">
        <v>1.0000000000000001E-7</v>
      </c>
      <c r="W36" s="6">
        <v>3.2286999999999997E-3</v>
      </c>
      <c r="X36" s="6">
        <v>3.7900000000000005E-4</v>
      </c>
      <c r="Y36" s="9">
        <v>70961578</v>
      </c>
      <c r="Z36" s="57" t="s">
        <v>4</v>
      </c>
      <c r="AA36" s="57" t="s">
        <v>1</v>
      </c>
    </row>
    <row r="37" spans="1:27">
      <c r="A37" s="2" t="s">
        <v>78</v>
      </c>
      <c r="B37" s="2" t="s">
        <v>78</v>
      </c>
      <c r="C37" s="2" t="s">
        <v>618</v>
      </c>
      <c r="D37" s="2" t="s">
        <v>619</v>
      </c>
      <c r="E37" s="2" t="s">
        <v>168</v>
      </c>
      <c r="F37" s="2" t="s">
        <v>618</v>
      </c>
      <c r="G37" s="2" t="s">
        <v>620</v>
      </c>
      <c r="H37" s="2" t="s">
        <v>183</v>
      </c>
      <c r="I37" s="2" t="s">
        <v>529</v>
      </c>
      <c r="J37" s="2" t="s">
        <v>148</v>
      </c>
      <c r="K37" s="2" t="s">
        <v>156</v>
      </c>
      <c r="L37" s="2" t="s">
        <v>185</v>
      </c>
      <c r="M37" s="2" t="s">
        <v>149</v>
      </c>
      <c r="N37" s="2" t="s">
        <v>621</v>
      </c>
      <c r="O37" s="2" t="s">
        <v>84</v>
      </c>
      <c r="P37" s="2" t="s">
        <v>91</v>
      </c>
      <c r="Q37" s="5">
        <v>171</v>
      </c>
      <c r="R37" s="5">
        <v>3.681</v>
      </c>
      <c r="S37" s="5">
        <v>90356</v>
      </c>
      <c r="T37" s="5">
        <v>0</v>
      </c>
      <c r="U37" s="5">
        <v>568.74674000000005</v>
      </c>
      <c r="V37" s="6">
        <v>0</v>
      </c>
      <c r="W37" s="6">
        <v>5.8037000000000002E-3</v>
      </c>
      <c r="X37" s="6">
        <v>6.8129999999999992E-4</v>
      </c>
      <c r="Y37" s="9">
        <v>70500053</v>
      </c>
      <c r="Z37" s="57" t="s">
        <v>4</v>
      </c>
      <c r="AA37" s="57" t="s">
        <v>1</v>
      </c>
    </row>
    <row r="38" spans="1:27">
      <c r="A38" s="2" t="s">
        <v>78</v>
      </c>
      <c r="B38" s="2" t="s">
        <v>78</v>
      </c>
      <c r="C38" s="2" t="s">
        <v>622</v>
      </c>
      <c r="D38" s="2" t="s">
        <v>623</v>
      </c>
      <c r="E38" s="2" t="s">
        <v>168</v>
      </c>
      <c r="F38" s="2" t="s">
        <v>624</v>
      </c>
      <c r="G38" s="2" t="s">
        <v>625</v>
      </c>
      <c r="H38" s="2" t="s">
        <v>183</v>
      </c>
      <c r="I38" s="2" t="s">
        <v>529</v>
      </c>
      <c r="J38" s="2" t="s">
        <v>148</v>
      </c>
      <c r="K38" s="2" t="s">
        <v>626</v>
      </c>
      <c r="L38" s="2" t="s">
        <v>185</v>
      </c>
      <c r="M38" s="2" t="s">
        <v>627</v>
      </c>
      <c r="N38" s="2" t="s">
        <v>621</v>
      </c>
      <c r="O38" s="2" t="s">
        <v>84</v>
      </c>
      <c r="P38" s="2" t="s">
        <v>91</v>
      </c>
      <c r="Q38" s="5">
        <v>26</v>
      </c>
      <c r="R38" s="5">
        <v>3.681</v>
      </c>
      <c r="S38" s="5">
        <v>148700</v>
      </c>
      <c r="T38" s="5">
        <v>0</v>
      </c>
      <c r="U38" s="5">
        <v>142.31482</v>
      </c>
      <c r="V38" s="6">
        <v>1.0000000000000001E-7</v>
      </c>
      <c r="W38" s="6">
        <v>1.4521999999999998E-3</v>
      </c>
      <c r="X38" s="6">
        <v>1.705E-4</v>
      </c>
      <c r="Y38" s="9">
        <v>70632732</v>
      </c>
      <c r="Z38" s="57" t="s">
        <v>4</v>
      </c>
      <c r="AA38" s="57" t="s">
        <v>1</v>
      </c>
    </row>
    <row r="39" spans="1:27">
      <c r="A39" s="2" t="s">
        <v>78</v>
      </c>
      <c r="B39" s="2" t="s">
        <v>78</v>
      </c>
      <c r="C39" s="2" t="s">
        <v>628</v>
      </c>
      <c r="D39" s="2" t="s">
        <v>629</v>
      </c>
      <c r="E39" s="2" t="s">
        <v>168</v>
      </c>
      <c r="F39" s="2" t="s">
        <v>630</v>
      </c>
      <c r="G39" s="2" t="s">
        <v>631</v>
      </c>
      <c r="H39" s="2" t="s">
        <v>183</v>
      </c>
      <c r="I39" s="2" t="s">
        <v>529</v>
      </c>
      <c r="J39" s="2" t="s">
        <v>148</v>
      </c>
      <c r="K39" s="2" t="s">
        <v>156</v>
      </c>
      <c r="L39" s="2" t="s">
        <v>185</v>
      </c>
      <c r="M39" s="2" t="s">
        <v>149</v>
      </c>
      <c r="N39" s="2" t="s">
        <v>585</v>
      </c>
      <c r="O39" s="2" t="s">
        <v>84</v>
      </c>
      <c r="P39" s="2" t="s">
        <v>91</v>
      </c>
      <c r="Q39" s="5">
        <v>210</v>
      </c>
      <c r="R39" s="5">
        <v>3.681</v>
      </c>
      <c r="S39" s="5">
        <v>18038</v>
      </c>
      <c r="T39" s="5">
        <v>0</v>
      </c>
      <c r="U39" s="5">
        <v>139.43554</v>
      </c>
      <c r="V39" s="6">
        <v>0</v>
      </c>
      <c r="W39" s="6">
        <v>1.4227999999999999E-3</v>
      </c>
      <c r="X39" s="6">
        <v>1.6699999999999999E-4</v>
      </c>
      <c r="Y39" s="9">
        <v>70481486</v>
      </c>
      <c r="Z39" s="57" t="s">
        <v>4</v>
      </c>
      <c r="AA39" s="57" t="s">
        <v>1</v>
      </c>
    </row>
    <row r="40" spans="1:27">
      <c r="A40" s="2" t="s">
        <v>78</v>
      </c>
      <c r="B40" s="2" t="s">
        <v>78</v>
      </c>
      <c r="C40" s="2" t="s">
        <v>632</v>
      </c>
      <c r="D40" s="2" t="s">
        <v>633</v>
      </c>
      <c r="E40" s="2" t="s">
        <v>168</v>
      </c>
      <c r="F40" s="2" t="s">
        <v>634</v>
      </c>
      <c r="G40" s="2" t="s">
        <v>635</v>
      </c>
      <c r="H40" s="2" t="s">
        <v>183</v>
      </c>
      <c r="I40" s="2" t="s">
        <v>529</v>
      </c>
      <c r="J40" s="2" t="s">
        <v>148</v>
      </c>
      <c r="K40" s="2" t="s">
        <v>83</v>
      </c>
      <c r="L40" s="2" t="s">
        <v>185</v>
      </c>
      <c r="M40" s="2" t="s">
        <v>149</v>
      </c>
      <c r="N40" s="2" t="s">
        <v>621</v>
      </c>
      <c r="O40" s="2" t="s">
        <v>84</v>
      </c>
      <c r="P40" s="2" t="s">
        <v>91</v>
      </c>
      <c r="Q40" s="5">
        <v>308</v>
      </c>
      <c r="R40" s="5">
        <v>3.681</v>
      </c>
      <c r="S40" s="5">
        <v>17738</v>
      </c>
      <c r="T40" s="5">
        <v>0</v>
      </c>
      <c r="U40" s="5">
        <v>201.10422</v>
      </c>
      <c r="V40" s="6">
        <v>1.06E-5</v>
      </c>
      <c r="W40" s="6">
        <v>2.0520999999999998E-3</v>
      </c>
      <c r="X40" s="6">
        <v>2.409E-4</v>
      </c>
      <c r="Y40" s="9">
        <v>70507199</v>
      </c>
      <c r="Z40" s="57" t="s">
        <v>4</v>
      </c>
      <c r="AA40" s="57" t="s">
        <v>1</v>
      </c>
    </row>
    <row r="41" spans="1:27">
      <c r="A41" s="2" t="s">
        <v>78</v>
      </c>
      <c r="B41" s="2" t="s">
        <v>78</v>
      </c>
      <c r="C41" s="2" t="s">
        <v>636</v>
      </c>
      <c r="D41" s="2" t="s">
        <v>637</v>
      </c>
      <c r="E41" s="2" t="s">
        <v>168</v>
      </c>
      <c r="F41" s="2" t="s">
        <v>638</v>
      </c>
      <c r="G41" s="2" t="s">
        <v>639</v>
      </c>
      <c r="H41" s="2" t="s">
        <v>183</v>
      </c>
      <c r="I41" s="2" t="s">
        <v>529</v>
      </c>
      <c r="J41" s="2" t="s">
        <v>148</v>
      </c>
      <c r="K41" s="2" t="s">
        <v>455</v>
      </c>
      <c r="L41" s="2" t="s">
        <v>185</v>
      </c>
      <c r="M41" s="2" t="s">
        <v>584</v>
      </c>
      <c r="N41" s="2" t="s">
        <v>621</v>
      </c>
      <c r="O41" s="2" t="s">
        <v>84</v>
      </c>
      <c r="P41" s="2" t="s">
        <v>91</v>
      </c>
      <c r="Q41" s="5">
        <v>152</v>
      </c>
      <c r="R41" s="5">
        <v>3.681</v>
      </c>
      <c r="S41" s="5">
        <v>97047</v>
      </c>
      <c r="T41" s="5">
        <v>0</v>
      </c>
      <c r="U41" s="5">
        <v>542.98960999999997</v>
      </c>
      <c r="V41" s="6">
        <v>2.9999999999999999E-7</v>
      </c>
      <c r="W41" s="6">
        <v>5.5408000000000002E-3</v>
      </c>
      <c r="X41" s="6">
        <v>6.5039999999999998E-4</v>
      </c>
      <c r="Y41" s="9">
        <v>70539671</v>
      </c>
      <c r="Z41" s="57" t="s">
        <v>4</v>
      </c>
      <c r="AA41" s="57" t="s">
        <v>1</v>
      </c>
    </row>
    <row r="42" spans="1:27">
      <c r="A42" s="2" t="s">
        <v>78</v>
      </c>
      <c r="B42" s="2" t="s">
        <v>78</v>
      </c>
      <c r="C42" s="2" t="s">
        <v>640</v>
      </c>
      <c r="D42" s="2" t="s">
        <v>641</v>
      </c>
      <c r="E42" s="2" t="s">
        <v>168</v>
      </c>
      <c r="F42" s="2" t="s">
        <v>642</v>
      </c>
      <c r="G42" s="2" t="s">
        <v>643</v>
      </c>
      <c r="H42" s="2" t="s">
        <v>183</v>
      </c>
      <c r="I42" s="2" t="s">
        <v>529</v>
      </c>
      <c r="J42" s="2" t="s">
        <v>148</v>
      </c>
      <c r="K42" s="2" t="s">
        <v>156</v>
      </c>
      <c r="L42" s="2" t="s">
        <v>185</v>
      </c>
      <c r="M42" s="2" t="s">
        <v>584</v>
      </c>
      <c r="N42" s="2" t="s">
        <v>274</v>
      </c>
      <c r="O42" s="2" t="s">
        <v>84</v>
      </c>
      <c r="P42" s="2" t="s">
        <v>91</v>
      </c>
      <c r="Q42" s="5">
        <v>120</v>
      </c>
      <c r="R42" s="5">
        <v>3.681</v>
      </c>
      <c r="S42" s="5">
        <v>17579</v>
      </c>
      <c r="T42" s="5">
        <v>0</v>
      </c>
      <c r="U42" s="5">
        <v>77.649950000000004</v>
      </c>
      <c r="V42" s="6">
        <v>0</v>
      </c>
      <c r="W42" s="6">
        <v>7.9240000000000007E-4</v>
      </c>
      <c r="X42" s="6">
        <v>9.2999999999999997E-5</v>
      </c>
      <c r="Y42" s="9">
        <v>74297391</v>
      </c>
      <c r="Z42" s="57" t="s">
        <v>4</v>
      </c>
      <c r="AA42" s="57" t="s">
        <v>1</v>
      </c>
    </row>
    <row r="43" spans="1:27">
      <c r="A43" s="2" t="s">
        <v>78</v>
      </c>
      <c r="B43" s="2" t="s">
        <v>78</v>
      </c>
      <c r="C43" s="2" t="s">
        <v>644</v>
      </c>
      <c r="D43" s="2" t="s">
        <v>645</v>
      </c>
      <c r="E43" s="2" t="s">
        <v>168</v>
      </c>
      <c r="F43" s="2" t="s">
        <v>646</v>
      </c>
      <c r="G43" s="2" t="s">
        <v>647</v>
      </c>
      <c r="H43" s="2" t="s">
        <v>183</v>
      </c>
      <c r="I43" s="2" t="s">
        <v>529</v>
      </c>
      <c r="J43" s="2" t="s">
        <v>148</v>
      </c>
      <c r="K43" s="2" t="s">
        <v>156</v>
      </c>
      <c r="L43" s="2" t="s">
        <v>185</v>
      </c>
      <c r="M43" s="2" t="s">
        <v>590</v>
      </c>
      <c r="N43" s="2" t="s">
        <v>591</v>
      </c>
      <c r="O43" s="2" t="s">
        <v>84</v>
      </c>
      <c r="P43" s="2" t="s">
        <v>91</v>
      </c>
      <c r="Q43" s="5">
        <v>183</v>
      </c>
      <c r="R43" s="5">
        <v>3.681</v>
      </c>
      <c r="S43" s="5">
        <v>6699</v>
      </c>
      <c r="T43" s="5">
        <v>0</v>
      </c>
      <c r="U43" s="5">
        <v>45.125999999999998</v>
      </c>
      <c r="V43" s="6">
        <v>1.0000000000000001E-7</v>
      </c>
      <c r="W43" s="6">
        <v>4.6050000000000003E-4</v>
      </c>
      <c r="X43" s="6">
        <v>5.41E-5</v>
      </c>
      <c r="Y43" s="9">
        <v>75232918</v>
      </c>
      <c r="Z43" s="57" t="s">
        <v>4</v>
      </c>
      <c r="AA43" s="57" t="s">
        <v>1</v>
      </c>
    </row>
    <row r="44" spans="1:27">
      <c r="A44" s="2" t="s">
        <v>78</v>
      </c>
      <c r="B44" s="2" t="s">
        <v>78</v>
      </c>
      <c r="C44" s="2" t="s">
        <v>648</v>
      </c>
      <c r="D44" s="2" t="s">
        <v>649</v>
      </c>
      <c r="E44" s="2" t="s">
        <v>168</v>
      </c>
      <c r="F44" s="2" t="s">
        <v>650</v>
      </c>
      <c r="G44" s="2" t="s">
        <v>651</v>
      </c>
      <c r="H44" s="2" t="s">
        <v>183</v>
      </c>
      <c r="I44" s="2" t="s">
        <v>529</v>
      </c>
      <c r="J44" s="2" t="s">
        <v>148</v>
      </c>
      <c r="K44" s="2" t="s">
        <v>156</v>
      </c>
      <c r="L44" s="2" t="s">
        <v>185</v>
      </c>
      <c r="M44" s="2" t="s">
        <v>584</v>
      </c>
      <c r="N44" s="2" t="s">
        <v>617</v>
      </c>
      <c r="O44" s="2" t="s">
        <v>84</v>
      </c>
      <c r="P44" s="2" t="s">
        <v>91</v>
      </c>
      <c r="Q44" s="5">
        <v>137</v>
      </c>
      <c r="R44" s="5">
        <v>3.681</v>
      </c>
      <c r="S44" s="5">
        <v>48157</v>
      </c>
      <c r="T44" s="5">
        <v>0</v>
      </c>
      <c r="U44" s="5">
        <v>242.85429999999999</v>
      </c>
      <c r="V44" s="6">
        <v>1.0000000000000001E-7</v>
      </c>
      <c r="W44" s="6">
        <v>2.4782000000000003E-3</v>
      </c>
      <c r="X44" s="6">
        <v>2.9090000000000002E-4</v>
      </c>
      <c r="Y44" s="9">
        <v>70733191</v>
      </c>
      <c r="Z44" s="57" t="s">
        <v>4</v>
      </c>
      <c r="AA44" s="57" t="s">
        <v>1</v>
      </c>
    </row>
    <row r="45" spans="1:27">
      <c r="A45" s="2" t="s">
        <v>78</v>
      </c>
      <c r="B45" s="2" t="s">
        <v>78</v>
      </c>
      <c r="C45" s="2" t="s">
        <v>652</v>
      </c>
      <c r="D45" s="2" t="s">
        <v>653</v>
      </c>
      <c r="E45" s="2" t="s">
        <v>168</v>
      </c>
      <c r="F45" s="2" t="s">
        <v>652</v>
      </c>
      <c r="G45" s="2" t="s">
        <v>654</v>
      </c>
      <c r="H45" s="2" t="s">
        <v>183</v>
      </c>
      <c r="I45" s="2" t="s">
        <v>529</v>
      </c>
      <c r="J45" s="2" t="s">
        <v>148</v>
      </c>
      <c r="K45" s="2" t="s">
        <v>156</v>
      </c>
      <c r="L45" s="2" t="s">
        <v>185</v>
      </c>
      <c r="M45" s="2" t="s">
        <v>590</v>
      </c>
      <c r="N45" s="2" t="s">
        <v>604</v>
      </c>
      <c r="O45" s="2" t="s">
        <v>84</v>
      </c>
      <c r="P45" s="2" t="s">
        <v>91</v>
      </c>
      <c r="Q45" s="5">
        <v>38</v>
      </c>
      <c r="R45" s="5">
        <v>3.681</v>
      </c>
      <c r="S45" s="5">
        <v>73263</v>
      </c>
      <c r="T45" s="5">
        <v>0</v>
      </c>
      <c r="U45" s="5">
        <v>102.47881</v>
      </c>
      <c r="V45" s="6">
        <v>0</v>
      </c>
      <c r="W45" s="6">
        <v>1.0456999999999999E-3</v>
      </c>
      <c r="X45" s="6">
        <v>1.228E-4</v>
      </c>
      <c r="Y45" s="9">
        <v>70462866</v>
      </c>
      <c r="Z45" s="57" t="s">
        <v>4</v>
      </c>
      <c r="AA45" s="57" t="s">
        <v>1</v>
      </c>
    </row>
    <row r="46" spans="1:27">
      <c r="A46" s="2" t="s">
        <v>78</v>
      </c>
      <c r="B46" s="2" t="s">
        <v>78</v>
      </c>
      <c r="C46" s="2" t="s">
        <v>655</v>
      </c>
      <c r="D46" s="2" t="s">
        <v>656</v>
      </c>
      <c r="E46" s="2" t="s">
        <v>168</v>
      </c>
      <c r="F46" s="2" t="s">
        <v>657</v>
      </c>
      <c r="G46" s="2" t="s">
        <v>658</v>
      </c>
      <c r="H46" s="2" t="s">
        <v>183</v>
      </c>
      <c r="I46" s="2" t="s">
        <v>529</v>
      </c>
      <c r="J46" s="2" t="s">
        <v>148</v>
      </c>
      <c r="K46" s="2" t="s">
        <v>83</v>
      </c>
      <c r="L46" s="2" t="s">
        <v>185</v>
      </c>
      <c r="M46" s="2" t="s">
        <v>584</v>
      </c>
      <c r="N46" s="2" t="s">
        <v>585</v>
      </c>
      <c r="O46" s="2" t="s">
        <v>84</v>
      </c>
      <c r="P46" s="2" t="s">
        <v>91</v>
      </c>
      <c r="Q46" s="5">
        <v>126</v>
      </c>
      <c r="R46" s="5">
        <v>3.681</v>
      </c>
      <c r="S46" s="5">
        <v>2107</v>
      </c>
      <c r="T46" s="5">
        <v>0</v>
      </c>
      <c r="U46" s="5">
        <v>9.7723899999999997</v>
      </c>
      <c r="V46" s="6">
        <v>3.2000000000000003E-6</v>
      </c>
      <c r="W46" s="6">
        <v>9.9699999999999998E-5</v>
      </c>
      <c r="X46" s="6">
        <v>1.17E-5</v>
      </c>
      <c r="Y46" s="9">
        <v>76609312</v>
      </c>
      <c r="Z46" s="57" t="s">
        <v>4</v>
      </c>
      <c r="AA46" s="57" t="s">
        <v>1</v>
      </c>
    </row>
    <row r="47" spans="1:27">
      <c r="A47" s="2" t="s">
        <v>78</v>
      </c>
      <c r="B47" s="2" t="s">
        <v>78</v>
      </c>
      <c r="C47" s="2" t="s">
        <v>659</v>
      </c>
      <c r="D47" s="2" t="s">
        <v>660</v>
      </c>
      <c r="E47" s="2" t="s">
        <v>168</v>
      </c>
      <c r="F47" s="2" t="s">
        <v>659</v>
      </c>
      <c r="G47" s="2" t="s">
        <v>661</v>
      </c>
      <c r="H47" s="2" t="s">
        <v>183</v>
      </c>
      <c r="I47" s="2" t="s">
        <v>529</v>
      </c>
      <c r="J47" s="2" t="s">
        <v>148</v>
      </c>
      <c r="K47" s="2" t="s">
        <v>156</v>
      </c>
      <c r="L47" s="2" t="s">
        <v>185</v>
      </c>
      <c r="M47" s="2" t="s">
        <v>590</v>
      </c>
      <c r="N47" s="2" t="s">
        <v>621</v>
      </c>
      <c r="O47" s="2" t="s">
        <v>84</v>
      </c>
      <c r="P47" s="2" t="s">
        <v>91</v>
      </c>
      <c r="Q47" s="5">
        <v>100</v>
      </c>
      <c r="R47" s="5">
        <v>3.681</v>
      </c>
      <c r="S47" s="5">
        <v>18049</v>
      </c>
      <c r="T47" s="5">
        <v>0</v>
      </c>
      <c r="U47" s="5">
        <v>66.438360000000003</v>
      </c>
      <c r="V47" s="6">
        <v>0</v>
      </c>
      <c r="W47" s="6">
        <v>6.78E-4</v>
      </c>
      <c r="X47" s="6">
        <v>7.9599999999999997E-5</v>
      </c>
      <c r="Y47" s="9">
        <v>70460340</v>
      </c>
      <c r="Z47" s="57" t="s">
        <v>4</v>
      </c>
      <c r="AA47" s="57" t="s">
        <v>1</v>
      </c>
    </row>
    <row r="48" spans="1:27">
      <c r="A48" s="2" t="s">
        <v>78</v>
      </c>
      <c r="B48" s="2" t="s">
        <v>78</v>
      </c>
      <c r="C48" s="2" t="s">
        <v>662</v>
      </c>
      <c r="D48" s="2" t="s">
        <v>663</v>
      </c>
      <c r="E48" s="2" t="s">
        <v>168</v>
      </c>
      <c r="F48" s="2" t="s">
        <v>664</v>
      </c>
      <c r="G48" s="2" t="s">
        <v>665</v>
      </c>
      <c r="H48" s="2" t="s">
        <v>183</v>
      </c>
      <c r="I48" s="2" t="s">
        <v>529</v>
      </c>
      <c r="J48" s="2" t="s">
        <v>148</v>
      </c>
      <c r="K48" s="2" t="s">
        <v>83</v>
      </c>
      <c r="L48" s="2" t="s">
        <v>185</v>
      </c>
      <c r="M48" s="2" t="s">
        <v>590</v>
      </c>
      <c r="N48" s="2" t="s">
        <v>666</v>
      </c>
      <c r="O48" s="2" t="s">
        <v>84</v>
      </c>
      <c r="P48" s="2" t="s">
        <v>91</v>
      </c>
      <c r="Q48" s="5">
        <v>1401</v>
      </c>
      <c r="R48" s="5">
        <v>3.681</v>
      </c>
      <c r="S48" s="5">
        <v>8377</v>
      </c>
      <c r="T48" s="5">
        <v>0</v>
      </c>
      <c r="U48" s="5">
        <v>432.00867</v>
      </c>
      <c r="V48" s="6">
        <v>3.1199999999999999E-5</v>
      </c>
      <c r="W48" s="6">
        <v>4.4083999999999998E-3</v>
      </c>
      <c r="X48" s="6">
        <v>5.1749999999999995E-4</v>
      </c>
      <c r="Y48" s="9">
        <v>70511662</v>
      </c>
      <c r="Z48" s="57" t="s">
        <v>4</v>
      </c>
      <c r="AA48" s="57" t="s">
        <v>1</v>
      </c>
    </row>
    <row r="49" spans="1:27">
      <c r="A49" s="2" t="s">
        <v>78</v>
      </c>
      <c r="B49" s="2" t="s">
        <v>78</v>
      </c>
      <c r="C49" s="2" t="s">
        <v>667</v>
      </c>
      <c r="D49" s="2" t="s">
        <v>668</v>
      </c>
      <c r="E49" s="2" t="s">
        <v>168</v>
      </c>
      <c r="F49" s="2" t="s">
        <v>669</v>
      </c>
      <c r="G49" s="2" t="s">
        <v>670</v>
      </c>
      <c r="H49" s="2" t="s">
        <v>183</v>
      </c>
      <c r="I49" s="2" t="s">
        <v>529</v>
      </c>
      <c r="J49" s="2" t="s">
        <v>148</v>
      </c>
      <c r="K49" s="2" t="s">
        <v>671</v>
      </c>
      <c r="L49" s="2" t="s">
        <v>185</v>
      </c>
      <c r="M49" s="2" t="s">
        <v>672</v>
      </c>
      <c r="N49" s="2" t="s">
        <v>585</v>
      </c>
      <c r="O49" s="2" t="s">
        <v>84</v>
      </c>
      <c r="P49" s="2" t="s">
        <v>99</v>
      </c>
      <c r="Q49" s="5">
        <v>61</v>
      </c>
      <c r="R49" s="5">
        <v>0.47039999999999998</v>
      </c>
      <c r="S49" s="5">
        <v>10790</v>
      </c>
      <c r="T49" s="5">
        <v>0</v>
      </c>
      <c r="U49" s="5">
        <v>3.09612</v>
      </c>
      <c r="V49" s="6">
        <v>0</v>
      </c>
      <c r="W49" s="6">
        <v>3.1600000000000002E-5</v>
      </c>
      <c r="X49" s="6">
        <v>3.7000000000000002E-6</v>
      </c>
      <c r="Y49" s="9">
        <v>78008174</v>
      </c>
      <c r="Z49" s="57" t="s">
        <v>4</v>
      </c>
      <c r="AA49" s="57" t="s">
        <v>1</v>
      </c>
    </row>
    <row r="50" spans="1:27">
      <c r="A50" s="2" t="s">
        <v>78</v>
      </c>
      <c r="B50" s="2" t="s">
        <v>78</v>
      </c>
      <c r="C50" s="2" t="s">
        <v>673</v>
      </c>
      <c r="D50" s="2" t="s">
        <v>674</v>
      </c>
      <c r="E50" s="2" t="s">
        <v>168</v>
      </c>
      <c r="F50" s="2" t="s">
        <v>673</v>
      </c>
      <c r="G50" s="2" t="s">
        <v>675</v>
      </c>
      <c r="H50" s="2" t="s">
        <v>183</v>
      </c>
      <c r="I50" s="2" t="s">
        <v>529</v>
      </c>
      <c r="J50" s="2" t="s">
        <v>148</v>
      </c>
      <c r="K50" s="2" t="s">
        <v>455</v>
      </c>
      <c r="L50" s="2" t="s">
        <v>185</v>
      </c>
      <c r="M50" s="2" t="s">
        <v>149</v>
      </c>
      <c r="N50" s="2" t="s">
        <v>504</v>
      </c>
      <c r="O50" s="2" t="s">
        <v>84</v>
      </c>
      <c r="P50" s="2" t="s">
        <v>90</v>
      </c>
      <c r="Q50" s="5">
        <v>685</v>
      </c>
      <c r="R50" s="5">
        <v>3.9790999999999999</v>
      </c>
      <c r="S50" s="5">
        <v>3095.5</v>
      </c>
      <c r="T50" s="5">
        <v>0</v>
      </c>
      <c r="U50" s="5">
        <v>84.373530000000002</v>
      </c>
      <c r="V50" s="6">
        <v>1.0000000000000001E-7</v>
      </c>
      <c r="W50" s="6">
        <v>8.61E-4</v>
      </c>
      <c r="X50" s="6">
        <v>1.0109999999999999E-4</v>
      </c>
      <c r="Y50" s="9">
        <v>78331972</v>
      </c>
      <c r="Z50" s="57" t="s">
        <v>4</v>
      </c>
      <c r="AA50" s="57" t="s">
        <v>1</v>
      </c>
    </row>
    <row r="51" spans="1:27">
      <c r="A51" s="2" t="s">
        <v>78</v>
      </c>
      <c r="B51" s="2" t="s">
        <v>78</v>
      </c>
      <c r="C51" s="2" t="s">
        <v>676</v>
      </c>
      <c r="D51" s="2" t="s">
        <v>677</v>
      </c>
      <c r="E51" s="2" t="s">
        <v>168</v>
      </c>
      <c r="F51" s="2" t="s">
        <v>676</v>
      </c>
      <c r="G51" s="2" t="s">
        <v>678</v>
      </c>
      <c r="H51" s="2" t="s">
        <v>183</v>
      </c>
      <c r="I51" s="2" t="s">
        <v>529</v>
      </c>
      <c r="J51" s="2" t="s">
        <v>148</v>
      </c>
      <c r="K51" s="2" t="s">
        <v>679</v>
      </c>
      <c r="L51" s="2" t="s">
        <v>185</v>
      </c>
      <c r="M51" s="2" t="s">
        <v>149</v>
      </c>
      <c r="N51" s="2" t="s">
        <v>680</v>
      </c>
      <c r="O51" s="2" t="s">
        <v>84</v>
      </c>
      <c r="P51" s="2" t="s">
        <v>91</v>
      </c>
      <c r="Q51" s="5">
        <v>658</v>
      </c>
      <c r="R51" s="5">
        <v>3.681</v>
      </c>
      <c r="S51" s="5">
        <v>5431</v>
      </c>
      <c r="T51" s="5">
        <v>0.26640000000000003</v>
      </c>
      <c r="U51" s="5">
        <v>132.52509000000001</v>
      </c>
      <c r="V51" s="6">
        <v>1.2999999999999998E-6</v>
      </c>
      <c r="W51" s="6">
        <v>1.3522999999999999E-3</v>
      </c>
      <c r="X51" s="6">
        <v>1.5869999999999998E-4</v>
      </c>
      <c r="Y51" s="9">
        <v>76098599</v>
      </c>
      <c r="Z51" s="57" t="s">
        <v>4</v>
      </c>
      <c r="AA51" s="57" t="s">
        <v>1</v>
      </c>
    </row>
    <row r="52" spans="1:27">
      <c r="A52" s="2" t="s">
        <v>78</v>
      </c>
      <c r="B52" s="2" t="s">
        <v>78</v>
      </c>
      <c r="C52" s="2" t="s">
        <v>681</v>
      </c>
      <c r="D52" s="2" t="s">
        <v>682</v>
      </c>
      <c r="E52" s="2" t="s">
        <v>168</v>
      </c>
      <c r="F52" s="2" t="s">
        <v>683</v>
      </c>
      <c r="G52" s="2" t="s">
        <v>684</v>
      </c>
      <c r="H52" s="2" t="s">
        <v>183</v>
      </c>
      <c r="I52" s="2" t="s">
        <v>529</v>
      </c>
      <c r="J52" s="2" t="s">
        <v>148</v>
      </c>
      <c r="K52" s="2" t="s">
        <v>156</v>
      </c>
      <c r="L52" s="2" t="s">
        <v>185</v>
      </c>
      <c r="M52" s="2" t="s">
        <v>590</v>
      </c>
      <c r="N52" s="2" t="s">
        <v>621</v>
      </c>
      <c r="O52" s="2" t="s">
        <v>84</v>
      </c>
      <c r="P52" s="2" t="s">
        <v>91</v>
      </c>
      <c r="Q52" s="5">
        <v>24</v>
      </c>
      <c r="R52" s="5">
        <v>3.681</v>
      </c>
      <c r="S52" s="5">
        <v>132541</v>
      </c>
      <c r="T52" s="5">
        <v>0</v>
      </c>
      <c r="U52" s="5">
        <v>117.09202000000001</v>
      </c>
      <c r="V52" s="6">
        <v>0</v>
      </c>
      <c r="W52" s="6">
        <v>1.1948E-3</v>
      </c>
      <c r="X52" s="6">
        <v>1.403E-4</v>
      </c>
      <c r="Y52" s="9">
        <v>74182429</v>
      </c>
      <c r="Z52" s="57" t="s">
        <v>4</v>
      </c>
      <c r="AA52" s="57" t="s">
        <v>1</v>
      </c>
    </row>
    <row r="53" spans="1:27">
      <c r="A53" s="2" t="s">
        <v>78</v>
      </c>
      <c r="B53" s="2" t="s">
        <v>94</v>
      </c>
      <c r="C53" s="2" t="s">
        <v>527</v>
      </c>
      <c r="D53" s="2" t="s">
        <v>528</v>
      </c>
      <c r="E53" s="2" t="s">
        <v>194</v>
      </c>
      <c r="F53" s="2" t="s">
        <v>527</v>
      </c>
      <c r="G53" s="9">
        <v>1091065</v>
      </c>
      <c r="H53" s="2" t="s">
        <v>149</v>
      </c>
      <c r="I53" s="2" t="s">
        <v>529</v>
      </c>
      <c r="J53" s="2" t="s">
        <v>83</v>
      </c>
      <c r="K53" s="2" t="s">
        <v>83</v>
      </c>
      <c r="L53" s="2" t="s">
        <v>185</v>
      </c>
      <c r="M53" s="2" t="s">
        <v>118</v>
      </c>
      <c r="N53" s="2" t="s">
        <v>530</v>
      </c>
      <c r="O53" s="2" t="s">
        <v>84</v>
      </c>
      <c r="P53" s="2" t="s">
        <v>87</v>
      </c>
      <c r="Q53" s="5">
        <v>499</v>
      </c>
      <c r="R53" s="5">
        <v>1</v>
      </c>
      <c r="S53" s="5">
        <v>3622</v>
      </c>
      <c r="T53" s="5">
        <v>0</v>
      </c>
      <c r="U53" s="5">
        <v>18.073779999999999</v>
      </c>
      <c r="V53" s="6">
        <v>4.5000000000000001E-6</v>
      </c>
      <c r="W53" s="6">
        <v>1.8440000000000001E-4</v>
      </c>
      <c r="X53" s="6">
        <v>2.16E-5</v>
      </c>
      <c r="Y53" s="2" t="s">
        <v>3</v>
      </c>
      <c r="Z53" s="57" t="s">
        <v>4</v>
      </c>
      <c r="AA53" s="57" t="s">
        <v>1</v>
      </c>
    </row>
    <row r="54" spans="1:27">
      <c r="A54" s="2" t="s">
        <v>78</v>
      </c>
      <c r="B54" s="2" t="s">
        <v>94</v>
      </c>
      <c r="C54" s="2" t="s">
        <v>403</v>
      </c>
      <c r="D54" s="2" t="s">
        <v>404</v>
      </c>
      <c r="E54" s="2" t="s">
        <v>194</v>
      </c>
      <c r="F54" s="2" t="s">
        <v>403</v>
      </c>
      <c r="G54" s="9">
        <v>604611</v>
      </c>
      <c r="H54" s="2" t="s">
        <v>149</v>
      </c>
      <c r="I54" s="2" t="s">
        <v>529</v>
      </c>
      <c r="J54" s="2" t="s">
        <v>83</v>
      </c>
      <c r="K54" s="2" t="s">
        <v>83</v>
      </c>
      <c r="L54" s="2" t="s">
        <v>185</v>
      </c>
      <c r="M54" s="2" t="s">
        <v>118</v>
      </c>
      <c r="N54" s="2" t="s">
        <v>400</v>
      </c>
      <c r="O54" s="2" t="s">
        <v>84</v>
      </c>
      <c r="P54" s="2" t="s">
        <v>87</v>
      </c>
      <c r="Q54" s="5">
        <v>3170</v>
      </c>
      <c r="R54" s="5">
        <v>1</v>
      </c>
      <c r="S54" s="5">
        <v>3100</v>
      </c>
      <c r="T54" s="5">
        <v>0.75980000000000003</v>
      </c>
      <c r="U54" s="5">
        <v>99.029870000000003</v>
      </c>
      <c r="V54" s="6">
        <v>1.9999999999999999E-6</v>
      </c>
      <c r="W54" s="6">
        <v>1.0105000000000001E-3</v>
      </c>
      <c r="X54" s="6">
        <v>1.1860000000000001E-4</v>
      </c>
      <c r="Y54" s="2" t="s">
        <v>3</v>
      </c>
      <c r="Z54" s="57" t="s">
        <v>4</v>
      </c>
      <c r="AA54" s="57" t="s">
        <v>1</v>
      </c>
    </row>
    <row r="55" spans="1:27">
      <c r="A55" s="2" t="s">
        <v>78</v>
      </c>
      <c r="B55" s="2" t="s">
        <v>94</v>
      </c>
      <c r="C55" s="2" t="s">
        <v>535</v>
      </c>
      <c r="D55" s="2" t="s">
        <v>536</v>
      </c>
      <c r="E55" s="2" t="s">
        <v>194</v>
      </c>
      <c r="F55" s="2" t="s">
        <v>537</v>
      </c>
      <c r="G55" s="9">
        <v>224014</v>
      </c>
      <c r="H55" s="2" t="s">
        <v>149</v>
      </c>
      <c r="I55" s="2" t="s">
        <v>529</v>
      </c>
      <c r="J55" s="2" t="s">
        <v>83</v>
      </c>
      <c r="K55" s="2" t="s">
        <v>83</v>
      </c>
      <c r="L55" s="2" t="s">
        <v>185</v>
      </c>
      <c r="M55" s="2" t="s">
        <v>118</v>
      </c>
      <c r="N55" s="2" t="s">
        <v>255</v>
      </c>
      <c r="O55" s="2" t="s">
        <v>84</v>
      </c>
      <c r="P55" s="2" t="s">
        <v>87</v>
      </c>
      <c r="Q55" s="5">
        <v>275</v>
      </c>
      <c r="R55" s="5">
        <v>1</v>
      </c>
      <c r="S55" s="5">
        <v>6569</v>
      </c>
      <c r="T55" s="5">
        <v>0</v>
      </c>
      <c r="U55" s="5">
        <v>18.06475</v>
      </c>
      <c r="V55" s="6">
        <v>3.4000000000000001E-6</v>
      </c>
      <c r="W55" s="6">
        <v>1.8429999999999998E-4</v>
      </c>
      <c r="X55" s="6">
        <v>2.16E-5</v>
      </c>
      <c r="Y55" s="2" t="s">
        <v>3</v>
      </c>
      <c r="Z55" s="57" t="s">
        <v>4</v>
      </c>
      <c r="AA55" s="57" t="s">
        <v>1</v>
      </c>
    </row>
    <row r="56" spans="1:27">
      <c r="A56" s="2" t="s">
        <v>78</v>
      </c>
      <c r="B56" s="2" t="s">
        <v>94</v>
      </c>
      <c r="C56" s="2" t="s">
        <v>538</v>
      </c>
      <c r="D56" s="2" t="s">
        <v>539</v>
      </c>
      <c r="E56" s="2" t="s">
        <v>194</v>
      </c>
      <c r="F56" s="2" t="s">
        <v>540</v>
      </c>
      <c r="G56" s="9">
        <v>475020</v>
      </c>
      <c r="H56" s="2" t="s">
        <v>149</v>
      </c>
      <c r="I56" s="2" t="s">
        <v>529</v>
      </c>
      <c r="J56" s="2" t="s">
        <v>83</v>
      </c>
      <c r="K56" s="2" t="s">
        <v>83</v>
      </c>
      <c r="L56" s="2" t="s">
        <v>185</v>
      </c>
      <c r="M56" s="2" t="s">
        <v>118</v>
      </c>
      <c r="N56" s="2" t="s">
        <v>414</v>
      </c>
      <c r="O56" s="2" t="s">
        <v>84</v>
      </c>
      <c r="P56" s="2" t="s">
        <v>87</v>
      </c>
      <c r="Q56" s="5">
        <v>1000</v>
      </c>
      <c r="R56" s="5">
        <v>1</v>
      </c>
      <c r="S56" s="5">
        <v>935.3</v>
      </c>
      <c r="T56" s="5">
        <v>0.18809999999999999</v>
      </c>
      <c r="U56" s="5">
        <v>9.5411699999999993</v>
      </c>
      <c r="V56" s="6">
        <v>8.0000000000000007E-7</v>
      </c>
      <c r="W56" s="6">
        <v>9.7400000000000009E-5</v>
      </c>
      <c r="X56" s="6">
        <v>1.1399999999999999E-5</v>
      </c>
      <c r="Y56" s="2" t="s">
        <v>3</v>
      </c>
      <c r="Z56" s="57" t="s">
        <v>4</v>
      </c>
      <c r="AA56" s="57" t="s">
        <v>1</v>
      </c>
    </row>
    <row r="57" spans="1:27">
      <c r="A57" s="2" t="s">
        <v>78</v>
      </c>
      <c r="B57" s="2" t="s">
        <v>94</v>
      </c>
      <c r="C57" s="2" t="s">
        <v>378</v>
      </c>
      <c r="D57" s="2" t="s">
        <v>379</v>
      </c>
      <c r="E57" s="2" t="s">
        <v>194</v>
      </c>
      <c r="F57" s="2" t="s">
        <v>378</v>
      </c>
      <c r="G57" s="9">
        <v>230011</v>
      </c>
      <c r="H57" s="2" t="s">
        <v>149</v>
      </c>
      <c r="I57" s="2" t="s">
        <v>529</v>
      </c>
      <c r="J57" s="2" t="s">
        <v>83</v>
      </c>
      <c r="K57" s="2" t="s">
        <v>83</v>
      </c>
      <c r="L57" s="2" t="s">
        <v>185</v>
      </c>
      <c r="M57" s="2" t="s">
        <v>118</v>
      </c>
      <c r="N57" s="2" t="s">
        <v>332</v>
      </c>
      <c r="O57" s="2" t="s">
        <v>84</v>
      </c>
      <c r="P57" s="2" t="s">
        <v>87</v>
      </c>
      <c r="Q57" s="5">
        <v>13800</v>
      </c>
      <c r="R57" s="5">
        <v>1</v>
      </c>
      <c r="S57" s="5">
        <v>473</v>
      </c>
      <c r="T57" s="5">
        <v>0</v>
      </c>
      <c r="U57" s="5">
        <v>65.274000000000001</v>
      </c>
      <c r="V57" s="6">
        <v>4.8999999999999997E-6</v>
      </c>
      <c r="W57" s="6">
        <v>6.6609999999999998E-4</v>
      </c>
      <c r="X57" s="6">
        <v>7.8200000000000003E-5</v>
      </c>
      <c r="Y57" s="2" t="s">
        <v>3</v>
      </c>
      <c r="Z57" s="57" t="s">
        <v>4</v>
      </c>
      <c r="AA57" s="57" t="s">
        <v>1</v>
      </c>
    </row>
    <row r="58" spans="1:27">
      <c r="A58" s="2" t="s">
        <v>78</v>
      </c>
      <c r="B58" s="2" t="s">
        <v>94</v>
      </c>
      <c r="C58" s="2" t="s">
        <v>541</v>
      </c>
      <c r="D58" s="2" t="s">
        <v>542</v>
      </c>
      <c r="E58" s="2" t="s">
        <v>194</v>
      </c>
      <c r="F58" s="2" t="s">
        <v>543</v>
      </c>
      <c r="G58" s="9">
        <v>273011</v>
      </c>
      <c r="H58" s="2" t="s">
        <v>149</v>
      </c>
      <c r="I58" s="2" t="s">
        <v>529</v>
      </c>
      <c r="J58" s="2" t="s">
        <v>83</v>
      </c>
      <c r="K58" s="2" t="s">
        <v>83</v>
      </c>
      <c r="L58" s="2" t="s">
        <v>185</v>
      </c>
      <c r="M58" s="2" t="s">
        <v>118</v>
      </c>
      <c r="N58" s="2" t="s">
        <v>544</v>
      </c>
      <c r="O58" s="2" t="s">
        <v>84</v>
      </c>
      <c r="P58" s="2" t="s">
        <v>87</v>
      </c>
      <c r="Q58" s="5">
        <v>44</v>
      </c>
      <c r="R58" s="5">
        <v>1</v>
      </c>
      <c r="S58" s="5">
        <v>95150</v>
      </c>
      <c r="T58" s="5">
        <v>0</v>
      </c>
      <c r="U58" s="5">
        <v>41.866</v>
      </c>
      <c r="V58" s="6">
        <v>5.9999999999999997E-7</v>
      </c>
      <c r="W58" s="6">
        <v>4.2720000000000003E-4</v>
      </c>
      <c r="X58" s="6">
        <v>5.0099999999999998E-5</v>
      </c>
      <c r="Y58" s="2" t="s">
        <v>3</v>
      </c>
      <c r="Z58" s="57" t="s">
        <v>4</v>
      </c>
      <c r="AA58" s="57" t="s">
        <v>1</v>
      </c>
    </row>
    <row r="59" spans="1:27">
      <c r="A59" s="2" t="s">
        <v>78</v>
      </c>
      <c r="B59" s="2" t="s">
        <v>94</v>
      </c>
      <c r="C59" s="2" t="s">
        <v>545</v>
      </c>
      <c r="D59" s="2" t="s">
        <v>546</v>
      </c>
      <c r="E59" s="2" t="s">
        <v>194</v>
      </c>
      <c r="F59" s="2" t="s">
        <v>547</v>
      </c>
      <c r="G59" s="9">
        <v>767012</v>
      </c>
      <c r="H59" s="2" t="s">
        <v>149</v>
      </c>
      <c r="I59" s="2" t="s">
        <v>529</v>
      </c>
      <c r="J59" s="2" t="s">
        <v>83</v>
      </c>
      <c r="K59" s="2" t="s">
        <v>83</v>
      </c>
      <c r="L59" s="2" t="s">
        <v>185</v>
      </c>
      <c r="M59" s="2" t="s">
        <v>118</v>
      </c>
      <c r="N59" s="2" t="s">
        <v>255</v>
      </c>
      <c r="O59" s="2" t="s">
        <v>84</v>
      </c>
      <c r="P59" s="2" t="s">
        <v>87</v>
      </c>
      <c r="Q59" s="5">
        <v>866</v>
      </c>
      <c r="R59" s="5">
        <v>1</v>
      </c>
      <c r="S59" s="5">
        <v>3810</v>
      </c>
      <c r="T59" s="5">
        <v>0</v>
      </c>
      <c r="U59" s="5">
        <v>32.994599999999998</v>
      </c>
      <c r="V59" s="6">
        <v>3.4000000000000001E-6</v>
      </c>
      <c r="W59" s="6">
        <v>3.367E-4</v>
      </c>
      <c r="X59" s="6">
        <v>3.9500000000000005E-5</v>
      </c>
      <c r="Y59" s="2" t="s">
        <v>3</v>
      </c>
      <c r="Z59" s="57" t="s">
        <v>4</v>
      </c>
      <c r="AA59" s="57" t="s">
        <v>1</v>
      </c>
    </row>
    <row r="60" spans="1:27">
      <c r="A60" s="2" t="s">
        <v>78</v>
      </c>
      <c r="B60" s="2" t="s">
        <v>94</v>
      </c>
      <c r="C60" s="2" t="s">
        <v>548</v>
      </c>
      <c r="D60" s="2" t="s">
        <v>549</v>
      </c>
      <c r="E60" s="2" t="s">
        <v>194</v>
      </c>
      <c r="F60" s="2" t="s">
        <v>548</v>
      </c>
      <c r="G60" s="9">
        <v>445015</v>
      </c>
      <c r="H60" s="2" t="s">
        <v>149</v>
      </c>
      <c r="I60" s="2" t="s">
        <v>529</v>
      </c>
      <c r="J60" s="2" t="s">
        <v>83</v>
      </c>
      <c r="K60" s="2" t="s">
        <v>83</v>
      </c>
      <c r="L60" s="2" t="s">
        <v>185</v>
      </c>
      <c r="M60" s="2" t="s">
        <v>118</v>
      </c>
      <c r="N60" s="2" t="s">
        <v>534</v>
      </c>
      <c r="O60" s="2" t="s">
        <v>84</v>
      </c>
      <c r="P60" s="2" t="s">
        <v>87</v>
      </c>
      <c r="Q60" s="5">
        <v>344</v>
      </c>
      <c r="R60" s="5">
        <v>1</v>
      </c>
      <c r="S60" s="5">
        <v>8160</v>
      </c>
      <c r="T60" s="5">
        <v>0.43680000000000002</v>
      </c>
      <c r="U60" s="5">
        <v>28.507280000000002</v>
      </c>
      <c r="V60" s="6">
        <v>5.4E-6</v>
      </c>
      <c r="W60" s="6">
        <v>2.9090000000000002E-4</v>
      </c>
      <c r="X60" s="6">
        <v>3.4099999999999995E-5</v>
      </c>
      <c r="Y60" s="2" t="s">
        <v>3</v>
      </c>
      <c r="Z60" s="57" t="s">
        <v>4</v>
      </c>
      <c r="AA60" s="57" t="s">
        <v>1</v>
      </c>
    </row>
    <row r="61" spans="1:27">
      <c r="A61" s="2" t="s">
        <v>78</v>
      </c>
      <c r="B61" s="2" t="s">
        <v>94</v>
      </c>
      <c r="C61" s="2" t="s">
        <v>550</v>
      </c>
      <c r="D61" s="2" t="s">
        <v>551</v>
      </c>
      <c r="E61" s="2" t="s">
        <v>194</v>
      </c>
      <c r="F61" s="2" t="s">
        <v>550</v>
      </c>
      <c r="G61" s="9">
        <v>691212</v>
      </c>
      <c r="H61" s="2" t="s">
        <v>149</v>
      </c>
      <c r="I61" s="2" t="s">
        <v>529</v>
      </c>
      <c r="J61" s="2" t="s">
        <v>83</v>
      </c>
      <c r="K61" s="2" t="s">
        <v>83</v>
      </c>
      <c r="L61" s="2" t="s">
        <v>185</v>
      </c>
      <c r="M61" s="2" t="s">
        <v>118</v>
      </c>
      <c r="N61" s="2" t="s">
        <v>400</v>
      </c>
      <c r="O61" s="2" t="s">
        <v>84</v>
      </c>
      <c r="P61" s="2" t="s">
        <v>87</v>
      </c>
      <c r="Q61" s="5">
        <v>7465</v>
      </c>
      <c r="R61" s="5">
        <v>1</v>
      </c>
      <c r="S61" s="5">
        <v>1946</v>
      </c>
      <c r="T61" s="5">
        <v>1.1091</v>
      </c>
      <c r="U61" s="5">
        <v>146.37808000000001</v>
      </c>
      <c r="V61" s="6">
        <v>5.9999999999999993E-6</v>
      </c>
      <c r="W61" s="6">
        <v>1.4936999999999999E-3</v>
      </c>
      <c r="X61" s="6">
        <v>1.7530000000000001E-4</v>
      </c>
      <c r="Y61" s="2" t="s">
        <v>3</v>
      </c>
      <c r="Z61" s="57" t="s">
        <v>4</v>
      </c>
      <c r="AA61" s="57" t="s">
        <v>1</v>
      </c>
    </row>
    <row r="62" spans="1:27">
      <c r="A62" s="2" t="s">
        <v>78</v>
      </c>
      <c r="B62" s="2" t="s">
        <v>94</v>
      </c>
      <c r="C62" s="2" t="s">
        <v>552</v>
      </c>
      <c r="D62" s="2" t="s">
        <v>553</v>
      </c>
      <c r="E62" s="2" t="s">
        <v>194</v>
      </c>
      <c r="F62" s="2" t="s">
        <v>552</v>
      </c>
      <c r="G62" s="9">
        <v>695437</v>
      </c>
      <c r="H62" s="2" t="s">
        <v>149</v>
      </c>
      <c r="I62" s="2" t="s">
        <v>529</v>
      </c>
      <c r="J62" s="2" t="s">
        <v>83</v>
      </c>
      <c r="K62" s="2" t="s">
        <v>83</v>
      </c>
      <c r="L62" s="2" t="s">
        <v>185</v>
      </c>
      <c r="M62" s="2" t="s">
        <v>118</v>
      </c>
      <c r="N62" s="2" t="s">
        <v>400</v>
      </c>
      <c r="O62" s="2" t="s">
        <v>84</v>
      </c>
      <c r="P62" s="2" t="s">
        <v>87</v>
      </c>
      <c r="Q62" s="5">
        <v>447</v>
      </c>
      <c r="R62" s="5">
        <v>1</v>
      </c>
      <c r="S62" s="5">
        <v>14000</v>
      </c>
      <c r="T62" s="5">
        <v>0</v>
      </c>
      <c r="U62" s="5">
        <v>62.58</v>
      </c>
      <c r="V62" s="6">
        <v>1.7E-6</v>
      </c>
      <c r="W62" s="6">
        <v>6.3860000000000002E-4</v>
      </c>
      <c r="X62" s="6">
        <v>7.4999999999999993E-5</v>
      </c>
      <c r="Y62" s="2" t="s">
        <v>3</v>
      </c>
      <c r="Z62" s="57" t="s">
        <v>4</v>
      </c>
      <c r="AA62" s="57" t="s">
        <v>1</v>
      </c>
    </row>
    <row r="63" spans="1:27">
      <c r="A63" s="2" t="s">
        <v>78</v>
      </c>
      <c r="B63" s="2" t="s">
        <v>94</v>
      </c>
      <c r="C63" s="2" t="s">
        <v>554</v>
      </c>
      <c r="D63" s="2" t="s">
        <v>555</v>
      </c>
      <c r="E63" s="2" t="s">
        <v>194</v>
      </c>
      <c r="F63" s="2" t="s">
        <v>554</v>
      </c>
      <c r="G63" s="9">
        <v>1081124</v>
      </c>
      <c r="H63" s="2" t="s">
        <v>149</v>
      </c>
      <c r="I63" s="2" t="s">
        <v>529</v>
      </c>
      <c r="J63" s="2" t="s">
        <v>83</v>
      </c>
      <c r="K63" s="2" t="s">
        <v>83</v>
      </c>
      <c r="L63" s="2" t="s">
        <v>185</v>
      </c>
      <c r="M63" s="2" t="s">
        <v>118</v>
      </c>
      <c r="N63" s="2" t="s">
        <v>556</v>
      </c>
      <c r="O63" s="2" t="s">
        <v>84</v>
      </c>
      <c r="P63" s="2" t="s">
        <v>87</v>
      </c>
      <c r="Q63" s="5">
        <v>31</v>
      </c>
      <c r="R63" s="5">
        <v>1</v>
      </c>
      <c r="S63" s="5">
        <v>77500</v>
      </c>
      <c r="T63" s="5">
        <v>0</v>
      </c>
      <c r="U63" s="5">
        <v>24.024999999999999</v>
      </c>
      <c r="V63" s="6">
        <v>5.9999999999999997E-7</v>
      </c>
      <c r="W63" s="6">
        <v>2.452E-4</v>
      </c>
      <c r="X63" s="6">
        <v>2.8800000000000002E-5</v>
      </c>
      <c r="Y63" s="2" t="s">
        <v>3</v>
      </c>
      <c r="Z63" s="57" t="s">
        <v>4</v>
      </c>
      <c r="AA63" s="57" t="s">
        <v>1</v>
      </c>
    </row>
    <row r="64" spans="1:27">
      <c r="A64" s="2" t="s">
        <v>78</v>
      </c>
      <c r="B64" s="2" t="s">
        <v>94</v>
      </c>
      <c r="C64" s="2" t="s">
        <v>371</v>
      </c>
      <c r="D64" s="2" t="s">
        <v>372</v>
      </c>
      <c r="E64" s="2" t="s">
        <v>194</v>
      </c>
      <c r="F64" s="2" t="s">
        <v>557</v>
      </c>
      <c r="G64" s="9">
        <v>390013</v>
      </c>
      <c r="H64" s="2" t="s">
        <v>149</v>
      </c>
      <c r="I64" s="2" t="s">
        <v>529</v>
      </c>
      <c r="J64" s="2" t="s">
        <v>83</v>
      </c>
      <c r="K64" s="2" t="s">
        <v>83</v>
      </c>
      <c r="L64" s="2" t="s">
        <v>185</v>
      </c>
      <c r="M64" s="2" t="s">
        <v>118</v>
      </c>
      <c r="N64" s="2" t="s">
        <v>197</v>
      </c>
      <c r="O64" s="2" t="s">
        <v>84</v>
      </c>
      <c r="P64" s="2" t="s">
        <v>87</v>
      </c>
      <c r="Q64" s="5">
        <v>1800</v>
      </c>
      <c r="R64" s="5">
        <v>1</v>
      </c>
      <c r="S64" s="5">
        <v>2653</v>
      </c>
      <c r="T64" s="5">
        <v>0.32400000000000001</v>
      </c>
      <c r="U64" s="5">
        <v>48.078000000000003</v>
      </c>
      <c r="V64" s="6">
        <v>1.0000000000000001E-5</v>
      </c>
      <c r="W64" s="6">
        <v>4.906E-4</v>
      </c>
      <c r="X64" s="6">
        <v>5.7600000000000004E-5</v>
      </c>
      <c r="Y64" s="2" t="s">
        <v>3</v>
      </c>
      <c r="Z64" s="57" t="s">
        <v>4</v>
      </c>
      <c r="AA64" s="57" t="s">
        <v>1</v>
      </c>
    </row>
    <row r="65" spans="1:27">
      <c r="A65" s="2" t="s">
        <v>78</v>
      </c>
      <c r="B65" s="2" t="s">
        <v>94</v>
      </c>
      <c r="C65" s="2" t="s">
        <v>558</v>
      </c>
      <c r="D65" s="2" t="s">
        <v>559</v>
      </c>
      <c r="E65" s="2" t="s">
        <v>194</v>
      </c>
      <c r="F65" s="2" t="s">
        <v>560</v>
      </c>
      <c r="G65" s="9">
        <v>662577</v>
      </c>
      <c r="H65" s="2" t="s">
        <v>149</v>
      </c>
      <c r="I65" s="2" t="s">
        <v>529</v>
      </c>
      <c r="J65" s="2" t="s">
        <v>83</v>
      </c>
      <c r="K65" s="2" t="s">
        <v>83</v>
      </c>
      <c r="L65" s="2" t="s">
        <v>185</v>
      </c>
      <c r="M65" s="2" t="s">
        <v>118</v>
      </c>
      <c r="N65" s="2" t="s">
        <v>400</v>
      </c>
      <c r="O65" s="2" t="s">
        <v>84</v>
      </c>
      <c r="P65" s="2" t="s">
        <v>87</v>
      </c>
      <c r="Q65" s="5">
        <v>3018</v>
      </c>
      <c r="R65" s="5">
        <v>1</v>
      </c>
      <c r="S65" s="5">
        <v>3500</v>
      </c>
      <c r="T65" s="5">
        <v>0.7944</v>
      </c>
      <c r="U65" s="5">
        <v>106.42440000000001</v>
      </c>
      <c r="V65" s="6">
        <v>2.2000000000000001E-6</v>
      </c>
      <c r="W65" s="6">
        <v>1.0859999999999999E-3</v>
      </c>
      <c r="X65" s="6">
        <v>1.2749999999999998E-4</v>
      </c>
      <c r="Y65" s="2" t="s">
        <v>3</v>
      </c>
      <c r="Z65" s="57" t="s">
        <v>4</v>
      </c>
      <c r="AA65" s="57" t="s">
        <v>1</v>
      </c>
    </row>
    <row r="66" spans="1:27">
      <c r="A66" s="2" t="s">
        <v>78</v>
      </c>
      <c r="B66" s="2" t="s">
        <v>94</v>
      </c>
      <c r="C66" s="2" t="s">
        <v>342</v>
      </c>
      <c r="D66" s="2" t="s">
        <v>343</v>
      </c>
      <c r="E66" s="2" t="s">
        <v>194</v>
      </c>
      <c r="F66" s="2" t="s">
        <v>342</v>
      </c>
      <c r="G66" s="9">
        <v>1097278</v>
      </c>
      <c r="H66" s="2" t="s">
        <v>149</v>
      </c>
      <c r="I66" s="2" t="s">
        <v>529</v>
      </c>
      <c r="J66" s="2" t="s">
        <v>83</v>
      </c>
      <c r="K66" s="2" t="s">
        <v>83</v>
      </c>
      <c r="L66" s="2" t="s">
        <v>185</v>
      </c>
      <c r="M66" s="2" t="s">
        <v>118</v>
      </c>
      <c r="N66" s="2" t="s">
        <v>197</v>
      </c>
      <c r="O66" s="2" t="s">
        <v>84</v>
      </c>
      <c r="P66" s="2" t="s">
        <v>87</v>
      </c>
      <c r="Q66" s="5">
        <v>2240</v>
      </c>
      <c r="R66" s="5">
        <v>1</v>
      </c>
      <c r="S66" s="5">
        <v>1749</v>
      </c>
      <c r="T66" s="5">
        <v>0</v>
      </c>
      <c r="U66" s="5">
        <v>39.177599999999998</v>
      </c>
      <c r="V66" s="6">
        <v>4.6999999999999999E-6</v>
      </c>
      <c r="W66" s="6">
        <v>3.9980000000000001E-4</v>
      </c>
      <c r="X66" s="6">
        <v>4.6899999999999995E-5</v>
      </c>
      <c r="Y66" s="2" t="s">
        <v>3</v>
      </c>
      <c r="Z66" s="57" t="s">
        <v>4</v>
      </c>
      <c r="AA66" s="57" t="s">
        <v>1</v>
      </c>
    </row>
    <row r="67" spans="1:27">
      <c r="A67" s="2" t="s">
        <v>78</v>
      </c>
      <c r="B67" s="2" t="s">
        <v>94</v>
      </c>
      <c r="C67" s="2" t="s">
        <v>358</v>
      </c>
      <c r="D67" s="2" t="s">
        <v>359</v>
      </c>
      <c r="E67" s="2" t="s">
        <v>194</v>
      </c>
      <c r="F67" s="2" t="s">
        <v>561</v>
      </c>
      <c r="G67" s="9">
        <v>323014</v>
      </c>
      <c r="H67" s="2" t="s">
        <v>149</v>
      </c>
      <c r="I67" s="2" t="s">
        <v>529</v>
      </c>
      <c r="J67" s="2" t="s">
        <v>83</v>
      </c>
      <c r="K67" s="2" t="s">
        <v>83</v>
      </c>
      <c r="L67" s="2" t="s">
        <v>185</v>
      </c>
      <c r="M67" s="2" t="s">
        <v>118</v>
      </c>
      <c r="N67" s="2" t="s">
        <v>197</v>
      </c>
      <c r="O67" s="2" t="s">
        <v>84</v>
      </c>
      <c r="P67" s="2" t="s">
        <v>87</v>
      </c>
      <c r="Q67" s="5">
        <v>86</v>
      </c>
      <c r="R67" s="5">
        <v>1</v>
      </c>
      <c r="S67" s="5">
        <v>26900</v>
      </c>
      <c r="T67" s="5">
        <v>0.21709999999999999</v>
      </c>
      <c r="U67" s="5">
        <v>23.35117</v>
      </c>
      <c r="V67" s="6">
        <v>1.8000000000000001E-6</v>
      </c>
      <c r="W67" s="6">
        <v>2.3829999999999999E-4</v>
      </c>
      <c r="X67" s="6">
        <v>2.8E-5</v>
      </c>
      <c r="Y67" s="2" t="s">
        <v>3</v>
      </c>
      <c r="Z67" s="57" t="s">
        <v>4</v>
      </c>
      <c r="AA67" s="57" t="s">
        <v>1</v>
      </c>
    </row>
    <row r="68" spans="1:27">
      <c r="A68" s="2" t="s">
        <v>78</v>
      </c>
      <c r="B68" s="2" t="s">
        <v>94</v>
      </c>
      <c r="C68" s="2" t="s">
        <v>562</v>
      </c>
      <c r="D68" s="2" t="s">
        <v>563</v>
      </c>
      <c r="E68" s="2" t="s">
        <v>194</v>
      </c>
      <c r="F68" s="2" t="s">
        <v>564</v>
      </c>
      <c r="G68" s="9">
        <v>1087022</v>
      </c>
      <c r="H68" s="2" t="s">
        <v>149</v>
      </c>
      <c r="I68" s="2" t="s">
        <v>529</v>
      </c>
      <c r="J68" s="2" t="s">
        <v>83</v>
      </c>
      <c r="K68" s="2" t="s">
        <v>83</v>
      </c>
      <c r="L68" s="2" t="s">
        <v>185</v>
      </c>
      <c r="M68" s="2" t="s">
        <v>118</v>
      </c>
      <c r="N68" s="2" t="s">
        <v>471</v>
      </c>
      <c r="O68" s="2" t="s">
        <v>84</v>
      </c>
      <c r="P68" s="2" t="s">
        <v>87</v>
      </c>
      <c r="Q68" s="5">
        <v>77</v>
      </c>
      <c r="R68" s="5">
        <v>1</v>
      </c>
      <c r="S68" s="5">
        <v>34140</v>
      </c>
      <c r="T68" s="5">
        <v>0</v>
      </c>
      <c r="U68" s="5">
        <v>26.287800000000001</v>
      </c>
      <c r="V68" s="6">
        <v>5.5000000000000007E-6</v>
      </c>
      <c r="W68" s="6">
        <v>2.6820000000000001E-4</v>
      </c>
      <c r="X68" s="6">
        <v>3.15E-5</v>
      </c>
      <c r="Y68" s="2" t="s">
        <v>3</v>
      </c>
      <c r="Z68" s="57" t="s">
        <v>4</v>
      </c>
      <c r="AA68" s="57" t="s">
        <v>1</v>
      </c>
    </row>
    <row r="69" spans="1:27">
      <c r="A69" s="2" t="s">
        <v>78</v>
      </c>
      <c r="B69" s="2" t="s">
        <v>94</v>
      </c>
      <c r="C69" s="2" t="s">
        <v>201</v>
      </c>
      <c r="D69" s="2" t="s">
        <v>202</v>
      </c>
      <c r="E69" s="2" t="s">
        <v>194</v>
      </c>
      <c r="F69" s="2" t="s">
        <v>565</v>
      </c>
      <c r="G69" s="9">
        <v>1090315</v>
      </c>
      <c r="H69" s="2" t="s">
        <v>149</v>
      </c>
      <c r="I69" s="2" t="s">
        <v>529</v>
      </c>
      <c r="J69" s="2" t="s">
        <v>83</v>
      </c>
      <c r="K69" s="2" t="s">
        <v>83</v>
      </c>
      <c r="L69" s="2" t="s">
        <v>185</v>
      </c>
      <c r="M69" s="2" t="s">
        <v>118</v>
      </c>
      <c r="N69" s="2" t="s">
        <v>205</v>
      </c>
      <c r="O69" s="2" t="s">
        <v>84</v>
      </c>
      <c r="P69" s="2" t="s">
        <v>87</v>
      </c>
      <c r="Q69" s="5">
        <v>208</v>
      </c>
      <c r="R69" s="5">
        <v>1</v>
      </c>
      <c r="S69" s="5">
        <v>28600</v>
      </c>
      <c r="T69" s="5">
        <v>0</v>
      </c>
      <c r="U69" s="5">
        <v>59.488</v>
      </c>
      <c r="V69" s="6">
        <v>1.08E-5</v>
      </c>
      <c r="W69" s="6">
        <v>6.0700000000000001E-4</v>
      </c>
      <c r="X69" s="6">
        <v>7.1299999999999998E-5</v>
      </c>
      <c r="Y69" s="2" t="s">
        <v>3</v>
      </c>
      <c r="Z69" s="57" t="s">
        <v>4</v>
      </c>
      <c r="AA69" s="57" t="s">
        <v>1</v>
      </c>
    </row>
    <row r="70" spans="1:27">
      <c r="A70" s="2" t="s">
        <v>78</v>
      </c>
      <c r="B70" s="2" t="s">
        <v>94</v>
      </c>
      <c r="C70" s="2" t="s">
        <v>248</v>
      </c>
      <c r="D70" s="2" t="s">
        <v>249</v>
      </c>
      <c r="E70" s="2" t="s">
        <v>194</v>
      </c>
      <c r="F70" s="2" t="s">
        <v>248</v>
      </c>
      <c r="G70" s="9">
        <v>1119478</v>
      </c>
      <c r="H70" s="2" t="s">
        <v>149</v>
      </c>
      <c r="I70" s="2" t="s">
        <v>529</v>
      </c>
      <c r="J70" s="2" t="s">
        <v>83</v>
      </c>
      <c r="K70" s="2" t="s">
        <v>83</v>
      </c>
      <c r="L70" s="2" t="s">
        <v>185</v>
      </c>
      <c r="M70" s="2" t="s">
        <v>118</v>
      </c>
      <c r="N70" s="2" t="s">
        <v>197</v>
      </c>
      <c r="O70" s="2" t="s">
        <v>84</v>
      </c>
      <c r="P70" s="2" t="s">
        <v>87</v>
      </c>
      <c r="Q70" s="5">
        <v>164</v>
      </c>
      <c r="R70" s="5">
        <v>1</v>
      </c>
      <c r="S70" s="5">
        <v>26610</v>
      </c>
      <c r="T70" s="5">
        <v>0</v>
      </c>
      <c r="U70" s="5">
        <v>43.6404</v>
      </c>
      <c r="V70" s="6">
        <v>1.2999999999999998E-6</v>
      </c>
      <c r="W70" s="6">
        <v>4.4529999999999998E-4</v>
      </c>
      <c r="X70" s="6">
        <v>5.2300000000000004E-5</v>
      </c>
      <c r="Y70" s="2" t="s">
        <v>3</v>
      </c>
      <c r="Z70" s="57" t="s">
        <v>4</v>
      </c>
      <c r="AA70" s="57" t="s">
        <v>1</v>
      </c>
    </row>
    <row r="71" spans="1:27">
      <c r="A71" s="2" t="s">
        <v>78</v>
      </c>
      <c r="B71" s="2" t="s">
        <v>94</v>
      </c>
      <c r="C71" s="2" t="s">
        <v>294</v>
      </c>
      <c r="D71" s="2" t="s">
        <v>295</v>
      </c>
      <c r="E71" s="2" t="s">
        <v>194</v>
      </c>
      <c r="F71" s="2" t="s">
        <v>566</v>
      </c>
      <c r="G71" s="9">
        <v>1123355</v>
      </c>
      <c r="H71" s="2" t="s">
        <v>149</v>
      </c>
      <c r="I71" s="2" t="s">
        <v>529</v>
      </c>
      <c r="J71" s="2" t="s">
        <v>83</v>
      </c>
      <c r="K71" s="2" t="s">
        <v>83</v>
      </c>
      <c r="L71" s="2" t="s">
        <v>185</v>
      </c>
      <c r="M71" s="2" t="s">
        <v>118</v>
      </c>
      <c r="N71" s="2" t="s">
        <v>215</v>
      </c>
      <c r="O71" s="2" t="s">
        <v>84</v>
      </c>
      <c r="P71" s="2" t="s">
        <v>87</v>
      </c>
      <c r="Q71" s="5">
        <v>4475</v>
      </c>
      <c r="R71" s="5">
        <v>1</v>
      </c>
      <c r="S71" s="5">
        <v>1352</v>
      </c>
      <c r="T71" s="5">
        <v>0</v>
      </c>
      <c r="U71" s="5">
        <v>60.502000000000002</v>
      </c>
      <c r="V71" s="6">
        <v>8.1000000000000004E-6</v>
      </c>
      <c r="W71" s="6">
        <v>6.1740000000000005E-4</v>
      </c>
      <c r="X71" s="6">
        <v>7.25E-5</v>
      </c>
      <c r="Y71" s="2" t="s">
        <v>3</v>
      </c>
      <c r="Z71" s="57" t="s">
        <v>4</v>
      </c>
      <c r="AA71" s="57" t="s">
        <v>1</v>
      </c>
    </row>
    <row r="72" spans="1:27">
      <c r="A72" s="2" t="s">
        <v>78</v>
      </c>
      <c r="B72" s="2" t="s">
        <v>94</v>
      </c>
      <c r="C72" s="2" t="s">
        <v>567</v>
      </c>
      <c r="D72" s="2" t="s">
        <v>568</v>
      </c>
      <c r="E72" s="2" t="s">
        <v>194</v>
      </c>
      <c r="F72" s="2" t="s">
        <v>569</v>
      </c>
      <c r="G72" s="9">
        <v>258012</v>
      </c>
      <c r="H72" s="2" t="s">
        <v>149</v>
      </c>
      <c r="I72" s="2" t="s">
        <v>529</v>
      </c>
      <c r="J72" s="2" t="s">
        <v>83</v>
      </c>
      <c r="K72" s="2" t="s">
        <v>83</v>
      </c>
      <c r="L72" s="2" t="s">
        <v>185</v>
      </c>
      <c r="M72" s="2" t="s">
        <v>118</v>
      </c>
      <c r="N72" s="2" t="s">
        <v>389</v>
      </c>
      <c r="O72" s="2" t="s">
        <v>84</v>
      </c>
      <c r="P72" s="2" t="s">
        <v>87</v>
      </c>
      <c r="Q72" s="5">
        <v>70</v>
      </c>
      <c r="R72" s="5">
        <v>1</v>
      </c>
      <c r="S72" s="5">
        <v>30040</v>
      </c>
      <c r="T72" s="5">
        <v>0.185</v>
      </c>
      <c r="U72" s="5">
        <v>21.213069999999998</v>
      </c>
      <c r="V72" s="6">
        <v>8.1000000000000004E-6</v>
      </c>
      <c r="W72" s="6">
        <v>2.165E-4</v>
      </c>
      <c r="X72" s="6">
        <v>2.5400000000000001E-5</v>
      </c>
      <c r="Y72" s="2" t="s">
        <v>3</v>
      </c>
      <c r="Z72" s="57" t="s">
        <v>4</v>
      </c>
      <c r="AA72" s="57" t="s">
        <v>1</v>
      </c>
    </row>
    <row r="73" spans="1:27">
      <c r="A73" s="2" t="s">
        <v>78</v>
      </c>
      <c r="B73" s="2" t="s">
        <v>94</v>
      </c>
      <c r="C73" s="2" t="s">
        <v>570</v>
      </c>
      <c r="D73" s="2" t="s">
        <v>571</v>
      </c>
      <c r="E73" s="2" t="s">
        <v>194</v>
      </c>
      <c r="F73" s="2" t="s">
        <v>572</v>
      </c>
      <c r="G73" s="9">
        <v>434019</v>
      </c>
      <c r="H73" s="2" t="s">
        <v>149</v>
      </c>
      <c r="I73" s="2" t="s">
        <v>529</v>
      </c>
      <c r="J73" s="2" t="s">
        <v>83</v>
      </c>
      <c r="K73" s="2" t="s">
        <v>83</v>
      </c>
      <c r="L73" s="2" t="s">
        <v>185</v>
      </c>
      <c r="M73" s="2" t="s">
        <v>118</v>
      </c>
      <c r="N73" s="2" t="s">
        <v>205</v>
      </c>
      <c r="O73" s="2" t="s">
        <v>84</v>
      </c>
      <c r="P73" s="2" t="s">
        <v>87</v>
      </c>
      <c r="Q73" s="5">
        <v>5700</v>
      </c>
      <c r="R73" s="5">
        <v>1</v>
      </c>
      <c r="S73" s="5">
        <v>1475</v>
      </c>
      <c r="T73" s="5">
        <v>0</v>
      </c>
      <c r="U73" s="5">
        <v>84.075000000000003</v>
      </c>
      <c r="V73" s="6">
        <v>1.7600000000000001E-5</v>
      </c>
      <c r="W73" s="6">
        <v>8.5790000000000009E-4</v>
      </c>
      <c r="X73" s="6">
        <v>1.0070000000000001E-4</v>
      </c>
      <c r="Y73" s="2" t="s">
        <v>3</v>
      </c>
      <c r="Z73" s="57" t="s">
        <v>4</v>
      </c>
      <c r="AA73" s="57" t="s">
        <v>1</v>
      </c>
    </row>
    <row r="74" spans="1:27">
      <c r="A74" s="2" t="s">
        <v>78</v>
      </c>
      <c r="B74" s="2" t="s">
        <v>94</v>
      </c>
      <c r="C74" s="2" t="s">
        <v>212</v>
      </c>
      <c r="D74" s="2" t="s">
        <v>213</v>
      </c>
      <c r="E74" s="2" t="s">
        <v>194</v>
      </c>
      <c r="F74" s="2" t="s">
        <v>573</v>
      </c>
      <c r="G74" s="9">
        <v>720011</v>
      </c>
      <c r="H74" s="2" t="s">
        <v>149</v>
      </c>
      <c r="I74" s="2" t="s">
        <v>529</v>
      </c>
      <c r="J74" s="2" t="s">
        <v>83</v>
      </c>
      <c r="K74" s="2" t="s">
        <v>83</v>
      </c>
      <c r="L74" s="2" t="s">
        <v>185</v>
      </c>
      <c r="M74" s="2" t="s">
        <v>118</v>
      </c>
      <c r="N74" s="2" t="s">
        <v>215</v>
      </c>
      <c r="O74" s="2" t="s">
        <v>84</v>
      </c>
      <c r="P74" s="2" t="s">
        <v>87</v>
      </c>
      <c r="Q74" s="5">
        <v>651</v>
      </c>
      <c r="R74" s="5">
        <v>1</v>
      </c>
      <c r="S74" s="5">
        <v>6299</v>
      </c>
      <c r="T74" s="5">
        <v>0</v>
      </c>
      <c r="U74" s="5">
        <v>41.006489999999999</v>
      </c>
      <c r="V74" s="6">
        <v>5.5000000000000007E-6</v>
      </c>
      <c r="W74" s="6">
        <v>4.1840000000000003E-4</v>
      </c>
      <c r="X74" s="6">
        <v>4.9100000000000001E-5</v>
      </c>
      <c r="Y74" s="2" t="s">
        <v>3</v>
      </c>
      <c r="Z74" s="57" t="s">
        <v>4</v>
      </c>
      <c r="AA74" s="57" t="s">
        <v>1</v>
      </c>
    </row>
    <row r="75" spans="1:27">
      <c r="A75" s="2" t="s">
        <v>78</v>
      </c>
      <c r="B75" s="2" t="s">
        <v>94</v>
      </c>
      <c r="C75" s="2" t="s">
        <v>576</v>
      </c>
      <c r="D75" s="2" t="s">
        <v>577</v>
      </c>
      <c r="E75" s="2" t="s">
        <v>194</v>
      </c>
      <c r="F75" s="2" t="s">
        <v>576</v>
      </c>
      <c r="G75" s="9">
        <v>1141464</v>
      </c>
      <c r="H75" s="2" t="s">
        <v>149</v>
      </c>
      <c r="I75" s="2" t="s">
        <v>529</v>
      </c>
      <c r="J75" s="2" t="s">
        <v>83</v>
      </c>
      <c r="K75" s="2" t="s">
        <v>83</v>
      </c>
      <c r="L75" s="2" t="s">
        <v>185</v>
      </c>
      <c r="M75" s="2" t="s">
        <v>118</v>
      </c>
      <c r="N75" s="2" t="s">
        <v>210</v>
      </c>
      <c r="O75" s="2" t="s">
        <v>84</v>
      </c>
      <c r="P75" s="2" t="s">
        <v>87</v>
      </c>
      <c r="Q75" s="5">
        <v>3147</v>
      </c>
      <c r="R75" s="5">
        <v>1</v>
      </c>
      <c r="S75" s="5">
        <v>848.3</v>
      </c>
      <c r="T75" s="5">
        <v>0</v>
      </c>
      <c r="U75" s="5">
        <v>26.696000000000002</v>
      </c>
      <c r="V75" s="6">
        <v>4.4100000000000001E-5</v>
      </c>
      <c r="W75" s="6">
        <v>2.7240000000000001E-4</v>
      </c>
      <c r="X75" s="6">
        <v>3.1999999999999999E-5</v>
      </c>
      <c r="Y75" s="2" t="s">
        <v>3</v>
      </c>
      <c r="Z75" s="57" t="s">
        <v>4</v>
      </c>
      <c r="AA75" s="57" t="s">
        <v>1</v>
      </c>
    </row>
    <row r="76" spans="1:27">
      <c r="A76" s="2" t="s">
        <v>78</v>
      </c>
      <c r="B76" s="2" t="s">
        <v>94</v>
      </c>
      <c r="C76" s="2" t="s">
        <v>578</v>
      </c>
      <c r="D76" s="2" t="s">
        <v>579</v>
      </c>
      <c r="E76" s="2" t="s">
        <v>194</v>
      </c>
      <c r="F76" s="2" t="s">
        <v>578</v>
      </c>
      <c r="G76" s="9">
        <v>1178714</v>
      </c>
      <c r="H76" s="2" t="s">
        <v>149</v>
      </c>
      <c r="I76" s="2" t="s">
        <v>529</v>
      </c>
      <c r="J76" s="2" t="s">
        <v>83</v>
      </c>
      <c r="K76" s="2" t="s">
        <v>83</v>
      </c>
      <c r="L76" s="2" t="s">
        <v>185</v>
      </c>
      <c r="M76" s="2" t="s">
        <v>118</v>
      </c>
      <c r="N76" s="2" t="s">
        <v>471</v>
      </c>
      <c r="O76" s="2" t="s">
        <v>84</v>
      </c>
      <c r="P76" s="2" t="s">
        <v>87</v>
      </c>
      <c r="Q76" s="5">
        <v>16303</v>
      </c>
      <c r="R76" s="5">
        <v>1</v>
      </c>
      <c r="S76" s="5">
        <v>283.8</v>
      </c>
      <c r="T76" s="5">
        <v>0</v>
      </c>
      <c r="U76" s="5">
        <v>46.267910000000001</v>
      </c>
      <c r="V76" s="6">
        <v>1.295E-4</v>
      </c>
      <c r="W76" s="6">
        <v>4.7210000000000004E-4</v>
      </c>
      <c r="X76" s="6">
        <v>5.5399999999999998E-5</v>
      </c>
      <c r="Y76" s="2" t="s">
        <v>3</v>
      </c>
      <c r="Z76" s="57" t="s">
        <v>4</v>
      </c>
      <c r="AA76" s="57" t="s">
        <v>1</v>
      </c>
    </row>
    <row r="77" spans="1:27">
      <c r="A77" s="2" t="s">
        <v>78</v>
      </c>
      <c r="B77" s="2" t="s">
        <v>94</v>
      </c>
      <c r="C77" s="2" t="s">
        <v>580</v>
      </c>
      <c r="D77" s="2" t="s">
        <v>581</v>
      </c>
      <c r="E77" s="2" t="s">
        <v>168</v>
      </c>
      <c r="F77" s="2" t="s">
        <v>582</v>
      </c>
      <c r="G77" s="2" t="s">
        <v>583</v>
      </c>
      <c r="H77" s="2" t="s">
        <v>183</v>
      </c>
      <c r="I77" s="2" t="s">
        <v>529</v>
      </c>
      <c r="J77" s="2" t="s">
        <v>148</v>
      </c>
      <c r="K77" s="2" t="s">
        <v>156</v>
      </c>
      <c r="L77" s="2" t="s">
        <v>185</v>
      </c>
      <c r="M77" s="2" t="s">
        <v>584</v>
      </c>
      <c r="N77" s="2" t="s">
        <v>585</v>
      </c>
      <c r="O77" s="2" t="s">
        <v>84</v>
      </c>
      <c r="P77" s="2" t="s">
        <v>91</v>
      </c>
      <c r="Q77" s="5">
        <v>180</v>
      </c>
      <c r="R77" s="5">
        <v>3.681</v>
      </c>
      <c r="S77" s="5">
        <v>15093</v>
      </c>
      <c r="T77" s="5">
        <v>0</v>
      </c>
      <c r="U77" s="5">
        <v>100.00319</v>
      </c>
      <c r="V77" s="6">
        <v>0</v>
      </c>
      <c r="W77" s="6">
        <v>1.0204999999999999E-3</v>
      </c>
      <c r="X77" s="6">
        <v>1.198E-4</v>
      </c>
      <c r="Y77" s="9">
        <v>70651708</v>
      </c>
      <c r="Z77" s="57" t="s">
        <v>4</v>
      </c>
      <c r="AA77" s="57" t="s">
        <v>1</v>
      </c>
    </row>
    <row r="78" spans="1:27">
      <c r="A78" s="2" t="s">
        <v>78</v>
      </c>
      <c r="B78" s="2" t="s">
        <v>94</v>
      </c>
      <c r="C78" s="2" t="s">
        <v>586</v>
      </c>
      <c r="D78" s="2" t="s">
        <v>587</v>
      </c>
      <c r="E78" s="2" t="s">
        <v>168</v>
      </c>
      <c r="F78" s="2" t="s">
        <v>588</v>
      </c>
      <c r="G78" s="2" t="s">
        <v>589</v>
      </c>
      <c r="H78" s="2" t="s">
        <v>183</v>
      </c>
      <c r="I78" s="2" t="s">
        <v>529</v>
      </c>
      <c r="J78" s="2" t="s">
        <v>148</v>
      </c>
      <c r="K78" s="2" t="s">
        <v>156</v>
      </c>
      <c r="L78" s="2" t="s">
        <v>185</v>
      </c>
      <c r="M78" s="2" t="s">
        <v>590</v>
      </c>
      <c r="N78" s="2" t="s">
        <v>591</v>
      </c>
      <c r="O78" s="2" t="s">
        <v>84</v>
      </c>
      <c r="P78" s="2" t="s">
        <v>91</v>
      </c>
      <c r="Q78" s="5">
        <v>221</v>
      </c>
      <c r="R78" s="5">
        <v>3.681</v>
      </c>
      <c r="S78" s="5">
        <v>42072</v>
      </c>
      <c r="T78" s="5">
        <v>0</v>
      </c>
      <c r="U78" s="5">
        <v>342.25614000000002</v>
      </c>
      <c r="V78" s="6">
        <v>0</v>
      </c>
      <c r="W78" s="6">
        <v>3.4924999999999999E-3</v>
      </c>
      <c r="X78" s="6">
        <v>4.0999999999999999E-4</v>
      </c>
      <c r="Y78" s="9">
        <v>70388095</v>
      </c>
      <c r="Z78" s="57" t="s">
        <v>4</v>
      </c>
      <c r="AA78" s="57" t="s">
        <v>1</v>
      </c>
    </row>
    <row r="79" spans="1:27">
      <c r="A79" s="2" t="s">
        <v>78</v>
      </c>
      <c r="B79" s="2" t="s">
        <v>94</v>
      </c>
      <c r="C79" s="2" t="s">
        <v>592</v>
      </c>
      <c r="D79" s="2" t="s">
        <v>593</v>
      </c>
      <c r="E79" s="2" t="s">
        <v>168</v>
      </c>
      <c r="F79" s="2" t="s">
        <v>592</v>
      </c>
      <c r="G79" s="2" t="s">
        <v>594</v>
      </c>
      <c r="H79" s="2" t="s">
        <v>183</v>
      </c>
      <c r="I79" s="2" t="s">
        <v>529</v>
      </c>
      <c r="J79" s="2" t="s">
        <v>148</v>
      </c>
      <c r="K79" s="2" t="s">
        <v>156</v>
      </c>
      <c r="L79" s="2" t="s">
        <v>185</v>
      </c>
      <c r="M79" s="2" t="s">
        <v>584</v>
      </c>
      <c r="N79" s="2" t="s">
        <v>595</v>
      </c>
      <c r="O79" s="2" t="s">
        <v>84</v>
      </c>
      <c r="P79" s="2" t="s">
        <v>91</v>
      </c>
      <c r="Q79" s="5">
        <v>48</v>
      </c>
      <c r="R79" s="5">
        <v>3.681</v>
      </c>
      <c r="S79" s="5">
        <v>15819</v>
      </c>
      <c r="T79" s="5">
        <v>0</v>
      </c>
      <c r="U79" s="5">
        <v>27.95027</v>
      </c>
      <c r="V79" s="6">
        <v>0</v>
      </c>
      <c r="W79" s="6">
        <v>2.8519999999999999E-4</v>
      </c>
      <c r="X79" s="6">
        <v>3.3500000000000001E-5</v>
      </c>
      <c r="Y79" s="9">
        <v>70376819</v>
      </c>
      <c r="Z79" s="57" t="s">
        <v>4</v>
      </c>
      <c r="AA79" s="57" t="s">
        <v>1</v>
      </c>
    </row>
    <row r="80" spans="1:27">
      <c r="A80" s="2" t="s">
        <v>78</v>
      </c>
      <c r="B80" s="2" t="s">
        <v>94</v>
      </c>
      <c r="C80" s="2" t="s">
        <v>596</v>
      </c>
      <c r="D80" s="2" t="s">
        <v>597</v>
      </c>
      <c r="E80" s="2" t="s">
        <v>168</v>
      </c>
      <c r="F80" s="2" t="s">
        <v>598</v>
      </c>
      <c r="G80" s="2" t="s">
        <v>599</v>
      </c>
      <c r="H80" s="2" t="s">
        <v>183</v>
      </c>
      <c r="I80" s="2" t="s">
        <v>529</v>
      </c>
      <c r="J80" s="2" t="s">
        <v>148</v>
      </c>
      <c r="K80" s="2" t="s">
        <v>156</v>
      </c>
      <c r="L80" s="2" t="s">
        <v>185</v>
      </c>
      <c r="M80" s="2" t="s">
        <v>149</v>
      </c>
      <c r="N80" s="2" t="s">
        <v>504</v>
      </c>
      <c r="O80" s="2" t="s">
        <v>84</v>
      </c>
      <c r="P80" s="2" t="s">
        <v>91</v>
      </c>
      <c r="Q80" s="5">
        <v>356</v>
      </c>
      <c r="R80" s="5">
        <v>3.681</v>
      </c>
      <c r="S80" s="5">
        <v>6619</v>
      </c>
      <c r="T80" s="5">
        <v>0</v>
      </c>
      <c r="U80" s="5">
        <v>86.737750000000005</v>
      </c>
      <c r="V80" s="6">
        <v>5.8000000000000004E-6</v>
      </c>
      <c r="W80" s="6">
        <v>8.851000000000001E-4</v>
      </c>
      <c r="X80" s="6">
        <v>1.039E-4</v>
      </c>
      <c r="Y80" s="9">
        <v>70655667</v>
      </c>
      <c r="Z80" s="57" t="s">
        <v>4</v>
      </c>
      <c r="AA80" s="57" t="s">
        <v>1</v>
      </c>
    </row>
    <row r="81" spans="1:27">
      <c r="A81" s="2" t="s">
        <v>78</v>
      </c>
      <c r="B81" s="2" t="s">
        <v>94</v>
      </c>
      <c r="C81" s="2" t="s">
        <v>600</v>
      </c>
      <c r="D81" s="2" t="s">
        <v>601</v>
      </c>
      <c r="E81" s="2" t="s">
        <v>168</v>
      </c>
      <c r="F81" s="2" t="s">
        <v>602</v>
      </c>
      <c r="G81" s="2" t="s">
        <v>603</v>
      </c>
      <c r="H81" s="2" t="s">
        <v>183</v>
      </c>
      <c r="I81" s="2" t="s">
        <v>529</v>
      </c>
      <c r="J81" s="2" t="s">
        <v>148</v>
      </c>
      <c r="K81" s="2" t="s">
        <v>156</v>
      </c>
      <c r="L81" s="2" t="s">
        <v>185</v>
      </c>
      <c r="M81" s="2" t="s">
        <v>584</v>
      </c>
      <c r="N81" s="2" t="s">
        <v>604</v>
      </c>
      <c r="O81" s="2" t="s">
        <v>84</v>
      </c>
      <c r="P81" s="2" t="s">
        <v>91</v>
      </c>
      <c r="Q81" s="5">
        <v>386</v>
      </c>
      <c r="R81" s="5">
        <v>3.681</v>
      </c>
      <c r="S81" s="5">
        <v>6017</v>
      </c>
      <c r="T81" s="5">
        <v>5.5599999999999997E-2</v>
      </c>
      <c r="U81" s="5">
        <v>85.698319999999995</v>
      </c>
      <c r="V81" s="6">
        <v>0</v>
      </c>
      <c r="W81" s="6">
        <v>8.7449999999999995E-4</v>
      </c>
      <c r="X81" s="6">
        <v>1.027E-4</v>
      </c>
      <c r="Y81" s="9">
        <v>70464730</v>
      </c>
      <c r="Z81" s="57" t="s">
        <v>4</v>
      </c>
      <c r="AA81" s="57" t="s">
        <v>1</v>
      </c>
    </row>
    <row r="82" spans="1:27">
      <c r="A82" s="2" t="s">
        <v>78</v>
      </c>
      <c r="B82" s="2" t="s">
        <v>94</v>
      </c>
      <c r="C82" s="2" t="s">
        <v>613</v>
      </c>
      <c r="D82" s="2" t="s">
        <v>614</v>
      </c>
      <c r="E82" s="2" t="s">
        <v>168</v>
      </c>
      <c r="F82" s="2" t="s">
        <v>615</v>
      </c>
      <c r="G82" s="2" t="s">
        <v>616</v>
      </c>
      <c r="H82" s="2" t="s">
        <v>183</v>
      </c>
      <c r="I82" s="2" t="s">
        <v>529</v>
      </c>
      <c r="J82" s="2" t="s">
        <v>148</v>
      </c>
      <c r="K82" s="2" t="s">
        <v>156</v>
      </c>
      <c r="L82" s="2" t="s">
        <v>185</v>
      </c>
      <c r="M82" s="2" t="s">
        <v>149</v>
      </c>
      <c r="N82" s="2" t="s">
        <v>617</v>
      </c>
      <c r="O82" s="2" t="s">
        <v>84</v>
      </c>
      <c r="P82" s="2" t="s">
        <v>91</v>
      </c>
      <c r="Q82" s="5">
        <v>180</v>
      </c>
      <c r="R82" s="5">
        <v>3.681</v>
      </c>
      <c r="S82" s="5">
        <v>27908</v>
      </c>
      <c r="T82" s="5">
        <v>0</v>
      </c>
      <c r="U82" s="5">
        <v>184.91282000000001</v>
      </c>
      <c r="V82" s="6">
        <v>1.0000000000000001E-7</v>
      </c>
      <c r="W82" s="6">
        <v>1.8868999999999999E-3</v>
      </c>
      <c r="X82" s="6">
        <v>2.2149999999999999E-4</v>
      </c>
      <c r="Y82" s="9">
        <v>70961578</v>
      </c>
      <c r="Z82" s="57" t="s">
        <v>4</v>
      </c>
      <c r="AA82" s="57" t="s">
        <v>1</v>
      </c>
    </row>
    <row r="83" spans="1:27">
      <c r="A83" s="2" t="s">
        <v>78</v>
      </c>
      <c r="B83" s="2" t="s">
        <v>94</v>
      </c>
      <c r="C83" s="2" t="s">
        <v>618</v>
      </c>
      <c r="D83" s="2" t="s">
        <v>619</v>
      </c>
      <c r="E83" s="2" t="s">
        <v>168</v>
      </c>
      <c r="F83" s="2" t="s">
        <v>618</v>
      </c>
      <c r="G83" s="2" t="s">
        <v>620</v>
      </c>
      <c r="H83" s="2" t="s">
        <v>183</v>
      </c>
      <c r="I83" s="2" t="s">
        <v>529</v>
      </c>
      <c r="J83" s="2" t="s">
        <v>148</v>
      </c>
      <c r="K83" s="2" t="s">
        <v>156</v>
      </c>
      <c r="L83" s="2" t="s">
        <v>185</v>
      </c>
      <c r="M83" s="2" t="s">
        <v>149</v>
      </c>
      <c r="N83" s="2" t="s">
        <v>621</v>
      </c>
      <c r="O83" s="2" t="s">
        <v>84</v>
      </c>
      <c r="P83" s="2" t="s">
        <v>91</v>
      </c>
      <c r="Q83" s="5">
        <v>75</v>
      </c>
      <c r="R83" s="5">
        <v>3.681</v>
      </c>
      <c r="S83" s="5">
        <v>90356</v>
      </c>
      <c r="T83" s="5">
        <v>0</v>
      </c>
      <c r="U83" s="5">
        <v>249.45032</v>
      </c>
      <c r="V83" s="6">
        <v>0</v>
      </c>
      <c r="W83" s="6">
        <v>2.5455E-3</v>
      </c>
      <c r="X83" s="6">
        <v>2.988E-4</v>
      </c>
      <c r="Y83" s="9">
        <v>70500053</v>
      </c>
      <c r="Z83" s="57" t="s">
        <v>4</v>
      </c>
      <c r="AA83" s="57" t="s">
        <v>1</v>
      </c>
    </row>
    <row r="84" spans="1:27">
      <c r="A84" s="2" t="s">
        <v>78</v>
      </c>
      <c r="B84" s="2" t="s">
        <v>94</v>
      </c>
      <c r="C84" s="2" t="s">
        <v>622</v>
      </c>
      <c r="D84" s="2" t="s">
        <v>623</v>
      </c>
      <c r="E84" s="2" t="s">
        <v>168</v>
      </c>
      <c r="F84" s="2" t="s">
        <v>624</v>
      </c>
      <c r="G84" s="2" t="s">
        <v>625</v>
      </c>
      <c r="H84" s="2" t="s">
        <v>183</v>
      </c>
      <c r="I84" s="2" t="s">
        <v>529</v>
      </c>
      <c r="J84" s="2" t="s">
        <v>148</v>
      </c>
      <c r="K84" s="2" t="s">
        <v>626</v>
      </c>
      <c r="L84" s="2" t="s">
        <v>185</v>
      </c>
      <c r="M84" s="2" t="s">
        <v>627</v>
      </c>
      <c r="N84" s="2" t="s">
        <v>621</v>
      </c>
      <c r="O84" s="2" t="s">
        <v>84</v>
      </c>
      <c r="P84" s="2" t="s">
        <v>91</v>
      </c>
      <c r="Q84" s="5">
        <v>26</v>
      </c>
      <c r="R84" s="5">
        <v>3.681</v>
      </c>
      <c r="S84" s="5">
        <v>148700</v>
      </c>
      <c r="T84" s="5">
        <v>0</v>
      </c>
      <c r="U84" s="5">
        <v>142.31482</v>
      </c>
      <c r="V84" s="6">
        <v>1.0000000000000001E-7</v>
      </c>
      <c r="W84" s="6">
        <v>1.4521999999999998E-3</v>
      </c>
      <c r="X84" s="6">
        <v>1.705E-4</v>
      </c>
      <c r="Y84" s="9">
        <v>70632732</v>
      </c>
      <c r="Z84" s="57" t="s">
        <v>4</v>
      </c>
      <c r="AA84" s="57" t="s">
        <v>1</v>
      </c>
    </row>
    <row r="85" spans="1:27">
      <c r="A85" s="2" t="s">
        <v>78</v>
      </c>
      <c r="B85" s="2" t="s">
        <v>94</v>
      </c>
      <c r="C85" s="2" t="s">
        <v>628</v>
      </c>
      <c r="D85" s="2" t="s">
        <v>629</v>
      </c>
      <c r="E85" s="2" t="s">
        <v>168</v>
      </c>
      <c r="F85" s="2" t="s">
        <v>630</v>
      </c>
      <c r="G85" s="2" t="s">
        <v>631</v>
      </c>
      <c r="H85" s="2" t="s">
        <v>183</v>
      </c>
      <c r="I85" s="2" t="s">
        <v>529</v>
      </c>
      <c r="J85" s="2" t="s">
        <v>148</v>
      </c>
      <c r="K85" s="2" t="s">
        <v>156</v>
      </c>
      <c r="L85" s="2" t="s">
        <v>185</v>
      </c>
      <c r="M85" s="2" t="s">
        <v>149</v>
      </c>
      <c r="N85" s="2" t="s">
        <v>585</v>
      </c>
      <c r="O85" s="2" t="s">
        <v>84</v>
      </c>
      <c r="P85" s="2" t="s">
        <v>91</v>
      </c>
      <c r="Q85" s="5">
        <v>105</v>
      </c>
      <c r="R85" s="5">
        <v>3.681</v>
      </c>
      <c r="S85" s="5">
        <v>18038</v>
      </c>
      <c r="T85" s="5">
        <v>0</v>
      </c>
      <c r="U85" s="5">
        <v>69.717770000000002</v>
      </c>
      <c r="V85" s="6">
        <v>0</v>
      </c>
      <c r="W85" s="6">
        <v>7.1139999999999994E-4</v>
      </c>
      <c r="X85" s="6">
        <v>8.3499999999999997E-5</v>
      </c>
      <c r="Y85" s="9">
        <v>70481486</v>
      </c>
      <c r="Z85" s="57" t="s">
        <v>4</v>
      </c>
      <c r="AA85" s="57" t="s">
        <v>1</v>
      </c>
    </row>
    <row r="86" spans="1:27">
      <c r="A86" s="2" t="s">
        <v>78</v>
      </c>
      <c r="B86" s="2" t="s">
        <v>94</v>
      </c>
      <c r="C86" s="2" t="s">
        <v>632</v>
      </c>
      <c r="D86" s="2" t="s">
        <v>633</v>
      </c>
      <c r="E86" s="2" t="s">
        <v>168</v>
      </c>
      <c r="F86" s="2" t="s">
        <v>634</v>
      </c>
      <c r="G86" s="2" t="s">
        <v>635</v>
      </c>
      <c r="H86" s="2" t="s">
        <v>183</v>
      </c>
      <c r="I86" s="2" t="s">
        <v>529</v>
      </c>
      <c r="J86" s="2" t="s">
        <v>148</v>
      </c>
      <c r="K86" s="2" t="s">
        <v>83</v>
      </c>
      <c r="L86" s="2" t="s">
        <v>185</v>
      </c>
      <c r="M86" s="2" t="s">
        <v>149</v>
      </c>
      <c r="N86" s="2" t="s">
        <v>621</v>
      </c>
      <c r="O86" s="2" t="s">
        <v>84</v>
      </c>
      <c r="P86" s="2" t="s">
        <v>91</v>
      </c>
      <c r="Q86" s="5">
        <v>172</v>
      </c>
      <c r="R86" s="5">
        <v>3.681</v>
      </c>
      <c r="S86" s="5">
        <v>17738</v>
      </c>
      <c r="T86" s="5">
        <v>0</v>
      </c>
      <c r="U86" s="5">
        <v>112.30495000000001</v>
      </c>
      <c r="V86" s="6">
        <v>5.9000000000000003E-6</v>
      </c>
      <c r="W86" s="6">
        <v>1.1459999999999999E-3</v>
      </c>
      <c r="X86" s="6">
        <v>1.3449999999999999E-4</v>
      </c>
      <c r="Y86" s="9">
        <v>70507199</v>
      </c>
      <c r="Z86" s="57" t="s">
        <v>4</v>
      </c>
      <c r="AA86" s="57" t="s">
        <v>1</v>
      </c>
    </row>
    <row r="87" spans="1:27">
      <c r="A87" s="2" t="s">
        <v>78</v>
      </c>
      <c r="B87" s="2" t="s">
        <v>94</v>
      </c>
      <c r="C87" s="2" t="s">
        <v>1245</v>
      </c>
      <c r="D87" s="2" t="s">
        <v>685</v>
      </c>
      <c r="E87" s="2" t="s">
        <v>168</v>
      </c>
      <c r="F87" s="2" t="s">
        <v>686</v>
      </c>
      <c r="G87" s="2" t="s">
        <v>687</v>
      </c>
      <c r="H87" s="2" t="s">
        <v>183</v>
      </c>
      <c r="I87" s="2" t="s">
        <v>529</v>
      </c>
      <c r="J87" s="2" t="s">
        <v>148</v>
      </c>
      <c r="K87" s="2" t="s">
        <v>156</v>
      </c>
      <c r="L87" s="2" t="s">
        <v>185</v>
      </c>
      <c r="M87" s="2" t="s">
        <v>590</v>
      </c>
      <c r="N87" s="2" t="s">
        <v>585</v>
      </c>
      <c r="O87" s="2" t="s">
        <v>84</v>
      </c>
      <c r="P87" s="2" t="s">
        <v>91</v>
      </c>
      <c r="Q87" s="5">
        <v>52</v>
      </c>
      <c r="R87" s="5">
        <v>3.681</v>
      </c>
      <c r="S87" s="5">
        <v>48558</v>
      </c>
      <c r="T87" s="5">
        <v>0</v>
      </c>
      <c r="U87" s="5">
        <v>92.945830000000001</v>
      </c>
      <c r="V87" s="6">
        <v>0</v>
      </c>
      <c r="W87" s="6">
        <v>9.4839999999999996E-4</v>
      </c>
      <c r="X87" s="6">
        <v>1.1129999999999999E-4</v>
      </c>
      <c r="Y87" s="9">
        <v>74616640</v>
      </c>
      <c r="Z87" s="57" t="s">
        <v>4</v>
      </c>
      <c r="AA87" s="57" t="s">
        <v>1</v>
      </c>
    </row>
    <row r="88" spans="1:27">
      <c r="A88" s="2" t="s">
        <v>78</v>
      </c>
      <c r="B88" s="2" t="s">
        <v>94</v>
      </c>
      <c r="C88" s="2" t="s">
        <v>636</v>
      </c>
      <c r="D88" s="2" t="s">
        <v>637</v>
      </c>
      <c r="E88" s="2" t="s">
        <v>168</v>
      </c>
      <c r="F88" s="2" t="s">
        <v>638</v>
      </c>
      <c r="G88" s="2" t="s">
        <v>639</v>
      </c>
      <c r="H88" s="2" t="s">
        <v>183</v>
      </c>
      <c r="I88" s="2" t="s">
        <v>529</v>
      </c>
      <c r="J88" s="2" t="s">
        <v>148</v>
      </c>
      <c r="K88" s="2" t="s">
        <v>455</v>
      </c>
      <c r="L88" s="2" t="s">
        <v>185</v>
      </c>
      <c r="M88" s="2" t="s">
        <v>584</v>
      </c>
      <c r="N88" s="2" t="s">
        <v>621</v>
      </c>
      <c r="O88" s="2" t="s">
        <v>84</v>
      </c>
      <c r="P88" s="2" t="s">
        <v>91</v>
      </c>
      <c r="Q88" s="5">
        <v>86</v>
      </c>
      <c r="R88" s="5">
        <v>3.681</v>
      </c>
      <c r="S88" s="5">
        <v>97047</v>
      </c>
      <c r="T88" s="5">
        <v>0</v>
      </c>
      <c r="U88" s="5">
        <v>307.21780000000001</v>
      </c>
      <c r="V88" s="6">
        <v>2.0000000000000002E-7</v>
      </c>
      <c r="W88" s="6">
        <v>3.1350000000000002E-3</v>
      </c>
      <c r="X88" s="6">
        <v>3.68E-4</v>
      </c>
      <c r="Y88" s="9">
        <v>70539671</v>
      </c>
      <c r="Z88" s="57" t="s">
        <v>4</v>
      </c>
      <c r="AA88" s="57" t="s">
        <v>1</v>
      </c>
    </row>
    <row r="89" spans="1:27">
      <c r="A89" s="2" t="s">
        <v>78</v>
      </c>
      <c r="B89" s="2" t="s">
        <v>94</v>
      </c>
      <c r="C89" s="2" t="s">
        <v>640</v>
      </c>
      <c r="D89" s="2" t="s">
        <v>641</v>
      </c>
      <c r="E89" s="2" t="s">
        <v>168</v>
      </c>
      <c r="F89" s="2" t="s">
        <v>642</v>
      </c>
      <c r="G89" s="2" t="s">
        <v>643</v>
      </c>
      <c r="H89" s="2" t="s">
        <v>183</v>
      </c>
      <c r="I89" s="2" t="s">
        <v>529</v>
      </c>
      <c r="J89" s="2" t="s">
        <v>148</v>
      </c>
      <c r="K89" s="2" t="s">
        <v>156</v>
      </c>
      <c r="L89" s="2" t="s">
        <v>185</v>
      </c>
      <c r="M89" s="2" t="s">
        <v>584</v>
      </c>
      <c r="N89" s="2" t="s">
        <v>274</v>
      </c>
      <c r="O89" s="2" t="s">
        <v>84</v>
      </c>
      <c r="P89" s="2" t="s">
        <v>91</v>
      </c>
      <c r="Q89" s="5">
        <v>60</v>
      </c>
      <c r="R89" s="5">
        <v>3.681</v>
      </c>
      <c r="S89" s="5">
        <v>17579</v>
      </c>
      <c r="T89" s="5">
        <v>0</v>
      </c>
      <c r="U89" s="5">
        <v>38.82497</v>
      </c>
      <c r="V89" s="6">
        <v>0</v>
      </c>
      <c r="W89" s="6">
        <v>3.9620000000000004E-4</v>
      </c>
      <c r="X89" s="6">
        <v>4.6499999999999999E-5</v>
      </c>
      <c r="Y89" s="9">
        <v>74297391</v>
      </c>
      <c r="Z89" s="57" t="s">
        <v>4</v>
      </c>
      <c r="AA89" s="57" t="s">
        <v>1</v>
      </c>
    </row>
    <row r="90" spans="1:27">
      <c r="A90" s="2" t="s">
        <v>78</v>
      </c>
      <c r="B90" s="2" t="s">
        <v>94</v>
      </c>
      <c r="C90" s="2" t="s">
        <v>580</v>
      </c>
      <c r="D90" s="2" t="s">
        <v>581</v>
      </c>
      <c r="E90" s="2" t="s">
        <v>168</v>
      </c>
      <c r="F90" s="2" t="s">
        <v>688</v>
      </c>
      <c r="G90" s="2" t="s">
        <v>689</v>
      </c>
      <c r="H90" s="2" t="s">
        <v>183</v>
      </c>
      <c r="I90" s="2" t="s">
        <v>529</v>
      </c>
      <c r="J90" s="2" t="s">
        <v>148</v>
      </c>
      <c r="K90" s="2" t="s">
        <v>156</v>
      </c>
      <c r="L90" s="2" t="s">
        <v>185</v>
      </c>
      <c r="M90" s="2" t="s">
        <v>590</v>
      </c>
      <c r="N90" s="2" t="s">
        <v>585</v>
      </c>
      <c r="O90" s="2" t="s">
        <v>84</v>
      </c>
      <c r="P90" s="2" t="s">
        <v>91</v>
      </c>
      <c r="Q90" s="5">
        <v>140</v>
      </c>
      <c r="R90" s="5">
        <v>3.681</v>
      </c>
      <c r="S90" s="5">
        <v>15226</v>
      </c>
      <c r="T90" s="5">
        <v>0</v>
      </c>
      <c r="U90" s="5">
        <v>78.46566</v>
      </c>
      <c r="V90" s="6">
        <v>0</v>
      </c>
      <c r="W90" s="6">
        <v>8.007E-4</v>
      </c>
      <c r="X90" s="6">
        <v>9.4000000000000008E-5</v>
      </c>
      <c r="Y90" s="9">
        <v>74978859</v>
      </c>
      <c r="Z90" s="57" t="s">
        <v>4</v>
      </c>
      <c r="AA90" s="57" t="s">
        <v>1</v>
      </c>
    </row>
    <row r="91" spans="1:27">
      <c r="A91" s="2" t="s">
        <v>78</v>
      </c>
      <c r="B91" s="2" t="s">
        <v>94</v>
      </c>
      <c r="C91" s="2" t="s">
        <v>690</v>
      </c>
      <c r="D91" s="2" t="s">
        <v>691</v>
      </c>
      <c r="E91" s="2" t="s">
        <v>168</v>
      </c>
      <c r="F91" s="2" t="s">
        <v>692</v>
      </c>
      <c r="G91" s="2" t="s">
        <v>693</v>
      </c>
      <c r="H91" s="2" t="s">
        <v>183</v>
      </c>
      <c r="I91" s="2" t="s">
        <v>529</v>
      </c>
      <c r="J91" s="2" t="s">
        <v>148</v>
      </c>
      <c r="K91" s="2" t="s">
        <v>156</v>
      </c>
      <c r="L91" s="2" t="s">
        <v>185</v>
      </c>
      <c r="M91" s="2" t="s">
        <v>149</v>
      </c>
      <c r="N91" s="2" t="s">
        <v>585</v>
      </c>
      <c r="O91" s="2" t="s">
        <v>84</v>
      </c>
      <c r="P91" s="2" t="s">
        <v>91</v>
      </c>
      <c r="Q91" s="5">
        <v>78</v>
      </c>
      <c r="R91" s="5">
        <v>3.681</v>
      </c>
      <c r="S91" s="5">
        <v>28413</v>
      </c>
      <c r="T91" s="5">
        <v>0</v>
      </c>
      <c r="U91" s="5">
        <v>81.578829999999996</v>
      </c>
      <c r="V91" s="6">
        <v>2.0000000000000002E-7</v>
      </c>
      <c r="W91" s="6">
        <v>8.3250000000000002E-4</v>
      </c>
      <c r="X91" s="6">
        <v>9.769999999999999E-5</v>
      </c>
      <c r="Y91" s="9">
        <v>74644055</v>
      </c>
      <c r="Z91" s="57" t="s">
        <v>4</v>
      </c>
      <c r="AA91" s="57" t="s">
        <v>1</v>
      </c>
    </row>
    <row r="92" spans="1:27">
      <c r="A92" s="2" t="s">
        <v>78</v>
      </c>
      <c r="B92" s="2" t="s">
        <v>94</v>
      </c>
      <c r="C92" s="2" t="s">
        <v>644</v>
      </c>
      <c r="D92" s="2" t="s">
        <v>645</v>
      </c>
      <c r="E92" s="2" t="s">
        <v>168</v>
      </c>
      <c r="F92" s="2" t="s">
        <v>646</v>
      </c>
      <c r="G92" s="2" t="s">
        <v>647</v>
      </c>
      <c r="H92" s="2" t="s">
        <v>183</v>
      </c>
      <c r="I92" s="2" t="s">
        <v>529</v>
      </c>
      <c r="J92" s="2" t="s">
        <v>148</v>
      </c>
      <c r="K92" s="2" t="s">
        <v>156</v>
      </c>
      <c r="L92" s="2" t="s">
        <v>185</v>
      </c>
      <c r="M92" s="2" t="s">
        <v>590</v>
      </c>
      <c r="N92" s="2" t="s">
        <v>591</v>
      </c>
      <c r="O92" s="2" t="s">
        <v>84</v>
      </c>
      <c r="P92" s="2" t="s">
        <v>91</v>
      </c>
      <c r="Q92" s="5">
        <v>127</v>
      </c>
      <c r="R92" s="5">
        <v>3.681</v>
      </c>
      <c r="S92" s="5">
        <v>6699</v>
      </c>
      <c r="T92" s="5">
        <v>0</v>
      </c>
      <c r="U92" s="5">
        <v>31.316949999999999</v>
      </c>
      <c r="V92" s="6">
        <v>1.0000000000000001E-7</v>
      </c>
      <c r="W92" s="6">
        <v>3.1960000000000002E-4</v>
      </c>
      <c r="X92" s="6">
        <v>3.7499999999999997E-5</v>
      </c>
      <c r="Y92" s="9">
        <v>75232918</v>
      </c>
      <c r="Z92" s="57" t="s">
        <v>4</v>
      </c>
      <c r="AA92" s="57" t="s">
        <v>1</v>
      </c>
    </row>
    <row r="93" spans="1:27">
      <c r="A93" s="2" t="s">
        <v>78</v>
      </c>
      <c r="B93" s="2" t="s">
        <v>94</v>
      </c>
      <c r="C93" s="2" t="s">
        <v>648</v>
      </c>
      <c r="D93" s="2" t="s">
        <v>649</v>
      </c>
      <c r="E93" s="2" t="s">
        <v>168</v>
      </c>
      <c r="F93" s="2" t="s">
        <v>650</v>
      </c>
      <c r="G93" s="2" t="s">
        <v>651</v>
      </c>
      <c r="H93" s="2" t="s">
        <v>183</v>
      </c>
      <c r="I93" s="2" t="s">
        <v>529</v>
      </c>
      <c r="J93" s="2" t="s">
        <v>148</v>
      </c>
      <c r="K93" s="2" t="s">
        <v>156</v>
      </c>
      <c r="L93" s="2" t="s">
        <v>185</v>
      </c>
      <c r="M93" s="2" t="s">
        <v>584</v>
      </c>
      <c r="N93" s="2" t="s">
        <v>617</v>
      </c>
      <c r="O93" s="2" t="s">
        <v>84</v>
      </c>
      <c r="P93" s="2" t="s">
        <v>91</v>
      </c>
      <c r="Q93" s="5">
        <v>77</v>
      </c>
      <c r="R93" s="5">
        <v>3.681</v>
      </c>
      <c r="S93" s="5">
        <v>48157</v>
      </c>
      <c r="T93" s="5">
        <v>0</v>
      </c>
      <c r="U93" s="5">
        <v>136.49475000000001</v>
      </c>
      <c r="V93" s="6">
        <v>0</v>
      </c>
      <c r="W93" s="6">
        <v>1.3927999999999998E-3</v>
      </c>
      <c r="X93" s="6">
        <v>1.6349999999999999E-4</v>
      </c>
      <c r="Y93" s="9">
        <v>70733191</v>
      </c>
      <c r="Z93" s="57" t="s">
        <v>4</v>
      </c>
      <c r="AA93" s="57" t="s">
        <v>1</v>
      </c>
    </row>
    <row r="94" spans="1:27">
      <c r="A94" s="2" t="s">
        <v>78</v>
      </c>
      <c r="B94" s="2" t="s">
        <v>94</v>
      </c>
      <c r="C94" s="2" t="s">
        <v>652</v>
      </c>
      <c r="D94" s="2" t="s">
        <v>653</v>
      </c>
      <c r="E94" s="2" t="s">
        <v>168</v>
      </c>
      <c r="F94" s="2" t="s">
        <v>652</v>
      </c>
      <c r="G94" s="2" t="s">
        <v>654</v>
      </c>
      <c r="H94" s="2" t="s">
        <v>183</v>
      </c>
      <c r="I94" s="2" t="s">
        <v>529</v>
      </c>
      <c r="J94" s="2" t="s">
        <v>148</v>
      </c>
      <c r="K94" s="2" t="s">
        <v>156</v>
      </c>
      <c r="L94" s="2" t="s">
        <v>185</v>
      </c>
      <c r="M94" s="2" t="s">
        <v>590</v>
      </c>
      <c r="N94" s="2" t="s">
        <v>604</v>
      </c>
      <c r="O94" s="2" t="s">
        <v>84</v>
      </c>
      <c r="P94" s="2" t="s">
        <v>91</v>
      </c>
      <c r="Q94" s="5">
        <v>15</v>
      </c>
      <c r="R94" s="5">
        <v>3.681</v>
      </c>
      <c r="S94" s="5">
        <v>73263</v>
      </c>
      <c r="T94" s="5">
        <v>0</v>
      </c>
      <c r="U94" s="5">
        <v>40.452159999999999</v>
      </c>
      <c r="V94" s="6">
        <v>0</v>
      </c>
      <c r="W94" s="6">
        <v>4.1279999999999995E-4</v>
      </c>
      <c r="X94" s="6">
        <v>4.85E-5</v>
      </c>
      <c r="Y94" s="9">
        <v>70462866</v>
      </c>
      <c r="Z94" s="57" t="s">
        <v>4</v>
      </c>
      <c r="AA94" s="57" t="s">
        <v>1</v>
      </c>
    </row>
    <row r="95" spans="1:27">
      <c r="A95" s="2" t="s">
        <v>78</v>
      </c>
      <c r="B95" s="2" t="s">
        <v>94</v>
      </c>
      <c r="C95" s="2" t="s">
        <v>655</v>
      </c>
      <c r="D95" s="2" t="s">
        <v>656</v>
      </c>
      <c r="E95" s="2" t="s">
        <v>168</v>
      </c>
      <c r="F95" s="2" t="s">
        <v>657</v>
      </c>
      <c r="G95" s="2" t="s">
        <v>658</v>
      </c>
      <c r="H95" s="2" t="s">
        <v>183</v>
      </c>
      <c r="I95" s="2" t="s">
        <v>529</v>
      </c>
      <c r="J95" s="2" t="s">
        <v>148</v>
      </c>
      <c r="K95" s="2" t="s">
        <v>83</v>
      </c>
      <c r="L95" s="2" t="s">
        <v>185</v>
      </c>
      <c r="M95" s="2" t="s">
        <v>584</v>
      </c>
      <c r="N95" s="2" t="s">
        <v>585</v>
      </c>
      <c r="O95" s="2" t="s">
        <v>84</v>
      </c>
      <c r="P95" s="2" t="s">
        <v>91</v>
      </c>
      <c r="Q95" s="5">
        <v>47</v>
      </c>
      <c r="R95" s="5">
        <v>3.681</v>
      </c>
      <c r="S95" s="5">
        <v>2107</v>
      </c>
      <c r="T95" s="5">
        <v>0</v>
      </c>
      <c r="U95" s="5">
        <v>3.6452499999999999</v>
      </c>
      <c r="V95" s="6">
        <v>1.1999999999999999E-6</v>
      </c>
      <c r="W95" s="6">
        <v>3.7200000000000003E-5</v>
      </c>
      <c r="X95" s="6">
        <v>4.4000000000000002E-6</v>
      </c>
      <c r="Y95" s="9">
        <v>76609312</v>
      </c>
      <c r="Z95" s="57" t="s">
        <v>4</v>
      </c>
      <c r="AA95" s="57" t="s">
        <v>1</v>
      </c>
    </row>
    <row r="96" spans="1:27">
      <c r="A96" s="2" t="s">
        <v>78</v>
      </c>
      <c r="B96" s="2" t="s">
        <v>94</v>
      </c>
      <c r="C96" s="2" t="s">
        <v>659</v>
      </c>
      <c r="D96" s="2" t="s">
        <v>660</v>
      </c>
      <c r="E96" s="2" t="s">
        <v>168</v>
      </c>
      <c r="F96" s="2" t="s">
        <v>659</v>
      </c>
      <c r="G96" s="2" t="s">
        <v>661</v>
      </c>
      <c r="H96" s="2" t="s">
        <v>183</v>
      </c>
      <c r="I96" s="2" t="s">
        <v>529</v>
      </c>
      <c r="J96" s="2" t="s">
        <v>148</v>
      </c>
      <c r="K96" s="2" t="s">
        <v>156</v>
      </c>
      <c r="L96" s="2" t="s">
        <v>185</v>
      </c>
      <c r="M96" s="2" t="s">
        <v>590</v>
      </c>
      <c r="N96" s="2" t="s">
        <v>621</v>
      </c>
      <c r="O96" s="2" t="s">
        <v>84</v>
      </c>
      <c r="P96" s="2" t="s">
        <v>91</v>
      </c>
      <c r="Q96" s="5">
        <v>56</v>
      </c>
      <c r="R96" s="5">
        <v>3.681</v>
      </c>
      <c r="S96" s="5">
        <v>18049</v>
      </c>
      <c r="T96" s="5">
        <v>0</v>
      </c>
      <c r="U96" s="5">
        <v>37.205480000000001</v>
      </c>
      <c r="V96" s="6">
        <v>0</v>
      </c>
      <c r="W96" s="6">
        <v>3.7969999999999996E-4</v>
      </c>
      <c r="X96" s="6">
        <v>4.4600000000000007E-5</v>
      </c>
      <c r="Y96" s="9">
        <v>70460340</v>
      </c>
      <c r="Z96" s="57" t="s">
        <v>4</v>
      </c>
      <c r="AA96" s="57" t="s">
        <v>1</v>
      </c>
    </row>
    <row r="97" spans="1:27">
      <c r="A97" s="2" t="s">
        <v>78</v>
      </c>
      <c r="B97" s="2" t="s">
        <v>94</v>
      </c>
      <c r="C97" s="2" t="s">
        <v>662</v>
      </c>
      <c r="D97" s="2" t="s">
        <v>663</v>
      </c>
      <c r="E97" s="2" t="s">
        <v>168</v>
      </c>
      <c r="F97" s="2" t="s">
        <v>664</v>
      </c>
      <c r="G97" s="2" t="s">
        <v>665</v>
      </c>
      <c r="H97" s="2" t="s">
        <v>183</v>
      </c>
      <c r="I97" s="2" t="s">
        <v>529</v>
      </c>
      <c r="J97" s="2" t="s">
        <v>148</v>
      </c>
      <c r="K97" s="2" t="s">
        <v>83</v>
      </c>
      <c r="L97" s="2" t="s">
        <v>185</v>
      </c>
      <c r="M97" s="2" t="s">
        <v>590</v>
      </c>
      <c r="N97" s="2" t="s">
        <v>666</v>
      </c>
      <c r="O97" s="2" t="s">
        <v>84</v>
      </c>
      <c r="P97" s="2" t="s">
        <v>91</v>
      </c>
      <c r="Q97" s="5">
        <v>1225</v>
      </c>
      <c r="R97" s="5">
        <v>3.681</v>
      </c>
      <c r="S97" s="5">
        <v>8377</v>
      </c>
      <c r="T97" s="5">
        <v>0</v>
      </c>
      <c r="U97" s="5">
        <v>377.73777000000001</v>
      </c>
      <c r="V97" s="6">
        <v>2.72E-5</v>
      </c>
      <c r="W97" s="6">
        <v>3.8546000000000001E-3</v>
      </c>
      <c r="X97" s="6">
        <v>4.5249999999999999E-4</v>
      </c>
      <c r="Y97" s="9">
        <v>70511662</v>
      </c>
      <c r="Z97" s="57" t="s">
        <v>4</v>
      </c>
      <c r="AA97" s="57" t="s">
        <v>1</v>
      </c>
    </row>
    <row r="98" spans="1:27">
      <c r="A98" s="2" t="s">
        <v>78</v>
      </c>
      <c r="B98" s="2" t="s">
        <v>94</v>
      </c>
      <c r="C98" s="2" t="s">
        <v>667</v>
      </c>
      <c r="D98" s="2" t="s">
        <v>668</v>
      </c>
      <c r="E98" s="2" t="s">
        <v>168</v>
      </c>
      <c r="F98" s="2" t="s">
        <v>669</v>
      </c>
      <c r="G98" s="2" t="s">
        <v>670</v>
      </c>
      <c r="H98" s="2" t="s">
        <v>183</v>
      </c>
      <c r="I98" s="2" t="s">
        <v>529</v>
      </c>
      <c r="J98" s="2" t="s">
        <v>148</v>
      </c>
      <c r="K98" s="2" t="s">
        <v>671</v>
      </c>
      <c r="L98" s="2" t="s">
        <v>185</v>
      </c>
      <c r="M98" s="2" t="s">
        <v>672</v>
      </c>
      <c r="N98" s="2" t="s">
        <v>585</v>
      </c>
      <c r="O98" s="2" t="s">
        <v>84</v>
      </c>
      <c r="P98" s="2" t="s">
        <v>99</v>
      </c>
      <c r="Q98" s="5">
        <v>32</v>
      </c>
      <c r="R98" s="5">
        <v>0.47039999999999998</v>
      </c>
      <c r="S98" s="5">
        <v>10790</v>
      </c>
      <c r="T98" s="5">
        <v>0</v>
      </c>
      <c r="U98" s="5">
        <v>1.62419</v>
      </c>
      <c r="V98" s="6">
        <v>0</v>
      </c>
      <c r="W98" s="6">
        <v>1.66E-5</v>
      </c>
      <c r="X98" s="6">
        <v>1.9E-6</v>
      </c>
      <c r="Y98" s="9">
        <v>78008174</v>
      </c>
      <c r="Z98" s="57" t="s">
        <v>4</v>
      </c>
      <c r="AA98" s="57" t="s">
        <v>1</v>
      </c>
    </row>
    <row r="99" spans="1:27">
      <c r="A99" s="2" t="s">
        <v>78</v>
      </c>
      <c r="B99" s="2" t="s">
        <v>94</v>
      </c>
      <c r="C99" s="2" t="s">
        <v>676</v>
      </c>
      <c r="D99" s="2" t="s">
        <v>677</v>
      </c>
      <c r="E99" s="2" t="s">
        <v>168</v>
      </c>
      <c r="F99" s="2" t="s">
        <v>676</v>
      </c>
      <c r="G99" s="2" t="s">
        <v>678</v>
      </c>
      <c r="H99" s="2" t="s">
        <v>183</v>
      </c>
      <c r="I99" s="2" t="s">
        <v>529</v>
      </c>
      <c r="J99" s="2" t="s">
        <v>148</v>
      </c>
      <c r="K99" s="2" t="s">
        <v>679</v>
      </c>
      <c r="L99" s="2" t="s">
        <v>185</v>
      </c>
      <c r="M99" s="2" t="s">
        <v>149</v>
      </c>
      <c r="N99" s="2" t="s">
        <v>680</v>
      </c>
      <c r="O99" s="2" t="s">
        <v>84</v>
      </c>
      <c r="P99" s="2" t="s">
        <v>91</v>
      </c>
      <c r="Q99" s="5">
        <v>263</v>
      </c>
      <c r="R99" s="5">
        <v>3.681</v>
      </c>
      <c r="S99" s="5">
        <v>5431</v>
      </c>
      <c r="T99" s="5">
        <v>0.1065</v>
      </c>
      <c r="U99" s="5">
        <v>52.969729999999998</v>
      </c>
      <c r="V99" s="6">
        <v>4.9999999999999998E-7</v>
      </c>
      <c r="W99" s="6">
        <v>5.4049999999999996E-4</v>
      </c>
      <c r="X99" s="6">
        <v>6.3399999999999996E-5</v>
      </c>
      <c r="Y99" s="9">
        <v>76098599</v>
      </c>
      <c r="Z99" s="57" t="s">
        <v>4</v>
      </c>
      <c r="AA99" s="57" t="s">
        <v>1</v>
      </c>
    </row>
    <row r="100" spans="1:27">
      <c r="A100" s="2" t="s">
        <v>78</v>
      </c>
      <c r="B100" s="2" t="s">
        <v>94</v>
      </c>
      <c r="C100" s="2" t="s">
        <v>681</v>
      </c>
      <c r="D100" s="2" t="s">
        <v>682</v>
      </c>
      <c r="E100" s="2" t="s">
        <v>168</v>
      </c>
      <c r="F100" s="2" t="s">
        <v>683</v>
      </c>
      <c r="G100" s="2" t="s">
        <v>684</v>
      </c>
      <c r="H100" s="2" t="s">
        <v>183</v>
      </c>
      <c r="I100" s="2" t="s">
        <v>529</v>
      </c>
      <c r="J100" s="2" t="s">
        <v>148</v>
      </c>
      <c r="K100" s="2" t="s">
        <v>156</v>
      </c>
      <c r="L100" s="2" t="s">
        <v>185</v>
      </c>
      <c r="M100" s="2" t="s">
        <v>590</v>
      </c>
      <c r="N100" s="2" t="s">
        <v>621</v>
      </c>
      <c r="O100" s="2" t="s">
        <v>84</v>
      </c>
      <c r="P100" s="2" t="s">
        <v>91</v>
      </c>
      <c r="Q100" s="5">
        <v>11</v>
      </c>
      <c r="R100" s="5">
        <v>3.681</v>
      </c>
      <c r="S100" s="5">
        <v>132541</v>
      </c>
      <c r="T100" s="5">
        <v>0</v>
      </c>
      <c r="U100" s="5">
        <v>53.667169999999999</v>
      </c>
      <c r="V100" s="6">
        <v>0</v>
      </c>
      <c r="W100" s="6">
        <v>5.4760000000000008E-4</v>
      </c>
      <c r="X100" s="6">
        <v>6.4300000000000004E-5</v>
      </c>
      <c r="Y100" s="9">
        <v>74182429</v>
      </c>
      <c r="Z100" s="57" t="s">
        <v>4</v>
      </c>
      <c r="AA100" s="57" t="s">
        <v>1</v>
      </c>
    </row>
    <row r="101" spans="1:27">
      <c r="A101" s="2" t="s">
        <v>78</v>
      </c>
      <c r="B101" s="2" t="s">
        <v>96</v>
      </c>
      <c r="C101" s="2" t="s">
        <v>527</v>
      </c>
      <c r="D101" s="2" t="s">
        <v>528</v>
      </c>
      <c r="E101" s="2" t="s">
        <v>194</v>
      </c>
      <c r="F101" s="2" t="s">
        <v>527</v>
      </c>
      <c r="G101" s="9">
        <v>1091065</v>
      </c>
      <c r="H101" s="2" t="s">
        <v>149</v>
      </c>
      <c r="I101" s="2" t="s">
        <v>529</v>
      </c>
      <c r="J101" s="2" t="s">
        <v>83</v>
      </c>
      <c r="K101" s="2" t="s">
        <v>83</v>
      </c>
      <c r="L101" s="2" t="s">
        <v>185</v>
      </c>
      <c r="M101" s="2" t="s">
        <v>118</v>
      </c>
      <c r="N101" s="2" t="s">
        <v>530</v>
      </c>
      <c r="O101" s="2" t="s">
        <v>84</v>
      </c>
      <c r="P101" s="2" t="s">
        <v>87</v>
      </c>
      <c r="Q101" s="5">
        <v>1639.14</v>
      </c>
      <c r="R101" s="5">
        <v>1</v>
      </c>
      <c r="S101" s="5">
        <v>3622</v>
      </c>
      <c r="T101" s="5">
        <v>0</v>
      </c>
      <c r="U101" s="5">
        <v>59.36965</v>
      </c>
      <c r="V101" s="6">
        <v>1.49E-5</v>
      </c>
      <c r="W101" s="6">
        <v>6.0579999999999998E-4</v>
      </c>
      <c r="X101" s="6">
        <v>7.1099999999999994E-5</v>
      </c>
      <c r="Y101" s="2" t="s">
        <v>3</v>
      </c>
      <c r="Z101" s="57" t="s">
        <v>4</v>
      </c>
      <c r="AA101" s="57" t="s">
        <v>1</v>
      </c>
    </row>
    <row r="102" spans="1:27">
      <c r="A102" s="2" t="s">
        <v>78</v>
      </c>
      <c r="B102" s="2" t="s">
        <v>96</v>
      </c>
      <c r="C102" s="2" t="s">
        <v>403</v>
      </c>
      <c r="D102" s="2" t="s">
        <v>404</v>
      </c>
      <c r="E102" s="2" t="s">
        <v>194</v>
      </c>
      <c r="F102" s="2" t="s">
        <v>403</v>
      </c>
      <c r="G102" s="9">
        <v>604611</v>
      </c>
      <c r="H102" s="2" t="s">
        <v>149</v>
      </c>
      <c r="I102" s="2" t="s">
        <v>529</v>
      </c>
      <c r="J102" s="2" t="s">
        <v>83</v>
      </c>
      <c r="K102" s="2" t="s">
        <v>83</v>
      </c>
      <c r="L102" s="2" t="s">
        <v>185</v>
      </c>
      <c r="M102" s="2" t="s">
        <v>118</v>
      </c>
      <c r="N102" s="2" t="s">
        <v>400</v>
      </c>
      <c r="O102" s="2" t="s">
        <v>84</v>
      </c>
      <c r="P102" s="2" t="s">
        <v>87</v>
      </c>
      <c r="Q102" s="5">
        <v>7938</v>
      </c>
      <c r="R102" s="5">
        <v>1</v>
      </c>
      <c r="S102" s="5">
        <v>3100</v>
      </c>
      <c r="T102" s="5">
        <v>1.9028</v>
      </c>
      <c r="U102" s="5">
        <v>247.98079999999999</v>
      </c>
      <c r="V102" s="6">
        <v>5.1999999999999993E-6</v>
      </c>
      <c r="W102" s="6">
        <v>2.5304999999999998E-3</v>
      </c>
      <c r="X102" s="6">
        <v>2.9700000000000001E-4</v>
      </c>
      <c r="Y102" s="2" t="s">
        <v>3</v>
      </c>
      <c r="Z102" s="57" t="s">
        <v>4</v>
      </c>
      <c r="AA102" s="57" t="s">
        <v>1</v>
      </c>
    </row>
    <row r="103" spans="1:27">
      <c r="A103" s="2" t="s">
        <v>78</v>
      </c>
      <c r="B103" s="2" t="s">
        <v>96</v>
      </c>
      <c r="C103" s="2" t="s">
        <v>531</v>
      </c>
      <c r="D103" s="2" t="s">
        <v>532</v>
      </c>
      <c r="E103" s="2" t="s">
        <v>194</v>
      </c>
      <c r="F103" s="2" t="s">
        <v>533</v>
      </c>
      <c r="G103" s="9">
        <v>256016</v>
      </c>
      <c r="H103" s="2" t="s">
        <v>149</v>
      </c>
      <c r="I103" s="2" t="s">
        <v>529</v>
      </c>
      <c r="J103" s="2" t="s">
        <v>83</v>
      </c>
      <c r="K103" s="2" t="s">
        <v>83</v>
      </c>
      <c r="L103" s="2" t="s">
        <v>185</v>
      </c>
      <c r="M103" s="2" t="s">
        <v>118</v>
      </c>
      <c r="N103" s="2" t="s">
        <v>534</v>
      </c>
      <c r="O103" s="2" t="s">
        <v>84</v>
      </c>
      <c r="P103" s="2" t="s">
        <v>87</v>
      </c>
      <c r="Q103" s="5">
        <v>454</v>
      </c>
      <c r="R103" s="5">
        <v>1</v>
      </c>
      <c r="S103" s="5">
        <v>30030</v>
      </c>
      <c r="T103" s="5">
        <v>0</v>
      </c>
      <c r="U103" s="5">
        <v>136.33619999999999</v>
      </c>
      <c r="V103" s="6">
        <v>2.9600000000000001E-5</v>
      </c>
      <c r="W103" s="6">
        <v>1.3912E-3</v>
      </c>
      <c r="X103" s="6">
        <v>1.6330000000000001E-4</v>
      </c>
      <c r="Y103" s="2" t="s">
        <v>3</v>
      </c>
      <c r="Z103" s="57" t="s">
        <v>4</v>
      </c>
      <c r="AA103" s="57" t="s">
        <v>1</v>
      </c>
    </row>
    <row r="104" spans="1:27">
      <c r="A104" s="2" t="s">
        <v>78</v>
      </c>
      <c r="B104" s="2" t="s">
        <v>96</v>
      </c>
      <c r="C104" s="2" t="s">
        <v>535</v>
      </c>
      <c r="D104" s="2" t="s">
        <v>536</v>
      </c>
      <c r="E104" s="2" t="s">
        <v>194</v>
      </c>
      <c r="F104" s="2" t="s">
        <v>537</v>
      </c>
      <c r="G104" s="9">
        <v>224014</v>
      </c>
      <c r="H104" s="2" t="s">
        <v>149</v>
      </c>
      <c r="I104" s="2" t="s">
        <v>529</v>
      </c>
      <c r="J104" s="2" t="s">
        <v>83</v>
      </c>
      <c r="K104" s="2" t="s">
        <v>83</v>
      </c>
      <c r="L104" s="2" t="s">
        <v>185</v>
      </c>
      <c r="M104" s="2" t="s">
        <v>118</v>
      </c>
      <c r="N104" s="2" t="s">
        <v>255</v>
      </c>
      <c r="O104" s="2" t="s">
        <v>84</v>
      </c>
      <c r="P104" s="2" t="s">
        <v>87</v>
      </c>
      <c r="Q104" s="5">
        <v>1720</v>
      </c>
      <c r="R104" s="5">
        <v>1</v>
      </c>
      <c r="S104" s="5">
        <v>6569</v>
      </c>
      <c r="T104" s="5">
        <v>0</v>
      </c>
      <c r="U104" s="5">
        <v>112.9868</v>
      </c>
      <c r="V104" s="6">
        <v>2.1699999999999999E-5</v>
      </c>
      <c r="W104" s="6">
        <v>1.1529999999999999E-3</v>
      </c>
      <c r="X104" s="6">
        <v>1.3530000000000001E-4</v>
      </c>
      <c r="Y104" s="2" t="s">
        <v>3</v>
      </c>
      <c r="Z104" s="57" t="s">
        <v>4</v>
      </c>
      <c r="AA104" s="57" t="s">
        <v>1</v>
      </c>
    </row>
    <row r="105" spans="1:27">
      <c r="A105" s="2" t="s">
        <v>78</v>
      </c>
      <c r="B105" s="2" t="s">
        <v>96</v>
      </c>
      <c r="C105" s="2" t="s">
        <v>538</v>
      </c>
      <c r="D105" s="2" t="s">
        <v>539</v>
      </c>
      <c r="E105" s="2" t="s">
        <v>194</v>
      </c>
      <c r="F105" s="2" t="s">
        <v>540</v>
      </c>
      <c r="G105" s="9">
        <v>475020</v>
      </c>
      <c r="H105" s="2" t="s">
        <v>149</v>
      </c>
      <c r="I105" s="2" t="s">
        <v>529</v>
      </c>
      <c r="J105" s="2" t="s">
        <v>83</v>
      </c>
      <c r="K105" s="2" t="s">
        <v>83</v>
      </c>
      <c r="L105" s="2" t="s">
        <v>185</v>
      </c>
      <c r="M105" s="2" t="s">
        <v>118</v>
      </c>
      <c r="N105" s="2" t="s">
        <v>414</v>
      </c>
      <c r="O105" s="2" t="s">
        <v>84</v>
      </c>
      <c r="P105" s="2" t="s">
        <v>87</v>
      </c>
      <c r="Q105" s="5">
        <v>9000</v>
      </c>
      <c r="R105" s="5">
        <v>1</v>
      </c>
      <c r="S105" s="5">
        <v>935.3</v>
      </c>
      <c r="T105" s="5">
        <v>1.6935</v>
      </c>
      <c r="U105" s="5">
        <v>85.870549999999994</v>
      </c>
      <c r="V105" s="6">
        <v>7.6000000000000001E-6</v>
      </c>
      <c r="W105" s="6">
        <v>8.763E-4</v>
      </c>
      <c r="X105" s="6">
        <v>1.0290000000000001E-4</v>
      </c>
      <c r="Y105" s="2" t="s">
        <v>3</v>
      </c>
      <c r="Z105" s="57" t="s">
        <v>4</v>
      </c>
      <c r="AA105" s="57" t="s">
        <v>1</v>
      </c>
    </row>
    <row r="106" spans="1:27">
      <c r="A106" s="2" t="s">
        <v>78</v>
      </c>
      <c r="B106" s="2" t="s">
        <v>96</v>
      </c>
      <c r="C106" s="2" t="s">
        <v>378</v>
      </c>
      <c r="D106" s="2" t="s">
        <v>379</v>
      </c>
      <c r="E106" s="2" t="s">
        <v>194</v>
      </c>
      <c r="F106" s="2" t="s">
        <v>378</v>
      </c>
      <c r="G106" s="9">
        <v>230011</v>
      </c>
      <c r="H106" s="2" t="s">
        <v>149</v>
      </c>
      <c r="I106" s="2" t="s">
        <v>529</v>
      </c>
      <c r="J106" s="2" t="s">
        <v>83</v>
      </c>
      <c r="K106" s="2" t="s">
        <v>83</v>
      </c>
      <c r="L106" s="2" t="s">
        <v>185</v>
      </c>
      <c r="M106" s="2" t="s">
        <v>118</v>
      </c>
      <c r="N106" s="2" t="s">
        <v>332</v>
      </c>
      <c r="O106" s="2" t="s">
        <v>84</v>
      </c>
      <c r="P106" s="2" t="s">
        <v>87</v>
      </c>
      <c r="Q106" s="5">
        <v>30000</v>
      </c>
      <c r="R106" s="5">
        <v>1</v>
      </c>
      <c r="S106" s="5">
        <v>473</v>
      </c>
      <c r="T106" s="5">
        <v>0</v>
      </c>
      <c r="U106" s="5">
        <v>141.9</v>
      </c>
      <c r="V106" s="6">
        <v>1.08E-5</v>
      </c>
      <c r="W106" s="6">
        <v>1.4480000000000001E-3</v>
      </c>
      <c r="X106" s="6">
        <v>1.7000000000000001E-4</v>
      </c>
      <c r="Y106" s="2" t="s">
        <v>3</v>
      </c>
      <c r="Z106" s="57" t="s">
        <v>4</v>
      </c>
      <c r="AA106" s="57" t="s">
        <v>1</v>
      </c>
    </row>
    <row r="107" spans="1:27">
      <c r="A107" s="2" t="s">
        <v>78</v>
      </c>
      <c r="B107" s="2" t="s">
        <v>96</v>
      </c>
      <c r="C107" s="2" t="s">
        <v>541</v>
      </c>
      <c r="D107" s="2" t="s">
        <v>542</v>
      </c>
      <c r="E107" s="2" t="s">
        <v>194</v>
      </c>
      <c r="F107" s="2" t="s">
        <v>543</v>
      </c>
      <c r="G107" s="9">
        <v>273011</v>
      </c>
      <c r="H107" s="2" t="s">
        <v>149</v>
      </c>
      <c r="I107" s="2" t="s">
        <v>529</v>
      </c>
      <c r="J107" s="2" t="s">
        <v>83</v>
      </c>
      <c r="K107" s="2" t="s">
        <v>83</v>
      </c>
      <c r="L107" s="2" t="s">
        <v>185</v>
      </c>
      <c r="M107" s="2" t="s">
        <v>118</v>
      </c>
      <c r="N107" s="2" t="s">
        <v>544</v>
      </c>
      <c r="O107" s="2" t="s">
        <v>84</v>
      </c>
      <c r="P107" s="2" t="s">
        <v>87</v>
      </c>
      <c r="Q107" s="5">
        <v>176</v>
      </c>
      <c r="R107" s="5">
        <v>1</v>
      </c>
      <c r="S107" s="5">
        <v>95150</v>
      </c>
      <c r="T107" s="5">
        <v>0</v>
      </c>
      <c r="U107" s="5">
        <v>167.464</v>
      </c>
      <c r="V107" s="6">
        <v>2.7E-6</v>
      </c>
      <c r="W107" s="6">
        <v>1.7089E-3</v>
      </c>
      <c r="X107" s="6">
        <v>2.0060000000000002E-4</v>
      </c>
      <c r="Y107" s="2" t="s">
        <v>3</v>
      </c>
      <c r="Z107" s="57" t="s">
        <v>4</v>
      </c>
      <c r="AA107" s="57" t="s">
        <v>1</v>
      </c>
    </row>
    <row r="108" spans="1:27">
      <c r="A108" s="2" t="s">
        <v>78</v>
      </c>
      <c r="B108" s="2" t="s">
        <v>96</v>
      </c>
      <c r="C108" s="2" t="s">
        <v>545</v>
      </c>
      <c r="D108" s="2" t="s">
        <v>546</v>
      </c>
      <c r="E108" s="2" t="s">
        <v>194</v>
      </c>
      <c r="F108" s="2" t="s">
        <v>547</v>
      </c>
      <c r="G108" s="9">
        <v>767012</v>
      </c>
      <c r="H108" s="2" t="s">
        <v>149</v>
      </c>
      <c r="I108" s="2" t="s">
        <v>529</v>
      </c>
      <c r="J108" s="2" t="s">
        <v>83</v>
      </c>
      <c r="K108" s="2" t="s">
        <v>83</v>
      </c>
      <c r="L108" s="2" t="s">
        <v>185</v>
      </c>
      <c r="M108" s="2" t="s">
        <v>118</v>
      </c>
      <c r="N108" s="2" t="s">
        <v>255</v>
      </c>
      <c r="O108" s="2" t="s">
        <v>84</v>
      </c>
      <c r="P108" s="2" t="s">
        <v>87</v>
      </c>
      <c r="Q108" s="5">
        <v>3414</v>
      </c>
      <c r="R108" s="5">
        <v>1</v>
      </c>
      <c r="S108" s="5">
        <v>3810</v>
      </c>
      <c r="T108" s="5">
        <v>0</v>
      </c>
      <c r="U108" s="5">
        <v>130.07339999999999</v>
      </c>
      <c r="V108" s="6">
        <v>1.34E-5</v>
      </c>
      <c r="W108" s="6">
        <v>1.3272999999999998E-3</v>
      </c>
      <c r="X108" s="6">
        <v>1.5579999999999999E-4</v>
      </c>
      <c r="Y108" s="2" t="s">
        <v>3</v>
      </c>
      <c r="Z108" s="57" t="s">
        <v>4</v>
      </c>
      <c r="AA108" s="57" t="s">
        <v>1</v>
      </c>
    </row>
    <row r="109" spans="1:27">
      <c r="A109" s="2" t="s">
        <v>78</v>
      </c>
      <c r="B109" s="2" t="s">
        <v>96</v>
      </c>
      <c r="C109" s="2" t="s">
        <v>550</v>
      </c>
      <c r="D109" s="2" t="s">
        <v>551</v>
      </c>
      <c r="E109" s="2" t="s">
        <v>194</v>
      </c>
      <c r="F109" s="2" t="s">
        <v>550</v>
      </c>
      <c r="G109" s="9">
        <v>691212</v>
      </c>
      <c r="H109" s="2" t="s">
        <v>149</v>
      </c>
      <c r="I109" s="2" t="s">
        <v>529</v>
      </c>
      <c r="J109" s="2" t="s">
        <v>83</v>
      </c>
      <c r="K109" s="2" t="s">
        <v>83</v>
      </c>
      <c r="L109" s="2" t="s">
        <v>185</v>
      </c>
      <c r="M109" s="2" t="s">
        <v>118</v>
      </c>
      <c r="N109" s="2" t="s">
        <v>400</v>
      </c>
      <c r="O109" s="2" t="s">
        <v>84</v>
      </c>
      <c r="P109" s="2" t="s">
        <v>87</v>
      </c>
      <c r="Q109" s="5">
        <v>13852</v>
      </c>
      <c r="R109" s="5">
        <v>1</v>
      </c>
      <c r="S109" s="5">
        <v>1946</v>
      </c>
      <c r="T109" s="5">
        <v>2.0581</v>
      </c>
      <c r="U109" s="5">
        <v>271.61810000000003</v>
      </c>
      <c r="V109" s="6">
        <v>1.11E-5</v>
      </c>
      <c r="W109" s="6">
        <v>2.7717000000000002E-3</v>
      </c>
      <c r="X109" s="6">
        <v>3.2530000000000005E-4</v>
      </c>
      <c r="Y109" s="2" t="s">
        <v>3</v>
      </c>
      <c r="Z109" s="57" t="s">
        <v>4</v>
      </c>
      <c r="AA109" s="57" t="s">
        <v>1</v>
      </c>
    </row>
    <row r="110" spans="1:27">
      <c r="A110" s="2" t="s">
        <v>78</v>
      </c>
      <c r="B110" s="2" t="s">
        <v>96</v>
      </c>
      <c r="C110" s="2" t="s">
        <v>552</v>
      </c>
      <c r="D110" s="2" t="s">
        <v>553</v>
      </c>
      <c r="E110" s="2" t="s">
        <v>194</v>
      </c>
      <c r="F110" s="2" t="s">
        <v>552</v>
      </c>
      <c r="G110" s="9">
        <v>695437</v>
      </c>
      <c r="H110" s="2" t="s">
        <v>149</v>
      </c>
      <c r="I110" s="2" t="s">
        <v>529</v>
      </c>
      <c r="J110" s="2" t="s">
        <v>83</v>
      </c>
      <c r="K110" s="2" t="s">
        <v>83</v>
      </c>
      <c r="L110" s="2" t="s">
        <v>185</v>
      </c>
      <c r="M110" s="2" t="s">
        <v>118</v>
      </c>
      <c r="N110" s="2" t="s">
        <v>400</v>
      </c>
      <c r="O110" s="2" t="s">
        <v>84</v>
      </c>
      <c r="P110" s="2" t="s">
        <v>87</v>
      </c>
      <c r="Q110" s="5">
        <v>1684</v>
      </c>
      <c r="R110" s="5">
        <v>1</v>
      </c>
      <c r="S110" s="5">
        <v>14000</v>
      </c>
      <c r="T110" s="5">
        <v>0</v>
      </c>
      <c r="U110" s="5">
        <v>235.76</v>
      </c>
      <c r="V110" s="6">
        <v>6.4999999999999996E-6</v>
      </c>
      <c r="W110" s="6">
        <v>2.4058E-3</v>
      </c>
      <c r="X110" s="6">
        <v>2.8240000000000003E-4</v>
      </c>
      <c r="Y110" s="2" t="s">
        <v>3</v>
      </c>
      <c r="Z110" s="57" t="s">
        <v>4</v>
      </c>
      <c r="AA110" s="57" t="s">
        <v>1</v>
      </c>
    </row>
    <row r="111" spans="1:27">
      <c r="A111" s="2" t="s">
        <v>78</v>
      </c>
      <c r="B111" s="2" t="s">
        <v>96</v>
      </c>
      <c r="C111" s="2" t="s">
        <v>554</v>
      </c>
      <c r="D111" s="2" t="s">
        <v>555</v>
      </c>
      <c r="E111" s="2" t="s">
        <v>194</v>
      </c>
      <c r="F111" s="2" t="s">
        <v>554</v>
      </c>
      <c r="G111" s="9">
        <v>1081124</v>
      </c>
      <c r="H111" s="2" t="s">
        <v>149</v>
      </c>
      <c r="I111" s="2" t="s">
        <v>529</v>
      </c>
      <c r="J111" s="2" t="s">
        <v>83</v>
      </c>
      <c r="K111" s="2" t="s">
        <v>83</v>
      </c>
      <c r="L111" s="2" t="s">
        <v>185</v>
      </c>
      <c r="M111" s="2" t="s">
        <v>118</v>
      </c>
      <c r="N111" s="2" t="s">
        <v>556</v>
      </c>
      <c r="O111" s="2" t="s">
        <v>84</v>
      </c>
      <c r="P111" s="2" t="s">
        <v>87</v>
      </c>
      <c r="Q111" s="5">
        <v>149</v>
      </c>
      <c r="R111" s="5">
        <v>1</v>
      </c>
      <c r="S111" s="5">
        <v>77500</v>
      </c>
      <c r="T111" s="5">
        <v>0</v>
      </c>
      <c r="U111" s="5">
        <v>115.47499999999999</v>
      </c>
      <c r="V111" s="6">
        <v>3.3000000000000002E-6</v>
      </c>
      <c r="W111" s="6">
        <v>1.1783E-3</v>
      </c>
      <c r="X111" s="6">
        <v>1.383E-4</v>
      </c>
      <c r="Y111" s="2" t="s">
        <v>3</v>
      </c>
      <c r="Z111" s="57" t="s">
        <v>4</v>
      </c>
      <c r="AA111" s="57" t="s">
        <v>1</v>
      </c>
    </row>
    <row r="112" spans="1:27">
      <c r="A112" s="2" t="s">
        <v>78</v>
      </c>
      <c r="B112" s="2" t="s">
        <v>96</v>
      </c>
      <c r="C112" s="2" t="s">
        <v>371</v>
      </c>
      <c r="D112" s="2" t="s">
        <v>372</v>
      </c>
      <c r="E112" s="2" t="s">
        <v>194</v>
      </c>
      <c r="F112" s="2" t="s">
        <v>557</v>
      </c>
      <c r="G112" s="9">
        <v>390013</v>
      </c>
      <c r="H112" s="2" t="s">
        <v>149</v>
      </c>
      <c r="I112" s="2" t="s">
        <v>529</v>
      </c>
      <c r="J112" s="2" t="s">
        <v>83</v>
      </c>
      <c r="K112" s="2" t="s">
        <v>83</v>
      </c>
      <c r="L112" s="2" t="s">
        <v>185</v>
      </c>
      <c r="M112" s="2" t="s">
        <v>118</v>
      </c>
      <c r="N112" s="2" t="s">
        <v>197</v>
      </c>
      <c r="O112" s="2" t="s">
        <v>84</v>
      </c>
      <c r="P112" s="2" t="s">
        <v>87</v>
      </c>
      <c r="Q112" s="5">
        <v>6800</v>
      </c>
      <c r="R112" s="5">
        <v>1</v>
      </c>
      <c r="S112" s="5">
        <v>2653</v>
      </c>
      <c r="T112" s="5">
        <v>1.224</v>
      </c>
      <c r="U112" s="5">
        <v>181.62799999999999</v>
      </c>
      <c r="V112" s="6">
        <v>3.7799999999999997E-5</v>
      </c>
      <c r="W112" s="6">
        <v>1.8534000000000001E-3</v>
      </c>
      <c r="X112" s="6">
        <v>2.176E-4</v>
      </c>
      <c r="Y112" s="2" t="s">
        <v>3</v>
      </c>
      <c r="Z112" s="57" t="s">
        <v>4</v>
      </c>
      <c r="AA112" s="57" t="s">
        <v>1</v>
      </c>
    </row>
    <row r="113" spans="1:27">
      <c r="A113" s="2" t="s">
        <v>78</v>
      </c>
      <c r="B113" s="2" t="s">
        <v>96</v>
      </c>
      <c r="C113" s="2" t="s">
        <v>558</v>
      </c>
      <c r="D113" s="2" t="s">
        <v>559</v>
      </c>
      <c r="E113" s="2" t="s">
        <v>194</v>
      </c>
      <c r="F113" s="2" t="s">
        <v>560</v>
      </c>
      <c r="G113" s="9">
        <v>662577</v>
      </c>
      <c r="H113" s="2" t="s">
        <v>149</v>
      </c>
      <c r="I113" s="2" t="s">
        <v>529</v>
      </c>
      <c r="J113" s="2" t="s">
        <v>83</v>
      </c>
      <c r="K113" s="2" t="s">
        <v>83</v>
      </c>
      <c r="L113" s="2" t="s">
        <v>185</v>
      </c>
      <c r="M113" s="2" t="s">
        <v>118</v>
      </c>
      <c r="N113" s="2" t="s">
        <v>400</v>
      </c>
      <c r="O113" s="2" t="s">
        <v>84</v>
      </c>
      <c r="P113" s="2" t="s">
        <v>87</v>
      </c>
      <c r="Q113" s="5">
        <v>5077</v>
      </c>
      <c r="R113" s="5">
        <v>1</v>
      </c>
      <c r="S113" s="5">
        <v>3500</v>
      </c>
      <c r="T113" s="5">
        <v>1.3363</v>
      </c>
      <c r="U113" s="5">
        <v>179.03137000000001</v>
      </c>
      <c r="V113" s="6">
        <v>3.7000000000000002E-6</v>
      </c>
      <c r="W113" s="6">
        <v>1.8269E-3</v>
      </c>
      <c r="X113" s="6">
        <v>2.1440000000000001E-4</v>
      </c>
      <c r="Y113" s="2" t="s">
        <v>3</v>
      </c>
      <c r="Z113" s="57" t="s">
        <v>4</v>
      </c>
      <c r="AA113" s="57" t="s">
        <v>1</v>
      </c>
    </row>
    <row r="114" spans="1:27">
      <c r="A114" s="2" t="s">
        <v>78</v>
      </c>
      <c r="B114" s="2" t="s">
        <v>96</v>
      </c>
      <c r="C114" s="2" t="s">
        <v>342</v>
      </c>
      <c r="D114" s="2" t="s">
        <v>343</v>
      </c>
      <c r="E114" s="2" t="s">
        <v>194</v>
      </c>
      <c r="F114" s="2" t="s">
        <v>342</v>
      </c>
      <c r="G114" s="9">
        <v>1097278</v>
      </c>
      <c r="H114" s="2" t="s">
        <v>149</v>
      </c>
      <c r="I114" s="2" t="s">
        <v>529</v>
      </c>
      <c r="J114" s="2" t="s">
        <v>83</v>
      </c>
      <c r="K114" s="2" t="s">
        <v>83</v>
      </c>
      <c r="L114" s="2" t="s">
        <v>185</v>
      </c>
      <c r="M114" s="2" t="s">
        <v>118</v>
      </c>
      <c r="N114" s="2" t="s">
        <v>197</v>
      </c>
      <c r="O114" s="2" t="s">
        <v>84</v>
      </c>
      <c r="P114" s="2" t="s">
        <v>87</v>
      </c>
      <c r="Q114" s="5">
        <v>5000</v>
      </c>
      <c r="R114" s="5">
        <v>1</v>
      </c>
      <c r="S114" s="5">
        <v>1749</v>
      </c>
      <c r="T114" s="5">
        <v>0</v>
      </c>
      <c r="U114" s="5">
        <v>87.45</v>
      </c>
      <c r="V114" s="6">
        <v>1.06E-5</v>
      </c>
      <c r="W114" s="6">
        <v>8.9240000000000001E-4</v>
      </c>
      <c r="X114" s="6">
        <v>1.047E-4</v>
      </c>
      <c r="Y114" s="2" t="s">
        <v>3</v>
      </c>
      <c r="Z114" s="57" t="s">
        <v>4</v>
      </c>
      <c r="AA114" s="57" t="s">
        <v>1</v>
      </c>
    </row>
    <row r="115" spans="1:27">
      <c r="A115" s="2" t="s">
        <v>78</v>
      </c>
      <c r="B115" s="2" t="s">
        <v>96</v>
      </c>
      <c r="C115" s="2" t="s">
        <v>358</v>
      </c>
      <c r="D115" s="2" t="s">
        <v>359</v>
      </c>
      <c r="E115" s="2" t="s">
        <v>194</v>
      </c>
      <c r="F115" s="2" t="s">
        <v>561</v>
      </c>
      <c r="G115" s="9">
        <v>323014</v>
      </c>
      <c r="H115" s="2" t="s">
        <v>149</v>
      </c>
      <c r="I115" s="2" t="s">
        <v>529</v>
      </c>
      <c r="J115" s="2" t="s">
        <v>83</v>
      </c>
      <c r="K115" s="2" t="s">
        <v>83</v>
      </c>
      <c r="L115" s="2" t="s">
        <v>185</v>
      </c>
      <c r="M115" s="2" t="s">
        <v>118</v>
      </c>
      <c r="N115" s="2" t="s">
        <v>197</v>
      </c>
      <c r="O115" s="2" t="s">
        <v>84</v>
      </c>
      <c r="P115" s="2" t="s">
        <v>87</v>
      </c>
      <c r="Q115" s="5">
        <v>317</v>
      </c>
      <c r="R115" s="5">
        <v>1</v>
      </c>
      <c r="S115" s="5">
        <v>26900</v>
      </c>
      <c r="T115" s="5">
        <v>0.8004</v>
      </c>
      <c r="U115" s="5">
        <v>86.073480000000004</v>
      </c>
      <c r="V115" s="6">
        <v>6.6000000000000003E-6</v>
      </c>
      <c r="W115" s="6">
        <v>8.7830000000000004E-4</v>
      </c>
      <c r="X115" s="6">
        <v>1.031E-4</v>
      </c>
      <c r="Y115" s="2" t="s">
        <v>3</v>
      </c>
      <c r="Z115" s="57" t="s">
        <v>4</v>
      </c>
      <c r="AA115" s="57" t="s">
        <v>1</v>
      </c>
    </row>
    <row r="116" spans="1:27">
      <c r="A116" s="2" t="s">
        <v>78</v>
      </c>
      <c r="B116" s="2" t="s">
        <v>96</v>
      </c>
      <c r="C116" s="2" t="s">
        <v>201</v>
      </c>
      <c r="D116" s="2" t="s">
        <v>202</v>
      </c>
      <c r="E116" s="2" t="s">
        <v>194</v>
      </c>
      <c r="F116" s="2" t="s">
        <v>565</v>
      </c>
      <c r="G116" s="9">
        <v>1090315</v>
      </c>
      <c r="H116" s="2" t="s">
        <v>149</v>
      </c>
      <c r="I116" s="2" t="s">
        <v>529</v>
      </c>
      <c r="J116" s="2" t="s">
        <v>83</v>
      </c>
      <c r="K116" s="2" t="s">
        <v>83</v>
      </c>
      <c r="L116" s="2" t="s">
        <v>185</v>
      </c>
      <c r="M116" s="2" t="s">
        <v>118</v>
      </c>
      <c r="N116" s="2" t="s">
        <v>205</v>
      </c>
      <c r="O116" s="2" t="s">
        <v>84</v>
      </c>
      <c r="P116" s="2" t="s">
        <v>87</v>
      </c>
      <c r="Q116" s="5">
        <v>765</v>
      </c>
      <c r="R116" s="5">
        <v>1</v>
      </c>
      <c r="S116" s="5">
        <v>28600</v>
      </c>
      <c r="T116" s="5">
        <v>0</v>
      </c>
      <c r="U116" s="5">
        <v>218.79</v>
      </c>
      <c r="V116" s="6">
        <v>3.9799999999999998E-5</v>
      </c>
      <c r="W116" s="6">
        <v>2.2325999999999999E-3</v>
      </c>
      <c r="X116" s="6">
        <v>2.6210000000000003E-4</v>
      </c>
      <c r="Y116" s="2" t="s">
        <v>3</v>
      </c>
      <c r="Z116" s="57" t="s">
        <v>4</v>
      </c>
      <c r="AA116" s="57" t="s">
        <v>1</v>
      </c>
    </row>
    <row r="117" spans="1:27">
      <c r="A117" s="2" t="s">
        <v>78</v>
      </c>
      <c r="B117" s="2" t="s">
        <v>96</v>
      </c>
      <c r="C117" s="2" t="s">
        <v>248</v>
      </c>
      <c r="D117" s="2" t="s">
        <v>249</v>
      </c>
      <c r="E117" s="2" t="s">
        <v>194</v>
      </c>
      <c r="F117" s="2" t="s">
        <v>248</v>
      </c>
      <c r="G117" s="9">
        <v>1119478</v>
      </c>
      <c r="H117" s="2" t="s">
        <v>149</v>
      </c>
      <c r="I117" s="2" t="s">
        <v>529</v>
      </c>
      <c r="J117" s="2" t="s">
        <v>83</v>
      </c>
      <c r="K117" s="2" t="s">
        <v>83</v>
      </c>
      <c r="L117" s="2" t="s">
        <v>185</v>
      </c>
      <c r="M117" s="2" t="s">
        <v>118</v>
      </c>
      <c r="N117" s="2" t="s">
        <v>197</v>
      </c>
      <c r="O117" s="2" t="s">
        <v>84</v>
      </c>
      <c r="P117" s="2" t="s">
        <v>87</v>
      </c>
      <c r="Q117" s="5">
        <v>582</v>
      </c>
      <c r="R117" s="5">
        <v>1</v>
      </c>
      <c r="S117" s="5">
        <v>26610</v>
      </c>
      <c r="T117" s="5">
        <v>0</v>
      </c>
      <c r="U117" s="5">
        <v>154.87020000000001</v>
      </c>
      <c r="V117" s="6">
        <v>4.6999999999999999E-6</v>
      </c>
      <c r="W117" s="6">
        <v>1.5803E-3</v>
      </c>
      <c r="X117" s="6">
        <v>1.8550000000000001E-4</v>
      </c>
      <c r="Y117" s="2" t="s">
        <v>3</v>
      </c>
      <c r="Z117" s="57" t="s">
        <v>4</v>
      </c>
      <c r="AA117" s="57" t="s">
        <v>1</v>
      </c>
    </row>
    <row r="118" spans="1:27">
      <c r="A118" s="2" t="s">
        <v>78</v>
      </c>
      <c r="B118" s="2" t="s">
        <v>96</v>
      </c>
      <c r="C118" s="2" t="s">
        <v>294</v>
      </c>
      <c r="D118" s="2" t="s">
        <v>295</v>
      </c>
      <c r="E118" s="2" t="s">
        <v>194</v>
      </c>
      <c r="F118" s="2" t="s">
        <v>566</v>
      </c>
      <c r="G118" s="9">
        <v>1123355</v>
      </c>
      <c r="H118" s="2" t="s">
        <v>149</v>
      </c>
      <c r="I118" s="2" t="s">
        <v>529</v>
      </c>
      <c r="J118" s="2" t="s">
        <v>83</v>
      </c>
      <c r="K118" s="2" t="s">
        <v>83</v>
      </c>
      <c r="L118" s="2" t="s">
        <v>185</v>
      </c>
      <c r="M118" s="2" t="s">
        <v>118</v>
      </c>
      <c r="N118" s="2" t="s">
        <v>215</v>
      </c>
      <c r="O118" s="2" t="s">
        <v>84</v>
      </c>
      <c r="P118" s="2" t="s">
        <v>87</v>
      </c>
      <c r="Q118" s="5">
        <v>23630</v>
      </c>
      <c r="R118" s="5">
        <v>1</v>
      </c>
      <c r="S118" s="5">
        <v>1352</v>
      </c>
      <c r="T118" s="5">
        <v>0</v>
      </c>
      <c r="U118" s="5">
        <v>319.4776</v>
      </c>
      <c r="V118" s="6">
        <v>4.3099999999999997E-5</v>
      </c>
      <c r="W118" s="6">
        <v>3.2601000000000002E-3</v>
      </c>
      <c r="X118" s="6">
        <v>3.8269999999999998E-4</v>
      </c>
      <c r="Y118" s="2" t="s">
        <v>3</v>
      </c>
      <c r="Z118" s="57" t="s">
        <v>4</v>
      </c>
      <c r="AA118" s="57" t="s">
        <v>1</v>
      </c>
    </row>
    <row r="119" spans="1:27">
      <c r="A119" s="2" t="s">
        <v>78</v>
      </c>
      <c r="B119" s="2" t="s">
        <v>96</v>
      </c>
      <c r="C119" s="2" t="s">
        <v>567</v>
      </c>
      <c r="D119" s="2" t="s">
        <v>568</v>
      </c>
      <c r="E119" s="2" t="s">
        <v>194</v>
      </c>
      <c r="F119" s="2" t="s">
        <v>569</v>
      </c>
      <c r="G119" s="9">
        <v>258012</v>
      </c>
      <c r="H119" s="2" t="s">
        <v>149</v>
      </c>
      <c r="I119" s="2" t="s">
        <v>529</v>
      </c>
      <c r="J119" s="2" t="s">
        <v>83</v>
      </c>
      <c r="K119" s="2" t="s">
        <v>83</v>
      </c>
      <c r="L119" s="2" t="s">
        <v>185</v>
      </c>
      <c r="M119" s="2" t="s">
        <v>118</v>
      </c>
      <c r="N119" s="2" t="s">
        <v>389</v>
      </c>
      <c r="O119" s="2" t="s">
        <v>84</v>
      </c>
      <c r="P119" s="2" t="s">
        <v>87</v>
      </c>
      <c r="Q119" s="5">
        <v>500</v>
      </c>
      <c r="R119" s="5">
        <v>1</v>
      </c>
      <c r="S119" s="5">
        <v>30040</v>
      </c>
      <c r="T119" s="5">
        <v>1.3219000000000001</v>
      </c>
      <c r="U119" s="5">
        <v>151.52191999999999</v>
      </c>
      <c r="V119" s="6">
        <v>5.8199999999999998E-5</v>
      </c>
      <c r="W119" s="6">
        <v>1.5462000000000002E-3</v>
      </c>
      <c r="X119" s="6">
        <v>1.8149999999999999E-4</v>
      </c>
      <c r="Y119" s="2" t="s">
        <v>3</v>
      </c>
      <c r="Z119" s="57" t="s">
        <v>4</v>
      </c>
      <c r="AA119" s="57" t="s">
        <v>1</v>
      </c>
    </row>
    <row r="120" spans="1:27">
      <c r="A120" s="2" t="s">
        <v>78</v>
      </c>
      <c r="B120" s="2" t="s">
        <v>96</v>
      </c>
      <c r="C120" s="2" t="s">
        <v>570</v>
      </c>
      <c r="D120" s="2" t="s">
        <v>571</v>
      </c>
      <c r="E120" s="2" t="s">
        <v>194</v>
      </c>
      <c r="F120" s="2" t="s">
        <v>572</v>
      </c>
      <c r="G120" s="9">
        <v>434019</v>
      </c>
      <c r="H120" s="2" t="s">
        <v>149</v>
      </c>
      <c r="I120" s="2" t="s">
        <v>529</v>
      </c>
      <c r="J120" s="2" t="s">
        <v>83</v>
      </c>
      <c r="K120" s="2" t="s">
        <v>83</v>
      </c>
      <c r="L120" s="2" t="s">
        <v>185</v>
      </c>
      <c r="M120" s="2" t="s">
        <v>118</v>
      </c>
      <c r="N120" s="2" t="s">
        <v>205</v>
      </c>
      <c r="O120" s="2" t="s">
        <v>84</v>
      </c>
      <c r="P120" s="2" t="s">
        <v>87</v>
      </c>
      <c r="Q120" s="5">
        <v>18000</v>
      </c>
      <c r="R120" s="5">
        <v>1</v>
      </c>
      <c r="S120" s="5">
        <v>1475</v>
      </c>
      <c r="T120" s="5">
        <v>0</v>
      </c>
      <c r="U120" s="5">
        <v>265.5</v>
      </c>
      <c r="V120" s="6">
        <v>5.5800000000000001E-5</v>
      </c>
      <c r="W120" s="6">
        <v>2.7092000000000001E-3</v>
      </c>
      <c r="X120" s="6">
        <v>3.1800000000000003E-4</v>
      </c>
      <c r="Y120" s="2" t="s">
        <v>3</v>
      </c>
      <c r="Z120" s="57" t="s">
        <v>4</v>
      </c>
      <c r="AA120" s="57" t="s">
        <v>1</v>
      </c>
    </row>
    <row r="121" spans="1:27">
      <c r="A121" s="2" t="s">
        <v>78</v>
      </c>
      <c r="B121" s="2" t="s">
        <v>96</v>
      </c>
      <c r="C121" s="2" t="s">
        <v>212</v>
      </c>
      <c r="D121" s="2" t="s">
        <v>213</v>
      </c>
      <c r="E121" s="2" t="s">
        <v>194</v>
      </c>
      <c r="F121" s="2" t="s">
        <v>573</v>
      </c>
      <c r="G121" s="9">
        <v>720011</v>
      </c>
      <c r="H121" s="2" t="s">
        <v>149</v>
      </c>
      <c r="I121" s="2" t="s">
        <v>529</v>
      </c>
      <c r="J121" s="2" t="s">
        <v>83</v>
      </c>
      <c r="K121" s="2" t="s">
        <v>83</v>
      </c>
      <c r="L121" s="2" t="s">
        <v>185</v>
      </c>
      <c r="M121" s="2" t="s">
        <v>118</v>
      </c>
      <c r="N121" s="2" t="s">
        <v>215</v>
      </c>
      <c r="O121" s="2" t="s">
        <v>84</v>
      </c>
      <c r="P121" s="2" t="s">
        <v>87</v>
      </c>
      <c r="Q121" s="5">
        <v>2830.5</v>
      </c>
      <c r="R121" s="5">
        <v>1</v>
      </c>
      <c r="S121" s="5">
        <v>6299</v>
      </c>
      <c r="T121" s="5">
        <v>0</v>
      </c>
      <c r="U121" s="5">
        <v>178.29319000000001</v>
      </c>
      <c r="V121" s="6">
        <v>2.3900000000000002E-5</v>
      </c>
      <c r="W121" s="6">
        <v>1.8193999999999999E-3</v>
      </c>
      <c r="X121" s="6">
        <v>2.1360000000000001E-4</v>
      </c>
      <c r="Y121" s="2" t="s">
        <v>3</v>
      </c>
      <c r="Z121" s="57" t="s">
        <v>4</v>
      </c>
      <c r="AA121" s="57" t="s">
        <v>1</v>
      </c>
    </row>
    <row r="122" spans="1:27">
      <c r="A122" s="2" t="s">
        <v>78</v>
      </c>
      <c r="B122" s="2" t="s">
        <v>96</v>
      </c>
      <c r="C122" s="2" t="s">
        <v>576</v>
      </c>
      <c r="D122" s="2" t="s">
        <v>577</v>
      </c>
      <c r="E122" s="2" t="s">
        <v>194</v>
      </c>
      <c r="F122" s="2" t="s">
        <v>576</v>
      </c>
      <c r="G122" s="9">
        <v>1141464</v>
      </c>
      <c r="H122" s="2" t="s">
        <v>149</v>
      </c>
      <c r="I122" s="2" t="s">
        <v>529</v>
      </c>
      <c r="J122" s="2" t="s">
        <v>83</v>
      </c>
      <c r="K122" s="2" t="s">
        <v>83</v>
      </c>
      <c r="L122" s="2" t="s">
        <v>185</v>
      </c>
      <c r="M122" s="2" t="s">
        <v>118</v>
      </c>
      <c r="N122" s="2" t="s">
        <v>210</v>
      </c>
      <c r="O122" s="2" t="s">
        <v>84</v>
      </c>
      <c r="P122" s="2" t="s">
        <v>87</v>
      </c>
      <c r="Q122" s="5">
        <v>6800</v>
      </c>
      <c r="R122" s="5">
        <v>1</v>
      </c>
      <c r="S122" s="5">
        <v>848.3</v>
      </c>
      <c r="T122" s="5">
        <v>0</v>
      </c>
      <c r="U122" s="5">
        <v>57.684399999999997</v>
      </c>
      <c r="V122" s="6">
        <v>9.5299999999999999E-5</v>
      </c>
      <c r="W122" s="6">
        <v>5.886E-4</v>
      </c>
      <c r="X122" s="6">
        <v>6.9099999999999999E-5</v>
      </c>
      <c r="Y122" s="2" t="s">
        <v>3</v>
      </c>
      <c r="Z122" s="57" t="s">
        <v>4</v>
      </c>
      <c r="AA122" s="57" t="s">
        <v>1</v>
      </c>
    </row>
    <row r="123" spans="1:27">
      <c r="A123" s="2" t="s">
        <v>78</v>
      </c>
      <c r="B123" s="2" t="s">
        <v>96</v>
      </c>
      <c r="C123" s="2" t="s">
        <v>578</v>
      </c>
      <c r="D123" s="2" t="s">
        <v>579</v>
      </c>
      <c r="E123" s="2" t="s">
        <v>194</v>
      </c>
      <c r="F123" s="2" t="s">
        <v>578</v>
      </c>
      <c r="G123" s="9">
        <v>1178714</v>
      </c>
      <c r="H123" s="2" t="s">
        <v>149</v>
      </c>
      <c r="I123" s="2" t="s">
        <v>529</v>
      </c>
      <c r="J123" s="2" t="s">
        <v>83</v>
      </c>
      <c r="K123" s="2" t="s">
        <v>83</v>
      </c>
      <c r="L123" s="2" t="s">
        <v>185</v>
      </c>
      <c r="M123" s="2" t="s">
        <v>118</v>
      </c>
      <c r="N123" s="2" t="s">
        <v>471</v>
      </c>
      <c r="O123" s="2" t="s">
        <v>84</v>
      </c>
      <c r="P123" s="2" t="s">
        <v>87</v>
      </c>
      <c r="Q123" s="5">
        <v>8675</v>
      </c>
      <c r="R123" s="5">
        <v>1</v>
      </c>
      <c r="S123" s="5">
        <v>283.8</v>
      </c>
      <c r="T123" s="5">
        <v>0</v>
      </c>
      <c r="U123" s="5">
        <v>24.61965</v>
      </c>
      <c r="V123" s="6">
        <v>6.8900000000000008E-5</v>
      </c>
      <c r="W123" s="6">
        <v>2.5119999999999998E-4</v>
      </c>
      <c r="X123" s="6">
        <v>2.9499999999999999E-5</v>
      </c>
      <c r="Y123" s="2" t="s">
        <v>3</v>
      </c>
      <c r="Z123" s="57" t="s">
        <v>4</v>
      </c>
      <c r="AA123" s="57" t="s">
        <v>1</v>
      </c>
    </row>
    <row r="124" spans="1:27">
      <c r="A124" s="2" t="s">
        <v>78</v>
      </c>
      <c r="B124" s="2" t="s">
        <v>96</v>
      </c>
      <c r="C124" s="2" t="s">
        <v>580</v>
      </c>
      <c r="D124" s="2" t="s">
        <v>581</v>
      </c>
      <c r="E124" s="2" t="s">
        <v>168</v>
      </c>
      <c r="F124" s="2" t="s">
        <v>582</v>
      </c>
      <c r="G124" s="2" t="s">
        <v>583</v>
      </c>
      <c r="H124" s="2" t="s">
        <v>183</v>
      </c>
      <c r="I124" s="2" t="s">
        <v>529</v>
      </c>
      <c r="J124" s="2" t="s">
        <v>148</v>
      </c>
      <c r="K124" s="2" t="s">
        <v>156</v>
      </c>
      <c r="L124" s="2" t="s">
        <v>185</v>
      </c>
      <c r="M124" s="2" t="s">
        <v>584</v>
      </c>
      <c r="N124" s="2" t="s">
        <v>585</v>
      </c>
      <c r="O124" s="2" t="s">
        <v>84</v>
      </c>
      <c r="P124" s="2" t="s">
        <v>91</v>
      </c>
      <c r="Q124" s="5">
        <v>260</v>
      </c>
      <c r="R124" s="5">
        <v>3.681</v>
      </c>
      <c r="S124" s="5">
        <v>15093</v>
      </c>
      <c r="T124" s="5">
        <v>0</v>
      </c>
      <c r="U124" s="5">
        <v>144.44906</v>
      </c>
      <c r="V124" s="6">
        <v>0</v>
      </c>
      <c r="W124" s="6">
        <v>1.474E-3</v>
      </c>
      <c r="X124" s="6">
        <v>1.73E-4</v>
      </c>
      <c r="Y124" s="9">
        <v>70651708</v>
      </c>
      <c r="Z124" s="57" t="s">
        <v>4</v>
      </c>
      <c r="AA124" s="57" t="s">
        <v>1</v>
      </c>
    </row>
    <row r="125" spans="1:27">
      <c r="A125" s="2" t="s">
        <v>78</v>
      </c>
      <c r="B125" s="2" t="s">
        <v>96</v>
      </c>
      <c r="C125" s="2" t="s">
        <v>586</v>
      </c>
      <c r="D125" s="2" t="s">
        <v>587</v>
      </c>
      <c r="E125" s="2" t="s">
        <v>168</v>
      </c>
      <c r="F125" s="2" t="s">
        <v>588</v>
      </c>
      <c r="G125" s="2" t="s">
        <v>589</v>
      </c>
      <c r="H125" s="2" t="s">
        <v>183</v>
      </c>
      <c r="I125" s="2" t="s">
        <v>529</v>
      </c>
      <c r="J125" s="2" t="s">
        <v>148</v>
      </c>
      <c r="K125" s="2" t="s">
        <v>156</v>
      </c>
      <c r="L125" s="2" t="s">
        <v>185</v>
      </c>
      <c r="M125" s="2" t="s">
        <v>590</v>
      </c>
      <c r="N125" s="2" t="s">
        <v>591</v>
      </c>
      <c r="O125" s="2" t="s">
        <v>84</v>
      </c>
      <c r="P125" s="2" t="s">
        <v>91</v>
      </c>
      <c r="Q125" s="5">
        <v>292</v>
      </c>
      <c r="R125" s="5">
        <v>3.681</v>
      </c>
      <c r="S125" s="5">
        <v>42072</v>
      </c>
      <c r="T125" s="5">
        <v>0</v>
      </c>
      <c r="U125" s="5">
        <v>452.21172999999999</v>
      </c>
      <c r="V125" s="6">
        <v>0</v>
      </c>
      <c r="W125" s="6">
        <v>4.6145000000000005E-3</v>
      </c>
      <c r="X125" s="6">
        <v>5.4169999999999999E-4</v>
      </c>
      <c r="Y125" s="9">
        <v>70388095</v>
      </c>
      <c r="Z125" s="57" t="s">
        <v>4</v>
      </c>
      <c r="AA125" s="57" t="s">
        <v>1</v>
      </c>
    </row>
    <row r="126" spans="1:27">
      <c r="A126" s="2" t="s">
        <v>78</v>
      </c>
      <c r="B126" s="2" t="s">
        <v>96</v>
      </c>
      <c r="C126" s="2" t="s">
        <v>596</v>
      </c>
      <c r="D126" s="2" t="s">
        <v>597</v>
      </c>
      <c r="E126" s="2" t="s">
        <v>168</v>
      </c>
      <c r="F126" s="2" t="s">
        <v>598</v>
      </c>
      <c r="G126" s="2" t="s">
        <v>599</v>
      </c>
      <c r="H126" s="2" t="s">
        <v>183</v>
      </c>
      <c r="I126" s="2" t="s">
        <v>529</v>
      </c>
      <c r="J126" s="2" t="s">
        <v>148</v>
      </c>
      <c r="K126" s="2" t="s">
        <v>156</v>
      </c>
      <c r="L126" s="2" t="s">
        <v>185</v>
      </c>
      <c r="M126" s="2" t="s">
        <v>149</v>
      </c>
      <c r="N126" s="2" t="s">
        <v>504</v>
      </c>
      <c r="O126" s="2" t="s">
        <v>84</v>
      </c>
      <c r="P126" s="2" t="s">
        <v>91</v>
      </c>
      <c r="Q126" s="5">
        <v>850</v>
      </c>
      <c r="R126" s="5">
        <v>3.681</v>
      </c>
      <c r="S126" s="5">
        <v>6619</v>
      </c>
      <c r="T126" s="5">
        <v>0</v>
      </c>
      <c r="U126" s="5">
        <v>207.09858</v>
      </c>
      <c r="V126" s="6">
        <v>1.4E-5</v>
      </c>
      <c r="W126" s="6">
        <v>2.1132999999999998E-3</v>
      </c>
      <c r="X126" s="6">
        <v>2.4810000000000001E-4</v>
      </c>
      <c r="Y126" s="9">
        <v>70655667</v>
      </c>
      <c r="Z126" s="57" t="s">
        <v>4</v>
      </c>
      <c r="AA126" s="57" t="s">
        <v>1</v>
      </c>
    </row>
    <row r="127" spans="1:27">
      <c r="A127" s="2" t="s">
        <v>78</v>
      </c>
      <c r="B127" s="2" t="s">
        <v>96</v>
      </c>
      <c r="C127" s="2" t="s">
        <v>600</v>
      </c>
      <c r="D127" s="2" t="s">
        <v>601</v>
      </c>
      <c r="E127" s="2" t="s">
        <v>168</v>
      </c>
      <c r="F127" s="2" t="s">
        <v>602</v>
      </c>
      <c r="G127" s="2" t="s">
        <v>603</v>
      </c>
      <c r="H127" s="2" t="s">
        <v>183</v>
      </c>
      <c r="I127" s="2" t="s">
        <v>529</v>
      </c>
      <c r="J127" s="2" t="s">
        <v>148</v>
      </c>
      <c r="K127" s="2" t="s">
        <v>156</v>
      </c>
      <c r="L127" s="2" t="s">
        <v>185</v>
      </c>
      <c r="M127" s="2" t="s">
        <v>584</v>
      </c>
      <c r="N127" s="2" t="s">
        <v>604</v>
      </c>
      <c r="O127" s="2" t="s">
        <v>84</v>
      </c>
      <c r="P127" s="2" t="s">
        <v>91</v>
      </c>
      <c r="Q127" s="5">
        <v>810</v>
      </c>
      <c r="R127" s="5">
        <v>3.681</v>
      </c>
      <c r="S127" s="5">
        <v>6017</v>
      </c>
      <c r="T127" s="5">
        <v>0.1167</v>
      </c>
      <c r="U127" s="5">
        <v>179.83328</v>
      </c>
      <c r="V127" s="6">
        <v>1.0000000000000001E-7</v>
      </c>
      <c r="W127" s="6">
        <v>1.8351000000000001E-3</v>
      </c>
      <c r="X127" s="6">
        <v>2.154E-4</v>
      </c>
      <c r="Y127" s="9">
        <v>70464730</v>
      </c>
      <c r="Z127" s="57" t="s">
        <v>4</v>
      </c>
      <c r="AA127" s="57" t="s">
        <v>1</v>
      </c>
    </row>
    <row r="128" spans="1:27">
      <c r="A128" s="2" t="s">
        <v>78</v>
      </c>
      <c r="B128" s="2" t="s">
        <v>96</v>
      </c>
      <c r="C128" s="2" t="s">
        <v>613</v>
      </c>
      <c r="D128" s="2" t="s">
        <v>614</v>
      </c>
      <c r="E128" s="2" t="s">
        <v>168</v>
      </c>
      <c r="F128" s="2" t="s">
        <v>615</v>
      </c>
      <c r="G128" s="2" t="s">
        <v>616</v>
      </c>
      <c r="H128" s="2" t="s">
        <v>183</v>
      </c>
      <c r="I128" s="2" t="s">
        <v>529</v>
      </c>
      <c r="J128" s="2" t="s">
        <v>148</v>
      </c>
      <c r="K128" s="2" t="s">
        <v>156</v>
      </c>
      <c r="L128" s="2" t="s">
        <v>185</v>
      </c>
      <c r="M128" s="2" t="s">
        <v>149</v>
      </c>
      <c r="N128" s="2" t="s">
        <v>617</v>
      </c>
      <c r="O128" s="2" t="s">
        <v>84</v>
      </c>
      <c r="P128" s="2" t="s">
        <v>91</v>
      </c>
      <c r="Q128" s="5">
        <v>374</v>
      </c>
      <c r="R128" s="5">
        <v>3.681</v>
      </c>
      <c r="S128" s="5">
        <v>27908</v>
      </c>
      <c r="T128" s="5">
        <v>0</v>
      </c>
      <c r="U128" s="5">
        <v>384.20776000000001</v>
      </c>
      <c r="V128" s="6">
        <v>2.0000000000000002E-7</v>
      </c>
      <c r="W128" s="6">
        <v>3.9205999999999998E-3</v>
      </c>
      <c r="X128" s="6">
        <v>4.6019999999999996E-4</v>
      </c>
      <c r="Y128" s="9">
        <v>70961578</v>
      </c>
      <c r="Z128" s="57" t="s">
        <v>4</v>
      </c>
      <c r="AA128" s="57" t="s">
        <v>1</v>
      </c>
    </row>
    <row r="129" spans="1:27">
      <c r="A129" s="2" t="s">
        <v>78</v>
      </c>
      <c r="B129" s="2" t="s">
        <v>96</v>
      </c>
      <c r="C129" s="2" t="s">
        <v>618</v>
      </c>
      <c r="D129" s="2" t="s">
        <v>619</v>
      </c>
      <c r="E129" s="2" t="s">
        <v>168</v>
      </c>
      <c r="F129" s="2" t="s">
        <v>618</v>
      </c>
      <c r="G129" s="2" t="s">
        <v>620</v>
      </c>
      <c r="H129" s="2" t="s">
        <v>183</v>
      </c>
      <c r="I129" s="2" t="s">
        <v>529</v>
      </c>
      <c r="J129" s="2" t="s">
        <v>148</v>
      </c>
      <c r="K129" s="2" t="s">
        <v>156</v>
      </c>
      <c r="L129" s="2" t="s">
        <v>185</v>
      </c>
      <c r="M129" s="2" t="s">
        <v>149</v>
      </c>
      <c r="N129" s="2" t="s">
        <v>621</v>
      </c>
      <c r="O129" s="2" t="s">
        <v>84</v>
      </c>
      <c r="P129" s="2" t="s">
        <v>91</v>
      </c>
      <c r="Q129" s="5">
        <v>287</v>
      </c>
      <c r="R129" s="5">
        <v>3.681</v>
      </c>
      <c r="S129" s="5">
        <v>90356</v>
      </c>
      <c r="T129" s="5">
        <v>0</v>
      </c>
      <c r="U129" s="5">
        <v>954.56325000000004</v>
      </c>
      <c r="V129" s="6">
        <v>1.0000000000000001E-7</v>
      </c>
      <c r="W129" s="6">
        <v>9.7406999999999997E-3</v>
      </c>
      <c r="X129" s="6">
        <v>1.1433999999999999E-3</v>
      </c>
      <c r="Y129" s="9">
        <v>70500053</v>
      </c>
      <c r="Z129" s="57" t="s">
        <v>4</v>
      </c>
      <c r="AA129" s="57" t="s">
        <v>1</v>
      </c>
    </row>
    <row r="130" spans="1:27">
      <c r="A130" s="2" t="s">
        <v>78</v>
      </c>
      <c r="B130" s="2" t="s">
        <v>96</v>
      </c>
      <c r="C130" s="2" t="s">
        <v>628</v>
      </c>
      <c r="D130" s="2" t="s">
        <v>629</v>
      </c>
      <c r="E130" s="2" t="s">
        <v>168</v>
      </c>
      <c r="F130" s="2" t="s">
        <v>630</v>
      </c>
      <c r="G130" s="2" t="s">
        <v>631</v>
      </c>
      <c r="H130" s="2" t="s">
        <v>183</v>
      </c>
      <c r="I130" s="2" t="s">
        <v>529</v>
      </c>
      <c r="J130" s="2" t="s">
        <v>148</v>
      </c>
      <c r="K130" s="2" t="s">
        <v>156</v>
      </c>
      <c r="L130" s="2" t="s">
        <v>185</v>
      </c>
      <c r="M130" s="2" t="s">
        <v>149</v>
      </c>
      <c r="N130" s="2" t="s">
        <v>585</v>
      </c>
      <c r="O130" s="2" t="s">
        <v>84</v>
      </c>
      <c r="P130" s="2" t="s">
        <v>91</v>
      </c>
      <c r="Q130" s="5">
        <v>350</v>
      </c>
      <c r="R130" s="5">
        <v>3.681</v>
      </c>
      <c r="S130" s="5">
        <v>18038</v>
      </c>
      <c r="T130" s="5">
        <v>0</v>
      </c>
      <c r="U130" s="5">
        <v>232.39257000000001</v>
      </c>
      <c r="V130" s="6">
        <v>0</v>
      </c>
      <c r="W130" s="6">
        <v>2.3714000000000001E-3</v>
      </c>
      <c r="X130" s="6">
        <v>2.7839999999999999E-4</v>
      </c>
      <c r="Y130" s="9">
        <v>70481486</v>
      </c>
      <c r="Z130" s="57" t="s">
        <v>4</v>
      </c>
      <c r="AA130" s="57" t="s">
        <v>1</v>
      </c>
    </row>
    <row r="131" spans="1:27">
      <c r="A131" s="2" t="s">
        <v>78</v>
      </c>
      <c r="B131" s="2" t="s">
        <v>96</v>
      </c>
      <c r="C131" s="2" t="s">
        <v>632</v>
      </c>
      <c r="D131" s="2" t="s">
        <v>633</v>
      </c>
      <c r="E131" s="2" t="s">
        <v>168</v>
      </c>
      <c r="F131" s="2" t="s">
        <v>634</v>
      </c>
      <c r="G131" s="2" t="s">
        <v>635</v>
      </c>
      <c r="H131" s="2" t="s">
        <v>183</v>
      </c>
      <c r="I131" s="2" t="s">
        <v>529</v>
      </c>
      <c r="J131" s="2" t="s">
        <v>148</v>
      </c>
      <c r="K131" s="2" t="s">
        <v>83</v>
      </c>
      <c r="L131" s="2" t="s">
        <v>185</v>
      </c>
      <c r="M131" s="2" t="s">
        <v>149</v>
      </c>
      <c r="N131" s="2" t="s">
        <v>621</v>
      </c>
      <c r="O131" s="2" t="s">
        <v>84</v>
      </c>
      <c r="P131" s="2" t="s">
        <v>91</v>
      </c>
      <c r="Q131" s="5">
        <v>658</v>
      </c>
      <c r="R131" s="5">
        <v>3.681</v>
      </c>
      <c r="S131" s="5">
        <v>17738</v>
      </c>
      <c r="T131" s="5">
        <v>0</v>
      </c>
      <c r="U131" s="5">
        <v>429.63173999999998</v>
      </c>
      <c r="V131" s="6">
        <v>2.2599999999999997E-5</v>
      </c>
      <c r="W131" s="6">
        <v>4.3841000000000001E-3</v>
      </c>
      <c r="X131" s="6">
        <v>5.1460000000000004E-4</v>
      </c>
      <c r="Y131" s="9">
        <v>70507199</v>
      </c>
      <c r="Z131" s="57" t="s">
        <v>4</v>
      </c>
      <c r="AA131" s="57" t="s">
        <v>1</v>
      </c>
    </row>
    <row r="132" spans="1:27">
      <c r="A132" s="2" t="s">
        <v>78</v>
      </c>
      <c r="B132" s="2" t="s">
        <v>96</v>
      </c>
      <c r="C132" s="2" t="s">
        <v>1245</v>
      </c>
      <c r="D132" s="2" t="s">
        <v>685</v>
      </c>
      <c r="E132" s="2" t="s">
        <v>168</v>
      </c>
      <c r="F132" s="2" t="s">
        <v>686</v>
      </c>
      <c r="G132" s="2" t="s">
        <v>687</v>
      </c>
      <c r="H132" s="2" t="s">
        <v>183</v>
      </c>
      <c r="I132" s="2" t="s">
        <v>529</v>
      </c>
      <c r="J132" s="2" t="s">
        <v>148</v>
      </c>
      <c r="K132" s="2" t="s">
        <v>156</v>
      </c>
      <c r="L132" s="2" t="s">
        <v>185</v>
      </c>
      <c r="M132" s="2" t="s">
        <v>590</v>
      </c>
      <c r="N132" s="2" t="s">
        <v>585</v>
      </c>
      <c r="O132" s="2" t="s">
        <v>84</v>
      </c>
      <c r="P132" s="2" t="s">
        <v>91</v>
      </c>
      <c r="Q132" s="5">
        <v>155</v>
      </c>
      <c r="R132" s="5">
        <v>3.681</v>
      </c>
      <c r="S132" s="5">
        <v>48558</v>
      </c>
      <c r="T132" s="5">
        <v>0</v>
      </c>
      <c r="U132" s="5">
        <v>277.05009000000001</v>
      </c>
      <c r="V132" s="6">
        <v>0</v>
      </c>
      <c r="W132" s="6">
        <v>2.8271000000000004E-3</v>
      </c>
      <c r="X132" s="6">
        <v>3.3189999999999999E-4</v>
      </c>
      <c r="Y132" s="9">
        <v>74616640</v>
      </c>
      <c r="Z132" s="57" t="s">
        <v>4</v>
      </c>
      <c r="AA132" s="57" t="s">
        <v>1</v>
      </c>
    </row>
    <row r="133" spans="1:27">
      <c r="A133" s="2" t="s">
        <v>78</v>
      </c>
      <c r="B133" s="2" t="s">
        <v>96</v>
      </c>
      <c r="C133" s="2" t="s">
        <v>636</v>
      </c>
      <c r="D133" s="2" t="s">
        <v>637</v>
      </c>
      <c r="E133" s="2" t="s">
        <v>168</v>
      </c>
      <c r="F133" s="2" t="s">
        <v>638</v>
      </c>
      <c r="G133" s="2" t="s">
        <v>639</v>
      </c>
      <c r="H133" s="2" t="s">
        <v>183</v>
      </c>
      <c r="I133" s="2" t="s">
        <v>529</v>
      </c>
      <c r="J133" s="2" t="s">
        <v>148</v>
      </c>
      <c r="K133" s="2" t="s">
        <v>455</v>
      </c>
      <c r="L133" s="2" t="s">
        <v>185</v>
      </c>
      <c r="M133" s="2" t="s">
        <v>584</v>
      </c>
      <c r="N133" s="2" t="s">
        <v>621</v>
      </c>
      <c r="O133" s="2" t="s">
        <v>84</v>
      </c>
      <c r="P133" s="2" t="s">
        <v>91</v>
      </c>
      <c r="Q133" s="5">
        <v>283</v>
      </c>
      <c r="R133" s="5">
        <v>3.681</v>
      </c>
      <c r="S133" s="5">
        <v>97047</v>
      </c>
      <c r="T133" s="5">
        <v>0</v>
      </c>
      <c r="U133" s="5">
        <v>1010.96091</v>
      </c>
      <c r="V133" s="6">
        <v>6.9999999999999997E-7</v>
      </c>
      <c r="W133" s="6">
        <v>1.0316199999999999E-2</v>
      </c>
      <c r="X133" s="6">
        <v>1.2109E-3</v>
      </c>
      <c r="Y133" s="9">
        <v>70539671</v>
      </c>
      <c r="Z133" s="57" t="s">
        <v>4</v>
      </c>
      <c r="AA133" s="57" t="s">
        <v>1</v>
      </c>
    </row>
    <row r="134" spans="1:27">
      <c r="A134" s="2" t="s">
        <v>78</v>
      </c>
      <c r="B134" s="2" t="s">
        <v>96</v>
      </c>
      <c r="C134" s="2" t="s">
        <v>640</v>
      </c>
      <c r="D134" s="2" t="s">
        <v>641</v>
      </c>
      <c r="E134" s="2" t="s">
        <v>168</v>
      </c>
      <c r="F134" s="2" t="s">
        <v>642</v>
      </c>
      <c r="G134" s="2" t="s">
        <v>643</v>
      </c>
      <c r="H134" s="2" t="s">
        <v>183</v>
      </c>
      <c r="I134" s="2" t="s">
        <v>529</v>
      </c>
      <c r="J134" s="2" t="s">
        <v>148</v>
      </c>
      <c r="K134" s="2" t="s">
        <v>156</v>
      </c>
      <c r="L134" s="2" t="s">
        <v>185</v>
      </c>
      <c r="M134" s="2" t="s">
        <v>584</v>
      </c>
      <c r="N134" s="2" t="s">
        <v>274</v>
      </c>
      <c r="O134" s="2" t="s">
        <v>84</v>
      </c>
      <c r="P134" s="2" t="s">
        <v>91</v>
      </c>
      <c r="Q134" s="5">
        <v>205</v>
      </c>
      <c r="R134" s="5">
        <v>3.681</v>
      </c>
      <c r="S134" s="5">
        <v>17579</v>
      </c>
      <c r="T134" s="5">
        <v>0</v>
      </c>
      <c r="U134" s="5">
        <v>132.65200999999999</v>
      </c>
      <c r="V134" s="6">
        <v>0</v>
      </c>
      <c r="W134" s="6">
        <v>1.3536000000000002E-3</v>
      </c>
      <c r="X134" s="6">
        <v>1.5890000000000001E-4</v>
      </c>
      <c r="Y134" s="9">
        <v>74297391</v>
      </c>
      <c r="Z134" s="57" t="s">
        <v>4</v>
      </c>
      <c r="AA134" s="57" t="s">
        <v>1</v>
      </c>
    </row>
    <row r="135" spans="1:27">
      <c r="A135" s="2" t="s">
        <v>78</v>
      </c>
      <c r="B135" s="2" t="s">
        <v>96</v>
      </c>
      <c r="C135" s="2" t="s">
        <v>580</v>
      </c>
      <c r="D135" s="2" t="s">
        <v>581</v>
      </c>
      <c r="E135" s="2" t="s">
        <v>168</v>
      </c>
      <c r="F135" s="2" t="s">
        <v>688</v>
      </c>
      <c r="G135" s="2" t="s">
        <v>689</v>
      </c>
      <c r="H135" s="2" t="s">
        <v>183</v>
      </c>
      <c r="I135" s="2" t="s">
        <v>529</v>
      </c>
      <c r="J135" s="2" t="s">
        <v>148</v>
      </c>
      <c r="K135" s="2" t="s">
        <v>156</v>
      </c>
      <c r="L135" s="2" t="s">
        <v>185</v>
      </c>
      <c r="M135" s="2" t="s">
        <v>590</v>
      </c>
      <c r="N135" s="2" t="s">
        <v>585</v>
      </c>
      <c r="O135" s="2" t="s">
        <v>84</v>
      </c>
      <c r="P135" s="2" t="s">
        <v>91</v>
      </c>
      <c r="Q135" s="5">
        <v>1260</v>
      </c>
      <c r="R135" s="5">
        <v>3.681</v>
      </c>
      <c r="S135" s="5">
        <v>15226</v>
      </c>
      <c r="T135" s="5">
        <v>0</v>
      </c>
      <c r="U135" s="5">
        <v>706.19101000000001</v>
      </c>
      <c r="V135" s="6">
        <v>2.0000000000000002E-7</v>
      </c>
      <c r="W135" s="6">
        <v>7.2062000000000003E-3</v>
      </c>
      <c r="X135" s="6">
        <v>8.4590000000000002E-4</v>
      </c>
      <c r="Y135" s="9">
        <v>74978859</v>
      </c>
      <c r="Z135" s="57" t="s">
        <v>4</v>
      </c>
      <c r="AA135" s="57" t="s">
        <v>1</v>
      </c>
    </row>
    <row r="136" spans="1:27">
      <c r="A136" s="2" t="s">
        <v>78</v>
      </c>
      <c r="B136" s="2" t="s">
        <v>96</v>
      </c>
      <c r="C136" s="2" t="s">
        <v>644</v>
      </c>
      <c r="D136" s="2" t="s">
        <v>645</v>
      </c>
      <c r="E136" s="2" t="s">
        <v>168</v>
      </c>
      <c r="F136" s="2" t="s">
        <v>646</v>
      </c>
      <c r="G136" s="2" t="s">
        <v>647</v>
      </c>
      <c r="H136" s="2" t="s">
        <v>183</v>
      </c>
      <c r="I136" s="2" t="s">
        <v>529</v>
      </c>
      <c r="J136" s="2" t="s">
        <v>148</v>
      </c>
      <c r="K136" s="2" t="s">
        <v>156</v>
      </c>
      <c r="L136" s="2" t="s">
        <v>185</v>
      </c>
      <c r="M136" s="2" t="s">
        <v>590</v>
      </c>
      <c r="N136" s="2" t="s">
        <v>591</v>
      </c>
      <c r="O136" s="2" t="s">
        <v>84</v>
      </c>
      <c r="P136" s="2" t="s">
        <v>91</v>
      </c>
      <c r="Q136" s="5">
        <v>350</v>
      </c>
      <c r="R136" s="5">
        <v>3.681</v>
      </c>
      <c r="S136" s="5">
        <v>6699</v>
      </c>
      <c r="T136" s="5">
        <v>0</v>
      </c>
      <c r="U136" s="5">
        <v>86.306560000000005</v>
      </c>
      <c r="V136" s="6">
        <v>2.9999999999999999E-7</v>
      </c>
      <c r="W136" s="6">
        <v>8.8069999999999999E-4</v>
      </c>
      <c r="X136" s="6">
        <v>1.0340000000000001E-4</v>
      </c>
      <c r="Y136" s="9">
        <v>75232918</v>
      </c>
      <c r="Z136" s="57" t="s">
        <v>4</v>
      </c>
      <c r="AA136" s="57" t="s">
        <v>1</v>
      </c>
    </row>
    <row r="137" spans="1:27">
      <c r="A137" s="2" t="s">
        <v>78</v>
      </c>
      <c r="B137" s="2" t="s">
        <v>96</v>
      </c>
      <c r="C137" s="2" t="s">
        <v>648</v>
      </c>
      <c r="D137" s="2" t="s">
        <v>649</v>
      </c>
      <c r="E137" s="2" t="s">
        <v>168</v>
      </c>
      <c r="F137" s="2" t="s">
        <v>650</v>
      </c>
      <c r="G137" s="2" t="s">
        <v>651</v>
      </c>
      <c r="H137" s="2" t="s">
        <v>183</v>
      </c>
      <c r="I137" s="2" t="s">
        <v>529</v>
      </c>
      <c r="J137" s="2" t="s">
        <v>148</v>
      </c>
      <c r="K137" s="2" t="s">
        <v>156</v>
      </c>
      <c r="L137" s="2" t="s">
        <v>185</v>
      </c>
      <c r="M137" s="2" t="s">
        <v>584</v>
      </c>
      <c r="N137" s="2" t="s">
        <v>617</v>
      </c>
      <c r="O137" s="2" t="s">
        <v>84</v>
      </c>
      <c r="P137" s="2" t="s">
        <v>91</v>
      </c>
      <c r="Q137" s="5">
        <v>280</v>
      </c>
      <c r="R137" s="5">
        <v>3.681</v>
      </c>
      <c r="S137" s="5">
        <v>48157</v>
      </c>
      <c r="T137" s="5">
        <v>0</v>
      </c>
      <c r="U137" s="5">
        <v>496.34456</v>
      </c>
      <c r="V137" s="6">
        <v>2.9999999999999999E-7</v>
      </c>
      <c r="W137" s="6">
        <v>5.0648999999999998E-3</v>
      </c>
      <c r="X137" s="6">
        <v>5.9449999999999998E-4</v>
      </c>
      <c r="Y137" s="9">
        <v>70733191</v>
      </c>
      <c r="Z137" s="57" t="s">
        <v>4</v>
      </c>
      <c r="AA137" s="57" t="s">
        <v>1</v>
      </c>
    </row>
    <row r="138" spans="1:27">
      <c r="A138" s="2" t="s">
        <v>78</v>
      </c>
      <c r="B138" s="2" t="s">
        <v>96</v>
      </c>
      <c r="C138" s="2" t="s">
        <v>652</v>
      </c>
      <c r="D138" s="2" t="s">
        <v>653</v>
      </c>
      <c r="E138" s="2" t="s">
        <v>168</v>
      </c>
      <c r="F138" s="2" t="s">
        <v>652</v>
      </c>
      <c r="G138" s="2" t="s">
        <v>654</v>
      </c>
      <c r="H138" s="2" t="s">
        <v>183</v>
      </c>
      <c r="I138" s="2" t="s">
        <v>529</v>
      </c>
      <c r="J138" s="2" t="s">
        <v>148</v>
      </c>
      <c r="K138" s="2" t="s">
        <v>156</v>
      </c>
      <c r="L138" s="2" t="s">
        <v>185</v>
      </c>
      <c r="M138" s="2" t="s">
        <v>590</v>
      </c>
      <c r="N138" s="2" t="s">
        <v>604</v>
      </c>
      <c r="O138" s="2" t="s">
        <v>84</v>
      </c>
      <c r="P138" s="2" t="s">
        <v>91</v>
      </c>
      <c r="Q138" s="5">
        <v>77</v>
      </c>
      <c r="R138" s="5">
        <v>3.681</v>
      </c>
      <c r="S138" s="5">
        <v>73263</v>
      </c>
      <c r="T138" s="5">
        <v>0</v>
      </c>
      <c r="U138" s="5">
        <v>207.65443999999999</v>
      </c>
      <c r="V138" s="6">
        <v>1.0000000000000001E-7</v>
      </c>
      <c r="W138" s="6">
        <v>2.1190000000000002E-3</v>
      </c>
      <c r="X138" s="6">
        <v>2.4869999999999997E-4</v>
      </c>
      <c r="Y138" s="9">
        <v>70462866</v>
      </c>
      <c r="Z138" s="57" t="s">
        <v>4</v>
      </c>
      <c r="AA138" s="57" t="s">
        <v>1</v>
      </c>
    </row>
    <row r="139" spans="1:27">
      <c r="A139" s="2" t="s">
        <v>78</v>
      </c>
      <c r="B139" s="2" t="s">
        <v>96</v>
      </c>
      <c r="C139" s="2" t="s">
        <v>655</v>
      </c>
      <c r="D139" s="2" t="s">
        <v>656</v>
      </c>
      <c r="E139" s="2" t="s">
        <v>168</v>
      </c>
      <c r="F139" s="2" t="s">
        <v>657</v>
      </c>
      <c r="G139" s="2" t="s">
        <v>658</v>
      </c>
      <c r="H139" s="2" t="s">
        <v>183</v>
      </c>
      <c r="I139" s="2" t="s">
        <v>529</v>
      </c>
      <c r="J139" s="2" t="s">
        <v>148</v>
      </c>
      <c r="K139" s="2" t="s">
        <v>83</v>
      </c>
      <c r="L139" s="2" t="s">
        <v>185</v>
      </c>
      <c r="M139" s="2" t="s">
        <v>584</v>
      </c>
      <c r="N139" s="2" t="s">
        <v>585</v>
      </c>
      <c r="O139" s="2" t="s">
        <v>84</v>
      </c>
      <c r="P139" s="2" t="s">
        <v>91</v>
      </c>
      <c r="Q139" s="5">
        <v>360</v>
      </c>
      <c r="R139" s="5">
        <v>3.681</v>
      </c>
      <c r="S139" s="5">
        <v>2107</v>
      </c>
      <c r="T139" s="5">
        <v>0</v>
      </c>
      <c r="U139" s="5">
        <v>27.921119999999998</v>
      </c>
      <c r="V139" s="6">
        <v>9.3000000000000007E-6</v>
      </c>
      <c r="W139" s="6">
        <v>2.8490000000000004E-4</v>
      </c>
      <c r="X139" s="6">
        <v>3.3399999999999999E-5</v>
      </c>
      <c r="Y139" s="9">
        <v>76609312</v>
      </c>
      <c r="Z139" s="57" t="s">
        <v>4</v>
      </c>
      <c r="AA139" s="57" t="s">
        <v>1</v>
      </c>
    </row>
    <row r="140" spans="1:27">
      <c r="A140" s="2" t="s">
        <v>78</v>
      </c>
      <c r="B140" s="2" t="s">
        <v>96</v>
      </c>
      <c r="C140" s="2" t="s">
        <v>659</v>
      </c>
      <c r="D140" s="2" t="s">
        <v>660</v>
      </c>
      <c r="E140" s="2" t="s">
        <v>168</v>
      </c>
      <c r="F140" s="2" t="s">
        <v>659</v>
      </c>
      <c r="G140" s="2" t="s">
        <v>661</v>
      </c>
      <c r="H140" s="2" t="s">
        <v>183</v>
      </c>
      <c r="I140" s="2" t="s">
        <v>529</v>
      </c>
      <c r="J140" s="2" t="s">
        <v>148</v>
      </c>
      <c r="K140" s="2" t="s">
        <v>156</v>
      </c>
      <c r="L140" s="2" t="s">
        <v>185</v>
      </c>
      <c r="M140" s="2" t="s">
        <v>590</v>
      </c>
      <c r="N140" s="2" t="s">
        <v>621</v>
      </c>
      <c r="O140" s="2" t="s">
        <v>84</v>
      </c>
      <c r="P140" s="2" t="s">
        <v>91</v>
      </c>
      <c r="Q140" s="5">
        <v>207</v>
      </c>
      <c r="R140" s="5">
        <v>3.681</v>
      </c>
      <c r="S140" s="5">
        <v>18049</v>
      </c>
      <c r="T140" s="5">
        <v>0</v>
      </c>
      <c r="U140" s="5">
        <v>137.52742000000001</v>
      </c>
      <c r="V140" s="6">
        <v>1.0000000000000001E-7</v>
      </c>
      <c r="W140" s="6">
        <v>1.4034E-3</v>
      </c>
      <c r="X140" s="6">
        <v>1.6469999999999999E-4</v>
      </c>
      <c r="Y140" s="9">
        <v>70460340</v>
      </c>
      <c r="Z140" s="57" t="s">
        <v>4</v>
      </c>
      <c r="AA140" s="57" t="s">
        <v>1</v>
      </c>
    </row>
    <row r="141" spans="1:27">
      <c r="A141" s="2" t="s">
        <v>78</v>
      </c>
      <c r="B141" s="2" t="s">
        <v>96</v>
      </c>
      <c r="C141" s="2" t="s">
        <v>662</v>
      </c>
      <c r="D141" s="2" t="s">
        <v>663</v>
      </c>
      <c r="E141" s="2" t="s">
        <v>168</v>
      </c>
      <c r="F141" s="2" t="s">
        <v>664</v>
      </c>
      <c r="G141" s="2" t="s">
        <v>665</v>
      </c>
      <c r="H141" s="2" t="s">
        <v>183</v>
      </c>
      <c r="I141" s="2" t="s">
        <v>529</v>
      </c>
      <c r="J141" s="2" t="s">
        <v>148</v>
      </c>
      <c r="K141" s="2" t="s">
        <v>83</v>
      </c>
      <c r="L141" s="2" t="s">
        <v>185</v>
      </c>
      <c r="M141" s="2" t="s">
        <v>590</v>
      </c>
      <c r="N141" s="2" t="s">
        <v>666</v>
      </c>
      <c r="O141" s="2" t="s">
        <v>84</v>
      </c>
      <c r="P141" s="2" t="s">
        <v>91</v>
      </c>
      <c r="Q141" s="5">
        <v>1972</v>
      </c>
      <c r="R141" s="5">
        <v>3.681</v>
      </c>
      <c r="S141" s="5">
        <v>8377</v>
      </c>
      <c r="T141" s="5">
        <v>0</v>
      </c>
      <c r="U141" s="5">
        <v>608.08073000000002</v>
      </c>
      <c r="V141" s="6">
        <v>4.3899999999999996E-5</v>
      </c>
      <c r="W141" s="6">
        <v>6.2050999999999999E-3</v>
      </c>
      <c r="X141" s="6">
        <v>7.2840000000000003E-4</v>
      </c>
      <c r="Y141" s="9">
        <v>70511662</v>
      </c>
      <c r="Z141" s="57" t="s">
        <v>4</v>
      </c>
      <c r="AA141" s="57" t="s">
        <v>1</v>
      </c>
    </row>
    <row r="142" spans="1:27">
      <c r="A142" s="2" t="s">
        <v>78</v>
      </c>
      <c r="B142" s="2" t="s">
        <v>96</v>
      </c>
      <c r="C142" s="2" t="s">
        <v>667</v>
      </c>
      <c r="D142" s="2" t="s">
        <v>668</v>
      </c>
      <c r="E142" s="2" t="s">
        <v>168</v>
      </c>
      <c r="F142" s="2" t="s">
        <v>669</v>
      </c>
      <c r="G142" s="2" t="s">
        <v>670</v>
      </c>
      <c r="H142" s="2" t="s">
        <v>183</v>
      </c>
      <c r="I142" s="2" t="s">
        <v>529</v>
      </c>
      <c r="J142" s="2" t="s">
        <v>148</v>
      </c>
      <c r="K142" s="2" t="s">
        <v>671</v>
      </c>
      <c r="L142" s="2" t="s">
        <v>185</v>
      </c>
      <c r="M142" s="2" t="s">
        <v>672</v>
      </c>
      <c r="N142" s="2" t="s">
        <v>585</v>
      </c>
      <c r="O142" s="2" t="s">
        <v>84</v>
      </c>
      <c r="P142" s="2" t="s">
        <v>99</v>
      </c>
      <c r="Q142" s="5">
        <v>69</v>
      </c>
      <c r="R142" s="5">
        <v>0.47039999999999998</v>
      </c>
      <c r="S142" s="5">
        <v>10790</v>
      </c>
      <c r="T142" s="5">
        <v>0.16200000000000001</v>
      </c>
      <c r="U142" s="5">
        <v>3.5783999999999998</v>
      </c>
      <c r="V142" s="6">
        <v>0</v>
      </c>
      <c r="W142" s="6">
        <v>3.65E-5</v>
      </c>
      <c r="X142" s="6">
        <v>4.2999999999999995E-6</v>
      </c>
      <c r="Y142" s="9">
        <v>78008174</v>
      </c>
      <c r="Z142" s="57" t="s">
        <v>4</v>
      </c>
      <c r="AA142" s="57" t="s">
        <v>1</v>
      </c>
    </row>
    <row r="143" spans="1:27">
      <c r="A143" s="2" t="s">
        <v>78</v>
      </c>
      <c r="B143" s="2" t="s">
        <v>96</v>
      </c>
      <c r="C143" s="2" t="s">
        <v>676</v>
      </c>
      <c r="D143" s="2" t="s">
        <v>677</v>
      </c>
      <c r="E143" s="2" t="s">
        <v>168</v>
      </c>
      <c r="F143" s="2" t="s">
        <v>676</v>
      </c>
      <c r="G143" s="2" t="s">
        <v>678</v>
      </c>
      <c r="H143" s="2" t="s">
        <v>183</v>
      </c>
      <c r="I143" s="2" t="s">
        <v>529</v>
      </c>
      <c r="J143" s="2" t="s">
        <v>148</v>
      </c>
      <c r="K143" s="2" t="s">
        <v>679</v>
      </c>
      <c r="L143" s="2" t="s">
        <v>185</v>
      </c>
      <c r="M143" s="2" t="s">
        <v>149</v>
      </c>
      <c r="N143" s="2" t="s">
        <v>680</v>
      </c>
      <c r="O143" s="2" t="s">
        <v>84</v>
      </c>
      <c r="P143" s="2" t="s">
        <v>91</v>
      </c>
      <c r="Q143" s="5">
        <v>1168</v>
      </c>
      <c r="R143" s="5">
        <v>3.681</v>
      </c>
      <c r="S143" s="5">
        <v>5431</v>
      </c>
      <c r="T143" s="5">
        <v>0.47299999999999998</v>
      </c>
      <c r="U143" s="5">
        <v>235.24209999999999</v>
      </c>
      <c r="V143" s="6">
        <v>2.3E-6</v>
      </c>
      <c r="W143" s="6">
        <v>2.4005000000000003E-3</v>
      </c>
      <c r="X143" s="6">
        <v>2.8180000000000002E-4</v>
      </c>
      <c r="Y143" s="9">
        <v>76098599</v>
      </c>
      <c r="Z143" s="57" t="s">
        <v>4</v>
      </c>
      <c r="AA143" s="57" t="s">
        <v>1</v>
      </c>
    </row>
    <row r="144" spans="1:27">
      <c r="A144" s="2" t="s">
        <v>78</v>
      </c>
      <c r="B144" s="2" t="s">
        <v>96</v>
      </c>
      <c r="C144" s="2" t="s">
        <v>681</v>
      </c>
      <c r="D144" s="2" t="s">
        <v>682</v>
      </c>
      <c r="E144" s="2" t="s">
        <v>168</v>
      </c>
      <c r="F144" s="2" t="s">
        <v>683</v>
      </c>
      <c r="G144" s="2" t="s">
        <v>684</v>
      </c>
      <c r="H144" s="2" t="s">
        <v>183</v>
      </c>
      <c r="I144" s="2" t="s">
        <v>529</v>
      </c>
      <c r="J144" s="2" t="s">
        <v>148</v>
      </c>
      <c r="K144" s="2" t="s">
        <v>156</v>
      </c>
      <c r="L144" s="2" t="s">
        <v>185</v>
      </c>
      <c r="M144" s="2" t="s">
        <v>590</v>
      </c>
      <c r="N144" s="2" t="s">
        <v>621</v>
      </c>
      <c r="O144" s="2" t="s">
        <v>84</v>
      </c>
      <c r="P144" s="2" t="s">
        <v>91</v>
      </c>
      <c r="Q144" s="5">
        <v>55</v>
      </c>
      <c r="R144" s="5">
        <v>3.681</v>
      </c>
      <c r="S144" s="5">
        <v>132541</v>
      </c>
      <c r="T144" s="5">
        <v>0</v>
      </c>
      <c r="U144" s="5">
        <v>268.33587999999997</v>
      </c>
      <c r="V144" s="6">
        <v>1.0000000000000001E-7</v>
      </c>
      <c r="W144" s="6">
        <v>2.7382000000000001E-3</v>
      </c>
      <c r="X144" s="6">
        <v>3.2140000000000001E-4</v>
      </c>
      <c r="Y144" s="9">
        <v>74182429</v>
      </c>
      <c r="Z144" s="57" t="s">
        <v>4</v>
      </c>
      <c r="AA144" s="57" t="s">
        <v>1</v>
      </c>
    </row>
    <row r="145" spans="1:27">
      <c r="A145" s="2" t="s">
        <v>78</v>
      </c>
      <c r="B145" s="2" t="s">
        <v>98</v>
      </c>
      <c r="C145" s="2" t="s">
        <v>527</v>
      </c>
      <c r="D145" s="2" t="s">
        <v>528</v>
      </c>
      <c r="E145" s="2" t="s">
        <v>194</v>
      </c>
      <c r="F145" s="2" t="s">
        <v>527</v>
      </c>
      <c r="G145" s="9">
        <v>1091065</v>
      </c>
      <c r="H145" s="2" t="s">
        <v>149</v>
      </c>
      <c r="I145" s="2" t="s">
        <v>529</v>
      </c>
      <c r="J145" s="2" t="s">
        <v>83</v>
      </c>
      <c r="K145" s="2" t="s">
        <v>83</v>
      </c>
      <c r="L145" s="2" t="s">
        <v>185</v>
      </c>
      <c r="M145" s="2" t="s">
        <v>118</v>
      </c>
      <c r="N145" s="2" t="s">
        <v>530</v>
      </c>
      <c r="O145" s="2" t="s">
        <v>84</v>
      </c>
      <c r="P145" s="2" t="s">
        <v>87</v>
      </c>
      <c r="Q145" s="5">
        <v>11557</v>
      </c>
      <c r="R145" s="5">
        <v>1</v>
      </c>
      <c r="S145" s="5">
        <v>3622</v>
      </c>
      <c r="T145" s="5">
        <v>0</v>
      </c>
      <c r="U145" s="5">
        <v>418.59453999999999</v>
      </c>
      <c r="V145" s="6">
        <v>1.053E-4</v>
      </c>
      <c r="W145" s="6">
        <v>4.2715000000000001E-3</v>
      </c>
      <c r="X145" s="6">
        <v>5.0139999999999994E-4</v>
      </c>
      <c r="Y145" s="2" t="s">
        <v>3</v>
      </c>
      <c r="Z145" s="57" t="s">
        <v>4</v>
      </c>
      <c r="AA145" s="57" t="s">
        <v>1</v>
      </c>
    </row>
    <row r="146" spans="1:27">
      <c r="A146" s="2" t="s">
        <v>78</v>
      </c>
      <c r="B146" s="2" t="s">
        <v>98</v>
      </c>
      <c r="C146" s="2" t="s">
        <v>403</v>
      </c>
      <c r="D146" s="2" t="s">
        <v>404</v>
      </c>
      <c r="E146" s="2" t="s">
        <v>194</v>
      </c>
      <c r="F146" s="2" t="s">
        <v>403</v>
      </c>
      <c r="G146" s="9">
        <v>604611</v>
      </c>
      <c r="H146" s="2" t="s">
        <v>149</v>
      </c>
      <c r="I146" s="2" t="s">
        <v>529</v>
      </c>
      <c r="J146" s="2" t="s">
        <v>83</v>
      </c>
      <c r="K146" s="2" t="s">
        <v>83</v>
      </c>
      <c r="L146" s="2" t="s">
        <v>185</v>
      </c>
      <c r="M146" s="2" t="s">
        <v>118</v>
      </c>
      <c r="N146" s="2" t="s">
        <v>400</v>
      </c>
      <c r="O146" s="2" t="s">
        <v>84</v>
      </c>
      <c r="P146" s="2" t="s">
        <v>87</v>
      </c>
      <c r="Q146" s="5">
        <v>72915</v>
      </c>
      <c r="R146" s="5">
        <v>1</v>
      </c>
      <c r="S146" s="5">
        <v>3100</v>
      </c>
      <c r="T146" s="5">
        <v>17.478200000000001</v>
      </c>
      <c r="U146" s="5">
        <v>2277.84328</v>
      </c>
      <c r="V146" s="6">
        <v>4.7800000000000003E-5</v>
      </c>
      <c r="W146" s="6">
        <v>2.3243900000000001E-2</v>
      </c>
      <c r="X146" s="6">
        <v>2.7284000000000002E-3</v>
      </c>
      <c r="Y146" s="2" t="s">
        <v>3</v>
      </c>
      <c r="Z146" s="57" t="s">
        <v>4</v>
      </c>
      <c r="AA146" s="57" t="s">
        <v>1</v>
      </c>
    </row>
    <row r="147" spans="1:27">
      <c r="A147" s="2" t="s">
        <v>78</v>
      </c>
      <c r="B147" s="2" t="s">
        <v>98</v>
      </c>
      <c r="C147" s="2" t="s">
        <v>535</v>
      </c>
      <c r="D147" s="2" t="s">
        <v>536</v>
      </c>
      <c r="E147" s="2" t="s">
        <v>194</v>
      </c>
      <c r="F147" s="2" t="s">
        <v>537</v>
      </c>
      <c r="G147" s="9">
        <v>224014</v>
      </c>
      <c r="H147" s="2" t="s">
        <v>149</v>
      </c>
      <c r="I147" s="2" t="s">
        <v>529</v>
      </c>
      <c r="J147" s="2" t="s">
        <v>83</v>
      </c>
      <c r="K147" s="2" t="s">
        <v>83</v>
      </c>
      <c r="L147" s="2" t="s">
        <v>185</v>
      </c>
      <c r="M147" s="2" t="s">
        <v>118</v>
      </c>
      <c r="N147" s="2" t="s">
        <v>255</v>
      </c>
      <c r="O147" s="2" t="s">
        <v>84</v>
      </c>
      <c r="P147" s="2" t="s">
        <v>87</v>
      </c>
      <c r="Q147" s="5">
        <v>9843</v>
      </c>
      <c r="R147" s="5">
        <v>1</v>
      </c>
      <c r="S147" s="5">
        <v>6569</v>
      </c>
      <c r="T147" s="5">
        <v>0</v>
      </c>
      <c r="U147" s="5">
        <v>646.58667000000003</v>
      </c>
      <c r="V147" s="6">
        <v>1.2449999999999999E-4</v>
      </c>
      <c r="W147" s="6">
        <v>6.5980000000000006E-3</v>
      </c>
      <c r="X147" s="6">
        <v>7.7450000000000001E-4</v>
      </c>
      <c r="Y147" s="2" t="s">
        <v>3</v>
      </c>
      <c r="Z147" s="57" t="s">
        <v>4</v>
      </c>
      <c r="AA147" s="57" t="s">
        <v>1</v>
      </c>
    </row>
    <row r="148" spans="1:27">
      <c r="A148" s="2" t="s">
        <v>78</v>
      </c>
      <c r="B148" s="2" t="s">
        <v>98</v>
      </c>
      <c r="C148" s="2" t="s">
        <v>538</v>
      </c>
      <c r="D148" s="2" t="s">
        <v>539</v>
      </c>
      <c r="E148" s="2" t="s">
        <v>194</v>
      </c>
      <c r="F148" s="2" t="s">
        <v>540</v>
      </c>
      <c r="G148" s="9">
        <v>475020</v>
      </c>
      <c r="H148" s="2" t="s">
        <v>149</v>
      </c>
      <c r="I148" s="2" t="s">
        <v>529</v>
      </c>
      <c r="J148" s="2" t="s">
        <v>83</v>
      </c>
      <c r="K148" s="2" t="s">
        <v>83</v>
      </c>
      <c r="L148" s="2" t="s">
        <v>185</v>
      </c>
      <c r="M148" s="2" t="s">
        <v>118</v>
      </c>
      <c r="N148" s="2" t="s">
        <v>414</v>
      </c>
      <c r="O148" s="2" t="s">
        <v>84</v>
      </c>
      <c r="P148" s="2" t="s">
        <v>87</v>
      </c>
      <c r="Q148" s="5">
        <v>40000</v>
      </c>
      <c r="R148" s="5">
        <v>1</v>
      </c>
      <c r="S148" s="5">
        <v>935.3</v>
      </c>
      <c r="T148" s="5">
        <v>7.5269000000000004</v>
      </c>
      <c r="U148" s="5">
        <v>381.64690999999999</v>
      </c>
      <c r="V148" s="6">
        <v>3.4E-5</v>
      </c>
      <c r="W148" s="6">
        <v>3.8945000000000004E-3</v>
      </c>
      <c r="X148" s="6">
        <v>4.571E-4</v>
      </c>
      <c r="Y148" s="2" t="s">
        <v>3</v>
      </c>
      <c r="Z148" s="57" t="s">
        <v>4</v>
      </c>
      <c r="AA148" s="57" t="s">
        <v>1</v>
      </c>
    </row>
    <row r="149" spans="1:27">
      <c r="A149" s="2" t="s">
        <v>78</v>
      </c>
      <c r="B149" s="2" t="s">
        <v>98</v>
      </c>
      <c r="C149" s="2" t="s">
        <v>378</v>
      </c>
      <c r="D149" s="2" t="s">
        <v>379</v>
      </c>
      <c r="E149" s="2" t="s">
        <v>194</v>
      </c>
      <c r="F149" s="2" t="s">
        <v>378</v>
      </c>
      <c r="G149" s="9">
        <v>230011</v>
      </c>
      <c r="H149" s="2" t="s">
        <v>149</v>
      </c>
      <c r="I149" s="2" t="s">
        <v>529</v>
      </c>
      <c r="J149" s="2" t="s">
        <v>83</v>
      </c>
      <c r="K149" s="2" t="s">
        <v>83</v>
      </c>
      <c r="L149" s="2" t="s">
        <v>185</v>
      </c>
      <c r="M149" s="2" t="s">
        <v>118</v>
      </c>
      <c r="N149" s="2" t="s">
        <v>332</v>
      </c>
      <c r="O149" s="2" t="s">
        <v>84</v>
      </c>
      <c r="P149" s="2" t="s">
        <v>87</v>
      </c>
      <c r="Q149" s="5">
        <v>245000</v>
      </c>
      <c r="R149" s="5">
        <v>1</v>
      </c>
      <c r="S149" s="5">
        <v>473</v>
      </c>
      <c r="T149" s="5">
        <v>0</v>
      </c>
      <c r="U149" s="5">
        <v>1158.8499999999999</v>
      </c>
      <c r="V149" s="6">
        <v>8.8499999999999996E-5</v>
      </c>
      <c r="W149" s="6">
        <v>1.18253E-2</v>
      </c>
      <c r="X149" s="6">
        <v>1.3881E-3</v>
      </c>
      <c r="Y149" s="2" t="s">
        <v>3</v>
      </c>
      <c r="Z149" s="57" t="s">
        <v>4</v>
      </c>
      <c r="AA149" s="57" t="s">
        <v>1</v>
      </c>
    </row>
    <row r="150" spans="1:27">
      <c r="A150" s="2" t="s">
        <v>78</v>
      </c>
      <c r="B150" s="2" t="s">
        <v>98</v>
      </c>
      <c r="C150" s="2" t="s">
        <v>541</v>
      </c>
      <c r="D150" s="2" t="s">
        <v>542</v>
      </c>
      <c r="E150" s="2" t="s">
        <v>194</v>
      </c>
      <c r="F150" s="2" t="s">
        <v>543</v>
      </c>
      <c r="G150" s="9">
        <v>273011</v>
      </c>
      <c r="H150" s="2" t="s">
        <v>149</v>
      </c>
      <c r="I150" s="2" t="s">
        <v>529</v>
      </c>
      <c r="J150" s="2" t="s">
        <v>83</v>
      </c>
      <c r="K150" s="2" t="s">
        <v>83</v>
      </c>
      <c r="L150" s="2" t="s">
        <v>185</v>
      </c>
      <c r="M150" s="2" t="s">
        <v>118</v>
      </c>
      <c r="N150" s="2" t="s">
        <v>544</v>
      </c>
      <c r="O150" s="2" t="s">
        <v>84</v>
      </c>
      <c r="P150" s="2" t="s">
        <v>87</v>
      </c>
      <c r="Q150" s="5">
        <v>759</v>
      </c>
      <c r="R150" s="5">
        <v>1</v>
      </c>
      <c r="S150" s="5">
        <v>95150</v>
      </c>
      <c r="T150" s="5">
        <v>0</v>
      </c>
      <c r="U150" s="5">
        <v>722.18849999999998</v>
      </c>
      <c r="V150" s="6">
        <v>1.1900000000000001E-5</v>
      </c>
      <c r="W150" s="6">
        <v>7.3694000000000008E-3</v>
      </c>
      <c r="X150" s="6">
        <v>8.6499999999999988E-4</v>
      </c>
      <c r="Y150" s="2" t="s">
        <v>3</v>
      </c>
      <c r="Z150" s="57" t="s">
        <v>4</v>
      </c>
      <c r="AA150" s="57" t="s">
        <v>1</v>
      </c>
    </row>
    <row r="151" spans="1:27">
      <c r="A151" s="2" t="s">
        <v>78</v>
      </c>
      <c r="B151" s="2" t="s">
        <v>98</v>
      </c>
      <c r="C151" s="2" t="s">
        <v>545</v>
      </c>
      <c r="D151" s="2" t="s">
        <v>546</v>
      </c>
      <c r="E151" s="2" t="s">
        <v>194</v>
      </c>
      <c r="F151" s="2" t="s">
        <v>547</v>
      </c>
      <c r="G151" s="9">
        <v>767012</v>
      </c>
      <c r="H151" s="2" t="s">
        <v>149</v>
      </c>
      <c r="I151" s="2" t="s">
        <v>529</v>
      </c>
      <c r="J151" s="2" t="s">
        <v>83</v>
      </c>
      <c r="K151" s="2" t="s">
        <v>83</v>
      </c>
      <c r="L151" s="2" t="s">
        <v>185</v>
      </c>
      <c r="M151" s="2" t="s">
        <v>118</v>
      </c>
      <c r="N151" s="2" t="s">
        <v>255</v>
      </c>
      <c r="O151" s="2" t="s">
        <v>84</v>
      </c>
      <c r="P151" s="2" t="s">
        <v>87</v>
      </c>
      <c r="Q151" s="5">
        <v>16672</v>
      </c>
      <c r="R151" s="5">
        <v>1</v>
      </c>
      <c r="S151" s="5">
        <v>3810</v>
      </c>
      <c r="T151" s="5">
        <v>0</v>
      </c>
      <c r="U151" s="5">
        <v>635.20320000000004</v>
      </c>
      <c r="V151" s="6">
        <v>6.5699999999999998E-5</v>
      </c>
      <c r="W151" s="6">
        <v>6.4817999999999994E-3</v>
      </c>
      <c r="X151" s="6">
        <v>7.6090000000000001E-4</v>
      </c>
      <c r="Y151" s="2" t="s">
        <v>3</v>
      </c>
      <c r="Z151" s="57" t="s">
        <v>4</v>
      </c>
      <c r="AA151" s="57" t="s">
        <v>1</v>
      </c>
    </row>
    <row r="152" spans="1:27">
      <c r="A152" s="2" t="s">
        <v>78</v>
      </c>
      <c r="B152" s="2" t="s">
        <v>98</v>
      </c>
      <c r="C152" s="2" t="s">
        <v>548</v>
      </c>
      <c r="D152" s="2" t="s">
        <v>549</v>
      </c>
      <c r="E152" s="2" t="s">
        <v>194</v>
      </c>
      <c r="F152" s="2" t="s">
        <v>548</v>
      </c>
      <c r="G152" s="9">
        <v>445015</v>
      </c>
      <c r="H152" s="2" t="s">
        <v>149</v>
      </c>
      <c r="I152" s="2" t="s">
        <v>529</v>
      </c>
      <c r="J152" s="2" t="s">
        <v>83</v>
      </c>
      <c r="K152" s="2" t="s">
        <v>83</v>
      </c>
      <c r="L152" s="2" t="s">
        <v>185</v>
      </c>
      <c r="M152" s="2" t="s">
        <v>118</v>
      </c>
      <c r="N152" s="2" t="s">
        <v>534</v>
      </c>
      <c r="O152" s="2" t="s">
        <v>84</v>
      </c>
      <c r="P152" s="2" t="s">
        <v>87</v>
      </c>
      <c r="Q152" s="5">
        <v>7178</v>
      </c>
      <c r="R152" s="5">
        <v>1</v>
      </c>
      <c r="S152" s="5">
        <v>8160</v>
      </c>
      <c r="T152" s="5">
        <v>9.1159999999999997</v>
      </c>
      <c r="U152" s="5">
        <v>594.84086000000002</v>
      </c>
      <c r="V152" s="6">
        <v>1.13E-4</v>
      </c>
      <c r="W152" s="6">
        <v>6.0699999999999999E-3</v>
      </c>
      <c r="X152" s="6">
        <v>7.1249999999999992E-4</v>
      </c>
      <c r="Y152" s="2" t="s">
        <v>3</v>
      </c>
      <c r="Z152" s="57" t="s">
        <v>4</v>
      </c>
      <c r="AA152" s="57" t="s">
        <v>1</v>
      </c>
    </row>
    <row r="153" spans="1:27">
      <c r="A153" s="2" t="s">
        <v>78</v>
      </c>
      <c r="B153" s="2" t="s">
        <v>98</v>
      </c>
      <c r="C153" s="2" t="s">
        <v>550</v>
      </c>
      <c r="D153" s="2" t="s">
        <v>551</v>
      </c>
      <c r="E153" s="2" t="s">
        <v>194</v>
      </c>
      <c r="F153" s="2" t="s">
        <v>550</v>
      </c>
      <c r="G153" s="9">
        <v>691212</v>
      </c>
      <c r="H153" s="2" t="s">
        <v>149</v>
      </c>
      <c r="I153" s="2" t="s">
        <v>529</v>
      </c>
      <c r="J153" s="2" t="s">
        <v>83</v>
      </c>
      <c r="K153" s="2" t="s">
        <v>83</v>
      </c>
      <c r="L153" s="2" t="s">
        <v>185</v>
      </c>
      <c r="M153" s="2" t="s">
        <v>118</v>
      </c>
      <c r="N153" s="2" t="s">
        <v>400</v>
      </c>
      <c r="O153" s="2" t="s">
        <v>84</v>
      </c>
      <c r="P153" s="2" t="s">
        <v>87</v>
      </c>
      <c r="Q153" s="5">
        <v>97470</v>
      </c>
      <c r="R153" s="5">
        <v>1</v>
      </c>
      <c r="S153" s="5">
        <v>1946</v>
      </c>
      <c r="T153" s="5">
        <v>14.4824</v>
      </c>
      <c r="U153" s="5">
        <v>1911.2486699999999</v>
      </c>
      <c r="V153" s="6">
        <v>7.8700000000000002E-5</v>
      </c>
      <c r="W153" s="6">
        <v>1.9503E-2</v>
      </c>
      <c r="X153" s="6">
        <v>2.2892999999999998E-3</v>
      </c>
      <c r="Y153" s="2" t="s">
        <v>3</v>
      </c>
      <c r="Z153" s="57" t="s">
        <v>4</v>
      </c>
      <c r="AA153" s="57" t="s">
        <v>1</v>
      </c>
    </row>
    <row r="154" spans="1:27">
      <c r="A154" s="2" t="s">
        <v>78</v>
      </c>
      <c r="B154" s="2" t="s">
        <v>98</v>
      </c>
      <c r="C154" s="2" t="s">
        <v>552</v>
      </c>
      <c r="D154" s="2" t="s">
        <v>553</v>
      </c>
      <c r="E154" s="2" t="s">
        <v>194</v>
      </c>
      <c r="F154" s="2" t="s">
        <v>552</v>
      </c>
      <c r="G154" s="9">
        <v>695437</v>
      </c>
      <c r="H154" s="2" t="s">
        <v>149</v>
      </c>
      <c r="I154" s="2" t="s">
        <v>529</v>
      </c>
      <c r="J154" s="2" t="s">
        <v>83</v>
      </c>
      <c r="K154" s="2" t="s">
        <v>83</v>
      </c>
      <c r="L154" s="2" t="s">
        <v>185</v>
      </c>
      <c r="M154" s="2" t="s">
        <v>118</v>
      </c>
      <c r="N154" s="2" t="s">
        <v>400</v>
      </c>
      <c r="O154" s="2" t="s">
        <v>84</v>
      </c>
      <c r="P154" s="2" t="s">
        <v>87</v>
      </c>
      <c r="Q154" s="5">
        <v>7453</v>
      </c>
      <c r="R154" s="5">
        <v>1</v>
      </c>
      <c r="S154" s="5">
        <v>14000</v>
      </c>
      <c r="T154" s="5">
        <v>0</v>
      </c>
      <c r="U154" s="5">
        <v>1043.42</v>
      </c>
      <c r="V154" s="6">
        <v>2.8800000000000002E-5</v>
      </c>
      <c r="W154" s="6">
        <v>1.06474E-2</v>
      </c>
      <c r="X154" s="6">
        <v>1.2497999999999999E-3</v>
      </c>
      <c r="Y154" s="2" t="s">
        <v>3</v>
      </c>
      <c r="Z154" s="57" t="s">
        <v>4</v>
      </c>
      <c r="AA154" s="57" t="s">
        <v>1</v>
      </c>
    </row>
    <row r="155" spans="1:27">
      <c r="A155" s="2" t="s">
        <v>78</v>
      </c>
      <c r="B155" s="2" t="s">
        <v>98</v>
      </c>
      <c r="C155" s="2" t="s">
        <v>694</v>
      </c>
      <c r="D155" s="2" t="s">
        <v>695</v>
      </c>
      <c r="E155" s="2" t="s">
        <v>194</v>
      </c>
      <c r="F155" s="2" t="s">
        <v>696</v>
      </c>
      <c r="G155" s="9">
        <v>593038</v>
      </c>
      <c r="H155" s="2" t="s">
        <v>149</v>
      </c>
      <c r="I155" s="2" t="s">
        <v>529</v>
      </c>
      <c r="J155" s="2" t="s">
        <v>83</v>
      </c>
      <c r="K155" s="2" t="s">
        <v>83</v>
      </c>
      <c r="L155" s="2" t="s">
        <v>185</v>
      </c>
      <c r="M155" s="2" t="s">
        <v>118</v>
      </c>
      <c r="N155" s="2" t="s">
        <v>400</v>
      </c>
      <c r="O155" s="2" t="s">
        <v>84</v>
      </c>
      <c r="P155" s="2" t="s">
        <v>87</v>
      </c>
      <c r="Q155" s="5">
        <v>4815</v>
      </c>
      <c r="R155" s="5">
        <v>1</v>
      </c>
      <c r="S155" s="5">
        <v>15440</v>
      </c>
      <c r="T155" s="5">
        <v>0</v>
      </c>
      <c r="U155" s="5">
        <v>743.43600000000004</v>
      </c>
      <c r="V155" s="6">
        <v>4.7899999999999999E-5</v>
      </c>
      <c r="W155" s="6">
        <v>7.5863000000000007E-3</v>
      </c>
      <c r="X155" s="6">
        <v>8.9050000000000002E-4</v>
      </c>
      <c r="Y155" s="2" t="s">
        <v>3</v>
      </c>
      <c r="Z155" s="57" t="s">
        <v>4</v>
      </c>
      <c r="AA155" s="57" t="s">
        <v>1</v>
      </c>
    </row>
    <row r="156" spans="1:27">
      <c r="A156" s="2" t="s">
        <v>78</v>
      </c>
      <c r="B156" s="2" t="s">
        <v>98</v>
      </c>
      <c r="C156" s="2" t="s">
        <v>554</v>
      </c>
      <c r="D156" s="2" t="s">
        <v>555</v>
      </c>
      <c r="E156" s="2" t="s">
        <v>194</v>
      </c>
      <c r="F156" s="2" t="s">
        <v>554</v>
      </c>
      <c r="G156" s="9">
        <v>1081124</v>
      </c>
      <c r="H156" s="2" t="s">
        <v>149</v>
      </c>
      <c r="I156" s="2" t="s">
        <v>529</v>
      </c>
      <c r="J156" s="2" t="s">
        <v>83</v>
      </c>
      <c r="K156" s="2" t="s">
        <v>83</v>
      </c>
      <c r="L156" s="2" t="s">
        <v>185</v>
      </c>
      <c r="M156" s="2" t="s">
        <v>118</v>
      </c>
      <c r="N156" s="2" t="s">
        <v>556</v>
      </c>
      <c r="O156" s="2" t="s">
        <v>84</v>
      </c>
      <c r="P156" s="2" t="s">
        <v>87</v>
      </c>
      <c r="Q156" s="5">
        <v>1122</v>
      </c>
      <c r="R156" s="5">
        <v>1</v>
      </c>
      <c r="S156" s="5">
        <v>77500</v>
      </c>
      <c r="T156" s="5">
        <v>0</v>
      </c>
      <c r="U156" s="5">
        <v>869.55</v>
      </c>
      <c r="V156" s="6">
        <v>2.5200000000000003E-5</v>
      </c>
      <c r="W156" s="6">
        <v>8.8731999999999995E-3</v>
      </c>
      <c r="X156" s="6">
        <v>1.0415999999999999E-3</v>
      </c>
      <c r="Y156" s="2" t="s">
        <v>3</v>
      </c>
      <c r="Z156" s="57" t="s">
        <v>4</v>
      </c>
      <c r="AA156" s="57" t="s">
        <v>1</v>
      </c>
    </row>
    <row r="157" spans="1:27">
      <c r="A157" s="2" t="s">
        <v>78</v>
      </c>
      <c r="B157" s="2" t="s">
        <v>98</v>
      </c>
      <c r="C157" s="2" t="s">
        <v>371</v>
      </c>
      <c r="D157" s="2" t="s">
        <v>372</v>
      </c>
      <c r="E157" s="2" t="s">
        <v>194</v>
      </c>
      <c r="F157" s="2" t="s">
        <v>557</v>
      </c>
      <c r="G157" s="9">
        <v>390013</v>
      </c>
      <c r="H157" s="2" t="s">
        <v>149</v>
      </c>
      <c r="I157" s="2" t="s">
        <v>529</v>
      </c>
      <c r="J157" s="2" t="s">
        <v>83</v>
      </c>
      <c r="K157" s="2" t="s">
        <v>83</v>
      </c>
      <c r="L157" s="2" t="s">
        <v>185</v>
      </c>
      <c r="M157" s="2" t="s">
        <v>118</v>
      </c>
      <c r="N157" s="2" t="s">
        <v>197</v>
      </c>
      <c r="O157" s="2" t="s">
        <v>84</v>
      </c>
      <c r="P157" s="2" t="s">
        <v>87</v>
      </c>
      <c r="Q157" s="5">
        <v>41903</v>
      </c>
      <c r="R157" s="5">
        <v>1</v>
      </c>
      <c r="S157" s="5">
        <v>2653</v>
      </c>
      <c r="T157" s="5">
        <v>7.5425000000000004</v>
      </c>
      <c r="U157" s="5">
        <v>1119.2291299999999</v>
      </c>
      <c r="V157" s="6">
        <v>2.331E-4</v>
      </c>
      <c r="W157" s="6">
        <v>1.1420999999999999E-2</v>
      </c>
      <c r="X157" s="6">
        <v>1.3406000000000002E-3</v>
      </c>
      <c r="Y157" s="2" t="s">
        <v>3</v>
      </c>
      <c r="Z157" s="57" t="s">
        <v>4</v>
      </c>
      <c r="AA157" s="57" t="s">
        <v>1</v>
      </c>
    </row>
    <row r="158" spans="1:27">
      <c r="A158" s="2" t="s">
        <v>78</v>
      </c>
      <c r="B158" s="2" t="s">
        <v>98</v>
      </c>
      <c r="C158" s="2" t="s">
        <v>558</v>
      </c>
      <c r="D158" s="2" t="s">
        <v>559</v>
      </c>
      <c r="E158" s="2" t="s">
        <v>194</v>
      </c>
      <c r="F158" s="2" t="s">
        <v>560</v>
      </c>
      <c r="G158" s="9">
        <v>662577</v>
      </c>
      <c r="H158" s="2" t="s">
        <v>149</v>
      </c>
      <c r="I158" s="2" t="s">
        <v>529</v>
      </c>
      <c r="J158" s="2" t="s">
        <v>83</v>
      </c>
      <c r="K158" s="2" t="s">
        <v>83</v>
      </c>
      <c r="L158" s="2" t="s">
        <v>185</v>
      </c>
      <c r="M158" s="2" t="s">
        <v>118</v>
      </c>
      <c r="N158" s="2" t="s">
        <v>400</v>
      </c>
      <c r="O158" s="2" t="s">
        <v>84</v>
      </c>
      <c r="P158" s="2" t="s">
        <v>87</v>
      </c>
      <c r="Q158" s="5">
        <v>65676</v>
      </c>
      <c r="R158" s="5">
        <v>1</v>
      </c>
      <c r="S158" s="5">
        <v>3500</v>
      </c>
      <c r="T158" s="5">
        <v>17.287199999999999</v>
      </c>
      <c r="U158" s="5">
        <v>2315.9472700000001</v>
      </c>
      <c r="V158" s="6">
        <v>4.9100000000000001E-5</v>
      </c>
      <c r="W158" s="6">
        <v>2.36327E-2</v>
      </c>
      <c r="X158" s="6">
        <v>2.7740999999999998E-3</v>
      </c>
      <c r="Y158" s="2" t="s">
        <v>3</v>
      </c>
      <c r="Z158" s="57" t="s">
        <v>4</v>
      </c>
      <c r="AA158" s="57" t="s">
        <v>1</v>
      </c>
    </row>
    <row r="159" spans="1:27">
      <c r="A159" s="2" t="s">
        <v>78</v>
      </c>
      <c r="B159" s="2" t="s">
        <v>98</v>
      </c>
      <c r="C159" s="2" t="s">
        <v>342</v>
      </c>
      <c r="D159" s="2" t="s">
        <v>343</v>
      </c>
      <c r="E159" s="2" t="s">
        <v>194</v>
      </c>
      <c r="F159" s="2" t="s">
        <v>342</v>
      </c>
      <c r="G159" s="9">
        <v>1097278</v>
      </c>
      <c r="H159" s="2" t="s">
        <v>149</v>
      </c>
      <c r="I159" s="2" t="s">
        <v>529</v>
      </c>
      <c r="J159" s="2" t="s">
        <v>83</v>
      </c>
      <c r="K159" s="2" t="s">
        <v>83</v>
      </c>
      <c r="L159" s="2" t="s">
        <v>185</v>
      </c>
      <c r="M159" s="2" t="s">
        <v>118</v>
      </c>
      <c r="N159" s="2" t="s">
        <v>197</v>
      </c>
      <c r="O159" s="2" t="s">
        <v>84</v>
      </c>
      <c r="P159" s="2" t="s">
        <v>87</v>
      </c>
      <c r="Q159" s="5">
        <v>29977</v>
      </c>
      <c r="R159" s="5">
        <v>1</v>
      </c>
      <c r="S159" s="5">
        <v>1749</v>
      </c>
      <c r="T159" s="5">
        <v>0</v>
      </c>
      <c r="U159" s="5">
        <v>524.29773</v>
      </c>
      <c r="V159" s="6">
        <v>6.3600000000000001E-5</v>
      </c>
      <c r="W159" s="6">
        <v>5.3501E-3</v>
      </c>
      <c r="X159" s="6">
        <v>6.2799999999999998E-4</v>
      </c>
      <c r="Y159" s="2" t="s">
        <v>3</v>
      </c>
      <c r="Z159" s="57" t="s">
        <v>4</v>
      </c>
      <c r="AA159" s="57" t="s">
        <v>1</v>
      </c>
    </row>
    <row r="160" spans="1:27">
      <c r="A160" s="2" t="s">
        <v>78</v>
      </c>
      <c r="B160" s="2" t="s">
        <v>98</v>
      </c>
      <c r="C160" s="2" t="s">
        <v>358</v>
      </c>
      <c r="D160" s="2" t="s">
        <v>359</v>
      </c>
      <c r="E160" s="2" t="s">
        <v>194</v>
      </c>
      <c r="F160" s="2" t="s">
        <v>561</v>
      </c>
      <c r="G160" s="9">
        <v>323014</v>
      </c>
      <c r="H160" s="2" t="s">
        <v>149</v>
      </c>
      <c r="I160" s="2" t="s">
        <v>529</v>
      </c>
      <c r="J160" s="2" t="s">
        <v>83</v>
      </c>
      <c r="K160" s="2" t="s">
        <v>83</v>
      </c>
      <c r="L160" s="2" t="s">
        <v>185</v>
      </c>
      <c r="M160" s="2" t="s">
        <v>118</v>
      </c>
      <c r="N160" s="2" t="s">
        <v>197</v>
      </c>
      <c r="O160" s="2" t="s">
        <v>84</v>
      </c>
      <c r="P160" s="2" t="s">
        <v>87</v>
      </c>
      <c r="Q160" s="5">
        <v>2046</v>
      </c>
      <c r="R160" s="5">
        <v>1</v>
      </c>
      <c r="S160" s="5">
        <v>26900</v>
      </c>
      <c r="T160" s="5">
        <v>5.1665000000000001</v>
      </c>
      <c r="U160" s="5">
        <v>555.54052999999999</v>
      </c>
      <c r="V160" s="6">
        <v>4.3000000000000002E-5</v>
      </c>
      <c r="W160" s="6">
        <v>5.6689000000000002E-3</v>
      </c>
      <c r="X160" s="6">
        <v>6.6540000000000002E-4</v>
      </c>
      <c r="Y160" s="2" t="s">
        <v>3</v>
      </c>
      <c r="Z160" s="57" t="s">
        <v>4</v>
      </c>
      <c r="AA160" s="57" t="s">
        <v>1</v>
      </c>
    </row>
    <row r="161" spans="1:27">
      <c r="A161" s="2" t="s">
        <v>78</v>
      </c>
      <c r="B161" s="2" t="s">
        <v>98</v>
      </c>
      <c r="C161" s="2" t="s">
        <v>697</v>
      </c>
      <c r="D161" s="2" t="s">
        <v>698</v>
      </c>
      <c r="E161" s="2" t="s">
        <v>194</v>
      </c>
      <c r="F161" s="2" t="s">
        <v>697</v>
      </c>
      <c r="G161" s="9">
        <v>281014</v>
      </c>
      <c r="H161" s="2" t="s">
        <v>149</v>
      </c>
      <c r="I161" s="2" t="s">
        <v>529</v>
      </c>
      <c r="J161" s="2" t="s">
        <v>83</v>
      </c>
      <c r="K161" s="2" t="s">
        <v>83</v>
      </c>
      <c r="L161" s="2" t="s">
        <v>185</v>
      </c>
      <c r="M161" s="2" t="s">
        <v>118</v>
      </c>
      <c r="N161" s="2" t="s">
        <v>699</v>
      </c>
      <c r="O161" s="2" t="s">
        <v>84</v>
      </c>
      <c r="P161" s="2" t="s">
        <v>87</v>
      </c>
      <c r="Q161" s="5">
        <v>31532</v>
      </c>
      <c r="R161" s="5">
        <v>1</v>
      </c>
      <c r="S161" s="5">
        <v>1951</v>
      </c>
      <c r="T161" s="5">
        <v>0</v>
      </c>
      <c r="U161" s="5">
        <v>615.18931999999995</v>
      </c>
      <c r="V161" s="6">
        <v>2.44E-5</v>
      </c>
      <c r="W161" s="6">
        <v>6.2775999999999995E-3</v>
      </c>
      <c r="X161" s="6">
        <v>7.3690000000000008E-4</v>
      </c>
      <c r="Y161" s="2" t="s">
        <v>3</v>
      </c>
      <c r="Z161" s="57" t="s">
        <v>4</v>
      </c>
      <c r="AA161" s="57" t="s">
        <v>1</v>
      </c>
    </row>
    <row r="162" spans="1:27">
      <c r="A162" s="2" t="s">
        <v>78</v>
      </c>
      <c r="B162" s="2" t="s">
        <v>98</v>
      </c>
      <c r="C162" s="2" t="s">
        <v>562</v>
      </c>
      <c r="D162" s="2" t="s">
        <v>563</v>
      </c>
      <c r="E162" s="2" t="s">
        <v>194</v>
      </c>
      <c r="F162" s="2" t="s">
        <v>564</v>
      </c>
      <c r="G162" s="9">
        <v>1087022</v>
      </c>
      <c r="H162" s="2" t="s">
        <v>149</v>
      </c>
      <c r="I162" s="2" t="s">
        <v>529</v>
      </c>
      <c r="J162" s="2" t="s">
        <v>83</v>
      </c>
      <c r="K162" s="2" t="s">
        <v>83</v>
      </c>
      <c r="L162" s="2" t="s">
        <v>185</v>
      </c>
      <c r="M162" s="2" t="s">
        <v>118</v>
      </c>
      <c r="N162" s="2" t="s">
        <v>471</v>
      </c>
      <c r="O162" s="2" t="s">
        <v>84</v>
      </c>
      <c r="P162" s="2" t="s">
        <v>87</v>
      </c>
      <c r="Q162" s="5">
        <v>2012</v>
      </c>
      <c r="R162" s="5">
        <v>1</v>
      </c>
      <c r="S162" s="5">
        <v>34140</v>
      </c>
      <c r="T162" s="5">
        <v>0</v>
      </c>
      <c r="U162" s="5">
        <v>686.89679999999998</v>
      </c>
      <c r="V162" s="6">
        <v>1.4569999999999999E-4</v>
      </c>
      <c r="W162" s="6">
        <v>7.0093000000000004E-3</v>
      </c>
      <c r="X162" s="6">
        <v>8.2280000000000005E-4</v>
      </c>
      <c r="Y162" s="2" t="s">
        <v>3</v>
      </c>
      <c r="Z162" s="57" t="s">
        <v>4</v>
      </c>
      <c r="AA162" s="57" t="s">
        <v>1</v>
      </c>
    </row>
    <row r="163" spans="1:27">
      <c r="A163" s="2" t="s">
        <v>78</v>
      </c>
      <c r="B163" s="2" t="s">
        <v>98</v>
      </c>
      <c r="C163" s="2" t="s">
        <v>201</v>
      </c>
      <c r="D163" s="2" t="s">
        <v>202</v>
      </c>
      <c r="E163" s="2" t="s">
        <v>194</v>
      </c>
      <c r="F163" s="2" t="s">
        <v>565</v>
      </c>
      <c r="G163" s="9">
        <v>1090315</v>
      </c>
      <c r="H163" s="2" t="s">
        <v>149</v>
      </c>
      <c r="I163" s="2" t="s">
        <v>529</v>
      </c>
      <c r="J163" s="2" t="s">
        <v>83</v>
      </c>
      <c r="K163" s="2" t="s">
        <v>83</v>
      </c>
      <c r="L163" s="2" t="s">
        <v>185</v>
      </c>
      <c r="M163" s="2" t="s">
        <v>118</v>
      </c>
      <c r="N163" s="2" t="s">
        <v>205</v>
      </c>
      <c r="O163" s="2" t="s">
        <v>84</v>
      </c>
      <c r="P163" s="2" t="s">
        <v>87</v>
      </c>
      <c r="Q163" s="5">
        <v>6613</v>
      </c>
      <c r="R163" s="5">
        <v>1</v>
      </c>
      <c r="S163" s="5">
        <v>28600</v>
      </c>
      <c r="T163" s="5">
        <v>0</v>
      </c>
      <c r="U163" s="5">
        <v>1891.318</v>
      </c>
      <c r="V163" s="6">
        <v>3.4479999999999998E-4</v>
      </c>
      <c r="W163" s="6">
        <v>1.92996E-2</v>
      </c>
      <c r="X163" s="6">
        <v>2.2653999999999999E-3</v>
      </c>
      <c r="Y163" s="2" t="s">
        <v>3</v>
      </c>
      <c r="Z163" s="57" t="s">
        <v>4</v>
      </c>
      <c r="AA163" s="57" t="s">
        <v>1</v>
      </c>
    </row>
    <row r="164" spans="1:27">
      <c r="A164" s="2" t="s">
        <v>78</v>
      </c>
      <c r="B164" s="2" t="s">
        <v>98</v>
      </c>
      <c r="C164" s="2" t="s">
        <v>248</v>
      </c>
      <c r="D164" s="2" t="s">
        <v>249</v>
      </c>
      <c r="E164" s="2" t="s">
        <v>194</v>
      </c>
      <c r="F164" s="2" t="s">
        <v>248</v>
      </c>
      <c r="G164" s="9">
        <v>1119478</v>
      </c>
      <c r="H164" s="2" t="s">
        <v>149</v>
      </c>
      <c r="I164" s="2" t="s">
        <v>529</v>
      </c>
      <c r="J164" s="2" t="s">
        <v>83</v>
      </c>
      <c r="K164" s="2" t="s">
        <v>83</v>
      </c>
      <c r="L164" s="2" t="s">
        <v>185</v>
      </c>
      <c r="M164" s="2" t="s">
        <v>118</v>
      </c>
      <c r="N164" s="2" t="s">
        <v>197</v>
      </c>
      <c r="O164" s="2" t="s">
        <v>84</v>
      </c>
      <c r="P164" s="2" t="s">
        <v>87</v>
      </c>
      <c r="Q164" s="5">
        <v>3472</v>
      </c>
      <c r="R164" s="5">
        <v>1</v>
      </c>
      <c r="S164" s="5">
        <v>26610</v>
      </c>
      <c r="T164" s="5">
        <v>0</v>
      </c>
      <c r="U164" s="5">
        <v>923.89919999999995</v>
      </c>
      <c r="V164" s="6">
        <v>2.8600000000000001E-5</v>
      </c>
      <c r="W164" s="6">
        <v>9.4278000000000001E-3</v>
      </c>
      <c r="X164" s="6">
        <v>1.1067E-3</v>
      </c>
      <c r="Y164" s="2" t="s">
        <v>3</v>
      </c>
      <c r="Z164" s="57" t="s">
        <v>4</v>
      </c>
      <c r="AA164" s="57" t="s">
        <v>1</v>
      </c>
    </row>
    <row r="165" spans="1:27" s="29" customFormat="1">
      <c r="A165" s="33" t="s">
        <v>78</v>
      </c>
      <c r="B165" s="33" t="s">
        <v>98</v>
      </c>
      <c r="C165" s="33" t="s">
        <v>294</v>
      </c>
      <c r="D165" s="33" t="s">
        <v>295</v>
      </c>
      <c r="E165" s="33" t="s">
        <v>194</v>
      </c>
      <c r="F165" s="33" t="s">
        <v>566</v>
      </c>
      <c r="G165" s="36">
        <v>1123355</v>
      </c>
      <c r="H165" s="33" t="s">
        <v>149</v>
      </c>
      <c r="I165" s="33" t="s">
        <v>529</v>
      </c>
      <c r="J165" s="33" t="s">
        <v>83</v>
      </c>
      <c r="K165" s="33" t="s">
        <v>83</v>
      </c>
      <c r="L165" s="33" t="s">
        <v>185</v>
      </c>
      <c r="M165" s="33" t="s">
        <v>118</v>
      </c>
      <c r="N165" s="33" t="s">
        <v>215</v>
      </c>
      <c r="O165" s="33" t="s">
        <v>84</v>
      </c>
      <c r="P165" s="33" t="s">
        <v>87</v>
      </c>
      <c r="Q165" s="37">
        <v>99585</v>
      </c>
      <c r="R165" s="37">
        <v>1</v>
      </c>
      <c r="S165" s="37">
        <v>1352</v>
      </c>
      <c r="T165" s="37">
        <v>0</v>
      </c>
      <c r="U165" s="37">
        <v>1346.3892000000001</v>
      </c>
      <c r="V165" s="38">
        <v>1.816E-4</v>
      </c>
      <c r="W165" s="38">
        <v>1.3738999999999999E-2</v>
      </c>
      <c r="X165" s="38">
        <v>1.6126999999999999E-3</v>
      </c>
      <c r="Y165" s="33" t="s">
        <v>3</v>
      </c>
      <c r="Z165" s="57" t="s">
        <v>4</v>
      </c>
      <c r="AA165" s="57" t="s">
        <v>1</v>
      </c>
    </row>
    <row r="166" spans="1:27" s="29" customFormat="1">
      <c r="A166" s="33" t="s">
        <v>78</v>
      </c>
      <c r="B166" s="33" t="s">
        <v>98</v>
      </c>
      <c r="C166" s="33" t="s">
        <v>567</v>
      </c>
      <c r="D166" s="33" t="s">
        <v>568</v>
      </c>
      <c r="E166" s="33" t="s">
        <v>194</v>
      </c>
      <c r="F166" s="33" t="s">
        <v>569</v>
      </c>
      <c r="G166" s="36">
        <v>258012</v>
      </c>
      <c r="H166" s="33" t="s">
        <v>149</v>
      </c>
      <c r="I166" s="33" t="s">
        <v>529</v>
      </c>
      <c r="J166" s="33" t="s">
        <v>83</v>
      </c>
      <c r="K166" s="33" t="s">
        <v>83</v>
      </c>
      <c r="L166" s="33" t="s">
        <v>185</v>
      </c>
      <c r="M166" s="33" t="s">
        <v>118</v>
      </c>
      <c r="N166" s="33" t="s">
        <v>389</v>
      </c>
      <c r="O166" s="33" t="s">
        <v>84</v>
      </c>
      <c r="P166" s="33" t="s">
        <v>87</v>
      </c>
      <c r="Q166" s="37">
        <v>2200</v>
      </c>
      <c r="R166" s="37">
        <v>1</v>
      </c>
      <c r="S166" s="37">
        <v>30040</v>
      </c>
      <c r="T166" s="37">
        <v>5.8163999999999998</v>
      </c>
      <c r="U166" s="37">
        <v>666.69644000000005</v>
      </c>
      <c r="V166" s="38">
        <v>2.5619999999999999E-4</v>
      </c>
      <c r="W166" s="38">
        <v>6.8032000000000006E-3</v>
      </c>
      <c r="X166" s="38">
        <v>7.986E-4</v>
      </c>
      <c r="Y166" s="33" t="s">
        <v>3</v>
      </c>
      <c r="Z166" s="57" t="s">
        <v>4</v>
      </c>
      <c r="AA166" s="57" t="s">
        <v>1</v>
      </c>
    </row>
    <row r="167" spans="1:27" s="29" customFormat="1">
      <c r="A167" s="33" t="s">
        <v>78</v>
      </c>
      <c r="B167" s="33" t="s">
        <v>98</v>
      </c>
      <c r="C167" s="33" t="s">
        <v>570</v>
      </c>
      <c r="D167" s="33" t="s">
        <v>571</v>
      </c>
      <c r="E167" s="33" t="s">
        <v>194</v>
      </c>
      <c r="F167" s="33" t="s">
        <v>572</v>
      </c>
      <c r="G167" s="36">
        <v>434019</v>
      </c>
      <c r="H167" s="33" t="s">
        <v>149</v>
      </c>
      <c r="I167" s="33" t="s">
        <v>529</v>
      </c>
      <c r="J167" s="33" t="s">
        <v>83</v>
      </c>
      <c r="K167" s="33" t="s">
        <v>83</v>
      </c>
      <c r="L167" s="33" t="s">
        <v>185</v>
      </c>
      <c r="M167" s="33" t="s">
        <v>118</v>
      </c>
      <c r="N167" s="33" t="s">
        <v>205</v>
      </c>
      <c r="O167" s="33" t="s">
        <v>84</v>
      </c>
      <c r="P167" s="33" t="s">
        <v>87</v>
      </c>
      <c r="Q167" s="37">
        <v>105000</v>
      </c>
      <c r="R167" s="37">
        <v>1</v>
      </c>
      <c r="S167" s="37">
        <v>1475</v>
      </c>
      <c r="T167" s="37">
        <v>0</v>
      </c>
      <c r="U167" s="37">
        <v>1548.75</v>
      </c>
      <c r="V167" s="38">
        <v>3.2550000000000005E-4</v>
      </c>
      <c r="W167" s="38">
        <v>1.5803999999999999E-2</v>
      </c>
      <c r="X167" s="38">
        <v>1.8551000000000002E-3</v>
      </c>
      <c r="Y167" s="33" t="s">
        <v>3</v>
      </c>
      <c r="Z167" s="57" t="s">
        <v>4</v>
      </c>
      <c r="AA167" s="57" t="s">
        <v>1</v>
      </c>
    </row>
    <row r="168" spans="1:27" s="29" customFormat="1">
      <c r="A168" s="33" t="s">
        <v>78</v>
      </c>
      <c r="B168" s="33" t="s">
        <v>98</v>
      </c>
      <c r="C168" s="33" t="s">
        <v>212</v>
      </c>
      <c r="D168" s="33" t="s">
        <v>213</v>
      </c>
      <c r="E168" s="33" t="s">
        <v>194</v>
      </c>
      <c r="F168" s="33" t="s">
        <v>573</v>
      </c>
      <c r="G168" s="36">
        <v>720011</v>
      </c>
      <c r="H168" s="33" t="s">
        <v>149</v>
      </c>
      <c r="I168" s="33" t="s">
        <v>529</v>
      </c>
      <c r="J168" s="33" t="s">
        <v>83</v>
      </c>
      <c r="K168" s="33" t="s">
        <v>83</v>
      </c>
      <c r="L168" s="33" t="s">
        <v>185</v>
      </c>
      <c r="M168" s="33" t="s">
        <v>118</v>
      </c>
      <c r="N168" s="33" t="s">
        <v>215</v>
      </c>
      <c r="O168" s="33" t="s">
        <v>84</v>
      </c>
      <c r="P168" s="33" t="s">
        <v>87</v>
      </c>
      <c r="Q168" s="37">
        <v>17454</v>
      </c>
      <c r="R168" s="37">
        <v>1</v>
      </c>
      <c r="S168" s="37">
        <v>6299</v>
      </c>
      <c r="T168" s="37">
        <v>0</v>
      </c>
      <c r="U168" s="37">
        <v>1099.4274600000001</v>
      </c>
      <c r="V168" s="38">
        <v>1.4789999999999999E-4</v>
      </c>
      <c r="W168" s="38">
        <v>1.12189E-2</v>
      </c>
      <c r="X168" s="38">
        <v>1.3169E-3</v>
      </c>
      <c r="Y168" s="33" t="s">
        <v>3</v>
      </c>
      <c r="Z168" s="57" t="s">
        <v>4</v>
      </c>
      <c r="AA168" s="57" t="s">
        <v>1</v>
      </c>
    </row>
    <row r="169" spans="1:27" s="29" customFormat="1">
      <c r="A169" s="33" t="s">
        <v>78</v>
      </c>
      <c r="B169" s="33" t="s">
        <v>98</v>
      </c>
      <c r="C169" s="33" t="s">
        <v>576</v>
      </c>
      <c r="D169" s="33" t="s">
        <v>577</v>
      </c>
      <c r="E169" s="33" t="s">
        <v>194</v>
      </c>
      <c r="F169" s="33" t="s">
        <v>576</v>
      </c>
      <c r="G169" s="36">
        <v>1141464</v>
      </c>
      <c r="H169" s="33" t="s">
        <v>149</v>
      </c>
      <c r="I169" s="33" t="s">
        <v>529</v>
      </c>
      <c r="J169" s="33" t="s">
        <v>83</v>
      </c>
      <c r="K169" s="33" t="s">
        <v>83</v>
      </c>
      <c r="L169" s="33" t="s">
        <v>185</v>
      </c>
      <c r="M169" s="33" t="s">
        <v>118</v>
      </c>
      <c r="N169" s="33" t="s">
        <v>210</v>
      </c>
      <c r="O169" s="33" t="s">
        <v>84</v>
      </c>
      <c r="P169" s="33" t="s">
        <v>87</v>
      </c>
      <c r="Q169" s="37">
        <v>58177</v>
      </c>
      <c r="R169" s="37">
        <v>1</v>
      </c>
      <c r="S169" s="37">
        <v>848.3</v>
      </c>
      <c r="T169" s="37">
        <v>0</v>
      </c>
      <c r="U169" s="37">
        <v>493.51549</v>
      </c>
      <c r="V169" s="38">
        <v>8.1589999999999994E-4</v>
      </c>
      <c r="W169" s="38">
        <v>5.0360000000000005E-3</v>
      </c>
      <c r="X169" s="38">
        <v>5.911E-4</v>
      </c>
      <c r="Y169" s="33" t="s">
        <v>3</v>
      </c>
      <c r="Z169" s="57" t="s">
        <v>4</v>
      </c>
      <c r="AA169" s="57" t="s">
        <v>1</v>
      </c>
    </row>
    <row r="170" spans="1:27" s="29" customFormat="1">
      <c r="A170" s="33" t="s">
        <v>78</v>
      </c>
      <c r="B170" s="33" t="s">
        <v>98</v>
      </c>
      <c r="C170" s="33" t="s">
        <v>580</v>
      </c>
      <c r="D170" s="33" t="s">
        <v>581</v>
      </c>
      <c r="E170" s="33" t="s">
        <v>168</v>
      </c>
      <c r="F170" s="33" t="s">
        <v>582</v>
      </c>
      <c r="G170" s="33" t="s">
        <v>583</v>
      </c>
      <c r="H170" s="33" t="s">
        <v>183</v>
      </c>
      <c r="I170" s="33" t="s">
        <v>529</v>
      </c>
      <c r="J170" s="33" t="s">
        <v>148</v>
      </c>
      <c r="K170" s="33" t="s">
        <v>156</v>
      </c>
      <c r="L170" s="33" t="s">
        <v>185</v>
      </c>
      <c r="M170" s="33" t="s">
        <v>584</v>
      </c>
      <c r="N170" s="33" t="s">
        <v>585</v>
      </c>
      <c r="O170" s="33" t="s">
        <v>84</v>
      </c>
      <c r="P170" s="33" t="s">
        <v>91</v>
      </c>
      <c r="Q170" s="37">
        <v>3900</v>
      </c>
      <c r="R170" s="37">
        <v>3.681</v>
      </c>
      <c r="S170" s="37">
        <v>15093</v>
      </c>
      <c r="T170" s="37">
        <v>0</v>
      </c>
      <c r="U170" s="37">
        <v>2166.7359799999999</v>
      </c>
      <c r="V170" s="38">
        <v>5.9999999999999997E-7</v>
      </c>
      <c r="W170" s="38">
        <v>2.2110100000000001E-2</v>
      </c>
      <c r="X170" s="38">
        <v>2.5953E-3</v>
      </c>
      <c r="Y170" s="36">
        <v>70651708</v>
      </c>
      <c r="Z170" s="57" t="s">
        <v>4</v>
      </c>
      <c r="AA170" s="57" t="s">
        <v>1</v>
      </c>
    </row>
    <row r="171" spans="1:27" s="29" customFormat="1">
      <c r="A171" s="33" t="s">
        <v>78</v>
      </c>
      <c r="B171" s="33" t="s">
        <v>98</v>
      </c>
      <c r="C171" s="33" t="s">
        <v>586</v>
      </c>
      <c r="D171" s="33" t="s">
        <v>587</v>
      </c>
      <c r="E171" s="33" t="s">
        <v>168</v>
      </c>
      <c r="F171" s="33" t="s">
        <v>588</v>
      </c>
      <c r="G171" s="33" t="s">
        <v>589</v>
      </c>
      <c r="H171" s="33" t="s">
        <v>183</v>
      </c>
      <c r="I171" s="33" t="s">
        <v>529</v>
      </c>
      <c r="J171" s="33" t="s">
        <v>148</v>
      </c>
      <c r="K171" s="33" t="s">
        <v>156</v>
      </c>
      <c r="L171" s="33" t="s">
        <v>185</v>
      </c>
      <c r="M171" s="33" t="s">
        <v>590</v>
      </c>
      <c r="N171" s="33" t="s">
        <v>591</v>
      </c>
      <c r="O171" s="33" t="s">
        <v>84</v>
      </c>
      <c r="P171" s="33" t="s">
        <v>91</v>
      </c>
      <c r="Q171" s="37">
        <v>5155</v>
      </c>
      <c r="R171" s="37">
        <v>3.681</v>
      </c>
      <c r="S171" s="37">
        <v>42072</v>
      </c>
      <c r="T171" s="37">
        <v>0</v>
      </c>
      <c r="U171" s="37">
        <v>7983.3954899999999</v>
      </c>
      <c r="V171" s="38">
        <v>5.9999999999999997E-7</v>
      </c>
      <c r="W171" s="38">
        <v>8.1465200000000002E-2</v>
      </c>
      <c r="X171" s="38">
        <v>9.5625999999999992E-3</v>
      </c>
      <c r="Y171" s="36">
        <v>70388095</v>
      </c>
      <c r="Z171" s="57" t="s">
        <v>4</v>
      </c>
      <c r="AA171" s="57" t="s">
        <v>1</v>
      </c>
    </row>
    <row r="172" spans="1:27" s="29" customFormat="1">
      <c r="A172" s="33" t="s">
        <v>78</v>
      </c>
      <c r="B172" s="33" t="s">
        <v>98</v>
      </c>
      <c r="C172" s="33" t="s">
        <v>596</v>
      </c>
      <c r="D172" s="33" t="s">
        <v>597</v>
      </c>
      <c r="E172" s="33" t="s">
        <v>168</v>
      </c>
      <c r="F172" s="33" t="s">
        <v>598</v>
      </c>
      <c r="G172" s="33" t="s">
        <v>599</v>
      </c>
      <c r="H172" s="33" t="s">
        <v>183</v>
      </c>
      <c r="I172" s="33" t="s">
        <v>529</v>
      </c>
      <c r="J172" s="33" t="s">
        <v>148</v>
      </c>
      <c r="K172" s="33" t="s">
        <v>156</v>
      </c>
      <c r="L172" s="33" t="s">
        <v>185</v>
      </c>
      <c r="M172" s="33" t="s">
        <v>149</v>
      </c>
      <c r="N172" s="33" t="s">
        <v>504</v>
      </c>
      <c r="O172" s="33" t="s">
        <v>84</v>
      </c>
      <c r="P172" s="33" t="s">
        <v>91</v>
      </c>
      <c r="Q172" s="37">
        <v>9034</v>
      </c>
      <c r="R172" s="37">
        <v>3.681</v>
      </c>
      <c r="S172" s="37">
        <v>6619</v>
      </c>
      <c r="T172" s="37">
        <v>0</v>
      </c>
      <c r="U172" s="37">
        <v>2201.0924500000001</v>
      </c>
      <c r="V172" s="38">
        <v>1.496E-4</v>
      </c>
      <c r="W172" s="38">
        <v>2.24607E-2</v>
      </c>
      <c r="X172" s="38">
        <v>2.6365E-3</v>
      </c>
      <c r="Y172" s="36">
        <v>70655667</v>
      </c>
      <c r="Z172" s="57" t="s">
        <v>4</v>
      </c>
      <c r="AA172" s="57" t="s">
        <v>1</v>
      </c>
    </row>
    <row r="173" spans="1:27" s="29" customFormat="1">
      <c r="A173" s="33" t="s">
        <v>78</v>
      </c>
      <c r="B173" s="33" t="s">
        <v>98</v>
      </c>
      <c r="C173" s="33" t="s">
        <v>600</v>
      </c>
      <c r="D173" s="33" t="s">
        <v>601</v>
      </c>
      <c r="E173" s="33" t="s">
        <v>168</v>
      </c>
      <c r="F173" s="33" t="s">
        <v>602</v>
      </c>
      <c r="G173" s="33" t="s">
        <v>603</v>
      </c>
      <c r="H173" s="33" t="s">
        <v>183</v>
      </c>
      <c r="I173" s="33" t="s">
        <v>529</v>
      </c>
      <c r="J173" s="33" t="s">
        <v>148</v>
      </c>
      <c r="K173" s="33" t="s">
        <v>156</v>
      </c>
      <c r="L173" s="33" t="s">
        <v>185</v>
      </c>
      <c r="M173" s="33" t="s">
        <v>584</v>
      </c>
      <c r="N173" s="33" t="s">
        <v>604</v>
      </c>
      <c r="O173" s="33" t="s">
        <v>84</v>
      </c>
      <c r="P173" s="33" t="s">
        <v>91</v>
      </c>
      <c r="Q173" s="37">
        <v>7445</v>
      </c>
      <c r="R173" s="37">
        <v>3.681</v>
      </c>
      <c r="S173" s="37">
        <v>6017</v>
      </c>
      <c r="T173" s="37">
        <v>1.0730999999999999</v>
      </c>
      <c r="U173" s="37">
        <v>1652.9118699999999</v>
      </c>
      <c r="V173" s="38">
        <v>9.0000000000000007E-7</v>
      </c>
      <c r="W173" s="38">
        <v>1.6866900000000001E-2</v>
      </c>
      <c r="X173" s="38">
        <v>1.9799000000000001E-3</v>
      </c>
      <c r="Y173" s="36">
        <v>70464730</v>
      </c>
      <c r="Z173" s="57" t="s">
        <v>4</v>
      </c>
      <c r="AA173" s="57" t="s">
        <v>1</v>
      </c>
    </row>
    <row r="174" spans="1:27" s="29" customFormat="1">
      <c r="A174" s="33" t="s">
        <v>78</v>
      </c>
      <c r="B174" s="33" t="s">
        <v>98</v>
      </c>
      <c r="C174" s="33" t="s">
        <v>613</v>
      </c>
      <c r="D174" s="33" t="s">
        <v>614</v>
      </c>
      <c r="E174" s="33" t="s">
        <v>168</v>
      </c>
      <c r="F174" s="33" t="s">
        <v>615</v>
      </c>
      <c r="G174" s="33" t="s">
        <v>616</v>
      </c>
      <c r="H174" s="33" t="s">
        <v>183</v>
      </c>
      <c r="I174" s="33" t="s">
        <v>529</v>
      </c>
      <c r="J174" s="33" t="s">
        <v>148</v>
      </c>
      <c r="K174" s="33" t="s">
        <v>156</v>
      </c>
      <c r="L174" s="33" t="s">
        <v>185</v>
      </c>
      <c r="M174" s="33" t="s">
        <v>149</v>
      </c>
      <c r="N174" s="33" t="s">
        <v>617</v>
      </c>
      <c r="O174" s="33" t="s">
        <v>84</v>
      </c>
      <c r="P174" s="33" t="s">
        <v>91</v>
      </c>
      <c r="Q174" s="37">
        <v>3435</v>
      </c>
      <c r="R174" s="37">
        <v>3.681</v>
      </c>
      <c r="S174" s="37">
        <v>27908</v>
      </c>
      <c r="T174" s="37">
        <v>0</v>
      </c>
      <c r="U174" s="37">
        <v>3528.7530999999999</v>
      </c>
      <c r="V174" s="38">
        <v>2.1000000000000002E-6</v>
      </c>
      <c r="W174" s="38">
        <v>3.6008600000000002E-2</v>
      </c>
      <c r="X174" s="38">
        <v>4.2268000000000002E-3</v>
      </c>
      <c r="Y174" s="36">
        <v>70961578</v>
      </c>
      <c r="Z174" s="57" t="s">
        <v>4</v>
      </c>
      <c r="AA174" s="57" t="s">
        <v>1</v>
      </c>
    </row>
    <row r="175" spans="1:27" s="29" customFormat="1">
      <c r="A175" s="33" t="s">
        <v>78</v>
      </c>
      <c r="B175" s="33" t="s">
        <v>98</v>
      </c>
      <c r="C175" s="33" t="s">
        <v>618</v>
      </c>
      <c r="D175" s="33" t="s">
        <v>619</v>
      </c>
      <c r="E175" s="33" t="s">
        <v>168</v>
      </c>
      <c r="F175" s="33" t="s">
        <v>618</v>
      </c>
      <c r="G175" s="33" t="s">
        <v>620</v>
      </c>
      <c r="H175" s="33" t="s">
        <v>183</v>
      </c>
      <c r="I175" s="33" t="s">
        <v>529</v>
      </c>
      <c r="J175" s="33" t="s">
        <v>148</v>
      </c>
      <c r="K175" s="33" t="s">
        <v>156</v>
      </c>
      <c r="L175" s="33" t="s">
        <v>185</v>
      </c>
      <c r="M175" s="33" t="s">
        <v>149</v>
      </c>
      <c r="N175" s="33" t="s">
        <v>621</v>
      </c>
      <c r="O175" s="33" t="s">
        <v>84</v>
      </c>
      <c r="P175" s="33" t="s">
        <v>91</v>
      </c>
      <c r="Q175" s="37">
        <v>1500</v>
      </c>
      <c r="R175" s="37">
        <v>3.681</v>
      </c>
      <c r="S175" s="37">
        <v>90356</v>
      </c>
      <c r="T175" s="37">
        <v>0</v>
      </c>
      <c r="U175" s="37">
        <v>4989.0065400000003</v>
      </c>
      <c r="V175" s="38">
        <v>5.9999999999999997E-7</v>
      </c>
      <c r="W175" s="38">
        <v>5.0909500000000003E-2</v>
      </c>
      <c r="X175" s="38">
        <v>5.9758999999999993E-3</v>
      </c>
      <c r="Y175" s="36">
        <v>70500053</v>
      </c>
      <c r="Z175" s="57" t="s">
        <v>4</v>
      </c>
      <c r="AA175" s="57" t="s">
        <v>1</v>
      </c>
    </row>
    <row r="176" spans="1:27" s="29" customFormat="1">
      <c r="A176" s="33" t="s">
        <v>78</v>
      </c>
      <c r="B176" s="33" t="s">
        <v>98</v>
      </c>
      <c r="C176" s="33" t="s">
        <v>622</v>
      </c>
      <c r="D176" s="33" t="s">
        <v>623</v>
      </c>
      <c r="E176" s="33" t="s">
        <v>168</v>
      </c>
      <c r="F176" s="33" t="s">
        <v>624</v>
      </c>
      <c r="G176" s="33" t="s">
        <v>625</v>
      </c>
      <c r="H176" s="33" t="s">
        <v>183</v>
      </c>
      <c r="I176" s="33" t="s">
        <v>529</v>
      </c>
      <c r="J176" s="33" t="s">
        <v>148</v>
      </c>
      <c r="K176" s="33" t="s">
        <v>626</v>
      </c>
      <c r="L176" s="33" t="s">
        <v>185</v>
      </c>
      <c r="M176" s="33" t="s">
        <v>627</v>
      </c>
      <c r="N176" s="33" t="s">
        <v>621</v>
      </c>
      <c r="O176" s="33" t="s">
        <v>84</v>
      </c>
      <c r="P176" s="33" t="s">
        <v>91</v>
      </c>
      <c r="Q176" s="37">
        <v>399</v>
      </c>
      <c r="R176" s="37">
        <v>3.681</v>
      </c>
      <c r="S176" s="37">
        <v>148700</v>
      </c>
      <c r="T176" s="37">
        <v>0</v>
      </c>
      <c r="U176" s="37">
        <v>2183.98515</v>
      </c>
      <c r="V176" s="38">
        <v>1.6000000000000001E-6</v>
      </c>
      <c r="W176" s="38">
        <v>2.2286100000000003E-2</v>
      </c>
      <c r="X176" s="38">
        <v>2.6159999999999998E-3</v>
      </c>
      <c r="Y176" s="36">
        <v>70632732</v>
      </c>
      <c r="Z176" s="57" t="s">
        <v>4</v>
      </c>
      <c r="AA176" s="57" t="s">
        <v>1</v>
      </c>
    </row>
    <row r="177" spans="1:27" s="29" customFormat="1">
      <c r="A177" s="33" t="s">
        <v>78</v>
      </c>
      <c r="B177" s="33" t="s">
        <v>98</v>
      </c>
      <c r="C177" s="33" t="s">
        <v>628</v>
      </c>
      <c r="D177" s="33" t="s">
        <v>629</v>
      </c>
      <c r="E177" s="33" t="s">
        <v>168</v>
      </c>
      <c r="F177" s="33" t="s">
        <v>630</v>
      </c>
      <c r="G177" s="33" t="s">
        <v>631</v>
      </c>
      <c r="H177" s="33" t="s">
        <v>183</v>
      </c>
      <c r="I177" s="33" t="s">
        <v>529</v>
      </c>
      <c r="J177" s="33" t="s">
        <v>148</v>
      </c>
      <c r="K177" s="33" t="s">
        <v>156</v>
      </c>
      <c r="L177" s="33" t="s">
        <v>185</v>
      </c>
      <c r="M177" s="33" t="s">
        <v>149</v>
      </c>
      <c r="N177" s="33" t="s">
        <v>585</v>
      </c>
      <c r="O177" s="33" t="s">
        <v>84</v>
      </c>
      <c r="P177" s="33" t="s">
        <v>91</v>
      </c>
      <c r="Q177" s="37">
        <v>2200</v>
      </c>
      <c r="R177" s="37">
        <v>3.681</v>
      </c>
      <c r="S177" s="37">
        <v>18038</v>
      </c>
      <c r="T177" s="37">
        <v>0</v>
      </c>
      <c r="U177" s="37">
        <v>1460.7533100000001</v>
      </c>
      <c r="V177" s="38">
        <v>2.0000000000000002E-7</v>
      </c>
      <c r="W177" s="38">
        <v>1.4905999999999999E-2</v>
      </c>
      <c r="X177" s="38">
        <v>1.7496999999999999E-3</v>
      </c>
      <c r="Y177" s="36">
        <v>70481486</v>
      </c>
      <c r="Z177" s="57" t="s">
        <v>4</v>
      </c>
      <c r="AA177" s="57" t="s">
        <v>1</v>
      </c>
    </row>
    <row r="178" spans="1:27" s="29" customFormat="1">
      <c r="A178" s="33" t="s">
        <v>78</v>
      </c>
      <c r="B178" s="33" t="s">
        <v>98</v>
      </c>
      <c r="C178" s="33" t="s">
        <v>632</v>
      </c>
      <c r="D178" s="33" t="s">
        <v>633</v>
      </c>
      <c r="E178" s="33" t="s">
        <v>168</v>
      </c>
      <c r="F178" s="33" t="s">
        <v>634</v>
      </c>
      <c r="G178" s="33" t="s">
        <v>635</v>
      </c>
      <c r="H178" s="33" t="s">
        <v>183</v>
      </c>
      <c r="I178" s="33" t="s">
        <v>529</v>
      </c>
      <c r="J178" s="33" t="s">
        <v>148</v>
      </c>
      <c r="K178" s="33" t="s">
        <v>83</v>
      </c>
      <c r="L178" s="33" t="s">
        <v>185</v>
      </c>
      <c r="M178" s="33" t="s">
        <v>149</v>
      </c>
      <c r="N178" s="33" t="s">
        <v>621</v>
      </c>
      <c r="O178" s="33" t="s">
        <v>84</v>
      </c>
      <c r="P178" s="33" t="s">
        <v>91</v>
      </c>
      <c r="Q178" s="37">
        <v>1612</v>
      </c>
      <c r="R178" s="37">
        <v>3.681</v>
      </c>
      <c r="S178" s="37">
        <v>17738</v>
      </c>
      <c r="T178" s="37">
        <v>0</v>
      </c>
      <c r="U178" s="37">
        <v>1052.5324700000001</v>
      </c>
      <c r="V178" s="38">
        <v>5.5500000000000001E-5</v>
      </c>
      <c r="W178" s="38">
        <v>1.0740400000000001E-2</v>
      </c>
      <c r="X178" s="38">
        <v>1.2606999999999998E-3</v>
      </c>
      <c r="Y178" s="36">
        <v>70507199</v>
      </c>
      <c r="Z178" s="57" t="s">
        <v>4</v>
      </c>
      <c r="AA178" s="57" t="s">
        <v>1</v>
      </c>
    </row>
    <row r="179" spans="1:27" s="29" customFormat="1">
      <c r="A179" s="33" t="s">
        <v>78</v>
      </c>
      <c r="B179" s="33" t="s">
        <v>98</v>
      </c>
      <c r="C179" s="33" t="s">
        <v>636</v>
      </c>
      <c r="D179" s="33" t="s">
        <v>637</v>
      </c>
      <c r="E179" s="33" t="s">
        <v>168</v>
      </c>
      <c r="F179" s="33" t="s">
        <v>638</v>
      </c>
      <c r="G179" s="33" t="s">
        <v>639</v>
      </c>
      <c r="H179" s="33" t="s">
        <v>183</v>
      </c>
      <c r="I179" s="33" t="s">
        <v>529</v>
      </c>
      <c r="J179" s="33" t="s">
        <v>148</v>
      </c>
      <c r="K179" s="33" t="s">
        <v>455</v>
      </c>
      <c r="L179" s="33" t="s">
        <v>185</v>
      </c>
      <c r="M179" s="33" t="s">
        <v>584</v>
      </c>
      <c r="N179" s="33" t="s">
        <v>621</v>
      </c>
      <c r="O179" s="33" t="s">
        <v>84</v>
      </c>
      <c r="P179" s="33" t="s">
        <v>91</v>
      </c>
      <c r="Q179" s="37">
        <v>1728</v>
      </c>
      <c r="R179" s="37">
        <v>3.681</v>
      </c>
      <c r="S179" s="37">
        <v>97047</v>
      </c>
      <c r="T179" s="37">
        <v>0</v>
      </c>
      <c r="U179" s="37">
        <v>6172.9345199999998</v>
      </c>
      <c r="V179" s="38">
        <v>4.2999999999999995E-6</v>
      </c>
      <c r="W179" s="38">
        <v>6.2990599999999994E-2</v>
      </c>
      <c r="X179" s="38">
        <v>7.3939999999999995E-3</v>
      </c>
      <c r="Y179" s="36">
        <v>70539671</v>
      </c>
      <c r="Z179" s="57" t="s">
        <v>4</v>
      </c>
      <c r="AA179" s="57" t="s">
        <v>1</v>
      </c>
    </row>
    <row r="180" spans="1:27" s="29" customFormat="1">
      <c r="A180" s="33" t="s">
        <v>78</v>
      </c>
      <c r="B180" s="33" t="s">
        <v>98</v>
      </c>
      <c r="C180" s="33" t="s">
        <v>640</v>
      </c>
      <c r="D180" s="33" t="s">
        <v>641</v>
      </c>
      <c r="E180" s="33" t="s">
        <v>168</v>
      </c>
      <c r="F180" s="33" t="s">
        <v>642</v>
      </c>
      <c r="G180" s="33" t="s">
        <v>643</v>
      </c>
      <c r="H180" s="33" t="s">
        <v>183</v>
      </c>
      <c r="I180" s="33" t="s">
        <v>529</v>
      </c>
      <c r="J180" s="33" t="s">
        <v>148</v>
      </c>
      <c r="K180" s="33" t="s">
        <v>156</v>
      </c>
      <c r="L180" s="33" t="s">
        <v>185</v>
      </c>
      <c r="M180" s="33" t="s">
        <v>584</v>
      </c>
      <c r="N180" s="33" t="s">
        <v>274</v>
      </c>
      <c r="O180" s="33" t="s">
        <v>84</v>
      </c>
      <c r="P180" s="33" t="s">
        <v>91</v>
      </c>
      <c r="Q180" s="37">
        <v>1300</v>
      </c>
      <c r="R180" s="37">
        <v>3.681</v>
      </c>
      <c r="S180" s="37">
        <v>17579</v>
      </c>
      <c r="T180" s="37">
        <v>0</v>
      </c>
      <c r="U180" s="37">
        <v>841.20788000000005</v>
      </c>
      <c r="V180" s="38">
        <v>4.0000000000000003E-7</v>
      </c>
      <c r="W180" s="38">
        <v>8.5840000000000014E-3</v>
      </c>
      <c r="X180" s="38">
        <v>1.0076E-3</v>
      </c>
      <c r="Y180" s="36">
        <v>74297391</v>
      </c>
      <c r="Z180" s="57" t="s">
        <v>4</v>
      </c>
      <c r="AA180" s="57" t="s">
        <v>1</v>
      </c>
    </row>
    <row r="181" spans="1:27" s="29" customFormat="1">
      <c r="A181" s="33" t="s">
        <v>78</v>
      </c>
      <c r="B181" s="33" t="s">
        <v>98</v>
      </c>
      <c r="C181" s="33" t="s">
        <v>580</v>
      </c>
      <c r="D181" s="33" t="s">
        <v>581</v>
      </c>
      <c r="E181" s="33" t="s">
        <v>168</v>
      </c>
      <c r="F181" s="33" t="s">
        <v>688</v>
      </c>
      <c r="G181" s="33" t="s">
        <v>689</v>
      </c>
      <c r="H181" s="33" t="s">
        <v>183</v>
      </c>
      <c r="I181" s="33" t="s">
        <v>529</v>
      </c>
      <c r="J181" s="33" t="s">
        <v>148</v>
      </c>
      <c r="K181" s="33" t="s">
        <v>156</v>
      </c>
      <c r="L181" s="33" t="s">
        <v>185</v>
      </c>
      <c r="M181" s="33" t="s">
        <v>590</v>
      </c>
      <c r="N181" s="33" t="s">
        <v>585</v>
      </c>
      <c r="O181" s="33" t="s">
        <v>84</v>
      </c>
      <c r="P181" s="33" t="s">
        <v>91</v>
      </c>
      <c r="Q181" s="37">
        <v>2760</v>
      </c>
      <c r="R181" s="37">
        <v>3.681</v>
      </c>
      <c r="S181" s="37">
        <v>15226</v>
      </c>
      <c r="T181" s="37">
        <v>0</v>
      </c>
      <c r="U181" s="37">
        <v>1546.8946000000001</v>
      </c>
      <c r="V181" s="38">
        <v>4.0000000000000003E-7</v>
      </c>
      <c r="W181" s="38">
        <v>1.5785E-2</v>
      </c>
      <c r="X181" s="38">
        <v>1.8529000000000002E-3</v>
      </c>
      <c r="Y181" s="36">
        <v>74978859</v>
      </c>
      <c r="Z181" s="57" t="s">
        <v>4</v>
      </c>
      <c r="AA181" s="57" t="s">
        <v>1</v>
      </c>
    </row>
    <row r="182" spans="1:27" s="29" customFormat="1">
      <c r="A182" s="33" t="s">
        <v>78</v>
      </c>
      <c r="B182" s="33" t="s">
        <v>98</v>
      </c>
      <c r="C182" s="33" t="s">
        <v>644</v>
      </c>
      <c r="D182" s="33" t="s">
        <v>645</v>
      </c>
      <c r="E182" s="33" t="s">
        <v>168</v>
      </c>
      <c r="F182" s="33" t="s">
        <v>646</v>
      </c>
      <c r="G182" s="33" t="s">
        <v>647</v>
      </c>
      <c r="H182" s="33" t="s">
        <v>183</v>
      </c>
      <c r="I182" s="33" t="s">
        <v>529</v>
      </c>
      <c r="J182" s="33" t="s">
        <v>148</v>
      </c>
      <c r="K182" s="33" t="s">
        <v>156</v>
      </c>
      <c r="L182" s="33" t="s">
        <v>185</v>
      </c>
      <c r="M182" s="33" t="s">
        <v>590</v>
      </c>
      <c r="N182" s="33" t="s">
        <v>591</v>
      </c>
      <c r="O182" s="33" t="s">
        <v>84</v>
      </c>
      <c r="P182" s="33" t="s">
        <v>91</v>
      </c>
      <c r="Q182" s="37">
        <v>2468</v>
      </c>
      <c r="R182" s="37">
        <v>3.681</v>
      </c>
      <c r="S182" s="37">
        <v>6699</v>
      </c>
      <c r="T182" s="37">
        <v>0</v>
      </c>
      <c r="U182" s="37">
        <v>608.58457999999996</v>
      </c>
      <c r="V182" s="38">
        <v>2.3E-6</v>
      </c>
      <c r="W182" s="38">
        <v>6.2101999999999999E-3</v>
      </c>
      <c r="X182" s="38">
        <v>7.2900000000000005E-4</v>
      </c>
      <c r="Y182" s="36">
        <v>75232918</v>
      </c>
      <c r="Z182" s="57" t="s">
        <v>4</v>
      </c>
      <c r="AA182" s="57" t="s">
        <v>1</v>
      </c>
    </row>
    <row r="183" spans="1:27" s="29" customFormat="1">
      <c r="A183" s="33" t="s">
        <v>78</v>
      </c>
      <c r="B183" s="33" t="s">
        <v>98</v>
      </c>
      <c r="C183" s="33" t="s">
        <v>648</v>
      </c>
      <c r="D183" s="33" t="s">
        <v>649</v>
      </c>
      <c r="E183" s="33" t="s">
        <v>168</v>
      </c>
      <c r="F183" s="33" t="s">
        <v>650</v>
      </c>
      <c r="G183" s="33" t="s">
        <v>651</v>
      </c>
      <c r="H183" s="33" t="s">
        <v>183</v>
      </c>
      <c r="I183" s="33" t="s">
        <v>529</v>
      </c>
      <c r="J183" s="33" t="s">
        <v>148</v>
      </c>
      <c r="K183" s="33" t="s">
        <v>156</v>
      </c>
      <c r="L183" s="33" t="s">
        <v>185</v>
      </c>
      <c r="M183" s="33" t="s">
        <v>584</v>
      </c>
      <c r="N183" s="33" t="s">
        <v>617</v>
      </c>
      <c r="O183" s="33" t="s">
        <v>84</v>
      </c>
      <c r="P183" s="33" t="s">
        <v>91</v>
      </c>
      <c r="Q183" s="37">
        <v>1485</v>
      </c>
      <c r="R183" s="37">
        <v>3.681</v>
      </c>
      <c r="S183" s="37">
        <v>48157</v>
      </c>
      <c r="T183" s="37">
        <v>0</v>
      </c>
      <c r="U183" s="37">
        <v>2632.3988599999998</v>
      </c>
      <c r="V183" s="38">
        <v>1.6000000000000001E-6</v>
      </c>
      <c r="W183" s="38">
        <v>2.6861899999999998E-2</v>
      </c>
      <c r="X183" s="38">
        <v>3.1530999999999998E-3</v>
      </c>
      <c r="Y183" s="36">
        <v>70733191</v>
      </c>
      <c r="Z183" s="57" t="s">
        <v>4</v>
      </c>
      <c r="AA183" s="57" t="s">
        <v>1</v>
      </c>
    </row>
    <row r="184" spans="1:27" s="29" customFormat="1">
      <c r="A184" s="33" t="s">
        <v>78</v>
      </c>
      <c r="B184" s="33" t="s">
        <v>98</v>
      </c>
      <c r="C184" s="33" t="s">
        <v>652</v>
      </c>
      <c r="D184" s="33" t="s">
        <v>653</v>
      </c>
      <c r="E184" s="33" t="s">
        <v>168</v>
      </c>
      <c r="F184" s="33" t="s">
        <v>652</v>
      </c>
      <c r="G184" s="33" t="s">
        <v>654</v>
      </c>
      <c r="H184" s="33" t="s">
        <v>183</v>
      </c>
      <c r="I184" s="33" t="s">
        <v>529</v>
      </c>
      <c r="J184" s="33" t="s">
        <v>148</v>
      </c>
      <c r="K184" s="33" t="s">
        <v>156</v>
      </c>
      <c r="L184" s="33" t="s">
        <v>185</v>
      </c>
      <c r="M184" s="33" t="s">
        <v>590</v>
      </c>
      <c r="N184" s="33" t="s">
        <v>604</v>
      </c>
      <c r="O184" s="33" t="s">
        <v>84</v>
      </c>
      <c r="P184" s="33" t="s">
        <v>91</v>
      </c>
      <c r="Q184" s="37">
        <v>530</v>
      </c>
      <c r="R184" s="37">
        <v>3.681</v>
      </c>
      <c r="S184" s="37">
        <v>73263</v>
      </c>
      <c r="T184" s="37">
        <v>0</v>
      </c>
      <c r="U184" s="37">
        <v>1429.3098399999999</v>
      </c>
      <c r="V184" s="38">
        <v>1.1000000000000001E-6</v>
      </c>
      <c r="W184" s="38">
        <v>1.45851E-2</v>
      </c>
      <c r="X184" s="38">
        <v>1.712E-3</v>
      </c>
      <c r="Y184" s="36">
        <v>70462866</v>
      </c>
      <c r="Z184" s="57" t="s">
        <v>4</v>
      </c>
      <c r="AA184" s="57" t="s">
        <v>1</v>
      </c>
    </row>
    <row r="185" spans="1:27" s="29" customFormat="1">
      <c r="A185" s="33" t="s">
        <v>78</v>
      </c>
      <c r="B185" s="33" t="s">
        <v>98</v>
      </c>
      <c r="C185" s="33" t="s">
        <v>655</v>
      </c>
      <c r="D185" s="33" t="s">
        <v>656</v>
      </c>
      <c r="E185" s="33" t="s">
        <v>168</v>
      </c>
      <c r="F185" s="33" t="s">
        <v>657</v>
      </c>
      <c r="G185" s="33" t="s">
        <v>658</v>
      </c>
      <c r="H185" s="33" t="s">
        <v>183</v>
      </c>
      <c r="I185" s="33" t="s">
        <v>529</v>
      </c>
      <c r="J185" s="33" t="s">
        <v>148</v>
      </c>
      <c r="K185" s="33" t="s">
        <v>83</v>
      </c>
      <c r="L185" s="33" t="s">
        <v>185</v>
      </c>
      <c r="M185" s="33" t="s">
        <v>584</v>
      </c>
      <c r="N185" s="33" t="s">
        <v>585</v>
      </c>
      <c r="O185" s="33" t="s">
        <v>84</v>
      </c>
      <c r="P185" s="33" t="s">
        <v>91</v>
      </c>
      <c r="Q185" s="37">
        <v>724</v>
      </c>
      <c r="R185" s="37">
        <v>3.681</v>
      </c>
      <c r="S185" s="37">
        <v>2107</v>
      </c>
      <c r="T185" s="37">
        <v>0</v>
      </c>
      <c r="U185" s="37">
        <v>56.152470000000001</v>
      </c>
      <c r="V185" s="38">
        <v>1.8700000000000001E-5</v>
      </c>
      <c r="W185" s="38">
        <v>5.7299999999999994E-4</v>
      </c>
      <c r="X185" s="38">
        <v>6.7299999999999996E-5</v>
      </c>
      <c r="Y185" s="36">
        <v>76609312</v>
      </c>
      <c r="Z185" s="57" t="s">
        <v>4</v>
      </c>
      <c r="AA185" s="57" t="s">
        <v>1</v>
      </c>
    </row>
    <row r="186" spans="1:27" s="29" customFormat="1">
      <c r="A186" s="33" t="s">
        <v>78</v>
      </c>
      <c r="B186" s="33" t="s">
        <v>98</v>
      </c>
      <c r="C186" s="33" t="s">
        <v>659</v>
      </c>
      <c r="D186" s="33" t="s">
        <v>660</v>
      </c>
      <c r="E186" s="33" t="s">
        <v>168</v>
      </c>
      <c r="F186" s="33" t="s">
        <v>659</v>
      </c>
      <c r="G186" s="33" t="s">
        <v>661</v>
      </c>
      <c r="H186" s="33" t="s">
        <v>183</v>
      </c>
      <c r="I186" s="33" t="s">
        <v>529</v>
      </c>
      <c r="J186" s="33" t="s">
        <v>148</v>
      </c>
      <c r="K186" s="33" t="s">
        <v>156</v>
      </c>
      <c r="L186" s="33" t="s">
        <v>185</v>
      </c>
      <c r="M186" s="33" t="s">
        <v>590</v>
      </c>
      <c r="N186" s="33" t="s">
        <v>621</v>
      </c>
      <c r="O186" s="33" t="s">
        <v>84</v>
      </c>
      <c r="P186" s="33" t="s">
        <v>91</v>
      </c>
      <c r="Q186" s="37">
        <v>1248</v>
      </c>
      <c r="R186" s="37">
        <v>3.681</v>
      </c>
      <c r="S186" s="37">
        <v>18049</v>
      </c>
      <c r="T186" s="37">
        <v>0</v>
      </c>
      <c r="U186" s="37">
        <v>829.15084000000002</v>
      </c>
      <c r="V186" s="38">
        <v>6.9999999999999997E-7</v>
      </c>
      <c r="W186" s="38">
        <v>8.4609000000000004E-3</v>
      </c>
      <c r="X186" s="38">
        <v>9.9320000000000007E-4</v>
      </c>
      <c r="Y186" s="36">
        <v>70460340</v>
      </c>
      <c r="Z186" s="57" t="s">
        <v>4</v>
      </c>
      <c r="AA186" s="57" t="s">
        <v>1</v>
      </c>
    </row>
    <row r="187" spans="1:27" s="29" customFormat="1">
      <c r="A187" s="33" t="s">
        <v>78</v>
      </c>
      <c r="B187" s="33" t="s">
        <v>98</v>
      </c>
      <c r="C187" s="33" t="s">
        <v>662</v>
      </c>
      <c r="D187" s="33" t="s">
        <v>663</v>
      </c>
      <c r="E187" s="33" t="s">
        <v>168</v>
      </c>
      <c r="F187" s="33" t="s">
        <v>664</v>
      </c>
      <c r="G187" s="33" t="s">
        <v>665</v>
      </c>
      <c r="H187" s="33" t="s">
        <v>183</v>
      </c>
      <c r="I187" s="33" t="s">
        <v>529</v>
      </c>
      <c r="J187" s="33" t="s">
        <v>148</v>
      </c>
      <c r="K187" s="33" t="s">
        <v>83</v>
      </c>
      <c r="L187" s="33" t="s">
        <v>185</v>
      </c>
      <c r="M187" s="33" t="s">
        <v>590</v>
      </c>
      <c r="N187" s="33" t="s">
        <v>666</v>
      </c>
      <c r="O187" s="33" t="s">
        <v>84</v>
      </c>
      <c r="P187" s="33" t="s">
        <v>91</v>
      </c>
      <c r="Q187" s="37">
        <v>23347</v>
      </c>
      <c r="R187" s="37">
        <v>3.681</v>
      </c>
      <c r="S187" s="37">
        <v>8377</v>
      </c>
      <c r="T187" s="37">
        <v>0</v>
      </c>
      <c r="U187" s="37">
        <v>7199.2195099999999</v>
      </c>
      <c r="V187" s="38">
        <v>5.1990000000000001E-4</v>
      </c>
      <c r="W187" s="38">
        <v>7.3463200000000006E-2</v>
      </c>
      <c r="X187" s="38">
        <v>8.6233000000000004E-3</v>
      </c>
      <c r="Y187" s="36">
        <v>70511662</v>
      </c>
      <c r="Z187" s="57" t="s">
        <v>4</v>
      </c>
      <c r="AA187" s="57" t="s">
        <v>1</v>
      </c>
    </row>
    <row r="188" spans="1:27" s="29" customFormat="1">
      <c r="A188" s="33" t="s">
        <v>78</v>
      </c>
      <c r="B188" s="33" t="s">
        <v>98</v>
      </c>
      <c r="C188" s="33" t="s">
        <v>667</v>
      </c>
      <c r="D188" s="33" t="s">
        <v>668</v>
      </c>
      <c r="E188" s="33" t="s">
        <v>168</v>
      </c>
      <c r="F188" s="33" t="s">
        <v>669</v>
      </c>
      <c r="G188" s="33" t="s">
        <v>670</v>
      </c>
      <c r="H188" s="33" t="s">
        <v>183</v>
      </c>
      <c r="I188" s="33" t="s">
        <v>529</v>
      </c>
      <c r="J188" s="33" t="s">
        <v>148</v>
      </c>
      <c r="K188" s="33" t="s">
        <v>671</v>
      </c>
      <c r="L188" s="33" t="s">
        <v>185</v>
      </c>
      <c r="M188" s="33" t="s">
        <v>672</v>
      </c>
      <c r="N188" s="33" t="s">
        <v>585</v>
      </c>
      <c r="O188" s="33" t="s">
        <v>84</v>
      </c>
      <c r="P188" s="33" t="s">
        <v>99</v>
      </c>
      <c r="Q188" s="37">
        <v>620</v>
      </c>
      <c r="R188" s="37">
        <v>0.47039999999999998</v>
      </c>
      <c r="S188" s="37">
        <v>10790</v>
      </c>
      <c r="T188" s="37">
        <v>0</v>
      </c>
      <c r="U188" s="37">
        <v>31.468810000000001</v>
      </c>
      <c r="V188" s="38">
        <v>2.0000000000000002E-7</v>
      </c>
      <c r="W188" s="38">
        <v>3.211E-4</v>
      </c>
      <c r="X188" s="38">
        <v>3.7700000000000002E-5</v>
      </c>
      <c r="Y188" s="36">
        <v>78008174</v>
      </c>
      <c r="Z188" s="57" t="s">
        <v>4</v>
      </c>
      <c r="AA188" s="57" t="s">
        <v>1</v>
      </c>
    </row>
    <row r="189" spans="1:27" s="29" customFormat="1">
      <c r="A189" s="33" t="s">
        <v>78</v>
      </c>
      <c r="B189" s="33" t="s">
        <v>98</v>
      </c>
      <c r="C189" s="33" t="s">
        <v>676</v>
      </c>
      <c r="D189" s="33" t="s">
        <v>677</v>
      </c>
      <c r="E189" s="33" t="s">
        <v>168</v>
      </c>
      <c r="F189" s="33" t="s">
        <v>676</v>
      </c>
      <c r="G189" s="33" t="s">
        <v>678</v>
      </c>
      <c r="H189" s="33" t="s">
        <v>183</v>
      </c>
      <c r="I189" s="33" t="s">
        <v>529</v>
      </c>
      <c r="J189" s="33" t="s">
        <v>148</v>
      </c>
      <c r="K189" s="33" t="s">
        <v>679</v>
      </c>
      <c r="L189" s="33" t="s">
        <v>185</v>
      </c>
      <c r="M189" s="33" t="s">
        <v>149</v>
      </c>
      <c r="N189" s="33" t="s">
        <v>680</v>
      </c>
      <c r="O189" s="33" t="s">
        <v>84</v>
      </c>
      <c r="P189" s="33" t="s">
        <v>91</v>
      </c>
      <c r="Q189" s="37">
        <v>4453</v>
      </c>
      <c r="R189" s="37">
        <v>3.681</v>
      </c>
      <c r="S189" s="37">
        <v>5431</v>
      </c>
      <c r="T189" s="37">
        <v>1.8033999999999999</v>
      </c>
      <c r="U189" s="37">
        <v>896.86051999999995</v>
      </c>
      <c r="V189" s="38">
        <v>9.0000000000000002E-6</v>
      </c>
      <c r="W189" s="38">
        <v>9.1518999999999993E-3</v>
      </c>
      <c r="X189" s="38">
        <v>1.0743E-3</v>
      </c>
      <c r="Y189" s="36">
        <v>76098599</v>
      </c>
      <c r="Z189" s="57" t="s">
        <v>4</v>
      </c>
      <c r="AA189" s="57" t="s">
        <v>1</v>
      </c>
    </row>
    <row r="190" spans="1:27" s="29" customFormat="1">
      <c r="A190" s="33" t="s">
        <v>78</v>
      </c>
      <c r="B190" s="33" t="s">
        <v>98</v>
      </c>
      <c r="C190" s="33" t="s">
        <v>681</v>
      </c>
      <c r="D190" s="33" t="s">
        <v>682</v>
      </c>
      <c r="E190" s="33" t="s">
        <v>168</v>
      </c>
      <c r="F190" s="33" t="s">
        <v>683</v>
      </c>
      <c r="G190" s="33" t="s">
        <v>684</v>
      </c>
      <c r="H190" s="33" t="s">
        <v>183</v>
      </c>
      <c r="I190" s="33" t="s">
        <v>529</v>
      </c>
      <c r="J190" s="33" t="s">
        <v>148</v>
      </c>
      <c r="K190" s="33" t="s">
        <v>156</v>
      </c>
      <c r="L190" s="33" t="s">
        <v>185</v>
      </c>
      <c r="M190" s="33" t="s">
        <v>590</v>
      </c>
      <c r="N190" s="33" t="s">
        <v>621</v>
      </c>
      <c r="O190" s="33" t="s">
        <v>84</v>
      </c>
      <c r="P190" s="33" t="s">
        <v>91</v>
      </c>
      <c r="Q190" s="37">
        <v>240</v>
      </c>
      <c r="R190" s="37">
        <v>3.681</v>
      </c>
      <c r="S190" s="37">
        <v>132541</v>
      </c>
      <c r="T190" s="37">
        <v>0</v>
      </c>
      <c r="U190" s="37">
        <v>1170.92021</v>
      </c>
      <c r="V190" s="38">
        <v>4.9999999999999998E-7</v>
      </c>
      <c r="W190" s="38">
        <v>1.1948499999999999E-2</v>
      </c>
      <c r="X190" s="38">
        <v>1.4025000000000001E-3</v>
      </c>
      <c r="Y190" s="36">
        <v>74182429</v>
      </c>
      <c r="Z190" s="57" t="s">
        <v>4</v>
      </c>
      <c r="AA190" s="57" t="s">
        <v>1</v>
      </c>
    </row>
    <row r="191" spans="1:27" s="29" customFormat="1">
      <c r="A191" s="33" t="s">
        <v>78</v>
      </c>
      <c r="B191" s="33" t="s">
        <v>79</v>
      </c>
      <c r="C191" s="33" t="s">
        <v>3</v>
      </c>
      <c r="D191" s="33" t="s">
        <v>3</v>
      </c>
      <c r="E191" s="33" t="s">
        <v>3</v>
      </c>
      <c r="F191" s="33" t="s">
        <v>3</v>
      </c>
      <c r="G191" s="33" t="s">
        <v>3</v>
      </c>
      <c r="H191" s="33" t="s">
        <v>3</v>
      </c>
      <c r="I191" s="33" t="s">
        <v>3</v>
      </c>
      <c r="J191" s="33" t="s">
        <v>3</v>
      </c>
      <c r="K191" s="33" t="s">
        <v>3</v>
      </c>
      <c r="L191" s="33" t="s">
        <v>3</v>
      </c>
      <c r="M191" s="33" t="s">
        <v>3</v>
      </c>
      <c r="N191" s="33" t="s">
        <v>3</v>
      </c>
      <c r="O191" s="33" t="s">
        <v>3</v>
      </c>
      <c r="P191" s="33" t="s">
        <v>3</v>
      </c>
      <c r="Q191" s="33" t="s">
        <v>3</v>
      </c>
      <c r="R191" s="33" t="s">
        <v>3</v>
      </c>
      <c r="S191" s="33" t="s">
        <v>3</v>
      </c>
      <c r="T191" s="33" t="s">
        <v>3</v>
      </c>
      <c r="U191" s="33" t="s">
        <v>3</v>
      </c>
      <c r="V191" s="33" t="s">
        <v>3</v>
      </c>
      <c r="W191" s="33" t="s">
        <v>3</v>
      </c>
      <c r="X191" s="33" t="s">
        <v>3</v>
      </c>
      <c r="Y191" s="33" t="s">
        <v>3</v>
      </c>
      <c r="Z191" s="57" t="s">
        <v>4</v>
      </c>
      <c r="AA191" s="57" t="s">
        <v>1</v>
      </c>
    </row>
    <row r="192" spans="1:27" s="29" customFormat="1">
      <c r="A192" s="33" t="s">
        <v>3</v>
      </c>
      <c r="B192" s="33" t="s">
        <v>100</v>
      </c>
      <c r="C192" s="33" t="s">
        <v>3</v>
      </c>
      <c r="D192" s="33" t="s">
        <v>3</v>
      </c>
      <c r="E192" s="33" t="s">
        <v>3</v>
      </c>
      <c r="F192" s="33" t="s">
        <v>3</v>
      </c>
      <c r="G192" s="33" t="s">
        <v>3</v>
      </c>
      <c r="H192" s="33" t="s">
        <v>3</v>
      </c>
      <c r="I192" s="33" t="s">
        <v>3</v>
      </c>
      <c r="J192" s="33" t="s">
        <v>3</v>
      </c>
      <c r="K192" s="33" t="s">
        <v>3</v>
      </c>
      <c r="L192" s="33" t="s">
        <v>3</v>
      </c>
      <c r="M192" s="33" t="s">
        <v>3</v>
      </c>
      <c r="N192" s="33" t="s">
        <v>3</v>
      </c>
      <c r="O192" s="33" t="s">
        <v>3</v>
      </c>
      <c r="P192" s="33" t="s">
        <v>3</v>
      </c>
      <c r="Q192" s="33" t="s">
        <v>3</v>
      </c>
      <c r="R192" s="33" t="s">
        <v>3</v>
      </c>
      <c r="S192" s="33" t="s">
        <v>3</v>
      </c>
      <c r="T192" s="33" t="s">
        <v>3</v>
      </c>
      <c r="U192" s="33" t="s">
        <v>3</v>
      </c>
      <c r="V192" s="33" t="s">
        <v>3</v>
      </c>
      <c r="W192" s="33" t="s">
        <v>3</v>
      </c>
      <c r="X192" s="33" t="s">
        <v>3</v>
      </c>
      <c r="Y192" s="33" t="s">
        <v>3</v>
      </c>
      <c r="Z192" s="57" t="s">
        <v>4</v>
      </c>
      <c r="AA192" s="57" t="s">
        <v>1</v>
      </c>
    </row>
    <row r="193" spans="2:25" s="29" customFormat="1">
      <c r="B193" s="58" t="s">
        <v>24</v>
      </c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2:25" s="29" customFormat="1">
      <c r="B194" s="58" t="s">
        <v>25</v>
      </c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2:25" s="29" customFormat="1">
      <c r="T195" s="29">
        <f>T189*1000*3.681</f>
        <v>6638.3153999999995</v>
      </c>
    </row>
    <row r="196" spans="2:25" s="29" customFormat="1">
      <c r="T196" s="29">
        <f>T173*1000*3.681</f>
        <v>3950.0810999999999</v>
      </c>
    </row>
  </sheetData>
  <autoFilter ref="A2:AA194"/>
  <mergeCells count="5">
    <mergeCell ref="B1:Y1"/>
    <mergeCell ref="B193:Y193"/>
    <mergeCell ref="B194:Y194"/>
    <mergeCell ref="Z2:Z192"/>
    <mergeCell ref="AA1:AA1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tabColor theme="2"/>
  </sheetPr>
  <dimension ref="A1:AA150"/>
  <sheetViews>
    <sheetView rightToLeft="1" topLeftCell="C1" zoomScale="85" zoomScaleNormal="85" workbookViewId="0">
      <selection activeCell="P21" sqref="D21:P23"/>
    </sheetView>
  </sheetViews>
  <sheetFormatPr defaultRowHeight="14.25"/>
  <cols>
    <col min="1" max="1" width="36" customWidth="1"/>
    <col min="2" max="2" width="12" customWidth="1"/>
    <col min="3" max="3" width="25" customWidth="1"/>
    <col min="4" max="4" width="12" customWidth="1"/>
    <col min="5" max="5" width="21" customWidth="1"/>
    <col min="6" max="6" width="38" customWidth="1"/>
    <col min="7" max="7" width="15" customWidth="1"/>
    <col min="8" max="8" width="19" customWidth="1"/>
    <col min="9" max="9" width="29" customWidth="1"/>
    <col min="10" max="10" width="12" customWidth="1"/>
    <col min="11" max="11" width="24" customWidth="1"/>
    <col min="12" max="12" width="11" customWidth="1"/>
    <col min="13" max="13" width="52" customWidth="1"/>
    <col min="14" max="14" width="19" customWidth="1"/>
    <col min="15" max="15" width="16" customWidth="1"/>
    <col min="16" max="16" width="19" customWidth="1"/>
    <col min="17" max="17" width="12" customWidth="1"/>
    <col min="18" max="18" width="15" customWidth="1"/>
    <col min="19" max="19" width="27.375" customWidth="1"/>
    <col min="20" max="20" width="24" customWidth="1"/>
    <col min="21" max="21" width="23" customWidth="1"/>
    <col min="22" max="22" width="25" customWidth="1"/>
    <col min="23" max="23" width="23" customWidth="1"/>
    <col min="24" max="24" width="11" customWidth="1"/>
  </cols>
  <sheetData>
    <row r="1" spans="1:27">
      <c r="B1" s="6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60" t="s">
        <v>1</v>
      </c>
    </row>
    <row r="2" spans="1:27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105</v>
      </c>
      <c r="M2" s="4" t="s">
        <v>700</v>
      </c>
      <c r="N2" s="4" t="s">
        <v>172</v>
      </c>
      <c r="O2" s="4" t="s">
        <v>71</v>
      </c>
      <c r="P2" s="4" t="s">
        <v>111</v>
      </c>
      <c r="Q2" s="4" t="s">
        <v>73</v>
      </c>
      <c r="R2" s="4" t="s">
        <v>112</v>
      </c>
      <c r="S2" s="4" t="s">
        <v>110</v>
      </c>
      <c r="T2" s="4" t="s">
        <v>75</v>
      </c>
      <c r="U2" s="4" t="s">
        <v>114</v>
      </c>
      <c r="V2" s="4" t="s">
        <v>76</v>
      </c>
      <c r="W2" s="4" t="s">
        <v>77</v>
      </c>
      <c r="X2" s="4" t="s">
        <v>3</v>
      </c>
      <c r="Y2" s="60" t="s">
        <v>4</v>
      </c>
      <c r="Z2" s="60" t="s">
        <v>1</v>
      </c>
    </row>
    <row r="3" spans="1:27">
      <c r="A3" s="2" t="s">
        <v>78</v>
      </c>
      <c r="B3" s="2" t="s">
        <v>79</v>
      </c>
      <c r="C3" s="2" t="s">
        <v>701</v>
      </c>
      <c r="D3" s="2" t="s">
        <v>702</v>
      </c>
      <c r="E3" s="2" t="s">
        <v>194</v>
      </c>
      <c r="F3" s="2" t="s">
        <v>703</v>
      </c>
      <c r="G3" s="9">
        <v>1146232</v>
      </c>
      <c r="H3" s="2" t="s">
        <v>149</v>
      </c>
      <c r="I3" s="2" t="s">
        <v>704</v>
      </c>
      <c r="J3" s="2" t="s">
        <v>83</v>
      </c>
      <c r="K3" s="2" t="s">
        <v>83</v>
      </c>
      <c r="L3" s="2" t="s">
        <v>118</v>
      </c>
      <c r="M3" s="2" t="s">
        <v>705</v>
      </c>
      <c r="N3" s="2" t="s">
        <v>84</v>
      </c>
      <c r="O3" s="2" t="s">
        <v>87</v>
      </c>
      <c r="P3" s="5">
        <v>15854</v>
      </c>
      <c r="Q3" s="5">
        <v>1</v>
      </c>
      <c r="R3" s="5">
        <v>3568.71</v>
      </c>
      <c r="S3" s="5">
        <v>0</v>
      </c>
      <c r="T3" s="5">
        <v>565.78327999999999</v>
      </c>
      <c r="U3" s="6">
        <v>1.132E-4</v>
      </c>
      <c r="V3" s="6">
        <v>2.1521999999999999E-3</v>
      </c>
      <c r="W3" s="6">
        <v>6.7769999999999994E-4</v>
      </c>
      <c r="X3" s="2" t="s">
        <v>3</v>
      </c>
      <c r="Y3" s="60" t="s">
        <v>4</v>
      </c>
      <c r="Z3" s="60" t="s">
        <v>1</v>
      </c>
      <c r="AA3">
        <f ca="1">COUNTBLANK(INDIRECT(SUBSTITUTE(ADDRESS(ROW(),3),"$","")&amp;":"&amp;SUBSTITUTE(ADDRESS(ROW(),COUNTA(INDIRECT("2:2"))-3),"$","")))</f>
        <v>0</v>
      </c>
    </row>
    <row r="4" spans="1:27">
      <c r="A4" s="2" t="s">
        <v>78</v>
      </c>
      <c r="B4" s="2" t="s">
        <v>79</v>
      </c>
      <c r="C4" s="2" t="s">
        <v>706</v>
      </c>
      <c r="D4" s="2" t="s">
        <v>707</v>
      </c>
      <c r="E4" s="2" t="s">
        <v>194</v>
      </c>
      <c r="F4" s="2" t="s">
        <v>708</v>
      </c>
      <c r="G4" s="9">
        <v>1145259</v>
      </c>
      <c r="H4" s="2" t="s">
        <v>149</v>
      </c>
      <c r="I4" s="2" t="s">
        <v>704</v>
      </c>
      <c r="J4" s="2" t="s">
        <v>83</v>
      </c>
      <c r="K4" s="2" t="s">
        <v>83</v>
      </c>
      <c r="L4" s="2" t="s">
        <v>118</v>
      </c>
      <c r="M4" s="2" t="s">
        <v>705</v>
      </c>
      <c r="N4" s="2" t="s">
        <v>84</v>
      </c>
      <c r="O4" s="2" t="s">
        <v>87</v>
      </c>
      <c r="P4" s="5">
        <v>7000</v>
      </c>
      <c r="Q4" s="5">
        <v>1</v>
      </c>
      <c r="R4" s="5">
        <v>3944.84</v>
      </c>
      <c r="S4" s="5">
        <v>0</v>
      </c>
      <c r="T4" s="5">
        <v>276.1388</v>
      </c>
      <c r="U4" s="6">
        <v>2.8069999999999999E-4</v>
      </c>
      <c r="V4" s="6">
        <v>1.0503999999999999E-3</v>
      </c>
      <c r="W4" s="6">
        <v>3.3079999999999996E-4</v>
      </c>
      <c r="X4" s="2" t="s">
        <v>3</v>
      </c>
      <c r="Y4" s="60" t="s">
        <v>4</v>
      </c>
      <c r="Z4" s="60" t="s">
        <v>1</v>
      </c>
      <c r="AA4">
        <f t="shared" ref="AA4:AA67" ca="1" si="0">COUNTBLANK(INDIRECT(SUBSTITUTE(ADDRESS(ROW(),3),"$","")&amp;":"&amp;SUBSTITUTE(ADDRESS(ROW(),COUNTA(INDIRECT("2:2"))-3),"$","")))</f>
        <v>0</v>
      </c>
    </row>
    <row r="5" spans="1:27">
      <c r="A5" s="2" t="s">
        <v>78</v>
      </c>
      <c r="B5" s="2" t="s">
        <v>79</v>
      </c>
      <c r="C5" s="2" t="s">
        <v>701</v>
      </c>
      <c r="D5" s="2" t="s">
        <v>702</v>
      </c>
      <c r="E5" s="2" t="s">
        <v>194</v>
      </c>
      <c r="F5" s="2" t="s">
        <v>709</v>
      </c>
      <c r="G5" s="9">
        <v>1146281</v>
      </c>
      <c r="H5" s="2" t="s">
        <v>149</v>
      </c>
      <c r="I5" s="2" t="s">
        <v>704</v>
      </c>
      <c r="J5" s="2" t="s">
        <v>83</v>
      </c>
      <c r="K5" s="2" t="s">
        <v>83</v>
      </c>
      <c r="L5" s="2" t="s">
        <v>118</v>
      </c>
      <c r="M5" s="2" t="s">
        <v>705</v>
      </c>
      <c r="N5" s="2" t="s">
        <v>84</v>
      </c>
      <c r="O5" s="2" t="s">
        <v>87</v>
      </c>
      <c r="P5" s="5">
        <v>39833.89</v>
      </c>
      <c r="Q5" s="5">
        <v>1</v>
      </c>
      <c r="R5" s="5">
        <v>3358.65</v>
      </c>
      <c r="S5" s="5">
        <v>0</v>
      </c>
      <c r="T5" s="5">
        <v>1337.88094</v>
      </c>
      <c r="U5" s="6">
        <v>1.9811999999999998E-3</v>
      </c>
      <c r="V5" s="6">
        <v>5.0892999999999997E-3</v>
      </c>
      <c r="W5" s="6">
        <v>1.6025E-3</v>
      </c>
      <c r="X5" s="2" t="s">
        <v>3</v>
      </c>
      <c r="Y5" s="60" t="s">
        <v>4</v>
      </c>
      <c r="Z5" s="60" t="s">
        <v>1</v>
      </c>
      <c r="AA5">
        <f t="shared" ca="1" si="0"/>
        <v>0</v>
      </c>
    </row>
    <row r="6" spans="1:27">
      <c r="A6" s="2" t="s">
        <v>78</v>
      </c>
      <c r="B6" s="2" t="s">
        <v>79</v>
      </c>
      <c r="C6" s="2" t="s">
        <v>710</v>
      </c>
      <c r="D6" s="2" t="s">
        <v>711</v>
      </c>
      <c r="E6" s="2" t="s">
        <v>194</v>
      </c>
      <c r="F6" s="2" t="s">
        <v>712</v>
      </c>
      <c r="G6" s="9">
        <v>1150523</v>
      </c>
      <c r="H6" s="2" t="s">
        <v>149</v>
      </c>
      <c r="I6" s="2" t="s">
        <v>704</v>
      </c>
      <c r="J6" s="2" t="s">
        <v>83</v>
      </c>
      <c r="K6" s="2" t="s">
        <v>83</v>
      </c>
      <c r="L6" s="2" t="s">
        <v>118</v>
      </c>
      <c r="M6" s="2" t="s">
        <v>713</v>
      </c>
      <c r="N6" s="2" t="s">
        <v>84</v>
      </c>
      <c r="O6" s="2" t="s">
        <v>87</v>
      </c>
      <c r="P6" s="5">
        <v>74623</v>
      </c>
      <c r="Q6" s="5">
        <v>1</v>
      </c>
      <c r="R6" s="5">
        <v>385.54</v>
      </c>
      <c r="S6" s="5">
        <v>0</v>
      </c>
      <c r="T6" s="5">
        <v>287.70150999999998</v>
      </c>
      <c r="U6" s="6">
        <v>2.7339999999999998E-4</v>
      </c>
      <c r="V6" s="6">
        <v>1.0943999999999999E-3</v>
      </c>
      <c r="W6" s="6">
        <v>3.4459999999999997E-4</v>
      </c>
      <c r="X6" s="2" t="s">
        <v>3</v>
      </c>
      <c r="Y6" s="60" t="s">
        <v>4</v>
      </c>
      <c r="Z6" s="60" t="s">
        <v>1</v>
      </c>
      <c r="AA6">
        <f t="shared" ca="1" si="0"/>
        <v>0</v>
      </c>
    </row>
    <row r="7" spans="1:27">
      <c r="A7" s="2" t="s">
        <v>78</v>
      </c>
      <c r="B7" s="2" t="s">
        <v>79</v>
      </c>
      <c r="C7" s="2" t="s">
        <v>701</v>
      </c>
      <c r="D7" s="2" t="s">
        <v>702</v>
      </c>
      <c r="E7" s="2" t="s">
        <v>194</v>
      </c>
      <c r="F7" s="2" t="s">
        <v>714</v>
      </c>
      <c r="G7" s="9">
        <v>1150762</v>
      </c>
      <c r="H7" s="2" t="s">
        <v>149</v>
      </c>
      <c r="I7" s="2" t="s">
        <v>704</v>
      </c>
      <c r="J7" s="2" t="s">
        <v>83</v>
      </c>
      <c r="K7" s="2" t="s">
        <v>83</v>
      </c>
      <c r="L7" s="2" t="s">
        <v>118</v>
      </c>
      <c r="M7" s="2" t="s">
        <v>713</v>
      </c>
      <c r="N7" s="2" t="s">
        <v>84</v>
      </c>
      <c r="O7" s="2" t="s">
        <v>87</v>
      </c>
      <c r="P7" s="5">
        <v>4500</v>
      </c>
      <c r="Q7" s="5">
        <v>1</v>
      </c>
      <c r="R7" s="5">
        <v>3874.92</v>
      </c>
      <c r="S7" s="5">
        <v>0</v>
      </c>
      <c r="T7" s="5">
        <v>174.37139999999999</v>
      </c>
      <c r="U7" s="6">
        <v>1.153E-4</v>
      </c>
      <c r="V7" s="6">
        <v>6.6330000000000002E-4</v>
      </c>
      <c r="W7" s="6">
        <v>2.0889999999999998E-4</v>
      </c>
      <c r="X7" s="2" t="s">
        <v>3</v>
      </c>
      <c r="Y7" s="60" t="s">
        <v>4</v>
      </c>
      <c r="Z7" s="60" t="s">
        <v>1</v>
      </c>
      <c r="AA7">
        <f t="shared" ca="1" si="0"/>
        <v>0</v>
      </c>
    </row>
    <row r="8" spans="1:27">
      <c r="A8" s="2" t="s">
        <v>78</v>
      </c>
      <c r="B8" s="2" t="s">
        <v>79</v>
      </c>
      <c r="C8" s="2" t="s">
        <v>715</v>
      </c>
      <c r="D8" s="2" t="s">
        <v>716</v>
      </c>
      <c r="E8" s="2" t="s">
        <v>168</v>
      </c>
      <c r="F8" s="2" t="s">
        <v>717</v>
      </c>
      <c r="G8" s="2" t="s">
        <v>718</v>
      </c>
      <c r="H8" s="2" t="s">
        <v>183</v>
      </c>
      <c r="I8" s="2" t="s">
        <v>719</v>
      </c>
      <c r="J8" s="2" t="s">
        <v>148</v>
      </c>
      <c r="K8" s="2" t="s">
        <v>156</v>
      </c>
      <c r="L8" s="2" t="s">
        <v>627</v>
      </c>
      <c r="M8" s="2" t="s">
        <v>720</v>
      </c>
      <c r="N8" s="2" t="s">
        <v>84</v>
      </c>
      <c r="O8" s="2" t="s">
        <v>91</v>
      </c>
      <c r="P8" s="5">
        <v>8114</v>
      </c>
      <c r="Q8" s="5">
        <v>3.681</v>
      </c>
      <c r="R8" s="5">
        <v>571.15</v>
      </c>
      <c r="S8" s="5">
        <v>0</v>
      </c>
      <c r="T8" s="5">
        <v>170.58899</v>
      </c>
      <c r="U8" s="6">
        <v>1.11E-5</v>
      </c>
      <c r="V8" s="6">
        <v>6.489E-4</v>
      </c>
      <c r="W8" s="6">
        <v>2.0430000000000001E-4</v>
      </c>
      <c r="X8" s="9">
        <v>75930313</v>
      </c>
      <c r="Y8" s="60" t="s">
        <v>4</v>
      </c>
      <c r="Z8" s="60" t="s">
        <v>1</v>
      </c>
      <c r="AA8">
        <f t="shared" ca="1" si="0"/>
        <v>0</v>
      </c>
    </row>
    <row r="9" spans="1:27">
      <c r="A9" s="2" t="s">
        <v>78</v>
      </c>
      <c r="B9" s="2" t="s">
        <v>79</v>
      </c>
      <c r="C9" s="2" t="s">
        <v>715</v>
      </c>
      <c r="D9" s="2" t="s">
        <v>716</v>
      </c>
      <c r="E9" s="2" t="s">
        <v>168</v>
      </c>
      <c r="F9" s="2" t="s">
        <v>721</v>
      </c>
      <c r="G9" s="2" t="s">
        <v>722</v>
      </c>
      <c r="H9" s="2" t="s">
        <v>183</v>
      </c>
      <c r="I9" s="2" t="s">
        <v>719</v>
      </c>
      <c r="J9" s="2" t="s">
        <v>148</v>
      </c>
      <c r="K9" s="2" t="s">
        <v>156</v>
      </c>
      <c r="L9" s="2" t="s">
        <v>627</v>
      </c>
      <c r="M9" s="2" t="s">
        <v>720</v>
      </c>
      <c r="N9" s="2" t="s">
        <v>84</v>
      </c>
      <c r="O9" s="2" t="s">
        <v>91</v>
      </c>
      <c r="P9" s="5">
        <v>33900</v>
      </c>
      <c r="Q9" s="5">
        <v>3.681</v>
      </c>
      <c r="R9" s="5">
        <v>574.29999999999995</v>
      </c>
      <c r="S9" s="5">
        <v>0</v>
      </c>
      <c r="T9" s="5">
        <v>716.64541999999994</v>
      </c>
      <c r="U9" s="6">
        <v>5.4599999999999999E-5</v>
      </c>
      <c r="V9" s="6">
        <v>2.7261000000000004E-3</v>
      </c>
      <c r="W9" s="6">
        <v>8.5840000000000005E-4</v>
      </c>
      <c r="X9" s="9">
        <v>75965301</v>
      </c>
      <c r="Y9" s="60" t="s">
        <v>4</v>
      </c>
      <c r="Z9" s="60" t="s">
        <v>1</v>
      </c>
      <c r="AA9">
        <f t="shared" ca="1" si="0"/>
        <v>0</v>
      </c>
    </row>
    <row r="10" spans="1:27">
      <c r="A10" s="2" t="s">
        <v>78</v>
      </c>
      <c r="B10" s="2" t="s">
        <v>79</v>
      </c>
      <c r="C10" s="2" t="s">
        <v>723</v>
      </c>
      <c r="D10" s="2" t="s">
        <v>724</v>
      </c>
      <c r="E10" s="2" t="s">
        <v>168</v>
      </c>
      <c r="F10" s="2" t="s">
        <v>725</v>
      </c>
      <c r="G10" s="2" t="s">
        <v>726</v>
      </c>
      <c r="H10" s="2" t="s">
        <v>183</v>
      </c>
      <c r="I10" s="2" t="s">
        <v>719</v>
      </c>
      <c r="J10" s="2" t="s">
        <v>148</v>
      </c>
      <c r="K10" s="2" t="s">
        <v>156</v>
      </c>
      <c r="L10" s="2" t="s">
        <v>627</v>
      </c>
      <c r="M10" s="2" t="s">
        <v>720</v>
      </c>
      <c r="N10" s="2" t="s">
        <v>84</v>
      </c>
      <c r="O10" s="2" t="s">
        <v>91</v>
      </c>
      <c r="P10" s="5">
        <v>11610</v>
      </c>
      <c r="Q10" s="5">
        <v>3.681</v>
      </c>
      <c r="R10" s="5">
        <v>5525</v>
      </c>
      <c r="S10" s="5">
        <v>0</v>
      </c>
      <c r="T10" s="5">
        <v>2361.1866500000001</v>
      </c>
      <c r="U10" s="6">
        <v>3.4430000000000002E-4</v>
      </c>
      <c r="V10" s="6">
        <v>8.981900000000001E-3</v>
      </c>
      <c r="W10" s="6">
        <v>2.8283000000000002E-3</v>
      </c>
      <c r="X10" s="9">
        <v>77075851</v>
      </c>
      <c r="Y10" s="60" t="s">
        <v>4</v>
      </c>
      <c r="Z10" s="60" t="s">
        <v>1</v>
      </c>
      <c r="AA10">
        <f t="shared" ca="1" si="0"/>
        <v>0</v>
      </c>
    </row>
    <row r="11" spans="1:27">
      <c r="A11" s="2" t="s">
        <v>78</v>
      </c>
      <c r="B11" s="2" t="s">
        <v>79</v>
      </c>
      <c r="C11" s="2" t="s">
        <v>727</v>
      </c>
      <c r="D11" s="2" t="s">
        <v>728</v>
      </c>
      <c r="E11" s="2" t="s">
        <v>168</v>
      </c>
      <c r="F11" s="2" t="s">
        <v>729</v>
      </c>
      <c r="G11" s="2" t="s">
        <v>730</v>
      </c>
      <c r="H11" s="2" t="s">
        <v>183</v>
      </c>
      <c r="I11" s="2" t="s">
        <v>719</v>
      </c>
      <c r="J11" s="2" t="s">
        <v>148</v>
      </c>
      <c r="K11" s="2" t="s">
        <v>156</v>
      </c>
      <c r="L11" s="2" t="s">
        <v>627</v>
      </c>
      <c r="M11" s="2" t="s">
        <v>720</v>
      </c>
      <c r="N11" s="2" t="s">
        <v>84</v>
      </c>
      <c r="O11" s="2" t="s">
        <v>91</v>
      </c>
      <c r="P11" s="5">
        <v>1600</v>
      </c>
      <c r="Q11" s="5">
        <v>3.681</v>
      </c>
      <c r="R11" s="5">
        <v>2760.5</v>
      </c>
      <c r="S11" s="5">
        <v>0</v>
      </c>
      <c r="T11" s="5">
        <v>162.58240000000001</v>
      </c>
      <c r="U11" s="6">
        <v>6.3000000000000007E-6</v>
      </c>
      <c r="V11" s="6">
        <v>6.1850000000000002E-4</v>
      </c>
      <c r="W11" s="6">
        <v>1.9470000000000002E-4</v>
      </c>
      <c r="X11" s="9">
        <v>77749059</v>
      </c>
      <c r="Y11" s="60" t="s">
        <v>4</v>
      </c>
      <c r="Z11" s="60" t="s">
        <v>1</v>
      </c>
      <c r="AA11">
        <f t="shared" ca="1" si="0"/>
        <v>0</v>
      </c>
    </row>
    <row r="12" spans="1:27">
      <c r="A12" s="2" t="s">
        <v>78</v>
      </c>
      <c r="B12" s="2" t="s">
        <v>78</v>
      </c>
      <c r="C12" s="2" t="s">
        <v>706</v>
      </c>
      <c r="D12" s="2" t="s">
        <v>707</v>
      </c>
      <c r="E12" s="2" t="s">
        <v>194</v>
      </c>
      <c r="F12" s="2" t="s">
        <v>731</v>
      </c>
      <c r="G12" s="9">
        <v>1160159</v>
      </c>
      <c r="H12" s="2" t="s">
        <v>149</v>
      </c>
      <c r="I12" s="2" t="s">
        <v>732</v>
      </c>
      <c r="J12" s="2" t="s">
        <v>83</v>
      </c>
      <c r="K12" s="2" t="s">
        <v>156</v>
      </c>
      <c r="L12" s="2" t="s">
        <v>118</v>
      </c>
      <c r="M12" s="2" t="s">
        <v>733</v>
      </c>
      <c r="N12" s="2" t="s">
        <v>84</v>
      </c>
      <c r="O12" s="2" t="s">
        <v>87</v>
      </c>
      <c r="P12" s="5">
        <v>507</v>
      </c>
      <c r="Q12" s="5">
        <v>1</v>
      </c>
      <c r="R12" s="5">
        <v>4470</v>
      </c>
      <c r="S12" s="5">
        <v>0</v>
      </c>
      <c r="T12" s="5">
        <v>22.6629</v>
      </c>
      <c r="U12" s="6">
        <v>6.0299999999999995E-5</v>
      </c>
      <c r="V12" s="6">
        <v>8.6199999999999995E-5</v>
      </c>
      <c r="W12" s="6">
        <v>2.7100000000000001E-5</v>
      </c>
      <c r="X12" s="2" t="s">
        <v>3</v>
      </c>
      <c r="Y12" s="60" t="s">
        <v>4</v>
      </c>
      <c r="Z12" s="60" t="s">
        <v>1</v>
      </c>
      <c r="AA12">
        <f t="shared" ca="1" si="0"/>
        <v>0</v>
      </c>
    </row>
    <row r="13" spans="1:27">
      <c r="A13" s="2" t="s">
        <v>78</v>
      </c>
      <c r="B13" s="2" t="s">
        <v>78</v>
      </c>
      <c r="C13" s="2" t="s">
        <v>734</v>
      </c>
      <c r="D13" s="2" t="s">
        <v>735</v>
      </c>
      <c r="E13" s="2" t="s">
        <v>194</v>
      </c>
      <c r="F13" s="2" t="s">
        <v>736</v>
      </c>
      <c r="G13" s="9">
        <v>1150259</v>
      </c>
      <c r="H13" s="2" t="s">
        <v>149</v>
      </c>
      <c r="I13" s="2" t="s">
        <v>737</v>
      </c>
      <c r="J13" s="2" t="s">
        <v>83</v>
      </c>
      <c r="K13" s="2" t="s">
        <v>83</v>
      </c>
      <c r="L13" s="2" t="s">
        <v>118</v>
      </c>
      <c r="M13" s="2" t="s">
        <v>738</v>
      </c>
      <c r="N13" s="2" t="s">
        <v>84</v>
      </c>
      <c r="O13" s="2" t="s">
        <v>87</v>
      </c>
      <c r="P13" s="5">
        <v>29473</v>
      </c>
      <c r="Q13" s="5">
        <v>1</v>
      </c>
      <c r="R13" s="5">
        <v>3091</v>
      </c>
      <c r="S13" s="5">
        <v>0</v>
      </c>
      <c r="T13" s="5">
        <v>911.01043000000004</v>
      </c>
      <c r="U13" s="6">
        <v>5.7549999999999995E-4</v>
      </c>
      <c r="V13" s="6">
        <v>3.4655000000000003E-3</v>
      </c>
      <c r="W13" s="6">
        <v>1.0911999999999999E-3</v>
      </c>
      <c r="X13" s="2" t="s">
        <v>3</v>
      </c>
      <c r="Y13" s="60" t="s">
        <v>4</v>
      </c>
      <c r="Z13" s="60" t="s">
        <v>1</v>
      </c>
      <c r="AA13">
        <f t="shared" ca="1" si="0"/>
        <v>0</v>
      </c>
    </row>
    <row r="14" spans="1:27">
      <c r="A14" s="2" t="s">
        <v>78</v>
      </c>
      <c r="B14" s="2" t="s">
        <v>78</v>
      </c>
      <c r="C14" s="2" t="s">
        <v>739</v>
      </c>
      <c r="D14" s="2" t="s">
        <v>740</v>
      </c>
      <c r="E14" s="2" t="s">
        <v>194</v>
      </c>
      <c r="F14" s="2" t="s">
        <v>741</v>
      </c>
      <c r="G14" s="9">
        <v>1165828</v>
      </c>
      <c r="H14" s="2" t="s">
        <v>149</v>
      </c>
      <c r="I14" s="2" t="s">
        <v>732</v>
      </c>
      <c r="J14" s="2" t="s">
        <v>83</v>
      </c>
      <c r="K14" s="2" t="s">
        <v>156</v>
      </c>
      <c r="L14" s="2" t="s">
        <v>118</v>
      </c>
      <c r="M14" s="2" t="s">
        <v>742</v>
      </c>
      <c r="N14" s="2" t="s">
        <v>84</v>
      </c>
      <c r="O14" s="2" t="s">
        <v>87</v>
      </c>
      <c r="P14" s="5">
        <v>3750</v>
      </c>
      <c r="Q14" s="5">
        <v>1</v>
      </c>
      <c r="R14" s="5">
        <v>8318</v>
      </c>
      <c r="S14" s="5">
        <v>0</v>
      </c>
      <c r="T14" s="5">
        <v>311.92500000000001</v>
      </c>
      <c r="U14" s="6">
        <v>1.562E-4</v>
      </c>
      <c r="V14" s="6">
        <v>1.1866000000000001E-3</v>
      </c>
      <c r="W14" s="6">
        <v>3.7359999999999997E-4</v>
      </c>
      <c r="X14" s="2" t="s">
        <v>3</v>
      </c>
      <c r="Y14" s="60" t="s">
        <v>4</v>
      </c>
      <c r="Z14" s="60" t="s">
        <v>1</v>
      </c>
      <c r="AA14">
        <f t="shared" ca="1" si="0"/>
        <v>0</v>
      </c>
    </row>
    <row r="15" spans="1:27">
      <c r="A15" s="2" t="s">
        <v>78</v>
      </c>
      <c r="B15" s="2" t="s">
        <v>78</v>
      </c>
      <c r="C15" s="2" t="s">
        <v>739</v>
      </c>
      <c r="D15" s="2" t="s">
        <v>740</v>
      </c>
      <c r="E15" s="2" t="s">
        <v>194</v>
      </c>
      <c r="F15" s="2" t="s">
        <v>743</v>
      </c>
      <c r="G15" s="9">
        <v>1165836</v>
      </c>
      <c r="H15" s="2" t="s">
        <v>149</v>
      </c>
      <c r="I15" s="2" t="s">
        <v>732</v>
      </c>
      <c r="J15" s="2" t="s">
        <v>83</v>
      </c>
      <c r="K15" s="2" t="s">
        <v>156</v>
      </c>
      <c r="L15" s="2" t="s">
        <v>118</v>
      </c>
      <c r="M15" s="2" t="s">
        <v>744</v>
      </c>
      <c r="N15" s="2" t="s">
        <v>84</v>
      </c>
      <c r="O15" s="2" t="s">
        <v>87</v>
      </c>
      <c r="P15" s="5">
        <v>4800</v>
      </c>
      <c r="Q15" s="5">
        <v>1</v>
      </c>
      <c r="R15" s="5">
        <v>10160</v>
      </c>
      <c r="S15" s="5">
        <v>0</v>
      </c>
      <c r="T15" s="5">
        <v>487.68</v>
      </c>
      <c r="U15" s="6">
        <v>5.0520000000000003E-4</v>
      </c>
      <c r="V15" s="6">
        <v>1.8551000000000002E-3</v>
      </c>
      <c r="W15" s="6">
        <v>5.8409999999999994E-4</v>
      </c>
      <c r="X15" s="2" t="s">
        <v>3</v>
      </c>
      <c r="Y15" s="60" t="s">
        <v>4</v>
      </c>
      <c r="Z15" s="60" t="s">
        <v>1</v>
      </c>
      <c r="AA15">
        <f t="shared" ca="1" si="0"/>
        <v>0</v>
      </c>
    </row>
    <row r="16" spans="1:27">
      <c r="A16" s="2" t="s">
        <v>78</v>
      </c>
      <c r="B16" s="2" t="s">
        <v>78</v>
      </c>
      <c r="C16" s="2" t="s">
        <v>739</v>
      </c>
      <c r="D16" s="2" t="s">
        <v>740</v>
      </c>
      <c r="E16" s="2" t="s">
        <v>194</v>
      </c>
      <c r="F16" s="2" t="s">
        <v>745</v>
      </c>
      <c r="G16" s="9">
        <v>1165844</v>
      </c>
      <c r="H16" s="2" t="s">
        <v>149</v>
      </c>
      <c r="I16" s="2" t="s">
        <v>732</v>
      </c>
      <c r="J16" s="2" t="s">
        <v>83</v>
      </c>
      <c r="K16" s="2" t="s">
        <v>156</v>
      </c>
      <c r="L16" s="2" t="s">
        <v>118</v>
      </c>
      <c r="M16" s="2" t="s">
        <v>746</v>
      </c>
      <c r="N16" s="2" t="s">
        <v>84</v>
      </c>
      <c r="O16" s="2" t="s">
        <v>87</v>
      </c>
      <c r="P16" s="5">
        <v>3500</v>
      </c>
      <c r="Q16" s="5">
        <v>1</v>
      </c>
      <c r="R16" s="5">
        <v>8713</v>
      </c>
      <c r="S16" s="5">
        <v>0</v>
      </c>
      <c r="T16" s="5">
        <v>304.95499999999998</v>
      </c>
      <c r="U16" s="6">
        <v>1.6820000000000002E-4</v>
      </c>
      <c r="V16" s="6">
        <v>1.16E-3</v>
      </c>
      <c r="W16" s="6">
        <v>3.6529999999999999E-4</v>
      </c>
      <c r="X16" s="2" t="s">
        <v>3</v>
      </c>
      <c r="Y16" s="60" t="s">
        <v>4</v>
      </c>
      <c r="Z16" s="60" t="s">
        <v>1</v>
      </c>
      <c r="AA16">
        <f t="shared" ca="1" si="0"/>
        <v>0</v>
      </c>
    </row>
    <row r="17" spans="1:27">
      <c r="A17" s="2" t="s">
        <v>78</v>
      </c>
      <c r="B17" s="2" t="s">
        <v>78</v>
      </c>
      <c r="C17" s="2" t="s">
        <v>715</v>
      </c>
      <c r="D17" s="2" t="s">
        <v>716</v>
      </c>
      <c r="E17" s="2" t="s">
        <v>168</v>
      </c>
      <c r="F17" s="2" t="s">
        <v>747</v>
      </c>
      <c r="G17" s="2" t="s">
        <v>748</v>
      </c>
      <c r="H17" s="2" t="s">
        <v>183</v>
      </c>
      <c r="I17" s="2" t="s">
        <v>732</v>
      </c>
      <c r="J17" s="2" t="s">
        <v>148</v>
      </c>
      <c r="K17" s="2" t="s">
        <v>671</v>
      </c>
      <c r="L17" s="2" t="s">
        <v>149</v>
      </c>
      <c r="M17" s="2" t="s">
        <v>749</v>
      </c>
      <c r="N17" s="2" t="s">
        <v>84</v>
      </c>
      <c r="O17" s="2" t="s">
        <v>91</v>
      </c>
      <c r="P17" s="5">
        <v>761</v>
      </c>
      <c r="Q17" s="5">
        <v>3.681</v>
      </c>
      <c r="R17" s="5">
        <v>2407</v>
      </c>
      <c r="S17" s="5">
        <v>0</v>
      </c>
      <c r="T17" s="5">
        <v>67.425870000000003</v>
      </c>
      <c r="U17" s="6">
        <v>3.9999999999999998E-6</v>
      </c>
      <c r="V17" s="6">
        <v>2.565E-4</v>
      </c>
      <c r="W17" s="6">
        <v>8.0799999999999999E-5</v>
      </c>
      <c r="X17" s="9">
        <v>70658448</v>
      </c>
      <c r="Y17" s="60" t="s">
        <v>4</v>
      </c>
      <c r="Z17" s="60" t="s">
        <v>1</v>
      </c>
      <c r="AA17">
        <f t="shared" ca="1" si="0"/>
        <v>0</v>
      </c>
    </row>
    <row r="18" spans="1:27">
      <c r="A18" s="2" t="s">
        <v>78</v>
      </c>
      <c r="B18" s="2" t="s">
        <v>78</v>
      </c>
      <c r="C18" s="2" t="s">
        <v>750</v>
      </c>
      <c r="D18" s="2" t="s">
        <v>751</v>
      </c>
      <c r="E18" s="2" t="s">
        <v>168</v>
      </c>
      <c r="F18" s="2" t="s">
        <v>752</v>
      </c>
      <c r="G18" s="2" t="s">
        <v>753</v>
      </c>
      <c r="H18" s="2" t="s">
        <v>183</v>
      </c>
      <c r="I18" s="2" t="s">
        <v>732</v>
      </c>
      <c r="J18" s="2" t="s">
        <v>148</v>
      </c>
      <c r="K18" s="2" t="s">
        <v>156</v>
      </c>
      <c r="L18" s="2" t="s">
        <v>584</v>
      </c>
      <c r="M18" s="2" t="s">
        <v>749</v>
      </c>
      <c r="N18" s="2" t="s">
        <v>84</v>
      </c>
      <c r="O18" s="2" t="s">
        <v>91</v>
      </c>
      <c r="P18" s="5">
        <v>264</v>
      </c>
      <c r="Q18" s="5">
        <v>3.681</v>
      </c>
      <c r="R18" s="5">
        <v>22499</v>
      </c>
      <c r="S18" s="5">
        <v>0</v>
      </c>
      <c r="T18" s="5">
        <v>218.64168000000001</v>
      </c>
      <c r="U18" s="6">
        <v>3.2000000000000003E-6</v>
      </c>
      <c r="V18" s="6">
        <v>8.3169999999999989E-4</v>
      </c>
      <c r="W18" s="6">
        <v>2.6190000000000002E-4</v>
      </c>
      <c r="X18" s="9">
        <v>70537717</v>
      </c>
      <c r="Y18" s="60" t="s">
        <v>4</v>
      </c>
      <c r="Z18" s="60" t="s">
        <v>1</v>
      </c>
      <c r="AA18">
        <f t="shared" ca="1" si="0"/>
        <v>0</v>
      </c>
    </row>
    <row r="19" spans="1:27">
      <c r="A19" s="2" t="s">
        <v>78</v>
      </c>
      <c r="B19" s="2" t="s">
        <v>78</v>
      </c>
      <c r="C19" s="2" t="s">
        <v>754</v>
      </c>
      <c r="D19" s="2" t="s">
        <v>755</v>
      </c>
      <c r="E19" s="2" t="s">
        <v>168</v>
      </c>
      <c r="F19" s="2" t="s">
        <v>756</v>
      </c>
      <c r="G19" s="2" t="s">
        <v>757</v>
      </c>
      <c r="H19" s="2" t="s">
        <v>183</v>
      </c>
      <c r="I19" s="2" t="s">
        <v>732</v>
      </c>
      <c r="J19" s="2" t="s">
        <v>148</v>
      </c>
      <c r="K19" s="2" t="s">
        <v>156</v>
      </c>
      <c r="L19" s="2" t="s">
        <v>584</v>
      </c>
      <c r="M19" s="2" t="s">
        <v>749</v>
      </c>
      <c r="N19" s="2" t="s">
        <v>84</v>
      </c>
      <c r="O19" s="2" t="s">
        <v>91</v>
      </c>
      <c r="P19" s="5">
        <v>389</v>
      </c>
      <c r="Q19" s="5">
        <v>3.681</v>
      </c>
      <c r="R19" s="5">
        <v>44401</v>
      </c>
      <c r="S19" s="5">
        <v>0.15609999999999999</v>
      </c>
      <c r="T19" s="5">
        <v>636.35670000000005</v>
      </c>
      <c r="U19" s="6">
        <v>5.9999999999999997E-7</v>
      </c>
      <c r="V19" s="6">
        <v>2.4207E-3</v>
      </c>
      <c r="W19" s="6">
        <v>7.6219999999999999E-4</v>
      </c>
      <c r="X19" s="9">
        <v>70486931</v>
      </c>
      <c r="Y19" s="60" t="s">
        <v>4</v>
      </c>
      <c r="Z19" s="60" t="s">
        <v>1</v>
      </c>
      <c r="AA19">
        <f t="shared" ca="1" si="0"/>
        <v>0</v>
      </c>
    </row>
    <row r="20" spans="1:27">
      <c r="A20" s="2" t="s">
        <v>78</v>
      </c>
      <c r="B20" s="2" t="s">
        <v>78</v>
      </c>
      <c r="C20" s="2" t="s">
        <v>727</v>
      </c>
      <c r="D20" s="2" t="s">
        <v>728</v>
      </c>
      <c r="E20" s="2" t="s">
        <v>168</v>
      </c>
      <c r="F20" s="2" t="s">
        <v>758</v>
      </c>
      <c r="G20" s="2" t="s">
        <v>759</v>
      </c>
      <c r="H20" s="2" t="s">
        <v>183</v>
      </c>
      <c r="I20" s="2" t="s">
        <v>732</v>
      </c>
      <c r="J20" s="2" t="s">
        <v>148</v>
      </c>
      <c r="K20" s="2" t="s">
        <v>156</v>
      </c>
      <c r="L20" s="2" t="s">
        <v>584</v>
      </c>
      <c r="M20" s="2" t="s">
        <v>749</v>
      </c>
      <c r="N20" s="2" t="s">
        <v>84</v>
      </c>
      <c r="O20" s="2" t="s">
        <v>91</v>
      </c>
      <c r="P20" s="5">
        <v>558</v>
      </c>
      <c r="Q20" s="5">
        <v>3.681</v>
      </c>
      <c r="R20" s="5">
        <v>52307</v>
      </c>
      <c r="S20" s="5">
        <v>0.62070000000000003</v>
      </c>
      <c r="T20" s="5">
        <v>1076.6698200000001</v>
      </c>
      <c r="U20" s="6">
        <v>4.9999999999999998E-7</v>
      </c>
      <c r="V20" s="6">
        <v>4.0955999999999996E-3</v>
      </c>
      <c r="W20" s="6">
        <v>1.2895999999999999E-3</v>
      </c>
      <c r="X20" s="9">
        <v>70480678</v>
      </c>
      <c r="Y20" s="60" t="s">
        <v>4</v>
      </c>
      <c r="Z20" s="60" t="s">
        <v>1</v>
      </c>
      <c r="AA20">
        <f t="shared" ca="1" si="0"/>
        <v>0</v>
      </c>
    </row>
    <row r="21" spans="1:27">
      <c r="A21" s="2" t="s">
        <v>78</v>
      </c>
      <c r="B21" s="2" t="s">
        <v>78</v>
      </c>
      <c r="C21" s="2" t="s">
        <v>727</v>
      </c>
      <c r="D21" s="2" t="s">
        <v>728</v>
      </c>
      <c r="E21" s="2" t="s">
        <v>168</v>
      </c>
      <c r="F21" s="2" t="s">
        <v>760</v>
      </c>
      <c r="G21" s="2" t="s">
        <v>761</v>
      </c>
      <c r="H21" s="2" t="s">
        <v>183</v>
      </c>
      <c r="I21" s="2" t="s">
        <v>732</v>
      </c>
      <c r="J21" s="2" t="s">
        <v>148</v>
      </c>
      <c r="K21" s="2" t="s">
        <v>156</v>
      </c>
      <c r="L21" s="2" t="s">
        <v>149</v>
      </c>
      <c r="M21" s="2" t="s">
        <v>749</v>
      </c>
      <c r="N21" s="2" t="s">
        <v>84</v>
      </c>
      <c r="O21" s="2" t="s">
        <v>91</v>
      </c>
      <c r="P21" s="5">
        <v>2451</v>
      </c>
      <c r="Q21" s="5">
        <v>3.681</v>
      </c>
      <c r="R21" s="5">
        <v>20827</v>
      </c>
      <c r="S21" s="5">
        <v>0</v>
      </c>
      <c r="T21" s="5">
        <v>1879.0392199999999</v>
      </c>
      <c r="U21" s="6">
        <v>7.7999999999999999E-6</v>
      </c>
      <c r="V21" s="6">
        <v>7.1479000000000004E-3</v>
      </c>
      <c r="W21" s="6">
        <v>2.2507E-3</v>
      </c>
      <c r="X21" s="9">
        <v>70487475</v>
      </c>
      <c r="Y21" s="60" t="s">
        <v>4</v>
      </c>
      <c r="Z21" s="60" t="s">
        <v>1</v>
      </c>
      <c r="AA21">
        <f t="shared" ca="1" si="0"/>
        <v>0</v>
      </c>
    </row>
    <row r="22" spans="1:27">
      <c r="A22" s="2" t="s">
        <v>78</v>
      </c>
      <c r="B22" s="2" t="s">
        <v>78</v>
      </c>
      <c r="C22" s="2" t="s">
        <v>715</v>
      </c>
      <c r="D22" s="2" t="s">
        <v>716</v>
      </c>
      <c r="E22" s="2" t="s">
        <v>168</v>
      </c>
      <c r="F22" s="2" t="s">
        <v>762</v>
      </c>
      <c r="G22" s="2" t="s">
        <v>763</v>
      </c>
      <c r="H22" s="2" t="s">
        <v>183</v>
      </c>
      <c r="I22" s="2" t="s">
        <v>732</v>
      </c>
      <c r="J22" s="2" t="s">
        <v>148</v>
      </c>
      <c r="K22" s="2" t="s">
        <v>764</v>
      </c>
      <c r="L22" s="2" t="s">
        <v>149</v>
      </c>
      <c r="M22" s="2" t="s">
        <v>749</v>
      </c>
      <c r="N22" s="2" t="s">
        <v>84</v>
      </c>
      <c r="O22" s="2" t="s">
        <v>90</v>
      </c>
      <c r="P22" s="5">
        <v>11641</v>
      </c>
      <c r="Q22" s="5">
        <v>3.9790999999999999</v>
      </c>
      <c r="R22" s="5">
        <v>5115</v>
      </c>
      <c r="S22" s="5">
        <v>0</v>
      </c>
      <c r="T22" s="5">
        <v>2369.3039600000002</v>
      </c>
      <c r="U22" s="6">
        <v>8.9300000000000002E-5</v>
      </c>
      <c r="V22" s="6">
        <v>9.0127999999999996E-3</v>
      </c>
      <c r="W22" s="6">
        <v>2.8379999999999998E-3</v>
      </c>
      <c r="X22" s="9">
        <v>70558952</v>
      </c>
      <c r="Y22" s="60" t="s">
        <v>4</v>
      </c>
      <c r="Z22" s="60" t="s">
        <v>1</v>
      </c>
      <c r="AA22">
        <f t="shared" ca="1" si="0"/>
        <v>0</v>
      </c>
    </row>
    <row r="23" spans="1:27">
      <c r="A23" s="2" t="s">
        <v>78</v>
      </c>
      <c r="B23" s="2" t="s">
        <v>78</v>
      </c>
      <c r="C23" s="2" t="s">
        <v>715</v>
      </c>
      <c r="D23" s="2" t="s">
        <v>716</v>
      </c>
      <c r="E23" s="2" t="s">
        <v>168</v>
      </c>
      <c r="F23" s="2" t="s">
        <v>765</v>
      </c>
      <c r="G23" s="2" t="s">
        <v>766</v>
      </c>
      <c r="H23" s="2" t="s">
        <v>183</v>
      </c>
      <c r="I23" s="2" t="s">
        <v>732</v>
      </c>
      <c r="J23" s="2" t="s">
        <v>148</v>
      </c>
      <c r="K23" s="2" t="s">
        <v>156</v>
      </c>
      <c r="L23" s="2" t="s">
        <v>584</v>
      </c>
      <c r="M23" s="2" t="s">
        <v>749</v>
      </c>
      <c r="N23" s="2" t="s">
        <v>84</v>
      </c>
      <c r="O23" s="2" t="s">
        <v>91</v>
      </c>
      <c r="P23" s="5">
        <v>1110</v>
      </c>
      <c r="Q23" s="5">
        <v>3.681</v>
      </c>
      <c r="R23" s="5">
        <v>22592</v>
      </c>
      <c r="S23" s="5">
        <v>0</v>
      </c>
      <c r="T23" s="5">
        <v>923.08878000000004</v>
      </c>
      <c r="U23" s="6">
        <v>1.9700000000000001E-5</v>
      </c>
      <c r="V23" s="6">
        <v>3.5114E-3</v>
      </c>
      <c r="W23" s="6">
        <v>1.1057E-3</v>
      </c>
      <c r="X23" s="9">
        <v>70631742</v>
      </c>
      <c r="Y23" s="60" t="s">
        <v>4</v>
      </c>
      <c r="Z23" s="60" t="s">
        <v>1</v>
      </c>
      <c r="AA23">
        <f t="shared" ca="1" si="0"/>
        <v>0</v>
      </c>
    </row>
    <row r="24" spans="1:27">
      <c r="A24" s="2" t="s">
        <v>78</v>
      </c>
      <c r="B24" s="2" t="s">
        <v>78</v>
      </c>
      <c r="C24" s="2" t="s">
        <v>727</v>
      </c>
      <c r="D24" s="2" t="s">
        <v>728</v>
      </c>
      <c r="E24" s="2" t="s">
        <v>168</v>
      </c>
      <c r="F24" s="2" t="s">
        <v>767</v>
      </c>
      <c r="G24" s="2" t="s">
        <v>768</v>
      </c>
      <c r="H24" s="2" t="s">
        <v>183</v>
      </c>
      <c r="I24" s="2" t="s">
        <v>732</v>
      </c>
      <c r="J24" s="2" t="s">
        <v>148</v>
      </c>
      <c r="K24" s="2" t="s">
        <v>156</v>
      </c>
      <c r="L24" s="2" t="s">
        <v>584</v>
      </c>
      <c r="M24" s="2" t="s">
        <v>749</v>
      </c>
      <c r="N24" s="2" t="s">
        <v>84</v>
      </c>
      <c r="O24" s="2" t="s">
        <v>91</v>
      </c>
      <c r="P24" s="5">
        <v>386</v>
      </c>
      <c r="Q24" s="5">
        <v>3.681</v>
      </c>
      <c r="R24" s="5">
        <v>12596</v>
      </c>
      <c r="S24" s="5">
        <v>0</v>
      </c>
      <c r="T24" s="5">
        <v>178.97228000000001</v>
      </c>
      <c r="U24" s="6">
        <v>2.5999999999999997E-6</v>
      </c>
      <c r="V24" s="6">
        <v>6.8080000000000007E-4</v>
      </c>
      <c r="W24" s="6">
        <v>2.1440000000000001E-4</v>
      </c>
      <c r="X24" s="9">
        <v>70553409</v>
      </c>
      <c r="Y24" s="60" t="s">
        <v>4</v>
      </c>
      <c r="Z24" s="60" t="s">
        <v>1</v>
      </c>
      <c r="AA24">
        <f t="shared" ca="1" si="0"/>
        <v>0</v>
      </c>
    </row>
    <row r="25" spans="1:27">
      <c r="A25" s="2" t="s">
        <v>78</v>
      </c>
      <c r="B25" s="2" t="s">
        <v>78</v>
      </c>
      <c r="C25" s="2" t="s">
        <v>715</v>
      </c>
      <c r="D25" s="2" t="s">
        <v>716</v>
      </c>
      <c r="E25" s="2" t="s">
        <v>168</v>
      </c>
      <c r="F25" s="2" t="s">
        <v>769</v>
      </c>
      <c r="G25" s="2" t="s">
        <v>770</v>
      </c>
      <c r="H25" s="2" t="s">
        <v>183</v>
      </c>
      <c r="I25" s="2" t="s">
        <v>732</v>
      </c>
      <c r="J25" s="2" t="s">
        <v>148</v>
      </c>
      <c r="K25" s="2" t="s">
        <v>156</v>
      </c>
      <c r="L25" s="2" t="s">
        <v>584</v>
      </c>
      <c r="M25" s="2" t="s">
        <v>749</v>
      </c>
      <c r="N25" s="2" t="s">
        <v>84</v>
      </c>
      <c r="O25" s="2" t="s">
        <v>91</v>
      </c>
      <c r="P25" s="5">
        <v>857</v>
      </c>
      <c r="Q25" s="5">
        <v>3.681</v>
      </c>
      <c r="R25" s="5">
        <v>52573</v>
      </c>
      <c r="S25" s="5">
        <v>0</v>
      </c>
      <c r="T25" s="5">
        <v>1658.4767899999999</v>
      </c>
      <c r="U25" s="6">
        <v>9.0000000000000007E-7</v>
      </c>
      <c r="V25" s="6">
        <v>6.3087999999999998E-3</v>
      </c>
      <c r="W25" s="6">
        <v>1.9865E-3</v>
      </c>
      <c r="X25" s="9">
        <v>70632914</v>
      </c>
      <c r="Y25" s="60" t="s">
        <v>4</v>
      </c>
      <c r="Z25" s="60" t="s">
        <v>1</v>
      </c>
      <c r="AA25">
        <f t="shared" ca="1" si="0"/>
        <v>0</v>
      </c>
    </row>
    <row r="26" spans="1:27">
      <c r="A26" s="2" t="s">
        <v>78</v>
      </c>
      <c r="B26" s="2" t="s">
        <v>78</v>
      </c>
      <c r="C26" s="2" t="s">
        <v>715</v>
      </c>
      <c r="D26" s="2" t="s">
        <v>716</v>
      </c>
      <c r="E26" s="2" t="s">
        <v>168</v>
      </c>
      <c r="F26" s="2" t="s">
        <v>771</v>
      </c>
      <c r="G26" s="2" t="s">
        <v>772</v>
      </c>
      <c r="H26" s="2" t="s">
        <v>183</v>
      </c>
      <c r="I26" s="2" t="s">
        <v>732</v>
      </c>
      <c r="J26" s="2" t="s">
        <v>148</v>
      </c>
      <c r="K26" s="2" t="s">
        <v>156</v>
      </c>
      <c r="L26" s="2" t="s">
        <v>149</v>
      </c>
      <c r="M26" s="2" t="s">
        <v>749</v>
      </c>
      <c r="N26" s="2" t="s">
        <v>84</v>
      </c>
      <c r="O26" s="2" t="s">
        <v>91</v>
      </c>
      <c r="P26" s="5">
        <v>1280</v>
      </c>
      <c r="Q26" s="5">
        <v>3.681</v>
      </c>
      <c r="R26" s="5">
        <v>11577</v>
      </c>
      <c r="S26" s="5">
        <v>0</v>
      </c>
      <c r="T26" s="5">
        <v>545.47118999999998</v>
      </c>
      <c r="U26" s="6">
        <v>4.4400000000000002E-5</v>
      </c>
      <c r="V26" s="6">
        <v>2.075E-3</v>
      </c>
      <c r="W26" s="6">
        <v>6.5339999999999994E-4</v>
      </c>
      <c r="X26" s="9">
        <v>70775846</v>
      </c>
      <c r="Y26" s="60" t="s">
        <v>4</v>
      </c>
      <c r="Z26" s="60" t="s">
        <v>1</v>
      </c>
      <c r="AA26">
        <f t="shared" ca="1" si="0"/>
        <v>0</v>
      </c>
    </row>
    <row r="27" spans="1:27">
      <c r="A27" s="2" t="s">
        <v>78</v>
      </c>
      <c r="B27" s="2" t="s">
        <v>78</v>
      </c>
      <c r="C27" s="2" t="s">
        <v>723</v>
      </c>
      <c r="D27" s="2" t="s">
        <v>724</v>
      </c>
      <c r="E27" s="2" t="s">
        <v>168</v>
      </c>
      <c r="F27" s="2" t="s">
        <v>773</v>
      </c>
      <c r="G27" s="2" t="s">
        <v>774</v>
      </c>
      <c r="H27" s="2" t="s">
        <v>183</v>
      </c>
      <c r="I27" s="2" t="s">
        <v>732</v>
      </c>
      <c r="J27" s="2" t="s">
        <v>148</v>
      </c>
      <c r="K27" s="2" t="s">
        <v>156</v>
      </c>
      <c r="L27" s="2" t="s">
        <v>584</v>
      </c>
      <c r="M27" s="2" t="s">
        <v>749</v>
      </c>
      <c r="N27" s="2" t="s">
        <v>84</v>
      </c>
      <c r="O27" s="2" t="s">
        <v>91</v>
      </c>
      <c r="P27" s="5">
        <v>1378</v>
      </c>
      <c r="Q27" s="5">
        <v>3.681</v>
      </c>
      <c r="R27" s="5">
        <v>48070</v>
      </c>
      <c r="S27" s="5">
        <v>0</v>
      </c>
      <c r="T27" s="5">
        <v>2438.31133</v>
      </c>
      <c r="U27" s="6">
        <v>1.4999999999999998E-6</v>
      </c>
      <c r="V27" s="6">
        <v>9.2753000000000002E-3</v>
      </c>
      <c r="W27" s="6">
        <v>2.9205999999999998E-3</v>
      </c>
      <c r="X27" s="9">
        <v>74463126</v>
      </c>
      <c r="Y27" s="60" t="s">
        <v>4</v>
      </c>
      <c r="Z27" s="60" t="s">
        <v>1</v>
      </c>
      <c r="AA27">
        <f t="shared" ca="1" si="0"/>
        <v>0</v>
      </c>
    </row>
    <row r="28" spans="1:27">
      <c r="A28" s="2" t="s">
        <v>78</v>
      </c>
      <c r="B28" s="2" t="s">
        <v>78</v>
      </c>
      <c r="C28" s="2" t="s">
        <v>715</v>
      </c>
      <c r="D28" s="2" t="s">
        <v>716</v>
      </c>
      <c r="E28" s="2" t="s">
        <v>168</v>
      </c>
      <c r="F28" s="2" t="s">
        <v>775</v>
      </c>
      <c r="G28" s="2" t="s">
        <v>776</v>
      </c>
      <c r="H28" s="2" t="s">
        <v>183</v>
      </c>
      <c r="I28" s="2" t="s">
        <v>732</v>
      </c>
      <c r="J28" s="2" t="s">
        <v>148</v>
      </c>
      <c r="K28" s="2" t="s">
        <v>777</v>
      </c>
      <c r="L28" s="2" t="s">
        <v>590</v>
      </c>
      <c r="M28" s="2" t="s">
        <v>749</v>
      </c>
      <c r="N28" s="2" t="s">
        <v>84</v>
      </c>
      <c r="O28" s="2" t="s">
        <v>91</v>
      </c>
      <c r="P28" s="5">
        <v>197</v>
      </c>
      <c r="Q28" s="5">
        <v>3.681</v>
      </c>
      <c r="R28" s="5">
        <v>6775</v>
      </c>
      <c r="S28" s="5">
        <v>0</v>
      </c>
      <c r="T28" s="5">
        <v>49.129379999999998</v>
      </c>
      <c r="U28" s="6">
        <v>5.5999999999999997E-6</v>
      </c>
      <c r="V28" s="6">
        <v>1.8689999999999999E-4</v>
      </c>
      <c r="W28" s="6">
        <v>5.8799999999999999E-5</v>
      </c>
      <c r="X28" s="9">
        <v>74137878</v>
      </c>
      <c r="Y28" s="60" t="s">
        <v>4</v>
      </c>
      <c r="Z28" s="60" t="s">
        <v>1</v>
      </c>
      <c r="AA28">
        <f t="shared" ca="1" si="0"/>
        <v>0</v>
      </c>
    </row>
    <row r="29" spans="1:27">
      <c r="A29" s="2" t="s">
        <v>78</v>
      </c>
      <c r="B29" s="2" t="s">
        <v>78</v>
      </c>
      <c r="C29" s="2" t="s">
        <v>778</v>
      </c>
      <c r="D29" s="2" t="s">
        <v>779</v>
      </c>
      <c r="E29" s="2" t="s">
        <v>168</v>
      </c>
      <c r="F29" s="2" t="s">
        <v>780</v>
      </c>
      <c r="G29" s="2" t="s">
        <v>781</v>
      </c>
      <c r="H29" s="2" t="s">
        <v>183</v>
      </c>
      <c r="I29" s="2" t="s">
        <v>732</v>
      </c>
      <c r="J29" s="2" t="s">
        <v>148</v>
      </c>
      <c r="K29" s="2" t="s">
        <v>782</v>
      </c>
      <c r="L29" s="2" t="s">
        <v>149</v>
      </c>
      <c r="M29" s="2" t="s">
        <v>749</v>
      </c>
      <c r="N29" s="2" t="s">
        <v>84</v>
      </c>
      <c r="O29" s="2" t="s">
        <v>91</v>
      </c>
      <c r="P29" s="5">
        <v>640</v>
      </c>
      <c r="Q29" s="5">
        <v>3.681</v>
      </c>
      <c r="R29" s="5">
        <v>10850</v>
      </c>
      <c r="S29" s="5">
        <v>0</v>
      </c>
      <c r="T29" s="5">
        <v>255.60864000000001</v>
      </c>
      <c r="U29" s="6">
        <v>1.4800000000000001E-5</v>
      </c>
      <c r="V29" s="6">
        <v>9.7229999999999994E-4</v>
      </c>
      <c r="W29" s="6">
        <v>3.0620000000000002E-4</v>
      </c>
      <c r="X29" s="9">
        <v>70761341</v>
      </c>
      <c r="Y29" s="60" t="s">
        <v>4</v>
      </c>
      <c r="Z29" s="60" t="s">
        <v>1</v>
      </c>
      <c r="AA29">
        <f t="shared" ca="1" si="0"/>
        <v>0</v>
      </c>
    </row>
    <row r="30" spans="1:27">
      <c r="A30" s="2" t="s">
        <v>78</v>
      </c>
      <c r="B30" s="2" t="s">
        <v>78</v>
      </c>
      <c r="C30" s="2" t="s">
        <v>783</v>
      </c>
      <c r="D30" s="2" t="s">
        <v>784</v>
      </c>
      <c r="E30" s="2" t="s">
        <v>168</v>
      </c>
      <c r="F30" s="2" t="s">
        <v>785</v>
      </c>
      <c r="G30" s="2" t="s">
        <v>786</v>
      </c>
      <c r="H30" s="2" t="s">
        <v>183</v>
      </c>
      <c r="I30" s="2" t="s">
        <v>732</v>
      </c>
      <c r="J30" s="2" t="s">
        <v>148</v>
      </c>
      <c r="K30" s="2" t="s">
        <v>671</v>
      </c>
      <c r="L30" s="2" t="s">
        <v>672</v>
      </c>
      <c r="M30" s="2" t="s">
        <v>749</v>
      </c>
      <c r="N30" s="2" t="s">
        <v>84</v>
      </c>
      <c r="O30" s="2" t="s">
        <v>99</v>
      </c>
      <c r="P30" s="5">
        <v>1981</v>
      </c>
      <c r="Q30" s="5">
        <v>0.47039999999999998</v>
      </c>
      <c r="R30" s="5">
        <v>3910</v>
      </c>
      <c r="S30" s="5">
        <v>0.93910000000000005</v>
      </c>
      <c r="T30" s="5">
        <v>36.877569999999999</v>
      </c>
      <c r="U30" s="6">
        <v>5.4E-6</v>
      </c>
      <c r="V30" s="6">
        <v>1.403E-4</v>
      </c>
      <c r="W30" s="6">
        <v>4.4200000000000004E-5</v>
      </c>
      <c r="X30" s="9">
        <v>74714635</v>
      </c>
      <c r="Y30" s="60" t="s">
        <v>4</v>
      </c>
      <c r="Z30" s="60" t="s">
        <v>1</v>
      </c>
      <c r="AA30">
        <f t="shared" ca="1" si="0"/>
        <v>0</v>
      </c>
    </row>
    <row r="31" spans="1:27">
      <c r="A31" s="2" t="s">
        <v>78</v>
      </c>
      <c r="B31" s="2" t="s">
        <v>78</v>
      </c>
      <c r="C31" s="2" t="s">
        <v>787</v>
      </c>
      <c r="D31" s="2" t="s">
        <v>788</v>
      </c>
      <c r="E31" s="2" t="s">
        <v>168</v>
      </c>
      <c r="F31" s="2" t="s">
        <v>789</v>
      </c>
      <c r="G31" s="2" t="s">
        <v>790</v>
      </c>
      <c r="H31" s="2" t="s">
        <v>183</v>
      </c>
      <c r="I31" s="2" t="s">
        <v>732</v>
      </c>
      <c r="J31" s="2" t="s">
        <v>148</v>
      </c>
      <c r="K31" s="2" t="s">
        <v>156</v>
      </c>
      <c r="L31" s="2" t="s">
        <v>590</v>
      </c>
      <c r="M31" s="2" t="s">
        <v>749</v>
      </c>
      <c r="N31" s="2" t="s">
        <v>84</v>
      </c>
      <c r="O31" s="2" t="s">
        <v>91</v>
      </c>
      <c r="P31" s="5">
        <v>618</v>
      </c>
      <c r="Q31" s="5">
        <v>3.681</v>
      </c>
      <c r="R31" s="5">
        <v>9560</v>
      </c>
      <c r="S31" s="5">
        <v>0</v>
      </c>
      <c r="T31" s="5">
        <v>217.47641999999999</v>
      </c>
      <c r="U31" s="6">
        <v>1.8700000000000001E-5</v>
      </c>
      <c r="V31" s="6">
        <v>8.273E-4</v>
      </c>
      <c r="W31" s="6">
        <v>2.6049999999999999E-4</v>
      </c>
      <c r="X31" s="9">
        <v>74457631</v>
      </c>
      <c r="Y31" s="60" t="s">
        <v>4</v>
      </c>
      <c r="Z31" s="60" t="s">
        <v>1</v>
      </c>
      <c r="AA31">
        <f t="shared" ca="1" si="0"/>
        <v>0</v>
      </c>
    </row>
    <row r="32" spans="1:27">
      <c r="A32" s="2" t="s">
        <v>78</v>
      </c>
      <c r="B32" s="2" t="s">
        <v>78</v>
      </c>
      <c r="C32" s="2" t="s">
        <v>754</v>
      </c>
      <c r="D32" s="2" t="s">
        <v>755</v>
      </c>
      <c r="E32" s="2" t="s">
        <v>168</v>
      </c>
      <c r="F32" s="2" t="s">
        <v>791</v>
      </c>
      <c r="G32" s="2" t="s">
        <v>792</v>
      </c>
      <c r="H32" s="2" t="s">
        <v>183</v>
      </c>
      <c r="I32" s="2" t="s">
        <v>732</v>
      </c>
      <c r="J32" s="2" t="s">
        <v>148</v>
      </c>
      <c r="K32" s="2" t="s">
        <v>156</v>
      </c>
      <c r="L32" s="2" t="s">
        <v>627</v>
      </c>
      <c r="M32" s="2" t="s">
        <v>749</v>
      </c>
      <c r="N32" s="2" t="s">
        <v>84</v>
      </c>
      <c r="O32" s="2" t="s">
        <v>91</v>
      </c>
      <c r="P32" s="5">
        <v>20</v>
      </c>
      <c r="Q32" s="5">
        <v>3.681</v>
      </c>
      <c r="R32" s="5">
        <v>102524</v>
      </c>
      <c r="S32" s="5">
        <v>0</v>
      </c>
      <c r="T32" s="5">
        <v>75.478160000000003</v>
      </c>
      <c r="U32" s="6">
        <v>9.9999999999999995E-7</v>
      </c>
      <c r="V32" s="6">
        <v>2.8709999999999999E-4</v>
      </c>
      <c r="W32" s="6">
        <v>9.0399999999999988E-5</v>
      </c>
      <c r="X32" s="9">
        <v>74657628</v>
      </c>
      <c r="Y32" s="60" t="s">
        <v>4</v>
      </c>
      <c r="Z32" s="60" t="s">
        <v>1</v>
      </c>
      <c r="AA32">
        <f t="shared" ca="1" si="0"/>
        <v>0</v>
      </c>
    </row>
    <row r="33" spans="1:27">
      <c r="A33" s="2" t="s">
        <v>78</v>
      </c>
      <c r="B33" s="2" t="s">
        <v>78</v>
      </c>
      <c r="C33" s="2" t="s">
        <v>793</v>
      </c>
      <c r="D33" s="2" t="s">
        <v>794</v>
      </c>
      <c r="E33" s="2" t="s">
        <v>168</v>
      </c>
      <c r="F33" s="2" t="s">
        <v>795</v>
      </c>
      <c r="G33" s="2" t="s">
        <v>796</v>
      </c>
      <c r="H33" s="2" t="s">
        <v>183</v>
      </c>
      <c r="I33" s="2" t="s">
        <v>732</v>
      </c>
      <c r="J33" s="2" t="s">
        <v>148</v>
      </c>
      <c r="K33" s="2" t="s">
        <v>671</v>
      </c>
      <c r="L33" s="2" t="s">
        <v>590</v>
      </c>
      <c r="M33" s="2" t="s">
        <v>749</v>
      </c>
      <c r="N33" s="2" t="s">
        <v>84</v>
      </c>
      <c r="O33" s="2" t="s">
        <v>91</v>
      </c>
      <c r="P33" s="5">
        <v>5670</v>
      </c>
      <c r="Q33" s="5">
        <v>3.681</v>
      </c>
      <c r="R33" s="5">
        <v>2625</v>
      </c>
      <c r="S33" s="5">
        <v>0</v>
      </c>
      <c r="T33" s="5">
        <v>547.87082999999996</v>
      </c>
      <c r="U33" s="6">
        <v>2.7399999999999999E-5</v>
      </c>
      <c r="V33" s="6">
        <v>2.0841000000000002E-3</v>
      </c>
      <c r="W33" s="6">
        <v>6.5620000000000001E-4</v>
      </c>
      <c r="X33" s="9">
        <v>74864851</v>
      </c>
      <c r="Y33" s="60" t="s">
        <v>4</v>
      </c>
      <c r="Z33" s="60" t="s">
        <v>1</v>
      </c>
      <c r="AA33">
        <f t="shared" ca="1" si="0"/>
        <v>0</v>
      </c>
    </row>
    <row r="34" spans="1:27">
      <c r="A34" s="2" t="s">
        <v>78</v>
      </c>
      <c r="B34" s="2" t="s">
        <v>78</v>
      </c>
      <c r="C34" s="2" t="s">
        <v>727</v>
      </c>
      <c r="D34" s="2" t="s">
        <v>728</v>
      </c>
      <c r="E34" s="2" t="s">
        <v>168</v>
      </c>
      <c r="F34" s="2" t="s">
        <v>797</v>
      </c>
      <c r="G34" s="2" t="s">
        <v>798</v>
      </c>
      <c r="H34" s="2" t="s">
        <v>183</v>
      </c>
      <c r="I34" s="2" t="s">
        <v>732</v>
      </c>
      <c r="J34" s="2" t="s">
        <v>148</v>
      </c>
      <c r="K34" s="2" t="s">
        <v>156</v>
      </c>
      <c r="L34" s="2" t="s">
        <v>627</v>
      </c>
      <c r="M34" s="2" t="s">
        <v>749</v>
      </c>
      <c r="N34" s="2" t="s">
        <v>84</v>
      </c>
      <c r="O34" s="2" t="s">
        <v>91</v>
      </c>
      <c r="P34" s="5">
        <v>2629</v>
      </c>
      <c r="Q34" s="5">
        <v>3.681</v>
      </c>
      <c r="R34" s="5">
        <v>3552.75</v>
      </c>
      <c r="S34" s="5">
        <v>0</v>
      </c>
      <c r="T34" s="5">
        <v>343.81200999999999</v>
      </c>
      <c r="U34" s="6">
        <v>1.197E-4</v>
      </c>
      <c r="V34" s="6">
        <v>1.3078999999999999E-3</v>
      </c>
      <c r="W34" s="6">
        <v>4.1180000000000003E-4</v>
      </c>
      <c r="X34" s="9">
        <v>75353904</v>
      </c>
      <c r="Y34" s="60" t="s">
        <v>4</v>
      </c>
      <c r="Z34" s="60" t="s">
        <v>1</v>
      </c>
      <c r="AA34">
        <f t="shared" ca="1" si="0"/>
        <v>0</v>
      </c>
    </row>
    <row r="35" spans="1:27">
      <c r="A35" s="2" t="s">
        <v>78</v>
      </c>
      <c r="B35" s="2" t="s">
        <v>78</v>
      </c>
      <c r="C35" s="2" t="s">
        <v>799</v>
      </c>
      <c r="D35" s="2" t="s">
        <v>800</v>
      </c>
      <c r="E35" s="2" t="s">
        <v>168</v>
      </c>
      <c r="F35" s="2" t="s">
        <v>801</v>
      </c>
      <c r="G35" s="2" t="s">
        <v>802</v>
      </c>
      <c r="H35" s="2" t="s">
        <v>183</v>
      </c>
      <c r="I35" s="2" t="s">
        <v>732</v>
      </c>
      <c r="J35" s="2" t="s">
        <v>148</v>
      </c>
      <c r="K35" s="2" t="s">
        <v>782</v>
      </c>
      <c r="L35" s="2" t="s">
        <v>627</v>
      </c>
      <c r="M35" s="2" t="s">
        <v>749</v>
      </c>
      <c r="N35" s="2" t="s">
        <v>84</v>
      </c>
      <c r="O35" s="2" t="s">
        <v>91</v>
      </c>
      <c r="P35" s="5">
        <v>5100</v>
      </c>
      <c r="Q35" s="5">
        <v>3.681</v>
      </c>
      <c r="R35" s="5">
        <v>4107</v>
      </c>
      <c r="S35" s="5">
        <v>0</v>
      </c>
      <c r="T35" s="5">
        <v>771.01121000000001</v>
      </c>
      <c r="U35" s="6">
        <v>3.0120000000000004E-3</v>
      </c>
      <c r="V35" s="6">
        <v>2.9329E-3</v>
      </c>
      <c r="W35" s="6">
        <v>9.2350000000000006E-4</v>
      </c>
      <c r="X35" s="9">
        <v>76034412</v>
      </c>
      <c r="Y35" s="60" t="s">
        <v>4</v>
      </c>
      <c r="Z35" s="60" t="s">
        <v>1</v>
      </c>
      <c r="AA35">
        <f t="shared" ca="1" si="0"/>
        <v>0</v>
      </c>
    </row>
    <row r="36" spans="1:27">
      <c r="A36" s="2" t="s">
        <v>78</v>
      </c>
      <c r="B36" s="2" t="s">
        <v>78</v>
      </c>
      <c r="C36" s="2" t="s">
        <v>803</v>
      </c>
      <c r="D36" s="2" t="s">
        <v>804</v>
      </c>
      <c r="E36" s="2" t="s">
        <v>168</v>
      </c>
      <c r="F36" s="2" t="s">
        <v>805</v>
      </c>
      <c r="G36" s="2" t="s">
        <v>806</v>
      </c>
      <c r="H36" s="2" t="s">
        <v>183</v>
      </c>
      <c r="I36" s="2" t="s">
        <v>732</v>
      </c>
      <c r="J36" s="2" t="s">
        <v>148</v>
      </c>
      <c r="K36" s="2" t="s">
        <v>807</v>
      </c>
      <c r="L36" s="2" t="s">
        <v>590</v>
      </c>
      <c r="M36" s="2" t="s">
        <v>749</v>
      </c>
      <c r="N36" s="2" t="s">
        <v>84</v>
      </c>
      <c r="O36" s="2" t="s">
        <v>91</v>
      </c>
      <c r="P36" s="5">
        <v>3214</v>
      </c>
      <c r="Q36" s="5">
        <v>3.681</v>
      </c>
      <c r="R36" s="5">
        <v>2975</v>
      </c>
      <c r="S36" s="5">
        <v>0</v>
      </c>
      <c r="T36" s="5">
        <v>351.96433000000002</v>
      </c>
      <c r="U36" s="6">
        <v>1.227E-4</v>
      </c>
      <c r="V36" s="6">
        <v>1.3389000000000001E-3</v>
      </c>
      <c r="W36" s="6">
        <v>4.2160000000000006E-4</v>
      </c>
      <c r="X36" s="9">
        <v>76755354</v>
      </c>
      <c r="Y36" s="60" t="s">
        <v>4</v>
      </c>
      <c r="Z36" s="60" t="s">
        <v>1</v>
      </c>
      <c r="AA36">
        <f t="shared" ca="1" si="0"/>
        <v>0</v>
      </c>
    </row>
    <row r="37" spans="1:27">
      <c r="A37" s="2" t="s">
        <v>78</v>
      </c>
      <c r="B37" s="2" t="s">
        <v>78</v>
      </c>
      <c r="C37" s="2" t="s">
        <v>808</v>
      </c>
      <c r="D37" s="2" t="s">
        <v>809</v>
      </c>
      <c r="E37" s="2" t="s">
        <v>168</v>
      </c>
      <c r="F37" s="2" t="s">
        <v>810</v>
      </c>
      <c r="G37" s="2" t="s">
        <v>811</v>
      </c>
      <c r="H37" s="2" t="s">
        <v>183</v>
      </c>
      <c r="I37" s="2" t="s">
        <v>732</v>
      </c>
      <c r="J37" s="2" t="s">
        <v>148</v>
      </c>
      <c r="K37" s="2" t="s">
        <v>671</v>
      </c>
      <c r="L37" s="2" t="s">
        <v>627</v>
      </c>
      <c r="M37" s="2" t="s">
        <v>749</v>
      </c>
      <c r="N37" s="2" t="s">
        <v>84</v>
      </c>
      <c r="O37" s="2" t="s">
        <v>91</v>
      </c>
      <c r="P37" s="5">
        <v>594</v>
      </c>
      <c r="Q37" s="5">
        <v>3.681</v>
      </c>
      <c r="R37" s="5">
        <v>13550</v>
      </c>
      <c r="S37" s="5">
        <v>0</v>
      </c>
      <c r="T37" s="5">
        <v>296.27264000000002</v>
      </c>
      <c r="U37" s="6">
        <v>4.3849999999999998E-4</v>
      </c>
      <c r="V37" s="6">
        <v>1.127E-3</v>
      </c>
      <c r="W37" s="6">
        <v>3.5490000000000001E-4</v>
      </c>
      <c r="X37" s="9">
        <v>77196061</v>
      </c>
      <c r="Y37" s="60" t="s">
        <v>4</v>
      </c>
      <c r="Z37" s="60" t="s">
        <v>1</v>
      </c>
      <c r="AA37">
        <f t="shared" ca="1" si="0"/>
        <v>0</v>
      </c>
    </row>
    <row r="38" spans="1:27">
      <c r="A38" s="2" t="s">
        <v>78</v>
      </c>
      <c r="B38" s="2" t="s">
        <v>78</v>
      </c>
      <c r="C38" s="2" t="s">
        <v>808</v>
      </c>
      <c r="D38" s="2" t="s">
        <v>809</v>
      </c>
      <c r="E38" s="2" t="s">
        <v>168</v>
      </c>
      <c r="F38" s="2" t="s">
        <v>812</v>
      </c>
      <c r="G38" s="2" t="s">
        <v>813</v>
      </c>
      <c r="H38" s="2" t="s">
        <v>183</v>
      </c>
      <c r="I38" s="2" t="s">
        <v>732</v>
      </c>
      <c r="J38" s="2" t="s">
        <v>148</v>
      </c>
      <c r="K38" s="2" t="s">
        <v>156</v>
      </c>
      <c r="L38" s="2" t="s">
        <v>627</v>
      </c>
      <c r="M38" s="2" t="s">
        <v>749</v>
      </c>
      <c r="N38" s="2" t="s">
        <v>84</v>
      </c>
      <c r="O38" s="2" t="s">
        <v>91</v>
      </c>
      <c r="P38" s="5">
        <v>1732</v>
      </c>
      <c r="Q38" s="5">
        <v>3.681</v>
      </c>
      <c r="R38" s="5">
        <v>37152.5</v>
      </c>
      <c r="S38" s="5">
        <v>0</v>
      </c>
      <c r="T38" s="5">
        <v>2368.6546600000001</v>
      </c>
      <c r="U38" s="6">
        <v>1.6809999999999999E-4</v>
      </c>
      <c r="V38" s="6">
        <v>9.0103000000000006E-3</v>
      </c>
      <c r="W38" s="6">
        <v>2.8372000000000002E-3</v>
      </c>
      <c r="X38" s="9">
        <v>77414241</v>
      </c>
      <c r="Y38" s="60" t="s">
        <v>4</v>
      </c>
      <c r="Z38" s="60" t="s">
        <v>1</v>
      </c>
      <c r="AA38">
        <f t="shared" ca="1" si="0"/>
        <v>0</v>
      </c>
    </row>
    <row r="39" spans="1:27">
      <c r="A39" s="2" t="s">
        <v>78</v>
      </c>
      <c r="B39" s="2" t="s">
        <v>78</v>
      </c>
      <c r="C39" s="2" t="s">
        <v>808</v>
      </c>
      <c r="D39" s="2" t="s">
        <v>809</v>
      </c>
      <c r="E39" s="2" t="s">
        <v>168</v>
      </c>
      <c r="F39" s="2" t="s">
        <v>814</v>
      </c>
      <c r="G39" s="2" t="s">
        <v>815</v>
      </c>
      <c r="H39" s="2" t="s">
        <v>183</v>
      </c>
      <c r="I39" s="2" t="s">
        <v>732</v>
      </c>
      <c r="J39" s="2" t="s">
        <v>148</v>
      </c>
      <c r="K39" s="2" t="s">
        <v>671</v>
      </c>
      <c r="L39" s="2" t="s">
        <v>627</v>
      </c>
      <c r="M39" s="2" t="s">
        <v>749</v>
      </c>
      <c r="N39" s="2" t="s">
        <v>84</v>
      </c>
      <c r="O39" s="2" t="s">
        <v>91</v>
      </c>
      <c r="P39" s="5">
        <v>4257</v>
      </c>
      <c r="Q39" s="5">
        <v>3.681</v>
      </c>
      <c r="R39" s="5">
        <v>1434.9</v>
      </c>
      <c r="S39" s="5">
        <v>0</v>
      </c>
      <c r="T39" s="5">
        <v>224.84907000000001</v>
      </c>
      <c r="U39" s="6">
        <v>2.2780000000000001E-4</v>
      </c>
      <c r="V39" s="6">
        <v>8.5529999999999992E-4</v>
      </c>
      <c r="W39" s="6">
        <v>2.6929999999999999E-4</v>
      </c>
      <c r="X39" s="9">
        <v>77530517</v>
      </c>
      <c r="Y39" s="60" t="s">
        <v>4</v>
      </c>
      <c r="Z39" s="60" t="s">
        <v>1</v>
      </c>
      <c r="AA39">
        <f t="shared" ca="1" si="0"/>
        <v>0</v>
      </c>
    </row>
    <row r="40" spans="1:27">
      <c r="A40" s="2" t="s">
        <v>78</v>
      </c>
      <c r="B40" s="2" t="s">
        <v>78</v>
      </c>
      <c r="C40" s="2" t="s">
        <v>727</v>
      </c>
      <c r="D40" s="2" t="s">
        <v>728</v>
      </c>
      <c r="E40" s="2" t="s">
        <v>168</v>
      </c>
      <c r="F40" s="2" t="s">
        <v>816</v>
      </c>
      <c r="G40" s="2" t="s">
        <v>817</v>
      </c>
      <c r="H40" s="2" t="s">
        <v>183</v>
      </c>
      <c r="I40" s="2" t="s">
        <v>732</v>
      </c>
      <c r="J40" s="2" t="s">
        <v>148</v>
      </c>
      <c r="K40" s="2" t="s">
        <v>156</v>
      </c>
      <c r="L40" s="2" t="s">
        <v>584</v>
      </c>
      <c r="M40" s="2" t="s">
        <v>749</v>
      </c>
      <c r="N40" s="2" t="s">
        <v>84</v>
      </c>
      <c r="O40" s="2" t="s">
        <v>91</v>
      </c>
      <c r="P40" s="5">
        <v>13170</v>
      </c>
      <c r="Q40" s="5">
        <v>3.681</v>
      </c>
      <c r="R40" s="5">
        <v>6153</v>
      </c>
      <c r="S40" s="5">
        <v>0</v>
      </c>
      <c r="T40" s="5">
        <v>2982.8987099999999</v>
      </c>
      <c r="U40" s="6">
        <v>2.41E-5</v>
      </c>
      <c r="V40" s="6">
        <v>1.13469E-2</v>
      </c>
      <c r="W40" s="6">
        <v>3.5728999999999999E-3</v>
      </c>
      <c r="X40" s="9">
        <v>76394998</v>
      </c>
      <c r="Y40" s="60" t="s">
        <v>4</v>
      </c>
      <c r="Z40" s="60" t="s">
        <v>1</v>
      </c>
      <c r="AA40">
        <f t="shared" ca="1" si="0"/>
        <v>0</v>
      </c>
    </row>
    <row r="41" spans="1:27">
      <c r="A41" s="2" t="s">
        <v>78</v>
      </c>
      <c r="B41" s="2" t="s">
        <v>78</v>
      </c>
      <c r="C41" s="2" t="s">
        <v>727</v>
      </c>
      <c r="D41" s="2" t="s">
        <v>728</v>
      </c>
      <c r="E41" s="2" t="s">
        <v>168</v>
      </c>
      <c r="F41" s="2" t="s">
        <v>818</v>
      </c>
      <c r="G41" s="2" t="s">
        <v>819</v>
      </c>
      <c r="H41" s="2" t="s">
        <v>183</v>
      </c>
      <c r="I41" s="2" t="s">
        <v>732</v>
      </c>
      <c r="J41" s="2" t="s">
        <v>148</v>
      </c>
      <c r="K41" s="2" t="s">
        <v>156</v>
      </c>
      <c r="L41" s="2" t="s">
        <v>627</v>
      </c>
      <c r="M41" s="2" t="s">
        <v>749</v>
      </c>
      <c r="N41" s="2" t="s">
        <v>84</v>
      </c>
      <c r="O41" s="2" t="s">
        <v>91</v>
      </c>
      <c r="P41" s="5">
        <v>1105</v>
      </c>
      <c r="Q41" s="5">
        <v>3.681</v>
      </c>
      <c r="R41" s="5">
        <v>10869.5</v>
      </c>
      <c r="S41" s="5">
        <v>0</v>
      </c>
      <c r="T41" s="5">
        <v>442.11745000000002</v>
      </c>
      <c r="U41" s="6">
        <v>1.099E-4</v>
      </c>
      <c r="V41" s="6">
        <v>1.6818E-3</v>
      </c>
      <c r="W41" s="6">
        <v>5.2959999999999997E-4</v>
      </c>
      <c r="X41" s="9">
        <v>75859280</v>
      </c>
      <c r="Y41" s="60" t="s">
        <v>4</v>
      </c>
      <c r="Z41" s="60" t="s">
        <v>1</v>
      </c>
      <c r="AA41">
        <f t="shared" ca="1" si="0"/>
        <v>0</v>
      </c>
    </row>
    <row r="42" spans="1:27">
      <c r="A42" s="2" t="s">
        <v>78</v>
      </c>
      <c r="B42" s="2" t="s">
        <v>78</v>
      </c>
      <c r="C42" s="2" t="s">
        <v>723</v>
      </c>
      <c r="D42" s="2" t="s">
        <v>724</v>
      </c>
      <c r="E42" s="2" t="s">
        <v>168</v>
      </c>
      <c r="F42" s="2" t="s">
        <v>820</v>
      </c>
      <c r="G42" s="2" t="s">
        <v>821</v>
      </c>
      <c r="H42" s="2" t="s">
        <v>183</v>
      </c>
      <c r="I42" s="2" t="s">
        <v>732</v>
      </c>
      <c r="J42" s="2" t="s">
        <v>148</v>
      </c>
      <c r="K42" s="2" t="s">
        <v>822</v>
      </c>
      <c r="L42" s="2" t="s">
        <v>627</v>
      </c>
      <c r="M42" s="2" t="s">
        <v>749</v>
      </c>
      <c r="N42" s="2" t="s">
        <v>84</v>
      </c>
      <c r="O42" s="2" t="s">
        <v>91</v>
      </c>
      <c r="P42" s="5">
        <v>170</v>
      </c>
      <c r="Q42" s="5">
        <v>3.681</v>
      </c>
      <c r="R42" s="5">
        <v>5682.5</v>
      </c>
      <c r="S42" s="5">
        <v>0</v>
      </c>
      <c r="T42" s="5">
        <v>35.559379999999997</v>
      </c>
      <c r="U42" s="6">
        <v>4.2999999999999995E-6</v>
      </c>
      <c r="V42" s="6">
        <v>1.3530000000000001E-4</v>
      </c>
      <c r="W42" s="6">
        <v>4.2599999999999999E-5</v>
      </c>
      <c r="X42" s="9">
        <v>75918839</v>
      </c>
      <c r="Y42" s="60" t="s">
        <v>4</v>
      </c>
      <c r="Z42" s="60" t="s">
        <v>1</v>
      </c>
      <c r="AA42">
        <f t="shared" ca="1" si="0"/>
        <v>0</v>
      </c>
    </row>
    <row r="43" spans="1:27">
      <c r="A43" s="2" t="s">
        <v>78</v>
      </c>
      <c r="B43" s="2" t="s">
        <v>78</v>
      </c>
      <c r="C43" s="2" t="s">
        <v>727</v>
      </c>
      <c r="D43" s="2" t="s">
        <v>728</v>
      </c>
      <c r="E43" s="2" t="s">
        <v>168</v>
      </c>
      <c r="F43" s="2" t="s">
        <v>823</v>
      </c>
      <c r="G43" s="2" t="s">
        <v>824</v>
      </c>
      <c r="H43" s="2" t="s">
        <v>183</v>
      </c>
      <c r="I43" s="2" t="s">
        <v>732</v>
      </c>
      <c r="J43" s="2" t="s">
        <v>148</v>
      </c>
      <c r="K43" s="2" t="s">
        <v>156</v>
      </c>
      <c r="L43" s="2" t="s">
        <v>627</v>
      </c>
      <c r="M43" s="2" t="s">
        <v>749</v>
      </c>
      <c r="N43" s="2" t="s">
        <v>84</v>
      </c>
      <c r="O43" s="2" t="s">
        <v>91</v>
      </c>
      <c r="P43" s="5">
        <v>850</v>
      </c>
      <c r="Q43" s="5">
        <v>3.681</v>
      </c>
      <c r="R43" s="5">
        <v>4855.88</v>
      </c>
      <c r="S43" s="5">
        <v>0</v>
      </c>
      <c r="T43" s="5">
        <v>151.9332</v>
      </c>
      <c r="U43" s="6">
        <v>1.1400000000000001E-4</v>
      </c>
      <c r="V43" s="6">
        <v>5.7799999999999995E-4</v>
      </c>
      <c r="W43" s="6">
        <v>1.8200000000000001E-4</v>
      </c>
      <c r="X43" s="9">
        <v>75352146</v>
      </c>
      <c r="Y43" s="60" t="s">
        <v>4</v>
      </c>
      <c r="Z43" s="60" t="s">
        <v>1</v>
      </c>
      <c r="AA43">
        <f t="shared" ca="1" si="0"/>
        <v>0</v>
      </c>
    </row>
    <row r="44" spans="1:27">
      <c r="A44" s="2" t="s">
        <v>78</v>
      </c>
      <c r="B44" s="2" t="s">
        <v>78</v>
      </c>
      <c r="C44" s="2" t="s">
        <v>727</v>
      </c>
      <c r="D44" s="2" t="s">
        <v>728</v>
      </c>
      <c r="E44" s="2" t="s">
        <v>168</v>
      </c>
      <c r="F44" s="2" t="s">
        <v>825</v>
      </c>
      <c r="G44" s="2" t="s">
        <v>826</v>
      </c>
      <c r="H44" s="2" t="s">
        <v>183</v>
      </c>
      <c r="I44" s="2" t="s">
        <v>732</v>
      </c>
      <c r="J44" s="2" t="s">
        <v>148</v>
      </c>
      <c r="K44" s="2" t="s">
        <v>156</v>
      </c>
      <c r="L44" s="2" t="s">
        <v>627</v>
      </c>
      <c r="M44" s="2" t="s">
        <v>749</v>
      </c>
      <c r="N44" s="2" t="s">
        <v>84</v>
      </c>
      <c r="O44" s="2" t="s">
        <v>91</v>
      </c>
      <c r="P44" s="5">
        <v>41100</v>
      </c>
      <c r="Q44" s="5">
        <v>3.681</v>
      </c>
      <c r="R44" s="5">
        <v>1267.5999999999999</v>
      </c>
      <c r="S44" s="5">
        <v>0</v>
      </c>
      <c r="T44" s="5">
        <v>1917.74063</v>
      </c>
      <c r="U44" s="6">
        <v>1.8450000000000001E-4</v>
      </c>
      <c r="V44" s="6">
        <v>7.2950999999999997E-3</v>
      </c>
      <c r="W44" s="6">
        <v>2.2970999999999998E-3</v>
      </c>
      <c r="X44" s="9">
        <v>79187233</v>
      </c>
      <c r="Y44" s="60" t="s">
        <v>4</v>
      </c>
      <c r="Z44" s="60" t="s">
        <v>1</v>
      </c>
      <c r="AA44">
        <f t="shared" ca="1" si="0"/>
        <v>0</v>
      </c>
    </row>
    <row r="45" spans="1:27">
      <c r="A45" s="2" t="s">
        <v>78</v>
      </c>
      <c r="B45" s="2" t="s">
        <v>94</v>
      </c>
      <c r="C45" s="2" t="s">
        <v>706</v>
      </c>
      <c r="D45" s="2" t="s">
        <v>707</v>
      </c>
      <c r="E45" s="2" t="s">
        <v>194</v>
      </c>
      <c r="F45" s="2" t="s">
        <v>708</v>
      </c>
      <c r="G45" s="9">
        <v>1145259</v>
      </c>
      <c r="H45" s="2" t="s">
        <v>149</v>
      </c>
      <c r="I45" s="2" t="s">
        <v>704</v>
      </c>
      <c r="J45" s="2" t="s">
        <v>83</v>
      </c>
      <c r="K45" s="2" t="s">
        <v>83</v>
      </c>
      <c r="L45" s="2" t="s">
        <v>118</v>
      </c>
      <c r="M45" s="2" t="s">
        <v>705</v>
      </c>
      <c r="N45" s="2" t="s">
        <v>84</v>
      </c>
      <c r="O45" s="2" t="s">
        <v>87</v>
      </c>
      <c r="P45" s="5">
        <v>3000</v>
      </c>
      <c r="Q45" s="5">
        <v>1</v>
      </c>
      <c r="R45" s="5">
        <v>3944.84</v>
      </c>
      <c r="S45" s="5">
        <v>0</v>
      </c>
      <c r="T45" s="5">
        <v>118.34520000000001</v>
      </c>
      <c r="U45" s="6">
        <v>1.2030000000000001E-4</v>
      </c>
      <c r="V45" s="6">
        <v>4.5019999999999999E-4</v>
      </c>
      <c r="W45" s="6">
        <v>1.418E-4</v>
      </c>
      <c r="X45" s="2" t="s">
        <v>3</v>
      </c>
      <c r="Y45" s="60" t="s">
        <v>4</v>
      </c>
      <c r="Z45" s="60" t="s">
        <v>1</v>
      </c>
      <c r="AA45">
        <f t="shared" ca="1" si="0"/>
        <v>0</v>
      </c>
    </row>
    <row r="46" spans="1:27">
      <c r="A46" s="2" t="s">
        <v>78</v>
      </c>
      <c r="B46" s="2" t="s">
        <v>94</v>
      </c>
      <c r="C46" s="2" t="s">
        <v>710</v>
      </c>
      <c r="D46" s="2" t="s">
        <v>711</v>
      </c>
      <c r="E46" s="2" t="s">
        <v>194</v>
      </c>
      <c r="F46" s="2" t="s">
        <v>712</v>
      </c>
      <c r="G46" s="9">
        <v>1150523</v>
      </c>
      <c r="H46" s="2" t="s">
        <v>149</v>
      </c>
      <c r="I46" s="2" t="s">
        <v>704</v>
      </c>
      <c r="J46" s="2" t="s">
        <v>83</v>
      </c>
      <c r="K46" s="2" t="s">
        <v>83</v>
      </c>
      <c r="L46" s="2" t="s">
        <v>118</v>
      </c>
      <c r="M46" s="2" t="s">
        <v>713</v>
      </c>
      <c r="N46" s="2" t="s">
        <v>84</v>
      </c>
      <c r="O46" s="2" t="s">
        <v>87</v>
      </c>
      <c r="P46" s="5">
        <v>46659</v>
      </c>
      <c r="Q46" s="5">
        <v>1</v>
      </c>
      <c r="R46" s="5">
        <v>385.54</v>
      </c>
      <c r="S46" s="5">
        <v>0</v>
      </c>
      <c r="T46" s="5">
        <v>179.88910000000001</v>
      </c>
      <c r="U46" s="6">
        <v>1.7090000000000001E-4</v>
      </c>
      <c r="V46" s="6">
        <v>6.843000000000001E-4</v>
      </c>
      <c r="W46" s="6">
        <v>2.1550000000000001E-4</v>
      </c>
      <c r="X46" s="2" t="s">
        <v>3</v>
      </c>
      <c r="Y46" s="60" t="s">
        <v>4</v>
      </c>
      <c r="Z46" s="60" t="s">
        <v>1</v>
      </c>
      <c r="AA46">
        <f t="shared" ca="1" si="0"/>
        <v>0</v>
      </c>
    </row>
    <row r="47" spans="1:27">
      <c r="A47" s="2" t="s">
        <v>78</v>
      </c>
      <c r="B47" s="2" t="s">
        <v>94</v>
      </c>
      <c r="C47" s="2" t="s">
        <v>701</v>
      </c>
      <c r="D47" s="2" t="s">
        <v>702</v>
      </c>
      <c r="E47" s="2" t="s">
        <v>194</v>
      </c>
      <c r="F47" s="2" t="s">
        <v>827</v>
      </c>
      <c r="G47" s="9">
        <v>1146356</v>
      </c>
      <c r="H47" s="2" t="s">
        <v>149</v>
      </c>
      <c r="I47" s="2" t="s">
        <v>737</v>
      </c>
      <c r="J47" s="2" t="s">
        <v>83</v>
      </c>
      <c r="K47" s="2" t="s">
        <v>83</v>
      </c>
      <c r="L47" s="2" t="s">
        <v>118</v>
      </c>
      <c r="M47" s="2" t="s">
        <v>828</v>
      </c>
      <c r="N47" s="2" t="s">
        <v>84</v>
      </c>
      <c r="O47" s="2" t="s">
        <v>87</v>
      </c>
      <c r="P47" s="5">
        <v>240</v>
      </c>
      <c r="Q47" s="5">
        <v>1</v>
      </c>
      <c r="R47" s="5">
        <v>20050</v>
      </c>
      <c r="S47" s="5">
        <v>0</v>
      </c>
      <c r="T47" s="5">
        <v>48.12</v>
      </c>
      <c r="U47" s="6">
        <v>6.7000000000000002E-6</v>
      </c>
      <c r="V47" s="6">
        <v>1.83E-4</v>
      </c>
      <c r="W47" s="6">
        <v>5.7600000000000004E-5</v>
      </c>
      <c r="X47" s="2" t="s">
        <v>3</v>
      </c>
      <c r="Y47" s="60" t="s">
        <v>4</v>
      </c>
      <c r="Z47" s="60" t="s">
        <v>1</v>
      </c>
      <c r="AA47">
        <f t="shared" ca="1" si="0"/>
        <v>0</v>
      </c>
    </row>
    <row r="48" spans="1:27">
      <c r="A48" s="2" t="s">
        <v>78</v>
      </c>
      <c r="B48" s="2" t="s">
        <v>94</v>
      </c>
      <c r="C48" s="2" t="s">
        <v>710</v>
      </c>
      <c r="D48" s="2" t="s">
        <v>711</v>
      </c>
      <c r="E48" s="2" t="s">
        <v>194</v>
      </c>
      <c r="F48" s="2" t="s">
        <v>829</v>
      </c>
      <c r="G48" s="9">
        <v>1148964</v>
      </c>
      <c r="H48" s="2" t="s">
        <v>149</v>
      </c>
      <c r="I48" s="2" t="s">
        <v>737</v>
      </c>
      <c r="J48" s="2" t="s">
        <v>83</v>
      </c>
      <c r="K48" s="2" t="s">
        <v>83</v>
      </c>
      <c r="L48" s="2" t="s">
        <v>118</v>
      </c>
      <c r="M48" s="2" t="s">
        <v>830</v>
      </c>
      <c r="N48" s="2" t="s">
        <v>84</v>
      </c>
      <c r="O48" s="2" t="s">
        <v>87</v>
      </c>
      <c r="P48" s="5">
        <v>9746</v>
      </c>
      <c r="Q48" s="5">
        <v>1</v>
      </c>
      <c r="R48" s="5">
        <v>907.2</v>
      </c>
      <c r="S48" s="5">
        <v>0</v>
      </c>
      <c r="T48" s="5">
        <v>88.415710000000004</v>
      </c>
      <c r="U48" s="6">
        <v>1.8039999999999999E-4</v>
      </c>
      <c r="V48" s="6">
        <v>3.3629999999999999E-4</v>
      </c>
      <c r="W48" s="6">
        <v>1.059E-4</v>
      </c>
      <c r="X48" s="2" t="s">
        <v>3</v>
      </c>
      <c r="Y48" s="60" t="s">
        <v>4</v>
      </c>
      <c r="Z48" s="60" t="s">
        <v>1</v>
      </c>
      <c r="AA48">
        <f t="shared" ca="1" si="0"/>
        <v>0</v>
      </c>
    </row>
    <row r="49" spans="1:27">
      <c r="A49" s="2" t="s">
        <v>78</v>
      </c>
      <c r="B49" s="2" t="s">
        <v>94</v>
      </c>
      <c r="C49" s="2" t="s">
        <v>706</v>
      </c>
      <c r="D49" s="2" t="s">
        <v>707</v>
      </c>
      <c r="E49" s="2" t="s">
        <v>194</v>
      </c>
      <c r="F49" s="2" t="s">
        <v>831</v>
      </c>
      <c r="G49" s="9">
        <v>1143767</v>
      </c>
      <c r="H49" s="2" t="s">
        <v>149</v>
      </c>
      <c r="I49" s="2" t="s">
        <v>732</v>
      </c>
      <c r="J49" s="2" t="s">
        <v>83</v>
      </c>
      <c r="K49" s="2" t="s">
        <v>764</v>
      </c>
      <c r="L49" s="2" t="s">
        <v>118</v>
      </c>
      <c r="M49" s="2" t="s">
        <v>832</v>
      </c>
      <c r="N49" s="2" t="s">
        <v>84</v>
      </c>
      <c r="O49" s="2" t="s">
        <v>87</v>
      </c>
      <c r="P49" s="5">
        <v>6092</v>
      </c>
      <c r="Q49" s="5">
        <v>1</v>
      </c>
      <c r="R49" s="5">
        <v>5590</v>
      </c>
      <c r="S49" s="5">
        <v>0</v>
      </c>
      <c r="T49" s="5">
        <v>340.5428</v>
      </c>
      <c r="U49" s="6">
        <v>2.7940000000000002E-4</v>
      </c>
      <c r="V49" s="6">
        <v>1.2953999999999999E-3</v>
      </c>
      <c r="W49" s="6">
        <v>4.0789999999999999E-4</v>
      </c>
      <c r="X49" s="2" t="s">
        <v>3</v>
      </c>
      <c r="Y49" s="60" t="s">
        <v>4</v>
      </c>
      <c r="Z49" s="60" t="s">
        <v>1</v>
      </c>
      <c r="AA49">
        <f t="shared" ca="1" si="0"/>
        <v>0</v>
      </c>
    </row>
    <row r="50" spans="1:27">
      <c r="A50" s="2" t="s">
        <v>78</v>
      </c>
      <c r="B50" s="2" t="s">
        <v>94</v>
      </c>
      <c r="C50" s="2" t="s">
        <v>710</v>
      </c>
      <c r="D50" s="2" t="s">
        <v>711</v>
      </c>
      <c r="E50" s="2" t="s">
        <v>194</v>
      </c>
      <c r="F50" s="2" t="s">
        <v>833</v>
      </c>
      <c r="G50" s="9">
        <v>1149137</v>
      </c>
      <c r="H50" s="2" t="s">
        <v>149</v>
      </c>
      <c r="I50" s="2" t="s">
        <v>732</v>
      </c>
      <c r="J50" s="2" t="s">
        <v>83</v>
      </c>
      <c r="K50" s="2" t="s">
        <v>156</v>
      </c>
      <c r="L50" s="2" t="s">
        <v>118</v>
      </c>
      <c r="M50" s="2" t="s">
        <v>742</v>
      </c>
      <c r="N50" s="2" t="s">
        <v>84</v>
      </c>
      <c r="O50" s="2" t="s">
        <v>87</v>
      </c>
      <c r="P50" s="5">
        <v>11448</v>
      </c>
      <c r="Q50" s="5">
        <v>1</v>
      </c>
      <c r="R50" s="5">
        <v>5178</v>
      </c>
      <c r="S50" s="5">
        <v>0</v>
      </c>
      <c r="T50" s="5">
        <v>592.77743999999996</v>
      </c>
      <c r="U50" s="6">
        <v>9.4199999999999999E-5</v>
      </c>
      <c r="V50" s="6">
        <v>2.2548999999999998E-3</v>
      </c>
      <c r="W50" s="6">
        <v>7.0999999999999991E-4</v>
      </c>
      <c r="X50" s="2" t="s">
        <v>3</v>
      </c>
      <c r="Y50" s="60" t="s">
        <v>4</v>
      </c>
      <c r="Z50" s="60" t="s">
        <v>1</v>
      </c>
      <c r="AA50">
        <f t="shared" ca="1" si="0"/>
        <v>0</v>
      </c>
    </row>
    <row r="51" spans="1:27">
      <c r="A51" s="2" t="s">
        <v>78</v>
      </c>
      <c r="B51" s="2" t="s">
        <v>94</v>
      </c>
      <c r="C51" s="2" t="s">
        <v>701</v>
      </c>
      <c r="D51" s="2" t="s">
        <v>702</v>
      </c>
      <c r="E51" s="2" t="s">
        <v>194</v>
      </c>
      <c r="F51" s="2" t="s">
        <v>714</v>
      </c>
      <c r="G51" s="9">
        <v>1150762</v>
      </c>
      <c r="H51" s="2" t="s">
        <v>149</v>
      </c>
      <c r="I51" s="2" t="s">
        <v>704</v>
      </c>
      <c r="J51" s="2" t="s">
        <v>83</v>
      </c>
      <c r="K51" s="2" t="s">
        <v>83</v>
      </c>
      <c r="L51" s="2" t="s">
        <v>118</v>
      </c>
      <c r="M51" s="2" t="s">
        <v>713</v>
      </c>
      <c r="N51" s="2" t="s">
        <v>84</v>
      </c>
      <c r="O51" s="2" t="s">
        <v>87</v>
      </c>
      <c r="P51" s="5">
        <v>5000</v>
      </c>
      <c r="Q51" s="5">
        <v>1</v>
      </c>
      <c r="R51" s="5">
        <v>3874.92</v>
      </c>
      <c r="S51" s="5">
        <v>0</v>
      </c>
      <c r="T51" s="5">
        <v>193.74600000000001</v>
      </c>
      <c r="U51" s="6">
        <v>1.281E-4</v>
      </c>
      <c r="V51" s="6">
        <v>7.3700000000000002E-4</v>
      </c>
      <c r="W51" s="6">
        <v>2.321E-4</v>
      </c>
      <c r="X51" s="2" t="s">
        <v>3</v>
      </c>
      <c r="Y51" s="60" t="s">
        <v>4</v>
      </c>
      <c r="Z51" s="60" t="s">
        <v>1</v>
      </c>
      <c r="AA51">
        <f t="shared" ca="1" si="0"/>
        <v>0</v>
      </c>
    </row>
    <row r="52" spans="1:27">
      <c r="A52" s="2" t="s">
        <v>78</v>
      </c>
      <c r="B52" s="2" t="s">
        <v>94</v>
      </c>
      <c r="C52" s="2" t="s">
        <v>739</v>
      </c>
      <c r="D52" s="2" t="s">
        <v>740</v>
      </c>
      <c r="E52" s="2" t="s">
        <v>194</v>
      </c>
      <c r="F52" s="2" t="s">
        <v>834</v>
      </c>
      <c r="G52" s="9">
        <v>1165810</v>
      </c>
      <c r="H52" s="2" t="s">
        <v>149</v>
      </c>
      <c r="I52" s="2" t="s">
        <v>732</v>
      </c>
      <c r="J52" s="2" t="s">
        <v>83</v>
      </c>
      <c r="K52" s="2" t="s">
        <v>156</v>
      </c>
      <c r="L52" s="2" t="s">
        <v>118</v>
      </c>
      <c r="M52" s="2" t="s">
        <v>835</v>
      </c>
      <c r="N52" s="2" t="s">
        <v>84</v>
      </c>
      <c r="O52" s="2" t="s">
        <v>87</v>
      </c>
      <c r="P52" s="5">
        <v>4150</v>
      </c>
      <c r="Q52" s="5">
        <v>1</v>
      </c>
      <c r="R52" s="5">
        <v>9551</v>
      </c>
      <c r="S52" s="5">
        <v>0</v>
      </c>
      <c r="T52" s="5">
        <v>396.36649999999997</v>
      </c>
      <c r="U52" s="6">
        <v>6.3299999999999994E-5</v>
      </c>
      <c r="V52" s="6">
        <v>1.5077999999999999E-3</v>
      </c>
      <c r="W52" s="6">
        <v>4.7479999999999999E-4</v>
      </c>
      <c r="X52" s="2" t="s">
        <v>3</v>
      </c>
      <c r="Y52" s="60" t="s">
        <v>4</v>
      </c>
      <c r="Z52" s="60" t="s">
        <v>1</v>
      </c>
      <c r="AA52">
        <f t="shared" ca="1" si="0"/>
        <v>0</v>
      </c>
    </row>
    <row r="53" spans="1:27">
      <c r="A53" s="2" t="s">
        <v>78</v>
      </c>
      <c r="B53" s="2" t="s">
        <v>94</v>
      </c>
      <c r="C53" s="2" t="s">
        <v>750</v>
      </c>
      <c r="D53" s="2" t="s">
        <v>751</v>
      </c>
      <c r="E53" s="2" t="s">
        <v>168</v>
      </c>
      <c r="F53" s="2" t="s">
        <v>752</v>
      </c>
      <c r="G53" s="2" t="s">
        <v>753</v>
      </c>
      <c r="H53" s="2" t="s">
        <v>183</v>
      </c>
      <c r="I53" s="2" t="s">
        <v>732</v>
      </c>
      <c r="J53" s="2" t="s">
        <v>148</v>
      </c>
      <c r="K53" s="2" t="s">
        <v>156</v>
      </c>
      <c r="L53" s="2" t="s">
        <v>584</v>
      </c>
      <c r="M53" s="2" t="s">
        <v>749</v>
      </c>
      <c r="N53" s="2" t="s">
        <v>84</v>
      </c>
      <c r="O53" s="2" t="s">
        <v>91</v>
      </c>
      <c r="P53" s="5">
        <v>174</v>
      </c>
      <c r="Q53" s="5">
        <v>3.681</v>
      </c>
      <c r="R53" s="5">
        <v>22499</v>
      </c>
      <c r="S53" s="5">
        <v>0</v>
      </c>
      <c r="T53" s="5">
        <v>144.10473999999999</v>
      </c>
      <c r="U53" s="6">
        <v>2.1000000000000002E-6</v>
      </c>
      <c r="V53" s="6">
        <v>5.4819999999999999E-4</v>
      </c>
      <c r="W53" s="6">
        <v>1.7260000000000002E-4</v>
      </c>
      <c r="X53" s="9">
        <v>70537717</v>
      </c>
      <c r="Y53" s="60" t="s">
        <v>4</v>
      </c>
      <c r="Z53" s="60" t="s">
        <v>1</v>
      </c>
      <c r="AA53">
        <f t="shared" ca="1" si="0"/>
        <v>0</v>
      </c>
    </row>
    <row r="54" spans="1:27">
      <c r="A54" s="2" t="s">
        <v>78</v>
      </c>
      <c r="B54" s="2" t="s">
        <v>94</v>
      </c>
      <c r="C54" s="2" t="s">
        <v>754</v>
      </c>
      <c r="D54" s="2" t="s">
        <v>755</v>
      </c>
      <c r="E54" s="2" t="s">
        <v>168</v>
      </c>
      <c r="F54" s="2" t="s">
        <v>756</v>
      </c>
      <c r="G54" s="2" t="s">
        <v>757</v>
      </c>
      <c r="H54" s="2" t="s">
        <v>183</v>
      </c>
      <c r="I54" s="2" t="s">
        <v>732</v>
      </c>
      <c r="J54" s="2" t="s">
        <v>148</v>
      </c>
      <c r="K54" s="2" t="s">
        <v>156</v>
      </c>
      <c r="L54" s="2" t="s">
        <v>584</v>
      </c>
      <c r="M54" s="2" t="s">
        <v>749</v>
      </c>
      <c r="N54" s="2" t="s">
        <v>84</v>
      </c>
      <c r="O54" s="2" t="s">
        <v>91</v>
      </c>
      <c r="P54" s="5">
        <v>300</v>
      </c>
      <c r="Q54" s="5">
        <v>3.681</v>
      </c>
      <c r="R54" s="5">
        <v>44401</v>
      </c>
      <c r="S54" s="5">
        <v>0.12039999999999999</v>
      </c>
      <c r="T54" s="5">
        <v>490.76353999999998</v>
      </c>
      <c r="U54" s="6">
        <v>4.9999999999999998E-7</v>
      </c>
      <c r="V54" s="6">
        <v>1.8668999999999999E-3</v>
      </c>
      <c r="W54" s="6">
        <v>5.8779999999999998E-4</v>
      </c>
      <c r="X54" s="9">
        <v>70486931</v>
      </c>
      <c r="Y54" s="60" t="s">
        <v>4</v>
      </c>
      <c r="Z54" s="60" t="s">
        <v>1</v>
      </c>
      <c r="AA54">
        <f t="shared" ca="1" si="0"/>
        <v>0</v>
      </c>
    </row>
    <row r="55" spans="1:27">
      <c r="A55" s="2" t="s">
        <v>78</v>
      </c>
      <c r="B55" s="2" t="s">
        <v>94</v>
      </c>
      <c r="C55" s="2" t="s">
        <v>727</v>
      </c>
      <c r="D55" s="2" t="s">
        <v>728</v>
      </c>
      <c r="E55" s="2" t="s">
        <v>168</v>
      </c>
      <c r="F55" s="2" t="s">
        <v>760</v>
      </c>
      <c r="G55" s="2" t="s">
        <v>761</v>
      </c>
      <c r="H55" s="2" t="s">
        <v>183</v>
      </c>
      <c r="I55" s="2" t="s">
        <v>732</v>
      </c>
      <c r="J55" s="2" t="s">
        <v>148</v>
      </c>
      <c r="K55" s="2" t="s">
        <v>156</v>
      </c>
      <c r="L55" s="2" t="s">
        <v>149</v>
      </c>
      <c r="M55" s="2" t="s">
        <v>749</v>
      </c>
      <c r="N55" s="2" t="s">
        <v>84</v>
      </c>
      <c r="O55" s="2" t="s">
        <v>91</v>
      </c>
      <c r="P55" s="5">
        <v>1699</v>
      </c>
      <c r="Q55" s="5">
        <v>3.681</v>
      </c>
      <c r="R55" s="5">
        <v>20827</v>
      </c>
      <c r="S55" s="5">
        <v>0</v>
      </c>
      <c r="T55" s="5">
        <v>1302.5245299999999</v>
      </c>
      <c r="U55" s="6">
        <v>5.4E-6</v>
      </c>
      <c r="V55" s="6">
        <v>4.9547999999999997E-3</v>
      </c>
      <c r="W55" s="6">
        <v>1.5601999999999999E-3</v>
      </c>
      <c r="X55" s="9">
        <v>70487475</v>
      </c>
      <c r="Y55" s="60" t="s">
        <v>4</v>
      </c>
      <c r="Z55" s="60" t="s">
        <v>1</v>
      </c>
      <c r="AA55">
        <f t="shared" ca="1" si="0"/>
        <v>0</v>
      </c>
    </row>
    <row r="56" spans="1:27">
      <c r="A56" s="2" t="s">
        <v>78</v>
      </c>
      <c r="B56" s="2" t="s">
        <v>94</v>
      </c>
      <c r="C56" s="2" t="s">
        <v>715</v>
      </c>
      <c r="D56" s="2" t="s">
        <v>716</v>
      </c>
      <c r="E56" s="2" t="s">
        <v>168</v>
      </c>
      <c r="F56" s="2" t="s">
        <v>762</v>
      </c>
      <c r="G56" s="2" t="s">
        <v>763</v>
      </c>
      <c r="H56" s="2" t="s">
        <v>183</v>
      </c>
      <c r="I56" s="2" t="s">
        <v>732</v>
      </c>
      <c r="J56" s="2" t="s">
        <v>148</v>
      </c>
      <c r="K56" s="2" t="s">
        <v>764</v>
      </c>
      <c r="L56" s="2" t="s">
        <v>149</v>
      </c>
      <c r="M56" s="2" t="s">
        <v>749</v>
      </c>
      <c r="N56" s="2" t="s">
        <v>84</v>
      </c>
      <c r="O56" s="2" t="s">
        <v>90</v>
      </c>
      <c r="P56" s="5">
        <v>2565</v>
      </c>
      <c r="Q56" s="5">
        <v>3.9790999999999999</v>
      </c>
      <c r="R56" s="5">
        <v>5115</v>
      </c>
      <c r="S56" s="5">
        <v>0</v>
      </c>
      <c r="T56" s="5">
        <v>522.05691999999999</v>
      </c>
      <c r="U56" s="6">
        <v>1.9599999999999999E-5</v>
      </c>
      <c r="V56" s="6">
        <v>1.9859000000000001E-3</v>
      </c>
      <c r="W56" s="6">
        <v>6.2530000000000007E-4</v>
      </c>
      <c r="X56" s="9">
        <v>70558952</v>
      </c>
      <c r="Y56" s="60" t="s">
        <v>4</v>
      </c>
      <c r="Z56" s="60" t="s">
        <v>1</v>
      </c>
      <c r="AA56">
        <f t="shared" ca="1" si="0"/>
        <v>0</v>
      </c>
    </row>
    <row r="57" spans="1:27">
      <c r="A57" s="2" t="s">
        <v>78</v>
      </c>
      <c r="B57" s="2" t="s">
        <v>94</v>
      </c>
      <c r="C57" s="2" t="s">
        <v>715</v>
      </c>
      <c r="D57" s="2" t="s">
        <v>716</v>
      </c>
      <c r="E57" s="2" t="s">
        <v>168</v>
      </c>
      <c r="F57" s="2" t="s">
        <v>765</v>
      </c>
      <c r="G57" s="2" t="s">
        <v>766</v>
      </c>
      <c r="H57" s="2" t="s">
        <v>183</v>
      </c>
      <c r="I57" s="2" t="s">
        <v>732</v>
      </c>
      <c r="J57" s="2" t="s">
        <v>148</v>
      </c>
      <c r="K57" s="2" t="s">
        <v>156</v>
      </c>
      <c r="L57" s="2" t="s">
        <v>584</v>
      </c>
      <c r="M57" s="2" t="s">
        <v>749</v>
      </c>
      <c r="N57" s="2" t="s">
        <v>84</v>
      </c>
      <c r="O57" s="2" t="s">
        <v>91</v>
      </c>
      <c r="P57" s="5">
        <v>354</v>
      </c>
      <c r="Q57" s="5">
        <v>3.681</v>
      </c>
      <c r="R57" s="5">
        <v>22592</v>
      </c>
      <c r="S57" s="5">
        <v>0</v>
      </c>
      <c r="T57" s="5">
        <v>294.39046999999999</v>
      </c>
      <c r="U57" s="6">
        <v>6.1999999999999999E-6</v>
      </c>
      <c r="V57" s="6">
        <v>1.1199000000000001E-3</v>
      </c>
      <c r="W57" s="6">
        <v>3.5260000000000001E-4</v>
      </c>
      <c r="X57" s="9">
        <v>70631742</v>
      </c>
      <c r="Y57" s="60" t="s">
        <v>4</v>
      </c>
      <c r="Z57" s="60" t="s">
        <v>1</v>
      </c>
      <c r="AA57">
        <f t="shared" ca="1" si="0"/>
        <v>0</v>
      </c>
    </row>
    <row r="58" spans="1:27">
      <c r="A58" s="2" t="s">
        <v>78</v>
      </c>
      <c r="B58" s="2" t="s">
        <v>94</v>
      </c>
      <c r="C58" s="2" t="s">
        <v>727</v>
      </c>
      <c r="D58" s="2" t="s">
        <v>728</v>
      </c>
      <c r="E58" s="2" t="s">
        <v>168</v>
      </c>
      <c r="F58" s="2" t="s">
        <v>767</v>
      </c>
      <c r="G58" s="2" t="s">
        <v>768</v>
      </c>
      <c r="H58" s="2" t="s">
        <v>183</v>
      </c>
      <c r="I58" s="2" t="s">
        <v>732</v>
      </c>
      <c r="J58" s="2" t="s">
        <v>148</v>
      </c>
      <c r="K58" s="2" t="s">
        <v>156</v>
      </c>
      <c r="L58" s="2" t="s">
        <v>584</v>
      </c>
      <c r="M58" s="2" t="s">
        <v>749</v>
      </c>
      <c r="N58" s="2" t="s">
        <v>84</v>
      </c>
      <c r="O58" s="2" t="s">
        <v>91</v>
      </c>
      <c r="P58" s="5">
        <v>209</v>
      </c>
      <c r="Q58" s="5">
        <v>3.681</v>
      </c>
      <c r="R58" s="5">
        <v>12596</v>
      </c>
      <c r="S58" s="5">
        <v>0</v>
      </c>
      <c r="T58" s="5">
        <v>96.904679999999999</v>
      </c>
      <c r="U58" s="6">
        <v>1.3999999999999999E-6</v>
      </c>
      <c r="V58" s="6">
        <v>3.6859999999999996E-4</v>
      </c>
      <c r="W58" s="6">
        <v>1.161E-4</v>
      </c>
      <c r="X58" s="9">
        <v>70553409</v>
      </c>
      <c r="Y58" s="60" t="s">
        <v>4</v>
      </c>
      <c r="Z58" s="60" t="s">
        <v>1</v>
      </c>
      <c r="AA58">
        <f t="shared" ca="1" si="0"/>
        <v>0</v>
      </c>
    </row>
    <row r="59" spans="1:27">
      <c r="A59" s="2" t="s">
        <v>78</v>
      </c>
      <c r="B59" s="2" t="s">
        <v>94</v>
      </c>
      <c r="C59" s="2" t="s">
        <v>715</v>
      </c>
      <c r="D59" s="2" t="s">
        <v>716</v>
      </c>
      <c r="E59" s="2" t="s">
        <v>168</v>
      </c>
      <c r="F59" s="2" t="s">
        <v>769</v>
      </c>
      <c r="G59" s="2" t="s">
        <v>770</v>
      </c>
      <c r="H59" s="2" t="s">
        <v>183</v>
      </c>
      <c r="I59" s="2" t="s">
        <v>732</v>
      </c>
      <c r="J59" s="2" t="s">
        <v>148</v>
      </c>
      <c r="K59" s="2" t="s">
        <v>156</v>
      </c>
      <c r="L59" s="2" t="s">
        <v>584</v>
      </c>
      <c r="M59" s="2" t="s">
        <v>749</v>
      </c>
      <c r="N59" s="2" t="s">
        <v>84</v>
      </c>
      <c r="O59" s="2" t="s">
        <v>91</v>
      </c>
      <c r="P59" s="5">
        <v>132</v>
      </c>
      <c r="Q59" s="5">
        <v>3.681</v>
      </c>
      <c r="R59" s="5">
        <v>52573</v>
      </c>
      <c r="S59" s="5">
        <v>0</v>
      </c>
      <c r="T59" s="5">
        <v>255.44800000000001</v>
      </c>
      <c r="U59" s="6">
        <v>1.0000000000000001E-7</v>
      </c>
      <c r="V59" s="6">
        <v>9.7170000000000004E-4</v>
      </c>
      <c r="W59" s="6">
        <v>3.0600000000000001E-4</v>
      </c>
      <c r="X59" s="9">
        <v>70632914</v>
      </c>
      <c r="Y59" s="60" t="s">
        <v>4</v>
      </c>
      <c r="Z59" s="60" t="s">
        <v>1</v>
      </c>
      <c r="AA59">
        <f t="shared" ca="1" si="0"/>
        <v>0</v>
      </c>
    </row>
    <row r="60" spans="1:27">
      <c r="A60" s="2" t="s">
        <v>78</v>
      </c>
      <c r="B60" s="2" t="s">
        <v>94</v>
      </c>
      <c r="C60" s="2" t="s">
        <v>715</v>
      </c>
      <c r="D60" s="2" t="s">
        <v>716</v>
      </c>
      <c r="E60" s="2" t="s">
        <v>168</v>
      </c>
      <c r="F60" s="2" t="s">
        <v>771</v>
      </c>
      <c r="G60" s="2" t="s">
        <v>772</v>
      </c>
      <c r="H60" s="2" t="s">
        <v>183</v>
      </c>
      <c r="I60" s="2" t="s">
        <v>732</v>
      </c>
      <c r="J60" s="2" t="s">
        <v>148</v>
      </c>
      <c r="K60" s="2" t="s">
        <v>156</v>
      </c>
      <c r="L60" s="2" t="s">
        <v>149</v>
      </c>
      <c r="M60" s="2" t="s">
        <v>749</v>
      </c>
      <c r="N60" s="2" t="s">
        <v>84</v>
      </c>
      <c r="O60" s="2" t="s">
        <v>91</v>
      </c>
      <c r="P60" s="5">
        <v>345</v>
      </c>
      <c r="Q60" s="5">
        <v>3.681</v>
      </c>
      <c r="R60" s="5">
        <v>11577</v>
      </c>
      <c r="S60" s="5">
        <v>0</v>
      </c>
      <c r="T60" s="5">
        <v>147.02153000000001</v>
      </c>
      <c r="U60" s="6">
        <v>1.1900000000000001E-5</v>
      </c>
      <c r="V60" s="6">
        <v>5.5929999999999999E-4</v>
      </c>
      <c r="W60" s="6">
        <v>1.761E-4</v>
      </c>
      <c r="X60" s="9">
        <v>70775846</v>
      </c>
      <c r="Y60" s="60" t="s">
        <v>4</v>
      </c>
      <c r="Z60" s="60" t="s">
        <v>1</v>
      </c>
      <c r="AA60">
        <f t="shared" ca="1" si="0"/>
        <v>0</v>
      </c>
    </row>
    <row r="61" spans="1:27">
      <c r="A61" s="2" t="s">
        <v>78</v>
      </c>
      <c r="B61" s="2" t="s">
        <v>94</v>
      </c>
      <c r="C61" s="2" t="s">
        <v>723</v>
      </c>
      <c r="D61" s="2" t="s">
        <v>724</v>
      </c>
      <c r="E61" s="2" t="s">
        <v>168</v>
      </c>
      <c r="F61" s="2" t="s">
        <v>773</v>
      </c>
      <c r="G61" s="2" t="s">
        <v>774</v>
      </c>
      <c r="H61" s="2" t="s">
        <v>183</v>
      </c>
      <c r="I61" s="2" t="s">
        <v>732</v>
      </c>
      <c r="J61" s="2" t="s">
        <v>148</v>
      </c>
      <c r="K61" s="2" t="s">
        <v>156</v>
      </c>
      <c r="L61" s="2" t="s">
        <v>584</v>
      </c>
      <c r="M61" s="2" t="s">
        <v>749</v>
      </c>
      <c r="N61" s="2" t="s">
        <v>84</v>
      </c>
      <c r="O61" s="2" t="s">
        <v>91</v>
      </c>
      <c r="P61" s="5">
        <v>177</v>
      </c>
      <c r="Q61" s="5">
        <v>3.681</v>
      </c>
      <c r="R61" s="5">
        <v>48070</v>
      </c>
      <c r="S61" s="5">
        <v>0</v>
      </c>
      <c r="T61" s="5">
        <v>313.19382999999999</v>
      </c>
      <c r="U61" s="6">
        <v>1.0000000000000001E-7</v>
      </c>
      <c r="V61" s="6">
        <v>1.1914E-3</v>
      </c>
      <c r="W61" s="6">
        <v>3.7510000000000001E-4</v>
      </c>
      <c r="X61" s="9">
        <v>74463126</v>
      </c>
      <c r="Y61" s="60" t="s">
        <v>4</v>
      </c>
      <c r="Z61" s="60" t="s">
        <v>1</v>
      </c>
      <c r="AA61">
        <f t="shared" ca="1" si="0"/>
        <v>0</v>
      </c>
    </row>
    <row r="62" spans="1:27">
      <c r="A62" s="2" t="s">
        <v>78</v>
      </c>
      <c r="B62" s="2" t="s">
        <v>94</v>
      </c>
      <c r="C62" s="2" t="s">
        <v>778</v>
      </c>
      <c r="D62" s="2" t="s">
        <v>779</v>
      </c>
      <c r="E62" s="2" t="s">
        <v>168</v>
      </c>
      <c r="F62" s="2" t="s">
        <v>780</v>
      </c>
      <c r="G62" s="2" t="s">
        <v>781</v>
      </c>
      <c r="H62" s="2" t="s">
        <v>183</v>
      </c>
      <c r="I62" s="2" t="s">
        <v>732</v>
      </c>
      <c r="J62" s="2" t="s">
        <v>148</v>
      </c>
      <c r="K62" s="2" t="s">
        <v>782</v>
      </c>
      <c r="L62" s="2" t="s">
        <v>149</v>
      </c>
      <c r="M62" s="2" t="s">
        <v>749</v>
      </c>
      <c r="N62" s="2" t="s">
        <v>84</v>
      </c>
      <c r="O62" s="2" t="s">
        <v>91</v>
      </c>
      <c r="P62" s="5">
        <v>180</v>
      </c>
      <c r="Q62" s="5">
        <v>3.681</v>
      </c>
      <c r="R62" s="5">
        <v>10850</v>
      </c>
      <c r="S62" s="5">
        <v>0</v>
      </c>
      <c r="T62" s="5">
        <v>71.889930000000007</v>
      </c>
      <c r="U62" s="6">
        <v>4.0999999999999997E-6</v>
      </c>
      <c r="V62" s="6">
        <v>2.7349999999999998E-4</v>
      </c>
      <c r="W62" s="6">
        <v>8.6099999999999992E-5</v>
      </c>
      <c r="X62" s="9">
        <v>70761341</v>
      </c>
      <c r="Y62" s="60" t="s">
        <v>4</v>
      </c>
      <c r="Z62" s="60" t="s">
        <v>1</v>
      </c>
      <c r="AA62">
        <f t="shared" ca="1" si="0"/>
        <v>0</v>
      </c>
    </row>
    <row r="63" spans="1:27">
      <c r="A63" s="2" t="s">
        <v>78</v>
      </c>
      <c r="B63" s="2" t="s">
        <v>94</v>
      </c>
      <c r="C63" s="2" t="s">
        <v>783</v>
      </c>
      <c r="D63" s="2" t="s">
        <v>784</v>
      </c>
      <c r="E63" s="2" t="s">
        <v>168</v>
      </c>
      <c r="F63" s="2" t="s">
        <v>785</v>
      </c>
      <c r="G63" s="2" t="s">
        <v>786</v>
      </c>
      <c r="H63" s="2" t="s">
        <v>183</v>
      </c>
      <c r="I63" s="2" t="s">
        <v>732</v>
      </c>
      <c r="J63" s="2" t="s">
        <v>148</v>
      </c>
      <c r="K63" s="2" t="s">
        <v>671</v>
      </c>
      <c r="L63" s="2" t="s">
        <v>672</v>
      </c>
      <c r="M63" s="2" t="s">
        <v>749</v>
      </c>
      <c r="N63" s="2" t="s">
        <v>84</v>
      </c>
      <c r="O63" s="2" t="s">
        <v>99</v>
      </c>
      <c r="P63" s="5">
        <v>2765</v>
      </c>
      <c r="Q63" s="5">
        <v>0.47039999999999998</v>
      </c>
      <c r="R63" s="5">
        <v>3910</v>
      </c>
      <c r="S63" s="5">
        <v>1.3107</v>
      </c>
      <c r="T63" s="5">
        <v>51.472230000000003</v>
      </c>
      <c r="U63" s="6">
        <v>7.6000000000000001E-6</v>
      </c>
      <c r="V63" s="6">
        <v>1.9579999999999999E-4</v>
      </c>
      <c r="W63" s="6">
        <v>6.1699999999999995E-5</v>
      </c>
      <c r="X63" s="9">
        <v>74714635</v>
      </c>
      <c r="Y63" s="60" t="s">
        <v>4</v>
      </c>
      <c r="Z63" s="60" t="s">
        <v>1</v>
      </c>
      <c r="AA63">
        <f t="shared" ca="1" si="0"/>
        <v>0</v>
      </c>
    </row>
    <row r="64" spans="1:27">
      <c r="A64" s="2" t="s">
        <v>78</v>
      </c>
      <c r="B64" s="2" t="s">
        <v>94</v>
      </c>
      <c r="C64" s="2" t="s">
        <v>754</v>
      </c>
      <c r="D64" s="2" t="s">
        <v>755</v>
      </c>
      <c r="E64" s="2" t="s">
        <v>168</v>
      </c>
      <c r="F64" s="2" t="s">
        <v>791</v>
      </c>
      <c r="G64" s="2" t="s">
        <v>792</v>
      </c>
      <c r="H64" s="2" t="s">
        <v>183</v>
      </c>
      <c r="I64" s="2" t="s">
        <v>732</v>
      </c>
      <c r="J64" s="2" t="s">
        <v>148</v>
      </c>
      <c r="K64" s="2" t="s">
        <v>156</v>
      </c>
      <c r="L64" s="2" t="s">
        <v>627</v>
      </c>
      <c r="M64" s="2" t="s">
        <v>749</v>
      </c>
      <c r="N64" s="2" t="s">
        <v>84</v>
      </c>
      <c r="O64" s="2" t="s">
        <v>91</v>
      </c>
      <c r="P64" s="5">
        <v>10</v>
      </c>
      <c r="Q64" s="5">
        <v>3.681</v>
      </c>
      <c r="R64" s="5">
        <v>102524</v>
      </c>
      <c r="S64" s="5">
        <v>0</v>
      </c>
      <c r="T64" s="5">
        <v>37.739080000000001</v>
      </c>
      <c r="U64" s="6">
        <v>4.9999999999999998E-7</v>
      </c>
      <c r="V64" s="6">
        <v>1.4359999999999999E-4</v>
      </c>
      <c r="W64" s="6">
        <v>4.5199999999999994E-5</v>
      </c>
      <c r="X64" s="9">
        <v>74657628</v>
      </c>
      <c r="Y64" s="60" t="s">
        <v>4</v>
      </c>
      <c r="Z64" s="60" t="s">
        <v>1</v>
      </c>
      <c r="AA64">
        <f t="shared" ca="1" si="0"/>
        <v>0</v>
      </c>
    </row>
    <row r="65" spans="1:27">
      <c r="A65" s="2" t="s">
        <v>78</v>
      </c>
      <c r="B65" s="2" t="s">
        <v>94</v>
      </c>
      <c r="C65" s="2" t="s">
        <v>793</v>
      </c>
      <c r="D65" s="2" t="s">
        <v>794</v>
      </c>
      <c r="E65" s="2" t="s">
        <v>168</v>
      </c>
      <c r="F65" s="2" t="s">
        <v>795</v>
      </c>
      <c r="G65" s="2" t="s">
        <v>796</v>
      </c>
      <c r="H65" s="2" t="s">
        <v>183</v>
      </c>
      <c r="I65" s="2" t="s">
        <v>732</v>
      </c>
      <c r="J65" s="2" t="s">
        <v>148</v>
      </c>
      <c r="K65" s="2" t="s">
        <v>671</v>
      </c>
      <c r="L65" s="2" t="s">
        <v>590</v>
      </c>
      <c r="M65" s="2" t="s">
        <v>749</v>
      </c>
      <c r="N65" s="2" t="s">
        <v>84</v>
      </c>
      <c r="O65" s="2" t="s">
        <v>91</v>
      </c>
      <c r="P65" s="5">
        <v>2992</v>
      </c>
      <c r="Q65" s="5">
        <v>3.681</v>
      </c>
      <c r="R65" s="5">
        <v>2625</v>
      </c>
      <c r="S65" s="5">
        <v>0</v>
      </c>
      <c r="T65" s="5">
        <v>289.10574000000003</v>
      </c>
      <c r="U65" s="6">
        <v>1.4400000000000001E-5</v>
      </c>
      <c r="V65" s="6">
        <v>1.0998E-3</v>
      </c>
      <c r="W65" s="6">
        <v>3.4630000000000001E-4</v>
      </c>
      <c r="X65" s="9">
        <v>74864851</v>
      </c>
      <c r="Y65" s="60" t="s">
        <v>4</v>
      </c>
      <c r="Z65" s="60" t="s">
        <v>1</v>
      </c>
      <c r="AA65">
        <f t="shared" ca="1" si="0"/>
        <v>0</v>
      </c>
    </row>
    <row r="66" spans="1:27">
      <c r="A66" s="2" t="s">
        <v>78</v>
      </c>
      <c r="B66" s="2" t="s">
        <v>94</v>
      </c>
      <c r="C66" s="2" t="s">
        <v>715</v>
      </c>
      <c r="D66" s="2" t="s">
        <v>716</v>
      </c>
      <c r="E66" s="2" t="s">
        <v>168</v>
      </c>
      <c r="F66" s="2" t="s">
        <v>717</v>
      </c>
      <c r="G66" s="2" t="s">
        <v>718</v>
      </c>
      <c r="H66" s="2" t="s">
        <v>183</v>
      </c>
      <c r="I66" s="2" t="s">
        <v>719</v>
      </c>
      <c r="J66" s="2" t="s">
        <v>148</v>
      </c>
      <c r="K66" s="2" t="s">
        <v>156</v>
      </c>
      <c r="L66" s="2" t="s">
        <v>627</v>
      </c>
      <c r="M66" s="2" t="s">
        <v>720</v>
      </c>
      <c r="N66" s="2" t="s">
        <v>84</v>
      </c>
      <c r="O66" s="2" t="s">
        <v>91</v>
      </c>
      <c r="P66" s="5">
        <v>2939</v>
      </c>
      <c r="Q66" s="5">
        <v>3.681</v>
      </c>
      <c r="R66" s="5">
        <v>571.15</v>
      </c>
      <c r="S66" s="5">
        <v>0</v>
      </c>
      <c r="T66" s="5">
        <v>61.789619999999999</v>
      </c>
      <c r="U66" s="6">
        <v>3.9999999999999998E-6</v>
      </c>
      <c r="V66" s="6">
        <v>2.3499999999999999E-4</v>
      </c>
      <c r="W66" s="6">
        <v>7.400000000000001E-5</v>
      </c>
      <c r="X66" s="9">
        <v>75930313</v>
      </c>
      <c r="Y66" s="60" t="s">
        <v>4</v>
      </c>
      <c r="Z66" s="60" t="s">
        <v>1</v>
      </c>
      <c r="AA66">
        <f t="shared" ca="1" si="0"/>
        <v>0</v>
      </c>
    </row>
    <row r="67" spans="1:27">
      <c r="A67" s="2" t="s">
        <v>78</v>
      </c>
      <c r="B67" s="2" t="s">
        <v>94</v>
      </c>
      <c r="C67" s="2" t="s">
        <v>727</v>
      </c>
      <c r="D67" s="2" t="s">
        <v>728</v>
      </c>
      <c r="E67" s="2" t="s">
        <v>168</v>
      </c>
      <c r="F67" s="2" t="s">
        <v>797</v>
      </c>
      <c r="G67" s="2" t="s">
        <v>798</v>
      </c>
      <c r="H67" s="2" t="s">
        <v>183</v>
      </c>
      <c r="I67" s="2" t="s">
        <v>732</v>
      </c>
      <c r="J67" s="2" t="s">
        <v>148</v>
      </c>
      <c r="K67" s="2" t="s">
        <v>156</v>
      </c>
      <c r="L67" s="2" t="s">
        <v>627</v>
      </c>
      <c r="M67" s="2" t="s">
        <v>749</v>
      </c>
      <c r="N67" s="2" t="s">
        <v>84</v>
      </c>
      <c r="O67" s="2" t="s">
        <v>91</v>
      </c>
      <c r="P67" s="5">
        <v>1344</v>
      </c>
      <c r="Q67" s="5">
        <v>3.681</v>
      </c>
      <c r="R67" s="5">
        <v>3552.75</v>
      </c>
      <c r="S67" s="5">
        <v>0</v>
      </c>
      <c r="T67" s="5">
        <v>175.76392000000001</v>
      </c>
      <c r="U67" s="6">
        <v>6.1199999999999997E-5</v>
      </c>
      <c r="V67" s="6">
        <v>6.6859999999999999E-4</v>
      </c>
      <c r="W67" s="6">
        <v>2.1049999999999999E-4</v>
      </c>
      <c r="X67" s="9">
        <v>75353904</v>
      </c>
      <c r="Y67" s="60" t="s">
        <v>4</v>
      </c>
      <c r="Z67" s="60" t="s">
        <v>1</v>
      </c>
      <c r="AA67">
        <f t="shared" ca="1" si="0"/>
        <v>0</v>
      </c>
    </row>
    <row r="68" spans="1:27">
      <c r="A68" s="2" t="s">
        <v>78</v>
      </c>
      <c r="B68" s="2" t="s">
        <v>94</v>
      </c>
      <c r="C68" s="2" t="s">
        <v>715</v>
      </c>
      <c r="D68" s="2" t="s">
        <v>716</v>
      </c>
      <c r="E68" s="2" t="s">
        <v>168</v>
      </c>
      <c r="F68" s="2" t="s">
        <v>721</v>
      </c>
      <c r="G68" s="2" t="s">
        <v>722</v>
      </c>
      <c r="H68" s="2" t="s">
        <v>183</v>
      </c>
      <c r="I68" s="2" t="s">
        <v>719</v>
      </c>
      <c r="J68" s="2" t="s">
        <v>148</v>
      </c>
      <c r="K68" s="2" t="s">
        <v>156</v>
      </c>
      <c r="L68" s="2" t="s">
        <v>627</v>
      </c>
      <c r="M68" s="2" t="s">
        <v>720</v>
      </c>
      <c r="N68" s="2" t="s">
        <v>84</v>
      </c>
      <c r="O68" s="2" t="s">
        <v>91</v>
      </c>
      <c r="P68" s="5">
        <v>17600</v>
      </c>
      <c r="Q68" s="5">
        <v>3.681</v>
      </c>
      <c r="R68" s="5">
        <v>574.29999999999995</v>
      </c>
      <c r="S68" s="5">
        <v>0</v>
      </c>
      <c r="T68" s="5">
        <v>372.06369999999998</v>
      </c>
      <c r="U68" s="6">
        <v>2.83E-5</v>
      </c>
      <c r="V68" s="6">
        <v>1.4153E-3</v>
      </c>
      <c r="W68" s="6">
        <v>4.4569999999999999E-4</v>
      </c>
      <c r="X68" s="9">
        <v>75965301</v>
      </c>
      <c r="Y68" s="60" t="s">
        <v>4</v>
      </c>
      <c r="Z68" s="60" t="s">
        <v>1</v>
      </c>
      <c r="AA68">
        <f t="shared" ref="AA68:AA131" ca="1" si="1">COUNTBLANK(INDIRECT(SUBSTITUTE(ADDRESS(ROW(),3),"$","")&amp;":"&amp;SUBSTITUTE(ADDRESS(ROW(),COUNTA(INDIRECT("2:2"))-3),"$","")))</f>
        <v>0</v>
      </c>
    </row>
    <row r="69" spans="1:27">
      <c r="A69" s="2" t="s">
        <v>78</v>
      </c>
      <c r="B69" s="2" t="s">
        <v>94</v>
      </c>
      <c r="C69" s="2" t="s">
        <v>799</v>
      </c>
      <c r="D69" s="2" t="s">
        <v>800</v>
      </c>
      <c r="E69" s="2" t="s">
        <v>168</v>
      </c>
      <c r="F69" s="2" t="s">
        <v>801</v>
      </c>
      <c r="G69" s="2" t="s">
        <v>802</v>
      </c>
      <c r="H69" s="2" t="s">
        <v>183</v>
      </c>
      <c r="I69" s="2" t="s">
        <v>732</v>
      </c>
      <c r="J69" s="2" t="s">
        <v>148</v>
      </c>
      <c r="K69" s="2" t="s">
        <v>782</v>
      </c>
      <c r="L69" s="2" t="s">
        <v>627</v>
      </c>
      <c r="M69" s="2" t="s">
        <v>749</v>
      </c>
      <c r="N69" s="2" t="s">
        <v>84</v>
      </c>
      <c r="O69" s="2" t="s">
        <v>91</v>
      </c>
      <c r="P69" s="5">
        <v>1650</v>
      </c>
      <c r="Q69" s="5">
        <v>3.681</v>
      </c>
      <c r="R69" s="5">
        <v>4107</v>
      </c>
      <c r="S69" s="5">
        <v>0</v>
      </c>
      <c r="T69" s="5">
        <v>249.44479999999999</v>
      </c>
      <c r="U69" s="6">
        <v>9.745E-4</v>
      </c>
      <c r="V69" s="6">
        <v>9.4890000000000003E-4</v>
      </c>
      <c r="W69" s="6">
        <v>2.988E-4</v>
      </c>
      <c r="X69" s="9">
        <v>76034412</v>
      </c>
      <c r="Y69" s="60" t="s">
        <v>4</v>
      </c>
      <c r="Z69" s="60" t="s">
        <v>1</v>
      </c>
      <c r="AA69">
        <f t="shared" ca="1" si="1"/>
        <v>0</v>
      </c>
    </row>
    <row r="70" spans="1:27">
      <c r="A70" s="2" t="s">
        <v>78</v>
      </c>
      <c r="B70" s="2" t="s">
        <v>94</v>
      </c>
      <c r="C70" s="2" t="s">
        <v>803</v>
      </c>
      <c r="D70" s="2" t="s">
        <v>804</v>
      </c>
      <c r="E70" s="2" t="s">
        <v>168</v>
      </c>
      <c r="F70" s="2" t="s">
        <v>805</v>
      </c>
      <c r="G70" s="2" t="s">
        <v>806</v>
      </c>
      <c r="H70" s="2" t="s">
        <v>183</v>
      </c>
      <c r="I70" s="2" t="s">
        <v>732</v>
      </c>
      <c r="J70" s="2" t="s">
        <v>148</v>
      </c>
      <c r="K70" s="2" t="s">
        <v>807</v>
      </c>
      <c r="L70" s="2" t="s">
        <v>590</v>
      </c>
      <c r="M70" s="2" t="s">
        <v>749</v>
      </c>
      <c r="N70" s="2" t="s">
        <v>84</v>
      </c>
      <c r="O70" s="2" t="s">
        <v>91</v>
      </c>
      <c r="P70" s="5">
        <v>910</v>
      </c>
      <c r="Q70" s="5">
        <v>3.681</v>
      </c>
      <c r="R70" s="5">
        <v>2975</v>
      </c>
      <c r="S70" s="5">
        <v>0</v>
      </c>
      <c r="T70" s="5">
        <v>99.653869999999998</v>
      </c>
      <c r="U70" s="6">
        <v>3.4700000000000003E-5</v>
      </c>
      <c r="V70" s="6">
        <v>3.791E-4</v>
      </c>
      <c r="W70" s="6">
        <v>1.1939999999999999E-4</v>
      </c>
      <c r="X70" s="9">
        <v>76755354</v>
      </c>
      <c r="Y70" s="60" t="s">
        <v>4</v>
      </c>
      <c r="Z70" s="60" t="s">
        <v>1</v>
      </c>
      <c r="AA70">
        <f t="shared" ca="1" si="1"/>
        <v>0</v>
      </c>
    </row>
    <row r="71" spans="1:27">
      <c r="A71" s="2" t="s">
        <v>78</v>
      </c>
      <c r="B71" s="2" t="s">
        <v>94</v>
      </c>
      <c r="C71" s="2" t="s">
        <v>808</v>
      </c>
      <c r="D71" s="2" t="s">
        <v>809</v>
      </c>
      <c r="E71" s="2" t="s">
        <v>168</v>
      </c>
      <c r="F71" s="2" t="s">
        <v>810</v>
      </c>
      <c r="G71" s="2" t="s">
        <v>811</v>
      </c>
      <c r="H71" s="2" t="s">
        <v>183</v>
      </c>
      <c r="I71" s="2" t="s">
        <v>732</v>
      </c>
      <c r="J71" s="2" t="s">
        <v>148</v>
      </c>
      <c r="K71" s="2" t="s">
        <v>671</v>
      </c>
      <c r="L71" s="2" t="s">
        <v>627</v>
      </c>
      <c r="M71" s="2" t="s">
        <v>749</v>
      </c>
      <c r="N71" s="2" t="s">
        <v>84</v>
      </c>
      <c r="O71" s="2" t="s">
        <v>91</v>
      </c>
      <c r="P71" s="5">
        <v>236</v>
      </c>
      <c r="Q71" s="5">
        <v>3.681</v>
      </c>
      <c r="R71" s="5">
        <v>13550</v>
      </c>
      <c r="S71" s="5">
        <v>0</v>
      </c>
      <c r="T71" s="5">
        <v>117.71101</v>
      </c>
      <c r="U71" s="6">
        <v>1.7420000000000001E-4</v>
      </c>
      <c r="V71" s="6">
        <v>4.4779999999999999E-4</v>
      </c>
      <c r="W71" s="6">
        <v>1.4099999999999998E-4</v>
      </c>
      <c r="X71" s="9">
        <v>77196061</v>
      </c>
      <c r="Y71" s="60" t="s">
        <v>4</v>
      </c>
      <c r="Z71" s="60" t="s">
        <v>1</v>
      </c>
      <c r="AA71">
        <f t="shared" ca="1" si="1"/>
        <v>0</v>
      </c>
    </row>
    <row r="72" spans="1:27">
      <c r="A72" s="2" t="s">
        <v>78</v>
      </c>
      <c r="B72" s="2" t="s">
        <v>94</v>
      </c>
      <c r="C72" s="2" t="s">
        <v>808</v>
      </c>
      <c r="D72" s="2" t="s">
        <v>809</v>
      </c>
      <c r="E72" s="2" t="s">
        <v>168</v>
      </c>
      <c r="F72" s="2" t="s">
        <v>812</v>
      </c>
      <c r="G72" s="2" t="s">
        <v>813</v>
      </c>
      <c r="H72" s="2" t="s">
        <v>183</v>
      </c>
      <c r="I72" s="2" t="s">
        <v>732</v>
      </c>
      <c r="J72" s="2" t="s">
        <v>148</v>
      </c>
      <c r="K72" s="2" t="s">
        <v>156</v>
      </c>
      <c r="L72" s="2" t="s">
        <v>627</v>
      </c>
      <c r="M72" s="2" t="s">
        <v>749</v>
      </c>
      <c r="N72" s="2" t="s">
        <v>84</v>
      </c>
      <c r="O72" s="2" t="s">
        <v>91</v>
      </c>
      <c r="P72" s="5">
        <v>750</v>
      </c>
      <c r="Q72" s="5">
        <v>3.681</v>
      </c>
      <c r="R72" s="5">
        <v>37152.5</v>
      </c>
      <c r="S72" s="5">
        <v>0</v>
      </c>
      <c r="T72" s="5">
        <v>1025.6876400000001</v>
      </c>
      <c r="U72" s="6">
        <v>7.2799999999999994E-5</v>
      </c>
      <c r="V72" s="6">
        <v>3.9017000000000001E-3</v>
      </c>
      <c r="W72" s="6">
        <v>1.2286E-3</v>
      </c>
      <c r="X72" s="9">
        <v>77414241</v>
      </c>
      <c r="Y72" s="60" t="s">
        <v>4</v>
      </c>
      <c r="Z72" s="60" t="s">
        <v>1</v>
      </c>
      <c r="AA72">
        <f t="shared" ca="1" si="1"/>
        <v>0</v>
      </c>
    </row>
    <row r="73" spans="1:27">
      <c r="A73" s="2" t="s">
        <v>78</v>
      </c>
      <c r="B73" s="2" t="s">
        <v>94</v>
      </c>
      <c r="C73" s="2" t="s">
        <v>723</v>
      </c>
      <c r="D73" s="2" t="s">
        <v>724</v>
      </c>
      <c r="E73" s="2" t="s">
        <v>168</v>
      </c>
      <c r="F73" s="2" t="s">
        <v>725</v>
      </c>
      <c r="G73" s="2" t="s">
        <v>726</v>
      </c>
      <c r="H73" s="2" t="s">
        <v>183</v>
      </c>
      <c r="I73" s="2" t="s">
        <v>719</v>
      </c>
      <c r="J73" s="2" t="s">
        <v>148</v>
      </c>
      <c r="K73" s="2" t="s">
        <v>156</v>
      </c>
      <c r="L73" s="2" t="s">
        <v>627</v>
      </c>
      <c r="M73" s="2" t="s">
        <v>720</v>
      </c>
      <c r="N73" s="2" t="s">
        <v>84</v>
      </c>
      <c r="O73" s="2" t="s">
        <v>91</v>
      </c>
      <c r="P73" s="5">
        <v>745</v>
      </c>
      <c r="Q73" s="5">
        <v>3.681</v>
      </c>
      <c r="R73" s="5">
        <v>5525</v>
      </c>
      <c r="S73" s="5">
        <v>0</v>
      </c>
      <c r="T73" s="5">
        <v>151.51455999999999</v>
      </c>
      <c r="U73" s="6">
        <v>2.2000000000000003E-5</v>
      </c>
      <c r="V73" s="6">
        <v>5.7639999999999992E-4</v>
      </c>
      <c r="W73" s="6">
        <v>1.8149999999999999E-4</v>
      </c>
      <c r="X73" s="9">
        <v>77075851</v>
      </c>
      <c r="Y73" s="60" t="s">
        <v>4</v>
      </c>
      <c r="Z73" s="60" t="s">
        <v>1</v>
      </c>
      <c r="AA73">
        <f t="shared" ca="1" si="1"/>
        <v>0</v>
      </c>
    </row>
    <row r="74" spans="1:27">
      <c r="A74" s="2" t="s">
        <v>78</v>
      </c>
      <c r="B74" s="2" t="s">
        <v>94</v>
      </c>
      <c r="C74" s="2" t="s">
        <v>808</v>
      </c>
      <c r="D74" s="2" t="s">
        <v>809</v>
      </c>
      <c r="E74" s="2" t="s">
        <v>168</v>
      </c>
      <c r="F74" s="2" t="s">
        <v>814</v>
      </c>
      <c r="G74" s="2" t="s">
        <v>815</v>
      </c>
      <c r="H74" s="2" t="s">
        <v>183</v>
      </c>
      <c r="I74" s="2" t="s">
        <v>732</v>
      </c>
      <c r="J74" s="2" t="s">
        <v>148</v>
      </c>
      <c r="K74" s="2" t="s">
        <v>671</v>
      </c>
      <c r="L74" s="2" t="s">
        <v>627</v>
      </c>
      <c r="M74" s="2" t="s">
        <v>749</v>
      </c>
      <c r="N74" s="2" t="s">
        <v>84</v>
      </c>
      <c r="O74" s="2" t="s">
        <v>91</v>
      </c>
      <c r="P74" s="5">
        <v>2296</v>
      </c>
      <c r="Q74" s="5">
        <v>3.681</v>
      </c>
      <c r="R74" s="5">
        <v>1434.9</v>
      </c>
      <c r="S74" s="5">
        <v>0</v>
      </c>
      <c r="T74" s="5">
        <v>121.27166</v>
      </c>
      <c r="U74" s="6">
        <v>1.228E-4</v>
      </c>
      <c r="V74" s="6">
        <v>4.6129999999999999E-4</v>
      </c>
      <c r="W74" s="6">
        <v>1.4530000000000001E-4</v>
      </c>
      <c r="X74" s="9">
        <v>77530517</v>
      </c>
      <c r="Y74" s="60" t="s">
        <v>4</v>
      </c>
      <c r="Z74" s="60" t="s">
        <v>1</v>
      </c>
      <c r="AA74">
        <f t="shared" ca="1" si="1"/>
        <v>0</v>
      </c>
    </row>
    <row r="75" spans="1:27">
      <c r="A75" s="2" t="s">
        <v>78</v>
      </c>
      <c r="B75" s="2" t="s">
        <v>94</v>
      </c>
      <c r="C75" s="2" t="s">
        <v>727</v>
      </c>
      <c r="D75" s="2" t="s">
        <v>728</v>
      </c>
      <c r="E75" s="2" t="s">
        <v>168</v>
      </c>
      <c r="F75" s="2" t="s">
        <v>816</v>
      </c>
      <c r="G75" s="2" t="s">
        <v>817</v>
      </c>
      <c r="H75" s="2" t="s">
        <v>183</v>
      </c>
      <c r="I75" s="2" t="s">
        <v>732</v>
      </c>
      <c r="J75" s="2" t="s">
        <v>148</v>
      </c>
      <c r="K75" s="2" t="s">
        <v>156</v>
      </c>
      <c r="L75" s="2" t="s">
        <v>584</v>
      </c>
      <c r="M75" s="2" t="s">
        <v>749</v>
      </c>
      <c r="N75" s="2" t="s">
        <v>84</v>
      </c>
      <c r="O75" s="2" t="s">
        <v>91</v>
      </c>
      <c r="P75" s="5">
        <v>4850</v>
      </c>
      <c r="Q75" s="5">
        <v>3.681</v>
      </c>
      <c r="R75" s="5">
        <v>6153</v>
      </c>
      <c r="S75" s="5">
        <v>0</v>
      </c>
      <c r="T75" s="5">
        <v>1098.48586</v>
      </c>
      <c r="U75" s="6">
        <v>8.8999999999999995E-6</v>
      </c>
      <c r="V75" s="6">
        <v>4.1786000000000002E-3</v>
      </c>
      <c r="W75" s="6">
        <v>1.3158E-3</v>
      </c>
      <c r="X75" s="9">
        <v>76394998</v>
      </c>
      <c r="Y75" s="60" t="s">
        <v>4</v>
      </c>
      <c r="Z75" s="60" t="s">
        <v>1</v>
      </c>
      <c r="AA75">
        <f t="shared" ca="1" si="1"/>
        <v>0</v>
      </c>
    </row>
    <row r="76" spans="1:27">
      <c r="A76" s="2" t="s">
        <v>78</v>
      </c>
      <c r="B76" s="2" t="s">
        <v>94</v>
      </c>
      <c r="C76" s="2" t="s">
        <v>727</v>
      </c>
      <c r="D76" s="2" t="s">
        <v>728</v>
      </c>
      <c r="E76" s="2" t="s">
        <v>168</v>
      </c>
      <c r="F76" s="2" t="s">
        <v>818</v>
      </c>
      <c r="G76" s="2" t="s">
        <v>819</v>
      </c>
      <c r="H76" s="2" t="s">
        <v>183</v>
      </c>
      <c r="I76" s="2" t="s">
        <v>732</v>
      </c>
      <c r="J76" s="2" t="s">
        <v>148</v>
      </c>
      <c r="K76" s="2" t="s">
        <v>156</v>
      </c>
      <c r="L76" s="2" t="s">
        <v>627</v>
      </c>
      <c r="M76" s="2" t="s">
        <v>749</v>
      </c>
      <c r="N76" s="2" t="s">
        <v>84</v>
      </c>
      <c r="O76" s="2" t="s">
        <v>91</v>
      </c>
      <c r="P76" s="5">
        <v>320</v>
      </c>
      <c r="Q76" s="5">
        <v>3.681</v>
      </c>
      <c r="R76" s="5">
        <v>10869.5</v>
      </c>
      <c r="S76" s="5">
        <v>0</v>
      </c>
      <c r="T76" s="5">
        <v>128.03400999999999</v>
      </c>
      <c r="U76" s="6">
        <v>3.18E-5</v>
      </c>
      <c r="V76" s="6">
        <v>4.8700000000000002E-4</v>
      </c>
      <c r="W76" s="6">
        <v>1.5339999999999999E-4</v>
      </c>
      <c r="X76" s="9">
        <v>75859280</v>
      </c>
      <c r="Y76" s="60" t="s">
        <v>4</v>
      </c>
      <c r="Z76" s="60" t="s">
        <v>1</v>
      </c>
      <c r="AA76">
        <f t="shared" ca="1" si="1"/>
        <v>0</v>
      </c>
    </row>
    <row r="77" spans="1:27">
      <c r="A77" s="2" t="s">
        <v>78</v>
      </c>
      <c r="B77" s="2" t="s">
        <v>94</v>
      </c>
      <c r="C77" s="2" t="s">
        <v>723</v>
      </c>
      <c r="D77" s="2" t="s">
        <v>724</v>
      </c>
      <c r="E77" s="2" t="s">
        <v>168</v>
      </c>
      <c r="F77" s="2" t="s">
        <v>820</v>
      </c>
      <c r="G77" s="2" t="s">
        <v>821</v>
      </c>
      <c r="H77" s="2" t="s">
        <v>183</v>
      </c>
      <c r="I77" s="2" t="s">
        <v>732</v>
      </c>
      <c r="J77" s="2" t="s">
        <v>148</v>
      </c>
      <c r="K77" s="2" t="s">
        <v>822</v>
      </c>
      <c r="L77" s="2" t="s">
        <v>149</v>
      </c>
      <c r="M77" s="2" t="s">
        <v>749</v>
      </c>
      <c r="N77" s="2" t="s">
        <v>84</v>
      </c>
      <c r="O77" s="2" t="s">
        <v>90</v>
      </c>
      <c r="P77" s="5">
        <v>380</v>
      </c>
      <c r="Q77" s="5">
        <v>3.9790999999999999</v>
      </c>
      <c r="R77" s="5">
        <v>5272</v>
      </c>
      <c r="S77" s="5">
        <v>0</v>
      </c>
      <c r="T77" s="5">
        <v>79.715689999999995</v>
      </c>
      <c r="U77" s="6">
        <v>9.5999999999999996E-6</v>
      </c>
      <c r="V77" s="6">
        <v>3.032E-4</v>
      </c>
      <c r="W77" s="6">
        <v>9.549999999999999E-5</v>
      </c>
      <c r="X77" s="9">
        <v>78775210</v>
      </c>
      <c r="Y77" s="60" t="s">
        <v>4</v>
      </c>
      <c r="Z77" s="60" t="s">
        <v>1</v>
      </c>
      <c r="AA77">
        <f t="shared" ca="1" si="1"/>
        <v>0</v>
      </c>
    </row>
    <row r="78" spans="1:27">
      <c r="A78" s="2" t="s">
        <v>78</v>
      </c>
      <c r="B78" s="2" t="s">
        <v>94</v>
      </c>
      <c r="C78" s="2" t="s">
        <v>723</v>
      </c>
      <c r="D78" s="2" t="s">
        <v>724</v>
      </c>
      <c r="E78" s="2" t="s">
        <v>168</v>
      </c>
      <c r="F78" s="2" t="s">
        <v>820</v>
      </c>
      <c r="G78" s="2" t="s">
        <v>821</v>
      </c>
      <c r="H78" s="2" t="s">
        <v>183</v>
      </c>
      <c r="I78" s="2" t="s">
        <v>732</v>
      </c>
      <c r="J78" s="2" t="s">
        <v>148</v>
      </c>
      <c r="K78" s="2" t="s">
        <v>822</v>
      </c>
      <c r="L78" s="2" t="s">
        <v>627</v>
      </c>
      <c r="M78" s="2" t="s">
        <v>749</v>
      </c>
      <c r="N78" s="2" t="s">
        <v>84</v>
      </c>
      <c r="O78" s="2" t="s">
        <v>91</v>
      </c>
      <c r="P78" s="5">
        <v>270</v>
      </c>
      <c r="Q78" s="5">
        <v>3.681</v>
      </c>
      <c r="R78" s="5">
        <v>5682.5</v>
      </c>
      <c r="S78" s="5">
        <v>0</v>
      </c>
      <c r="T78" s="5">
        <v>56.476660000000003</v>
      </c>
      <c r="U78" s="6">
        <v>6.8000000000000001E-6</v>
      </c>
      <c r="V78" s="6">
        <v>2.1479999999999999E-4</v>
      </c>
      <c r="W78" s="6">
        <v>6.7600000000000003E-5</v>
      </c>
      <c r="X78" s="9">
        <v>75918839</v>
      </c>
      <c r="Y78" s="60" t="s">
        <v>4</v>
      </c>
      <c r="Z78" s="60" t="s">
        <v>1</v>
      </c>
      <c r="AA78">
        <f t="shared" ca="1" si="1"/>
        <v>0</v>
      </c>
    </row>
    <row r="79" spans="1:27">
      <c r="A79" s="2" t="s">
        <v>78</v>
      </c>
      <c r="B79" s="2" t="s">
        <v>94</v>
      </c>
      <c r="C79" s="2" t="s">
        <v>727</v>
      </c>
      <c r="D79" s="2" t="s">
        <v>728</v>
      </c>
      <c r="E79" s="2" t="s">
        <v>168</v>
      </c>
      <c r="F79" s="2" t="s">
        <v>823</v>
      </c>
      <c r="G79" s="2" t="s">
        <v>824</v>
      </c>
      <c r="H79" s="2" t="s">
        <v>183</v>
      </c>
      <c r="I79" s="2" t="s">
        <v>732</v>
      </c>
      <c r="J79" s="2" t="s">
        <v>148</v>
      </c>
      <c r="K79" s="2" t="s">
        <v>156</v>
      </c>
      <c r="L79" s="2" t="s">
        <v>627</v>
      </c>
      <c r="M79" s="2" t="s">
        <v>749</v>
      </c>
      <c r="N79" s="2" t="s">
        <v>84</v>
      </c>
      <c r="O79" s="2" t="s">
        <v>91</v>
      </c>
      <c r="P79" s="5">
        <v>360</v>
      </c>
      <c r="Q79" s="5">
        <v>3.681</v>
      </c>
      <c r="R79" s="5">
        <v>4855.88</v>
      </c>
      <c r="S79" s="5">
        <v>0</v>
      </c>
      <c r="T79" s="5">
        <v>64.348169999999996</v>
      </c>
      <c r="U79" s="6">
        <v>4.8300000000000002E-5</v>
      </c>
      <c r="V79" s="6">
        <v>2.4479999999999999E-4</v>
      </c>
      <c r="W79" s="6">
        <v>7.7100000000000004E-5</v>
      </c>
      <c r="X79" s="9">
        <v>75352146</v>
      </c>
      <c r="Y79" s="60" t="s">
        <v>4</v>
      </c>
      <c r="Z79" s="60" t="s">
        <v>1</v>
      </c>
      <c r="AA79">
        <f t="shared" ca="1" si="1"/>
        <v>0</v>
      </c>
    </row>
    <row r="80" spans="1:27">
      <c r="A80" s="2" t="s">
        <v>78</v>
      </c>
      <c r="B80" s="2" t="s">
        <v>94</v>
      </c>
      <c r="C80" s="2" t="s">
        <v>727</v>
      </c>
      <c r="D80" s="2" t="s">
        <v>728</v>
      </c>
      <c r="E80" s="2" t="s">
        <v>168</v>
      </c>
      <c r="F80" s="2" t="s">
        <v>729</v>
      </c>
      <c r="G80" s="2" t="s">
        <v>730</v>
      </c>
      <c r="H80" s="2" t="s">
        <v>183</v>
      </c>
      <c r="I80" s="2" t="s">
        <v>719</v>
      </c>
      <c r="J80" s="2" t="s">
        <v>148</v>
      </c>
      <c r="K80" s="2" t="s">
        <v>156</v>
      </c>
      <c r="L80" s="2" t="s">
        <v>627</v>
      </c>
      <c r="M80" s="2" t="s">
        <v>720</v>
      </c>
      <c r="N80" s="2" t="s">
        <v>84</v>
      </c>
      <c r="O80" s="2" t="s">
        <v>91</v>
      </c>
      <c r="P80" s="5">
        <v>1500</v>
      </c>
      <c r="Q80" s="5">
        <v>3.681</v>
      </c>
      <c r="R80" s="5">
        <v>2760.5</v>
      </c>
      <c r="S80" s="5">
        <v>0</v>
      </c>
      <c r="T80" s="5">
        <v>152.42099999999999</v>
      </c>
      <c r="U80" s="6">
        <v>5.9000000000000003E-6</v>
      </c>
      <c r="V80" s="6">
        <v>5.798E-4</v>
      </c>
      <c r="W80" s="6">
        <v>1.8259999999999999E-4</v>
      </c>
      <c r="X80" s="9">
        <v>77749059</v>
      </c>
      <c r="Y80" s="60" t="s">
        <v>4</v>
      </c>
      <c r="Z80" s="60" t="s">
        <v>1</v>
      </c>
      <c r="AA80">
        <f t="shared" ca="1" si="1"/>
        <v>0</v>
      </c>
    </row>
    <row r="81" spans="1:27">
      <c r="A81" s="2" t="s">
        <v>78</v>
      </c>
      <c r="B81" s="2" t="s">
        <v>94</v>
      </c>
      <c r="C81" s="2" t="s">
        <v>727</v>
      </c>
      <c r="D81" s="2" t="s">
        <v>728</v>
      </c>
      <c r="E81" s="2" t="s">
        <v>168</v>
      </c>
      <c r="F81" s="2" t="s">
        <v>825</v>
      </c>
      <c r="G81" s="2" t="s">
        <v>826</v>
      </c>
      <c r="H81" s="2" t="s">
        <v>183</v>
      </c>
      <c r="I81" s="2" t="s">
        <v>732</v>
      </c>
      <c r="J81" s="2" t="s">
        <v>148</v>
      </c>
      <c r="K81" s="2" t="s">
        <v>156</v>
      </c>
      <c r="L81" s="2" t="s">
        <v>627</v>
      </c>
      <c r="M81" s="2" t="s">
        <v>749</v>
      </c>
      <c r="N81" s="2" t="s">
        <v>84</v>
      </c>
      <c r="O81" s="2" t="s">
        <v>91</v>
      </c>
      <c r="P81" s="5">
        <v>17600</v>
      </c>
      <c r="Q81" s="5">
        <v>3.681</v>
      </c>
      <c r="R81" s="5">
        <v>1267.5999999999999</v>
      </c>
      <c r="S81" s="5">
        <v>0</v>
      </c>
      <c r="T81" s="5">
        <v>821.22226000000001</v>
      </c>
      <c r="U81" s="6">
        <v>7.9000000000000009E-5</v>
      </c>
      <c r="V81" s="6">
        <v>3.1239000000000002E-3</v>
      </c>
      <c r="W81" s="6">
        <v>9.836999999999999E-4</v>
      </c>
      <c r="X81" s="9">
        <v>79187233</v>
      </c>
      <c r="Y81" s="60" t="s">
        <v>4</v>
      </c>
      <c r="Z81" s="60" t="s">
        <v>1</v>
      </c>
      <c r="AA81">
        <f t="shared" ca="1" si="1"/>
        <v>0</v>
      </c>
    </row>
    <row r="82" spans="1:27">
      <c r="A82" s="2" t="s">
        <v>78</v>
      </c>
      <c r="B82" s="2" t="s">
        <v>96</v>
      </c>
      <c r="C82" s="2" t="s">
        <v>701</v>
      </c>
      <c r="D82" s="2" t="s">
        <v>702</v>
      </c>
      <c r="E82" s="2" t="s">
        <v>194</v>
      </c>
      <c r="F82" s="2" t="s">
        <v>703</v>
      </c>
      <c r="G82" s="9">
        <v>1146232</v>
      </c>
      <c r="H82" s="2" t="s">
        <v>149</v>
      </c>
      <c r="I82" s="2" t="s">
        <v>704</v>
      </c>
      <c r="J82" s="2" t="s">
        <v>83</v>
      </c>
      <c r="K82" s="2" t="s">
        <v>83</v>
      </c>
      <c r="L82" s="2" t="s">
        <v>118</v>
      </c>
      <c r="M82" s="2" t="s">
        <v>705</v>
      </c>
      <c r="N82" s="2" t="s">
        <v>84</v>
      </c>
      <c r="O82" s="2" t="s">
        <v>87</v>
      </c>
      <c r="P82" s="5">
        <v>35200</v>
      </c>
      <c r="Q82" s="5">
        <v>1</v>
      </c>
      <c r="R82" s="5">
        <v>3568.71</v>
      </c>
      <c r="S82" s="5">
        <v>0</v>
      </c>
      <c r="T82" s="5">
        <v>1256.1859199999999</v>
      </c>
      <c r="U82" s="6">
        <v>2.5139999999999999E-4</v>
      </c>
      <c r="V82" s="6">
        <v>4.7784999999999998E-3</v>
      </c>
      <c r="W82" s="6">
        <v>1.5046999999999999E-3</v>
      </c>
      <c r="X82" s="2" t="s">
        <v>3</v>
      </c>
      <c r="Y82" s="60" t="s">
        <v>4</v>
      </c>
      <c r="Z82" s="60" t="s">
        <v>1</v>
      </c>
      <c r="AA82">
        <f t="shared" ca="1" si="1"/>
        <v>0</v>
      </c>
    </row>
    <row r="83" spans="1:27">
      <c r="A83" s="2" t="s">
        <v>78</v>
      </c>
      <c r="B83" s="2" t="s">
        <v>96</v>
      </c>
      <c r="C83" s="2" t="s">
        <v>706</v>
      </c>
      <c r="D83" s="2" t="s">
        <v>707</v>
      </c>
      <c r="E83" s="2" t="s">
        <v>194</v>
      </c>
      <c r="F83" s="2" t="s">
        <v>708</v>
      </c>
      <c r="G83" s="9">
        <v>1145259</v>
      </c>
      <c r="H83" s="2" t="s">
        <v>149</v>
      </c>
      <c r="I83" s="2" t="s">
        <v>704</v>
      </c>
      <c r="J83" s="2" t="s">
        <v>83</v>
      </c>
      <c r="K83" s="2" t="s">
        <v>83</v>
      </c>
      <c r="L83" s="2" t="s">
        <v>118</v>
      </c>
      <c r="M83" s="2" t="s">
        <v>705</v>
      </c>
      <c r="N83" s="2" t="s">
        <v>84</v>
      </c>
      <c r="O83" s="2" t="s">
        <v>87</v>
      </c>
      <c r="P83" s="5">
        <v>23000</v>
      </c>
      <c r="Q83" s="5">
        <v>1</v>
      </c>
      <c r="R83" s="5">
        <v>3944.84</v>
      </c>
      <c r="S83" s="5">
        <v>0</v>
      </c>
      <c r="T83" s="5">
        <v>907.31320000000005</v>
      </c>
      <c r="U83" s="6">
        <v>9.2230000000000003E-4</v>
      </c>
      <c r="V83" s="6">
        <v>3.4513999999999999E-3</v>
      </c>
      <c r="W83" s="6">
        <v>1.0868E-3</v>
      </c>
      <c r="X83" s="2" t="s">
        <v>3</v>
      </c>
      <c r="Y83" s="60" t="s">
        <v>4</v>
      </c>
      <c r="Z83" s="60" t="s">
        <v>1</v>
      </c>
      <c r="AA83">
        <f t="shared" ca="1" si="1"/>
        <v>0</v>
      </c>
    </row>
    <row r="84" spans="1:27">
      <c r="A84" s="2" t="s">
        <v>78</v>
      </c>
      <c r="B84" s="2" t="s">
        <v>96</v>
      </c>
      <c r="C84" s="2" t="s">
        <v>706</v>
      </c>
      <c r="D84" s="2" t="s">
        <v>707</v>
      </c>
      <c r="E84" s="2" t="s">
        <v>194</v>
      </c>
      <c r="F84" s="2" t="s">
        <v>836</v>
      </c>
      <c r="G84" s="9">
        <v>1144823</v>
      </c>
      <c r="H84" s="2" t="s">
        <v>149</v>
      </c>
      <c r="I84" s="2" t="s">
        <v>704</v>
      </c>
      <c r="J84" s="2" t="s">
        <v>83</v>
      </c>
      <c r="K84" s="2" t="s">
        <v>83</v>
      </c>
      <c r="L84" s="2" t="s">
        <v>118</v>
      </c>
      <c r="M84" s="2" t="s">
        <v>705</v>
      </c>
      <c r="N84" s="2" t="s">
        <v>84</v>
      </c>
      <c r="O84" s="2" t="s">
        <v>87</v>
      </c>
      <c r="P84" s="5">
        <v>8520</v>
      </c>
      <c r="Q84" s="5">
        <v>1</v>
      </c>
      <c r="R84" s="5">
        <v>3375.59</v>
      </c>
      <c r="S84" s="5">
        <v>0</v>
      </c>
      <c r="T84" s="5">
        <v>287.60025999999999</v>
      </c>
      <c r="U84" s="6">
        <v>3.7819999999999998E-4</v>
      </c>
      <c r="V84" s="6">
        <v>1.0939999999999999E-3</v>
      </c>
      <c r="W84" s="6">
        <v>3.4450000000000003E-4</v>
      </c>
      <c r="X84" s="2" t="s">
        <v>3</v>
      </c>
      <c r="Y84" s="60" t="s">
        <v>4</v>
      </c>
      <c r="Z84" s="60" t="s">
        <v>1</v>
      </c>
      <c r="AA84">
        <f t="shared" ca="1" si="1"/>
        <v>0</v>
      </c>
    </row>
    <row r="85" spans="1:27">
      <c r="A85" s="2" t="s">
        <v>78</v>
      </c>
      <c r="B85" s="2" t="s">
        <v>96</v>
      </c>
      <c r="C85" s="2" t="s">
        <v>710</v>
      </c>
      <c r="D85" s="2" t="s">
        <v>711</v>
      </c>
      <c r="E85" s="2" t="s">
        <v>194</v>
      </c>
      <c r="F85" s="2" t="s">
        <v>712</v>
      </c>
      <c r="G85" s="9">
        <v>1150523</v>
      </c>
      <c r="H85" s="2" t="s">
        <v>149</v>
      </c>
      <c r="I85" s="2" t="s">
        <v>704</v>
      </c>
      <c r="J85" s="2" t="s">
        <v>83</v>
      </c>
      <c r="K85" s="2" t="s">
        <v>83</v>
      </c>
      <c r="L85" s="2" t="s">
        <v>118</v>
      </c>
      <c r="M85" s="2" t="s">
        <v>713</v>
      </c>
      <c r="N85" s="2" t="s">
        <v>84</v>
      </c>
      <c r="O85" s="2" t="s">
        <v>87</v>
      </c>
      <c r="P85" s="5">
        <v>246400</v>
      </c>
      <c r="Q85" s="5">
        <v>1</v>
      </c>
      <c r="R85" s="5">
        <v>385.54</v>
      </c>
      <c r="S85" s="5">
        <v>0</v>
      </c>
      <c r="T85" s="5">
        <v>949.97055999999998</v>
      </c>
      <c r="U85" s="6">
        <v>9.0269999999999999E-4</v>
      </c>
      <c r="V85" s="6">
        <v>3.6137000000000001E-3</v>
      </c>
      <c r="W85" s="6">
        <v>1.1379000000000001E-3</v>
      </c>
      <c r="X85" s="2" t="s">
        <v>3</v>
      </c>
      <c r="Y85" s="60" t="s">
        <v>4</v>
      </c>
      <c r="Z85" s="60" t="s">
        <v>1</v>
      </c>
      <c r="AA85">
        <f t="shared" ca="1" si="1"/>
        <v>0</v>
      </c>
    </row>
    <row r="86" spans="1:27">
      <c r="A86" s="2" t="s">
        <v>78</v>
      </c>
      <c r="B86" s="2" t="s">
        <v>96</v>
      </c>
      <c r="C86" s="2" t="s">
        <v>701</v>
      </c>
      <c r="D86" s="2" t="s">
        <v>702</v>
      </c>
      <c r="E86" s="2" t="s">
        <v>194</v>
      </c>
      <c r="F86" s="2" t="s">
        <v>827</v>
      </c>
      <c r="G86" s="9">
        <v>1146356</v>
      </c>
      <c r="H86" s="2" t="s">
        <v>149</v>
      </c>
      <c r="I86" s="2" t="s">
        <v>737</v>
      </c>
      <c r="J86" s="2" t="s">
        <v>83</v>
      </c>
      <c r="K86" s="2" t="s">
        <v>83</v>
      </c>
      <c r="L86" s="2" t="s">
        <v>118</v>
      </c>
      <c r="M86" s="2" t="s">
        <v>828</v>
      </c>
      <c r="N86" s="2" t="s">
        <v>84</v>
      </c>
      <c r="O86" s="2" t="s">
        <v>87</v>
      </c>
      <c r="P86" s="5">
        <v>700</v>
      </c>
      <c r="Q86" s="5">
        <v>1</v>
      </c>
      <c r="R86" s="5">
        <v>20050</v>
      </c>
      <c r="S86" s="5">
        <v>0</v>
      </c>
      <c r="T86" s="5">
        <v>140.35</v>
      </c>
      <c r="U86" s="6">
        <v>1.9700000000000001E-5</v>
      </c>
      <c r="V86" s="6">
        <v>5.3390000000000002E-4</v>
      </c>
      <c r="W86" s="6">
        <v>1.6809999999999999E-4</v>
      </c>
      <c r="X86" s="2" t="s">
        <v>3</v>
      </c>
      <c r="Y86" s="60" t="s">
        <v>4</v>
      </c>
      <c r="Z86" s="60" t="s">
        <v>1</v>
      </c>
      <c r="AA86">
        <f t="shared" ca="1" si="1"/>
        <v>0</v>
      </c>
    </row>
    <row r="87" spans="1:27">
      <c r="A87" s="2" t="s">
        <v>78</v>
      </c>
      <c r="B87" s="2" t="s">
        <v>96</v>
      </c>
      <c r="C87" s="2" t="s">
        <v>710</v>
      </c>
      <c r="D87" s="2" t="s">
        <v>711</v>
      </c>
      <c r="E87" s="2" t="s">
        <v>194</v>
      </c>
      <c r="F87" s="2" t="s">
        <v>829</v>
      </c>
      <c r="G87" s="9">
        <v>1148964</v>
      </c>
      <c r="H87" s="2" t="s">
        <v>149</v>
      </c>
      <c r="I87" s="2" t="s">
        <v>737</v>
      </c>
      <c r="J87" s="2" t="s">
        <v>83</v>
      </c>
      <c r="K87" s="2" t="s">
        <v>83</v>
      </c>
      <c r="L87" s="2" t="s">
        <v>118</v>
      </c>
      <c r="M87" s="2" t="s">
        <v>830</v>
      </c>
      <c r="N87" s="2" t="s">
        <v>84</v>
      </c>
      <c r="O87" s="2" t="s">
        <v>87</v>
      </c>
      <c r="P87" s="5">
        <v>14660</v>
      </c>
      <c r="Q87" s="5">
        <v>1</v>
      </c>
      <c r="R87" s="5">
        <v>907.2</v>
      </c>
      <c r="S87" s="5">
        <v>0</v>
      </c>
      <c r="T87" s="5">
        <v>132.99552</v>
      </c>
      <c r="U87" s="6">
        <v>2.7130000000000004E-4</v>
      </c>
      <c r="V87" s="6">
        <v>5.0589999999999999E-4</v>
      </c>
      <c r="W87" s="6">
        <v>1.593E-4</v>
      </c>
      <c r="X87" s="2" t="s">
        <v>3</v>
      </c>
      <c r="Y87" s="60" t="s">
        <v>4</v>
      </c>
      <c r="Z87" s="60" t="s">
        <v>1</v>
      </c>
      <c r="AA87">
        <f t="shared" ca="1" si="1"/>
        <v>0</v>
      </c>
    </row>
    <row r="88" spans="1:27">
      <c r="A88" s="2" t="s">
        <v>78</v>
      </c>
      <c r="B88" s="2" t="s">
        <v>96</v>
      </c>
      <c r="C88" s="2" t="s">
        <v>701</v>
      </c>
      <c r="D88" s="2" t="s">
        <v>702</v>
      </c>
      <c r="E88" s="2" t="s">
        <v>194</v>
      </c>
      <c r="F88" s="2" t="s">
        <v>714</v>
      </c>
      <c r="G88" s="9">
        <v>1150762</v>
      </c>
      <c r="H88" s="2" t="s">
        <v>149</v>
      </c>
      <c r="I88" s="2" t="s">
        <v>704</v>
      </c>
      <c r="J88" s="2" t="s">
        <v>83</v>
      </c>
      <c r="K88" s="2" t="s">
        <v>83</v>
      </c>
      <c r="L88" s="2" t="s">
        <v>118</v>
      </c>
      <c r="M88" s="2" t="s">
        <v>713</v>
      </c>
      <c r="N88" s="2" t="s">
        <v>84</v>
      </c>
      <c r="O88" s="2" t="s">
        <v>87</v>
      </c>
      <c r="P88" s="5">
        <v>23300</v>
      </c>
      <c r="Q88" s="5">
        <v>1</v>
      </c>
      <c r="R88" s="5">
        <v>3874.92</v>
      </c>
      <c r="S88" s="5">
        <v>0</v>
      </c>
      <c r="T88" s="5">
        <v>902.85636</v>
      </c>
      <c r="U88" s="6">
        <v>5.9710000000000004E-4</v>
      </c>
      <c r="V88" s="6">
        <v>3.4344999999999996E-3</v>
      </c>
      <c r="W88" s="6">
        <v>1.0815E-3</v>
      </c>
      <c r="X88" s="2" t="s">
        <v>3</v>
      </c>
      <c r="Y88" s="60" t="s">
        <v>4</v>
      </c>
      <c r="Z88" s="60" t="s">
        <v>1</v>
      </c>
      <c r="AA88">
        <f t="shared" ca="1" si="1"/>
        <v>0</v>
      </c>
    </row>
    <row r="89" spans="1:27">
      <c r="A89" s="2" t="s">
        <v>78</v>
      </c>
      <c r="B89" s="2" t="s">
        <v>96</v>
      </c>
      <c r="C89" s="2" t="s">
        <v>715</v>
      </c>
      <c r="D89" s="2" t="s">
        <v>716</v>
      </c>
      <c r="E89" s="2" t="s">
        <v>168</v>
      </c>
      <c r="F89" s="2" t="s">
        <v>721</v>
      </c>
      <c r="G89" s="2" t="s">
        <v>722</v>
      </c>
      <c r="H89" s="2" t="s">
        <v>183</v>
      </c>
      <c r="I89" s="2" t="s">
        <v>719</v>
      </c>
      <c r="J89" s="2" t="s">
        <v>148</v>
      </c>
      <c r="K89" s="2" t="s">
        <v>156</v>
      </c>
      <c r="L89" s="2" t="s">
        <v>627</v>
      </c>
      <c r="M89" s="2" t="s">
        <v>720</v>
      </c>
      <c r="N89" s="2" t="s">
        <v>84</v>
      </c>
      <c r="O89" s="2" t="s">
        <v>91</v>
      </c>
      <c r="P89" s="5">
        <v>106550</v>
      </c>
      <c r="Q89" s="5">
        <v>3.681</v>
      </c>
      <c r="R89" s="5">
        <v>574.29999999999995</v>
      </c>
      <c r="S89" s="5">
        <v>0</v>
      </c>
      <c r="T89" s="5">
        <v>2252.4651800000001</v>
      </c>
      <c r="U89" s="6">
        <v>1.717E-4</v>
      </c>
      <c r="V89" s="6">
        <v>8.5684000000000003E-3</v>
      </c>
      <c r="W89" s="6">
        <v>2.6979999999999999E-3</v>
      </c>
      <c r="X89" s="9">
        <v>75965301</v>
      </c>
      <c r="Y89" s="60" t="s">
        <v>4</v>
      </c>
      <c r="Z89" s="60" t="s">
        <v>1</v>
      </c>
      <c r="AA89">
        <f t="shared" ca="1" si="1"/>
        <v>0</v>
      </c>
    </row>
    <row r="90" spans="1:27">
      <c r="A90" s="2" t="s">
        <v>78</v>
      </c>
      <c r="B90" s="2" t="s">
        <v>96</v>
      </c>
      <c r="C90" s="2" t="s">
        <v>727</v>
      </c>
      <c r="D90" s="2" t="s">
        <v>728</v>
      </c>
      <c r="E90" s="2" t="s">
        <v>168</v>
      </c>
      <c r="F90" s="2" t="s">
        <v>837</v>
      </c>
      <c r="G90" s="2" t="s">
        <v>838</v>
      </c>
      <c r="H90" s="2" t="s">
        <v>183</v>
      </c>
      <c r="I90" s="2" t="s">
        <v>732</v>
      </c>
      <c r="J90" s="2" t="s">
        <v>148</v>
      </c>
      <c r="K90" s="2" t="s">
        <v>156</v>
      </c>
      <c r="L90" s="2" t="s">
        <v>584</v>
      </c>
      <c r="M90" s="2" t="s">
        <v>749</v>
      </c>
      <c r="N90" s="2" t="s">
        <v>84</v>
      </c>
      <c r="O90" s="2" t="s">
        <v>91</v>
      </c>
      <c r="P90" s="5">
        <v>2664</v>
      </c>
      <c r="Q90" s="5">
        <v>3.681</v>
      </c>
      <c r="R90" s="5">
        <v>4212</v>
      </c>
      <c r="S90" s="5">
        <v>0</v>
      </c>
      <c r="T90" s="5">
        <v>413.03647000000001</v>
      </c>
      <c r="U90" s="6">
        <v>2.9000000000000002E-6</v>
      </c>
      <c r="V90" s="6">
        <v>1.5712E-3</v>
      </c>
      <c r="W90" s="6">
        <v>4.9470000000000004E-4</v>
      </c>
      <c r="X90" s="9">
        <v>70534276</v>
      </c>
      <c r="Y90" s="60" t="s">
        <v>4</v>
      </c>
      <c r="Z90" s="60" t="s">
        <v>1</v>
      </c>
      <c r="AA90">
        <f t="shared" ca="1" si="1"/>
        <v>0</v>
      </c>
    </row>
    <row r="91" spans="1:27">
      <c r="A91" s="2" t="s">
        <v>78</v>
      </c>
      <c r="B91" s="2" t="s">
        <v>96</v>
      </c>
      <c r="C91" s="2" t="s">
        <v>750</v>
      </c>
      <c r="D91" s="2" t="s">
        <v>751</v>
      </c>
      <c r="E91" s="2" t="s">
        <v>168</v>
      </c>
      <c r="F91" s="2" t="s">
        <v>752</v>
      </c>
      <c r="G91" s="2" t="s">
        <v>753</v>
      </c>
      <c r="H91" s="2" t="s">
        <v>183</v>
      </c>
      <c r="I91" s="2" t="s">
        <v>732</v>
      </c>
      <c r="J91" s="2" t="s">
        <v>148</v>
      </c>
      <c r="K91" s="2" t="s">
        <v>156</v>
      </c>
      <c r="L91" s="2" t="s">
        <v>584</v>
      </c>
      <c r="M91" s="2" t="s">
        <v>749</v>
      </c>
      <c r="N91" s="2" t="s">
        <v>84</v>
      </c>
      <c r="O91" s="2" t="s">
        <v>91</v>
      </c>
      <c r="P91" s="5">
        <v>210</v>
      </c>
      <c r="Q91" s="5">
        <v>3.681</v>
      </c>
      <c r="R91" s="5">
        <v>22499</v>
      </c>
      <c r="S91" s="5">
        <v>6.2199999999999998E-2</v>
      </c>
      <c r="T91" s="5">
        <v>173.91951</v>
      </c>
      <c r="U91" s="6">
        <v>2.5000000000000002E-6</v>
      </c>
      <c r="V91" s="6">
        <v>6.6159999999999993E-4</v>
      </c>
      <c r="W91" s="6">
        <v>2.0830000000000002E-4</v>
      </c>
      <c r="X91" s="9">
        <v>70537717</v>
      </c>
      <c r="Y91" s="60" t="s">
        <v>4</v>
      </c>
      <c r="Z91" s="60" t="s">
        <v>1</v>
      </c>
      <c r="AA91">
        <f t="shared" ca="1" si="1"/>
        <v>0</v>
      </c>
    </row>
    <row r="92" spans="1:27">
      <c r="A92" s="2" t="s">
        <v>78</v>
      </c>
      <c r="B92" s="2" t="s">
        <v>96</v>
      </c>
      <c r="C92" s="2" t="s">
        <v>754</v>
      </c>
      <c r="D92" s="2" t="s">
        <v>755</v>
      </c>
      <c r="E92" s="2" t="s">
        <v>168</v>
      </c>
      <c r="F92" s="2" t="s">
        <v>756</v>
      </c>
      <c r="G92" s="2" t="s">
        <v>757</v>
      </c>
      <c r="H92" s="2" t="s">
        <v>183</v>
      </c>
      <c r="I92" s="2" t="s">
        <v>732</v>
      </c>
      <c r="J92" s="2" t="s">
        <v>148</v>
      </c>
      <c r="K92" s="2" t="s">
        <v>156</v>
      </c>
      <c r="L92" s="2" t="s">
        <v>584</v>
      </c>
      <c r="M92" s="2" t="s">
        <v>749</v>
      </c>
      <c r="N92" s="2" t="s">
        <v>84</v>
      </c>
      <c r="O92" s="2" t="s">
        <v>91</v>
      </c>
      <c r="P92" s="5">
        <v>155</v>
      </c>
      <c r="Q92" s="5">
        <v>3.681</v>
      </c>
      <c r="R92" s="5">
        <v>44401</v>
      </c>
      <c r="S92" s="5">
        <v>0</v>
      </c>
      <c r="T92" s="5">
        <v>253.56115</v>
      </c>
      <c r="U92" s="6">
        <v>2.0000000000000002E-7</v>
      </c>
      <c r="V92" s="6">
        <v>9.6449999999999997E-4</v>
      </c>
      <c r="W92" s="6">
        <v>3.0370000000000001E-4</v>
      </c>
      <c r="X92" s="9">
        <v>70486931</v>
      </c>
      <c r="Y92" s="60" t="s">
        <v>4</v>
      </c>
      <c r="Z92" s="60" t="s">
        <v>1</v>
      </c>
      <c r="AA92">
        <f t="shared" ca="1" si="1"/>
        <v>0</v>
      </c>
    </row>
    <row r="93" spans="1:27">
      <c r="A93" s="2" t="s">
        <v>78</v>
      </c>
      <c r="B93" s="2" t="s">
        <v>96</v>
      </c>
      <c r="C93" s="2" t="s">
        <v>727</v>
      </c>
      <c r="D93" s="2" t="s">
        <v>728</v>
      </c>
      <c r="E93" s="2" t="s">
        <v>168</v>
      </c>
      <c r="F93" s="2" t="s">
        <v>760</v>
      </c>
      <c r="G93" s="2" t="s">
        <v>761</v>
      </c>
      <c r="H93" s="2" t="s">
        <v>183</v>
      </c>
      <c r="I93" s="2" t="s">
        <v>732</v>
      </c>
      <c r="J93" s="2" t="s">
        <v>148</v>
      </c>
      <c r="K93" s="2" t="s">
        <v>156</v>
      </c>
      <c r="L93" s="2" t="s">
        <v>149</v>
      </c>
      <c r="M93" s="2" t="s">
        <v>749</v>
      </c>
      <c r="N93" s="2" t="s">
        <v>84</v>
      </c>
      <c r="O93" s="2" t="s">
        <v>91</v>
      </c>
      <c r="P93" s="5">
        <v>2542</v>
      </c>
      <c r="Q93" s="5">
        <v>3.681</v>
      </c>
      <c r="R93" s="5">
        <v>20827</v>
      </c>
      <c r="S93" s="5">
        <v>0</v>
      </c>
      <c r="T93" s="5">
        <v>1948.8036300000001</v>
      </c>
      <c r="U93" s="6">
        <v>8.1000000000000004E-6</v>
      </c>
      <c r="V93" s="6">
        <v>7.4132E-3</v>
      </c>
      <c r="W93" s="6">
        <v>2.3343000000000001E-3</v>
      </c>
      <c r="X93" s="9">
        <v>70487475</v>
      </c>
      <c r="Y93" s="60" t="s">
        <v>4</v>
      </c>
      <c r="Z93" s="60" t="s">
        <v>1</v>
      </c>
      <c r="AA93">
        <f t="shared" ca="1" si="1"/>
        <v>0</v>
      </c>
    </row>
    <row r="94" spans="1:27">
      <c r="A94" s="2" t="s">
        <v>78</v>
      </c>
      <c r="B94" s="2" t="s">
        <v>96</v>
      </c>
      <c r="C94" s="2" t="s">
        <v>715</v>
      </c>
      <c r="D94" s="2" t="s">
        <v>716</v>
      </c>
      <c r="E94" s="2" t="s">
        <v>168</v>
      </c>
      <c r="F94" s="2" t="s">
        <v>762</v>
      </c>
      <c r="G94" s="2" t="s">
        <v>763</v>
      </c>
      <c r="H94" s="2" t="s">
        <v>183</v>
      </c>
      <c r="I94" s="2" t="s">
        <v>732</v>
      </c>
      <c r="J94" s="2" t="s">
        <v>148</v>
      </c>
      <c r="K94" s="2" t="s">
        <v>764</v>
      </c>
      <c r="L94" s="2" t="s">
        <v>149</v>
      </c>
      <c r="M94" s="2" t="s">
        <v>749</v>
      </c>
      <c r="N94" s="2" t="s">
        <v>84</v>
      </c>
      <c r="O94" s="2" t="s">
        <v>90</v>
      </c>
      <c r="P94" s="5">
        <v>9417</v>
      </c>
      <c r="Q94" s="5">
        <v>3.9790999999999999</v>
      </c>
      <c r="R94" s="5">
        <v>5115</v>
      </c>
      <c r="S94" s="5">
        <v>0</v>
      </c>
      <c r="T94" s="5">
        <v>1916.6510900000001</v>
      </c>
      <c r="U94" s="6">
        <v>7.2199999999999993E-5</v>
      </c>
      <c r="V94" s="6">
        <v>7.2909000000000003E-3</v>
      </c>
      <c r="W94" s="6">
        <v>2.2958000000000002E-3</v>
      </c>
      <c r="X94" s="9">
        <v>70558952</v>
      </c>
      <c r="Y94" s="60" t="s">
        <v>4</v>
      </c>
      <c r="Z94" s="60" t="s">
        <v>1</v>
      </c>
      <c r="AA94">
        <f t="shared" ca="1" si="1"/>
        <v>0</v>
      </c>
    </row>
    <row r="95" spans="1:27">
      <c r="A95" s="2" t="s">
        <v>78</v>
      </c>
      <c r="B95" s="2" t="s">
        <v>96</v>
      </c>
      <c r="C95" s="2" t="s">
        <v>715</v>
      </c>
      <c r="D95" s="2" t="s">
        <v>716</v>
      </c>
      <c r="E95" s="2" t="s">
        <v>168</v>
      </c>
      <c r="F95" s="2" t="s">
        <v>839</v>
      </c>
      <c r="G95" s="2" t="s">
        <v>840</v>
      </c>
      <c r="H95" s="2" t="s">
        <v>183</v>
      </c>
      <c r="I95" s="2" t="s">
        <v>732</v>
      </c>
      <c r="J95" s="2" t="s">
        <v>148</v>
      </c>
      <c r="K95" s="2" t="s">
        <v>156</v>
      </c>
      <c r="L95" s="2" t="s">
        <v>584</v>
      </c>
      <c r="M95" s="2" t="s">
        <v>749</v>
      </c>
      <c r="N95" s="2" t="s">
        <v>84</v>
      </c>
      <c r="O95" s="2" t="s">
        <v>91</v>
      </c>
      <c r="P95" s="5">
        <v>343</v>
      </c>
      <c r="Q95" s="5">
        <v>3.681</v>
      </c>
      <c r="R95" s="5">
        <v>21030</v>
      </c>
      <c r="S95" s="5">
        <v>0</v>
      </c>
      <c r="T95" s="5">
        <v>265.52120000000002</v>
      </c>
      <c r="U95" s="6">
        <v>1.1000000000000001E-6</v>
      </c>
      <c r="V95" s="6">
        <v>1.01E-3</v>
      </c>
      <c r="W95" s="6">
        <v>3.1800000000000003E-4</v>
      </c>
      <c r="X95" s="9">
        <v>70543764</v>
      </c>
      <c r="Y95" s="60" t="s">
        <v>4</v>
      </c>
      <c r="Z95" s="60" t="s">
        <v>1</v>
      </c>
      <c r="AA95">
        <f t="shared" ca="1" si="1"/>
        <v>0</v>
      </c>
    </row>
    <row r="96" spans="1:27">
      <c r="A96" s="2" t="s">
        <v>78</v>
      </c>
      <c r="B96" s="2" t="s">
        <v>96</v>
      </c>
      <c r="C96" s="2" t="s">
        <v>715</v>
      </c>
      <c r="D96" s="2" t="s">
        <v>716</v>
      </c>
      <c r="E96" s="2" t="s">
        <v>168</v>
      </c>
      <c r="F96" s="2" t="s">
        <v>769</v>
      </c>
      <c r="G96" s="2" t="s">
        <v>770</v>
      </c>
      <c r="H96" s="2" t="s">
        <v>183</v>
      </c>
      <c r="I96" s="2" t="s">
        <v>732</v>
      </c>
      <c r="J96" s="2" t="s">
        <v>148</v>
      </c>
      <c r="K96" s="2" t="s">
        <v>156</v>
      </c>
      <c r="L96" s="2" t="s">
        <v>584</v>
      </c>
      <c r="M96" s="2" t="s">
        <v>749</v>
      </c>
      <c r="N96" s="2" t="s">
        <v>84</v>
      </c>
      <c r="O96" s="2" t="s">
        <v>91</v>
      </c>
      <c r="P96" s="5">
        <v>1004</v>
      </c>
      <c r="Q96" s="5">
        <v>3.681</v>
      </c>
      <c r="R96" s="5">
        <v>52573</v>
      </c>
      <c r="S96" s="5">
        <v>0</v>
      </c>
      <c r="T96" s="5">
        <v>1942.9529700000001</v>
      </c>
      <c r="U96" s="6">
        <v>1.1000000000000001E-6</v>
      </c>
      <c r="V96" s="6">
        <v>7.391E-3</v>
      </c>
      <c r="W96" s="6">
        <v>2.3273E-3</v>
      </c>
      <c r="X96" s="9">
        <v>70632914</v>
      </c>
      <c r="Y96" s="60" t="s">
        <v>4</v>
      </c>
      <c r="Z96" s="60" t="s">
        <v>1</v>
      </c>
      <c r="AA96">
        <f t="shared" ca="1" si="1"/>
        <v>0</v>
      </c>
    </row>
    <row r="97" spans="1:27">
      <c r="A97" s="2" t="s">
        <v>78</v>
      </c>
      <c r="B97" s="2" t="s">
        <v>96</v>
      </c>
      <c r="C97" s="2" t="s">
        <v>715</v>
      </c>
      <c r="D97" s="2" t="s">
        <v>716</v>
      </c>
      <c r="E97" s="2" t="s">
        <v>168</v>
      </c>
      <c r="F97" s="2" t="s">
        <v>771</v>
      </c>
      <c r="G97" s="2" t="s">
        <v>772</v>
      </c>
      <c r="H97" s="2" t="s">
        <v>183</v>
      </c>
      <c r="I97" s="2" t="s">
        <v>732</v>
      </c>
      <c r="J97" s="2" t="s">
        <v>148</v>
      </c>
      <c r="K97" s="2" t="s">
        <v>156</v>
      </c>
      <c r="L97" s="2" t="s">
        <v>149</v>
      </c>
      <c r="M97" s="2" t="s">
        <v>749</v>
      </c>
      <c r="N97" s="2" t="s">
        <v>84</v>
      </c>
      <c r="O97" s="2" t="s">
        <v>91</v>
      </c>
      <c r="P97" s="5">
        <v>1530</v>
      </c>
      <c r="Q97" s="5">
        <v>3.681</v>
      </c>
      <c r="R97" s="5">
        <v>11577</v>
      </c>
      <c r="S97" s="5">
        <v>0</v>
      </c>
      <c r="T97" s="5">
        <v>652.00852999999995</v>
      </c>
      <c r="U97" s="6">
        <v>5.3099999999999996E-5</v>
      </c>
      <c r="V97" s="6">
        <v>2.4802000000000001E-3</v>
      </c>
      <c r="W97" s="6">
        <v>7.8100000000000001E-4</v>
      </c>
      <c r="X97" s="9">
        <v>70775846</v>
      </c>
      <c r="Y97" s="60" t="s">
        <v>4</v>
      </c>
      <c r="Z97" s="60" t="s">
        <v>1</v>
      </c>
      <c r="AA97">
        <f t="shared" ca="1" si="1"/>
        <v>0</v>
      </c>
    </row>
    <row r="98" spans="1:27">
      <c r="A98" s="2" t="s">
        <v>78</v>
      </c>
      <c r="B98" s="2" t="s">
        <v>96</v>
      </c>
      <c r="C98" s="2" t="s">
        <v>723</v>
      </c>
      <c r="D98" s="2" t="s">
        <v>724</v>
      </c>
      <c r="E98" s="2" t="s">
        <v>168</v>
      </c>
      <c r="F98" s="2" t="s">
        <v>773</v>
      </c>
      <c r="G98" s="2" t="s">
        <v>774</v>
      </c>
      <c r="H98" s="2" t="s">
        <v>183</v>
      </c>
      <c r="I98" s="2" t="s">
        <v>732</v>
      </c>
      <c r="J98" s="2" t="s">
        <v>148</v>
      </c>
      <c r="K98" s="2" t="s">
        <v>156</v>
      </c>
      <c r="L98" s="2" t="s">
        <v>584</v>
      </c>
      <c r="M98" s="2" t="s">
        <v>749</v>
      </c>
      <c r="N98" s="2" t="s">
        <v>84</v>
      </c>
      <c r="O98" s="2" t="s">
        <v>91</v>
      </c>
      <c r="P98" s="5">
        <v>373</v>
      </c>
      <c r="Q98" s="5">
        <v>3.681</v>
      </c>
      <c r="R98" s="5">
        <v>48070</v>
      </c>
      <c r="S98" s="5">
        <v>0</v>
      </c>
      <c r="T98" s="5">
        <v>660.00734</v>
      </c>
      <c r="U98" s="6">
        <v>4.0000000000000003E-7</v>
      </c>
      <c r="V98" s="6">
        <v>2.5107000000000003E-3</v>
      </c>
      <c r="W98" s="6">
        <v>7.9060000000000003E-4</v>
      </c>
      <c r="X98" s="9">
        <v>74463126</v>
      </c>
      <c r="Y98" s="60" t="s">
        <v>4</v>
      </c>
      <c r="Z98" s="60" t="s">
        <v>1</v>
      </c>
      <c r="AA98">
        <f t="shared" ca="1" si="1"/>
        <v>0</v>
      </c>
    </row>
    <row r="99" spans="1:27">
      <c r="A99" s="2" t="s">
        <v>78</v>
      </c>
      <c r="B99" s="2" t="s">
        <v>96</v>
      </c>
      <c r="C99" s="2" t="s">
        <v>778</v>
      </c>
      <c r="D99" s="2" t="s">
        <v>779</v>
      </c>
      <c r="E99" s="2" t="s">
        <v>168</v>
      </c>
      <c r="F99" s="2" t="s">
        <v>780</v>
      </c>
      <c r="G99" s="2" t="s">
        <v>781</v>
      </c>
      <c r="H99" s="2" t="s">
        <v>183</v>
      </c>
      <c r="I99" s="2" t="s">
        <v>732</v>
      </c>
      <c r="J99" s="2" t="s">
        <v>148</v>
      </c>
      <c r="K99" s="2" t="s">
        <v>782</v>
      </c>
      <c r="L99" s="2" t="s">
        <v>149</v>
      </c>
      <c r="M99" s="2" t="s">
        <v>749</v>
      </c>
      <c r="N99" s="2" t="s">
        <v>84</v>
      </c>
      <c r="O99" s="2" t="s">
        <v>91</v>
      </c>
      <c r="P99" s="5">
        <v>530</v>
      </c>
      <c r="Q99" s="5">
        <v>3.681</v>
      </c>
      <c r="R99" s="5">
        <v>10850</v>
      </c>
      <c r="S99" s="5">
        <v>0</v>
      </c>
      <c r="T99" s="5">
        <v>211.67590000000001</v>
      </c>
      <c r="U99" s="6">
        <v>1.22E-5</v>
      </c>
      <c r="V99" s="6">
        <v>8.0519999999999995E-4</v>
      </c>
      <c r="W99" s="6">
        <v>2.5350000000000004E-4</v>
      </c>
      <c r="X99" s="9">
        <v>70761341</v>
      </c>
      <c r="Y99" s="60" t="s">
        <v>4</v>
      </c>
      <c r="Z99" s="60" t="s">
        <v>1</v>
      </c>
      <c r="AA99">
        <f t="shared" ca="1" si="1"/>
        <v>0</v>
      </c>
    </row>
    <row r="100" spans="1:27">
      <c r="A100" s="2" t="s">
        <v>78</v>
      </c>
      <c r="B100" s="2" t="s">
        <v>96</v>
      </c>
      <c r="C100" s="2" t="s">
        <v>754</v>
      </c>
      <c r="D100" s="2" t="s">
        <v>755</v>
      </c>
      <c r="E100" s="2" t="s">
        <v>168</v>
      </c>
      <c r="F100" s="2" t="s">
        <v>791</v>
      </c>
      <c r="G100" s="2" t="s">
        <v>792</v>
      </c>
      <c r="H100" s="2" t="s">
        <v>183</v>
      </c>
      <c r="I100" s="2" t="s">
        <v>732</v>
      </c>
      <c r="J100" s="2" t="s">
        <v>148</v>
      </c>
      <c r="K100" s="2" t="s">
        <v>156</v>
      </c>
      <c r="L100" s="2" t="s">
        <v>627</v>
      </c>
      <c r="M100" s="2" t="s">
        <v>749</v>
      </c>
      <c r="N100" s="2" t="s">
        <v>84</v>
      </c>
      <c r="O100" s="2" t="s">
        <v>91</v>
      </c>
      <c r="P100" s="5">
        <v>70</v>
      </c>
      <c r="Q100" s="5">
        <v>3.681</v>
      </c>
      <c r="R100" s="5">
        <v>102524</v>
      </c>
      <c r="S100" s="5">
        <v>0</v>
      </c>
      <c r="T100" s="5">
        <v>264.17358999999999</v>
      </c>
      <c r="U100" s="6">
        <v>3.4999999999999999E-6</v>
      </c>
      <c r="V100" s="6">
        <v>1.0049E-3</v>
      </c>
      <c r="W100" s="6">
        <v>3.1639999999999999E-4</v>
      </c>
      <c r="X100" s="9">
        <v>74657628</v>
      </c>
      <c r="Y100" s="60" t="s">
        <v>4</v>
      </c>
      <c r="Z100" s="60" t="s">
        <v>1</v>
      </c>
      <c r="AA100">
        <f t="shared" ca="1" si="1"/>
        <v>0</v>
      </c>
    </row>
    <row r="101" spans="1:27">
      <c r="A101" s="2" t="s">
        <v>78</v>
      </c>
      <c r="B101" s="2" t="s">
        <v>96</v>
      </c>
      <c r="C101" s="2" t="s">
        <v>793</v>
      </c>
      <c r="D101" s="2" t="s">
        <v>794</v>
      </c>
      <c r="E101" s="2" t="s">
        <v>168</v>
      </c>
      <c r="F101" s="2" t="s">
        <v>795</v>
      </c>
      <c r="G101" s="2" t="s">
        <v>796</v>
      </c>
      <c r="H101" s="2" t="s">
        <v>183</v>
      </c>
      <c r="I101" s="2" t="s">
        <v>732</v>
      </c>
      <c r="J101" s="2" t="s">
        <v>148</v>
      </c>
      <c r="K101" s="2" t="s">
        <v>671</v>
      </c>
      <c r="L101" s="2" t="s">
        <v>590</v>
      </c>
      <c r="M101" s="2" t="s">
        <v>749</v>
      </c>
      <c r="N101" s="2" t="s">
        <v>84</v>
      </c>
      <c r="O101" s="2" t="s">
        <v>91</v>
      </c>
      <c r="P101" s="5">
        <v>11600</v>
      </c>
      <c r="Q101" s="5">
        <v>3.681</v>
      </c>
      <c r="R101" s="5">
        <v>2625</v>
      </c>
      <c r="S101" s="5">
        <v>0</v>
      </c>
      <c r="T101" s="5">
        <v>1120.8644999999999</v>
      </c>
      <c r="U101" s="6">
        <v>5.6100000000000002E-5</v>
      </c>
      <c r="V101" s="6">
        <v>4.2637999999999999E-3</v>
      </c>
      <c r="W101" s="6">
        <v>1.3426E-3</v>
      </c>
      <c r="X101" s="9">
        <v>74864851</v>
      </c>
      <c r="Y101" s="60" t="s">
        <v>4</v>
      </c>
      <c r="Z101" s="60" t="s">
        <v>1</v>
      </c>
      <c r="AA101">
        <f t="shared" ca="1" si="1"/>
        <v>0</v>
      </c>
    </row>
    <row r="102" spans="1:27">
      <c r="A102" s="2" t="s">
        <v>78</v>
      </c>
      <c r="B102" s="2" t="s">
        <v>96</v>
      </c>
      <c r="C102" s="2" t="s">
        <v>715</v>
      </c>
      <c r="D102" s="2" t="s">
        <v>716</v>
      </c>
      <c r="E102" s="2" t="s">
        <v>168</v>
      </c>
      <c r="F102" s="2" t="s">
        <v>717</v>
      </c>
      <c r="G102" s="2" t="s">
        <v>718</v>
      </c>
      <c r="H102" s="2" t="s">
        <v>183</v>
      </c>
      <c r="I102" s="2" t="s">
        <v>719</v>
      </c>
      <c r="J102" s="2" t="s">
        <v>148</v>
      </c>
      <c r="K102" s="2" t="s">
        <v>156</v>
      </c>
      <c r="L102" s="2" t="s">
        <v>627</v>
      </c>
      <c r="M102" s="2" t="s">
        <v>720</v>
      </c>
      <c r="N102" s="2" t="s">
        <v>84</v>
      </c>
      <c r="O102" s="2" t="s">
        <v>91</v>
      </c>
      <c r="P102" s="5">
        <v>23558</v>
      </c>
      <c r="Q102" s="5">
        <v>3.681</v>
      </c>
      <c r="R102" s="5">
        <v>571.15</v>
      </c>
      <c r="S102" s="5">
        <v>0</v>
      </c>
      <c r="T102" s="5">
        <v>495.28413</v>
      </c>
      <c r="U102" s="6">
        <v>3.2400000000000001E-5</v>
      </c>
      <c r="V102" s="6">
        <v>1.8840999999999999E-3</v>
      </c>
      <c r="W102" s="6">
        <v>5.9330000000000006E-4</v>
      </c>
      <c r="X102" s="9">
        <v>75930313</v>
      </c>
      <c r="Y102" s="60" t="s">
        <v>4</v>
      </c>
      <c r="Z102" s="60" t="s">
        <v>1</v>
      </c>
      <c r="AA102">
        <f t="shared" ca="1" si="1"/>
        <v>0</v>
      </c>
    </row>
    <row r="103" spans="1:27">
      <c r="A103" s="2" t="s">
        <v>78</v>
      </c>
      <c r="B103" s="2" t="s">
        <v>96</v>
      </c>
      <c r="C103" s="2" t="s">
        <v>727</v>
      </c>
      <c r="D103" s="2" t="s">
        <v>728</v>
      </c>
      <c r="E103" s="2" t="s">
        <v>168</v>
      </c>
      <c r="F103" s="2" t="s">
        <v>797</v>
      </c>
      <c r="G103" s="2" t="s">
        <v>798</v>
      </c>
      <c r="H103" s="2" t="s">
        <v>183</v>
      </c>
      <c r="I103" s="2" t="s">
        <v>732</v>
      </c>
      <c r="J103" s="2" t="s">
        <v>148</v>
      </c>
      <c r="K103" s="2" t="s">
        <v>156</v>
      </c>
      <c r="L103" s="2" t="s">
        <v>627</v>
      </c>
      <c r="M103" s="2" t="s">
        <v>749</v>
      </c>
      <c r="N103" s="2" t="s">
        <v>84</v>
      </c>
      <c r="O103" s="2" t="s">
        <v>91</v>
      </c>
      <c r="P103" s="5">
        <v>3453</v>
      </c>
      <c r="Q103" s="5">
        <v>3.681</v>
      </c>
      <c r="R103" s="5">
        <v>3552.75</v>
      </c>
      <c r="S103" s="5">
        <v>0</v>
      </c>
      <c r="T103" s="5">
        <v>451.57204000000002</v>
      </c>
      <c r="U103" s="6">
        <v>1.573E-4</v>
      </c>
      <c r="V103" s="6">
        <v>1.7177999999999998E-3</v>
      </c>
      <c r="W103" s="6">
        <v>5.4089999999999997E-4</v>
      </c>
      <c r="X103" s="9">
        <v>75353904</v>
      </c>
      <c r="Y103" s="60" t="s">
        <v>4</v>
      </c>
      <c r="Z103" s="60" t="s">
        <v>1</v>
      </c>
      <c r="AA103">
        <f t="shared" ca="1" si="1"/>
        <v>0</v>
      </c>
    </row>
    <row r="104" spans="1:27">
      <c r="A104" s="2" t="s">
        <v>78</v>
      </c>
      <c r="B104" s="2" t="s">
        <v>96</v>
      </c>
      <c r="C104" s="2" t="s">
        <v>799</v>
      </c>
      <c r="D104" s="2" t="s">
        <v>800</v>
      </c>
      <c r="E104" s="2" t="s">
        <v>168</v>
      </c>
      <c r="F104" s="2" t="s">
        <v>801</v>
      </c>
      <c r="G104" s="2" t="s">
        <v>802</v>
      </c>
      <c r="H104" s="2" t="s">
        <v>183</v>
      </c>
      <c r="I104" s="2" t="s">
        <v>732</v>
      </c>
      <c r="J104" s="2" t="s">
        <v>148</v>
      </c>
      <c r="K104" s="2" t="s">
        <v>782</v>
      </c>
      <c r="L104" s="2" t="s">
        <v>627</v>
      </c>
      <c r="M104" s="2" t="s">
        <v>749</v>
      </c>
      <c r="N104" s="2" t="s">
        <v>84</v>
      </c>
      <c r="O104" s="2" t="s">
        <v>91</v>
      </c>
      <c r="P104" s="5">
        <v>1620</v>
      </c>
      <c r="Q104" s="5">
        <v>3.681</v>
      </c>
      <c r="R104" s="5">
        <v>4107</v>
      </c>
      <c r="S104" s="5">
        <v>0</v>
      </c>
      <c r="T104" s="5">
        <v>244.90943999999999</v>
      </c>
      <c r="U104" s="6">
        <v>9.567E-4</v>
      </c>
      <c r="V104" s="6">
        <v>9.3160000000000009E-4</v>
      </c>
      <c r="W104" s="6">
        <v>2.9340000000000003E-4</v>
      </c>
      <c r="X104" s="9">
        <v>76034412</v>
      </c>
      <c r="Y104" s="60" t="s">
        <v>4</v>
      </c>
      <c r="Z104" s="60" t="s">
        <v>1</v>
      </c>
      <c r="AA104">
        <f t="shared" ca="1" si="1"/>
        <v>0</v>
      </c>
    </row>
    <row r="105" spans="1:27">
      <c r="A105" s="2" t="s">
        <v>78</v>
      </c>
      <c r="B105" s="2" t="s">
        <v>96</v>
      </c>
      <c r="C105" s="2" t="s">
        <v>803</v>
      </c>
      <c r="D105" s="2" t="s">
        <v>804</v>
      </c>
      <c r="E105" s="2" t="s">
        <v>168</v>
      </c>
      <c r="F105" s="2" t="s">
        <v>805</v>
      </c>
      <c r="G105" s="2" t="s">
        <v>806</v>
      </c>
      <c r="H105" s="2" t="s">
        <v>183</v>
      </c>
      <c r="I105" s="2" t="s">
        <v>732</v>
      </c>
      <c r="J105" s="2" t="s">
        <v>148</v>
      </c>
      <c r="K105" s="2" t="s">
        <v>807</v>
      </c>
      <c r="L105" s="2" t="s">
        <v>590</v>
      </c>
      <c r="M105" s="2" t="s">
        <v>749</v>
      </c>
      <c r="N105" s="2" t="s">
        <v>84</v>
      </c>
      <c r="O105" s="2" t="s">
        <v>91</v>
      </c>
      <c r="P105" s="5">
        <v>6900</v>
      </c>
      <c r="Q105" s="5">
        <v>3.681</v>
      </c>
      <c r="R105" s="5">
        <v>2975</v>
      </c>
      <c r="S105" s="5">
        <v>0</v>
      </c>
      <c r="T105" s="5">
        <v>755.61726999999996</v>
      </c>
      <c r="U105" s="6">
        <v>2.6340000000000001E-4</v>
      </c>
      <c r="V105" s="6">
        <v>2.8743999999999996E-3</v>
      </c>
      <c r="W105" s="6">
        <v>9.0509999999999994E-4</v>
      </c>
      <c r="X105" s="9">
        <v>76755354</v>
      </c>
      <c r="Y105" s="60" t="s">
        <v>4</v>
      </c>
      <c r="Z105" s="60" t="s">
        <v>1</v>
      </c>
      <c r="AA105">
        <f t="shared" ca="1" si="1"/>
        <v>0</v>
      </c>
    </row>
    <row r="106" spans="1:27">
      <c r="A106" s="2" t="s">
        <v>78</v>
      </c>
      <c r="B106" s="2" t="s">
        <v>96</v>
      </c>
      <c r="C106" s="2" t="s">
        <v>808</v>
      </c>
      <c r="D106" s="2" t="s">
        <v>809</v>
      </c>
      <c r="E106" s="2" t="s">
        <v>168</v>
      </c>
      <c r="F106" s="2" t="s">
        <v>810</v>
      </c>
      <c r="G106" s="2" t="s">
        <v>811</v>
      </c>
      <c r="H106" s="2" t="s">
        <v>183</v>
      </c>
      <c r="I106" s="2" t="s">
        <v>732</v>
      </c>
      <c r="J106" s="2" t="s">
        <v>148</v>
      </c>
      <c r="K106" s="2" t="s">
        <v>671</v>
      </c>
      <c r="L106" s="2" t="s">
        <v>627</v>
      </c>
      <c r="M106" s="2" t="s">
        <v>749</v>
      </c>
      <c r="N106" s="2" t="s">
        <v>84</v>
      </c>
      <c r="O106" s="2" t="s">
        <v>91</v>
      </c>
      <c r="P106" s="5">
        <v>1398</v>
      </c>
      <c r="Q106" s="5">
        <v>3.681</v>
      </c>
      <c r="R106" s="5">
        <v>13550</v>
      </c>
      <c r="S106" s="5">
        <v>0</v>
      </c>
      <c r="T106" s="5">
        <v>697.28814</v>
      </c>
      <c r="U106" s="6">
        <v>1.0321E-3</v>
      </c>
      <c r="V106" s="6">
        <v>2.6524999999999999E-3</v>
      </c>
      <c r="W106" s="6">
        <v>8.3519999999999992E-4</v>
      </c>
      <c r="X106" s="9">
        <v>77196061</v>
      </c>
      <c r="Y106" s="60" t="s">
        <v>4</v>
      </c>
      <c r="Z106" s="60" t="s">
        <v>1</v>
      </c>
      <c r="AA106">
        <f t="shared" ca="1" si="1"/>
        <v>0</v>
      </c>
    </row>
    <row r="107" spans="1:27">
      <c r="A107" s="2" t="s">
        <v>78</v>
      </c>
      <c r="B107" s="2" t="s">
        <v>96</v>
      </c>
      <c r="C107" s="2" t="s">
        <v>808</v>
      </c>
      <c r="D107" s="2" t="s">
        <v>809</v>
      </c>
      <c r="E107" s="2" t="s">
        <v>168</v>
      </c>
      <c r="F107" s="2" t="s">
        <v>812</v>
      </c>
      <c r="G107" s="2" t="s">
        <v>813</v>
      </c>
      <c r="H107" s="2" t="s">
        <v>183</v>
      </c>
      <c r="I107" s="2" t="s">
        <v>732</v>
      </c>
      <c r="J107" s="2" t="s">
        <v>148</v>
      </c>
      <c r="K107" s="2" t="s">
        <v>156</v>
      </c>
      <c r="L107" s="2" t="s">
        <v>627</v>
      </c>
      <c r="M107" s="2" t="s">
        <v>749</v>
      </c>
      <c r="N107" s="2" t="s">
        <v>84</v>
      </c>
      <c r="O107" s="2" t="s">
        <v>91</v>
      </c>
      <c r="P107" s="5">
        <v>2091</v>
      </c>
      <c r="Q107" s="5">
        <v>3.681</v>
      </c>
      <c r="R107" s="5">
        <v>37152.5</v>
      </c>
      <c r="S107" s="5">
        <v>0</v>
      </c>
      <c r="T107" s="5">
        <v>2859.61715</v>
      </c>
      <c r="U107" s="6">
        <v>2.0299999999999997E-4</v>
      </c>
      <c r="V107" s="6">
        <v>1.0878000000000001E-2</v>
      </c>
      <c r="W107" s="6">
        <v>3.4253E-3</v>
      </c>
      <c r="X107" s="9">
        <v>77414241</v>
      </c>
      <c r="Y107" s="60" t="s">
        <v>4</v>
      </c>
      <c r="Z107" s="60" t="s">
        <v>1</v>
      </c>
      <c r="AA107">
        <f t="shared" ca="1" si="1"/>
        <v>0</v>
      </c>
    </row>
    <row r="108" spans="1:27">
      <c r="A108" s="2" t="s">
        <v>78</v>
      </c>
      <c r="B108" s="2" t="s">
        <v>96</v>
      </c>
      <c r="C108" s="2" t="s">
        <v>723</v>
      </c>
      <c r="D108" s="2" t="s">
        <v>724</v>
      </c>
      <c r="E108" s="2" t="s">
        <v>168</v>
      </c>
      <c r="F108" s="2" t="s">
        <v>725</v>
      </c>
      <c r="G108" s="2" t="s">
        <v>726</v>
      </c>
      <c r="H108" s="2" t="s">
        <v>183</v>
      </c>
      <c r="I108" s="2" t="s">
        <v>719</v>
      </c>
      <c r="J108" s="2" t="s">
        <v>148</v>
      </c>
      <c r="K108" s="2" t="s">
        <v>156</v>
      </c>
      <c r="L108" s="2" t="s">
        <v>627</v>
      </c>
      <c r="M108" s="2" t="s">
        <v>720</v>
      </c>
      <c r="N108" s="2" t="s">
        <v>84</v>
      </c>
      <c r="O108" s="2" t="s">
        <v>91</v>
      </c>
      <c r="P108" s="5">
        <v>6750</v>
      </c>
      <c r="Q108" s="5">
        <v>3.681</v>
      </c>
      <c r="R108" s="5">
        <v>5525</v>
      </c>
      <c r="S108" s="5">
        <v>0</v>
      </c>
      <c r="T108" s="5">
        <v>1372.7829300000001</v>
      </c>
      <c r="U108" s="6">
        <v>2.0019999999999999E-4</v>
      </c>
      <c r="V108" s="6">
        <v>5.2220999999999995E-3</v>
      </c>
      <c r="W108" s="6">
        <v>1.6443E-3</v>
      </c>
      <c r="X108" s="9">
        <v>77075851</v>
      </c>
      <c r="Y108" s="60" t="s">
        <v>4</v>
      </c>
      <c r="Z108" s="60" t="s">
        <v>1</v>
      </c>
      <c r="AA108">
        <f t="shared" ca="1" si="1"/>
        <v>0</v>
      </c>
    </row>
    <row r="109" spans="1:27">
      <c r="A109" s="2" t="s">
        <v>78</v>
      </c>
      <c r="B109" s="2" t="s">
        <v>96</v>
      </c>
      <c r="C109" s="2" t="s">
        <v>808</v>
      </c>
      <c r="D109" s="2" t="s">
        <v>809</v>
      </c>
      <c r="E109" s="2" t="s">
        <v>168</v>
      </c>
      <c r="F109" s="2" t="s">
        <v>814</v>
      </c>
      <c r="G109" s="2" t="s">
        <v>815</v>
      </c>
      <c r="H109" s="2" t="s">
        <v>183</v>
      </c>
      <c r="I109" s="2" t="s">
        <v>732</v>
      </c>
      <c r="J109" s="2" t="s">
        <v>148</v>
      </c>
      <c r="K109" s="2" t="s">
        <v>671</v>
      </c>
      <c r="L109" s="2" t="s">
        <v>627</v>
      </c>
      <c r="M109" s="2" t="s">
        <v>749</v>
      </c>
      <c r="N109" s="2" t="s">
        <v>84</v>
      </c>
      <c r="O109" s="2" t="s">
        <v>91</v>
      </c>
      <c r="P109" s="5">
        <v>12104</v>
      </c>
      <c r="Q109" s="5">
        <v>3.681</v>
      </c>
      <c r="R109" s="5">
        <v>1434.9</v>
      </c>
      <c r="S109" s="5">
        <v>0</v>
      </c>
      <c r="T109" s="5">
        <v>639.31715999999994</v>
      </c>
      <c r="U109" s="6">
        <v>6.4769999999999997E-4</v>
      </c>
      <c r="V109" s="6">
        <v>2.4320000000000001E-3</v>
      </c>
      <c r="W109" s="6">
        <v>7.6579999999999997E-4</v>
      </c>
      <c r="X109" s="9">
        <v>77530517</v>
      </c>
      <c r="Y109" s="60" t="s">
        <v>4</v>
      </c>
      <c r="Z109" s="60" t="s">
        <v>1</v>
      </c>
      <c r="AA109">
        <f t="shared" ca="1" si="1"/>
        <v>0</v>
      </c>
    </row>
    <row r="110" spans="1:27">
      <c r="A110" s="2" t="s">
        <v>78</v>
      </c>
      <c r="B110" s="2" t="s">
        <v>96</v>
      </c>
      <c r="C110" s="2" t="s">
        <v>727</v>
      </c>
      <c r="D110" s="2" t="s">
        <v>728</v>
      </c>
      <c r="E110" s="2" t="s">
        <v>168</v>
      </c>
      <c r="F110" s="2" t="s">
        <v>816</v>
      </c>
      <c r="G110" s="2" t="s">
        <v>817</v>
      </c>
      <c r="H110" s="2" t="s">
        <v>183</v>
      </c>
      <c r="I110" s="2" t="s">
        <v>732</v>
      </c>
      <c r="J110" s="2" t="s">
        <v>148</v>
      </c>
      <c r="K110" s="2" t="s">
        <v>156</v>
      </c>
      <c r="L110" s="2" t="s">
        <v>584</v>
      </c>
      <c r="M110" s="2" t="s">
        <v>749</v>
      </c>
      <c r="N110" s="2" t="s">
        <v>84</v>
      </c>
      <c r="O110" s="2" t="s">
        <v>91</v>
      </c>
      <c r="P110" s="5">
        <v>14605</v>
      </c>
      <c r="Q110" s="5">
        <v>3.681</v>
      </c>
      <c r="R110" s="5">
        <v>6153</v>
      </c>
      <c r="S110" s="5">
        <v>0</v>
      </c>
      <c r="T110" s="5">
        <v>3307.9146300000002</v>
      </c>
      <c r="U110" s="6">
        <v>2.6800000000000001E-5</v>
      </c>
      <c r="V110" s="6">
        <v>1.2583299999999999E-2</v>
      </c>
      <c r="W110" s="6">
        <v>3.9623000000000002E-3</v>
      </c>
      <c r="X110" s="9">
        <v>76394998</v>
      </c>
      <c r="Y110" s="60" t="s">
        <v>4</v>
      </c>
      <c r="Z110" s="60" t="s">
        <v>1</v>
      </c>
      <c r="AA110">
        <f t="shared" ca="1" si="1"/>
        <v>0</v>
      </c>
    </row>
    <row r="111" spans="1:27">
      <c r="A111" s="2" t="s">
        <v>78</v>
      </c>
      <c r="B111" s="2" t="s">
        <v>96</v>
      </c>
      <c r="C111" s="2" t="s">
        <v>727</v>
      </c>
      <c r="D111" s="2" t="s">
        <v>728</v>
      </c>
      <c r="E111" s="2" t="s">
        <v>168</v>
      </c>
      <c r="F111" s="2" t="s">
        <v>818</v>
      </c>
      <c r="G111" s="2" t="s">
        <v>819</v>
      </c>
      <c r="H111" s="2" t="s">
        <v>183</v>
      </c>
      <c r="I111" s="2" t="s">
        <v>732</v>
      </c>
      <c r="J111" s="2" t="s">
        <v>148</v>
      </c>
      <c r="K111" s="2" t="s">
        <v>156</v>
      </c>
      <c r="L111" s="2" t="s">
        <v>627</v>
      </c>
      <c r="M111" s="2" t="s">
        <v>749</v>
      </c>
      <c r="N111" s="2" t="s">
        <v>84</v>
      </c>
      <c r="O111" s="2" t="s">
        <v>91</v>
      </c>
      <c r="P111" s="5">
        <v>1360</v>
      </c>
      <c r="Q111" s="5">
        <v>3.681</v>
      </c>
      <c r="R111" s="5">
        <v>10869.5</v>
      </c>
      <c r="S111" s="5">
        <v>0</v>
      </c>
      <c r="T111" s="5">
        <v>544.14455999999996</v>
      </c>
      <c r="U111" s="6">
        <v>1.3530000000000001E-4</v>
      </c>
      <c r="V111" s="6">
        <v>2.0699E-3</v>
      </c>
      <c r="W111" s="6">
        <v>6.5180000000000001E-4</v>
      </c>
      <c r="X111" s="9">
        <v>75859280</v>
      </c>
      <c r="Y111" s="60" t="s">
        <v>4</v>
      </c>
      <c r="Z111" s="60" t="s">
        <v>1</v>
      </c>
      <c r="AA111">
        <f t="shared" ca="1" si="1"/>
        <v>0</v>
      </c>
    </row>
    <row r="112" spans="1:27">
      <c r="A112" s="2" t="s">
        <v>78</v>
      </c>
      <c r="B112" s="2" t="s">
        <v>96</v>
      </c>
      <c r="C112" s="2" t="s">
        <v>841</v>
      </c>
      <c r="D112" s="2" t="s">
        <v>842</v>
      </c>
      <c r="E112" s="2" t="s">
        <v>168</v>
      </c>
      <c r="F112" s="2" t="s">
        <v>843</v>
      </c>
      <c r="G112" s="2" t="s">
        <v>844</v>
      </c>
      <c r="H112" s="2" t="s">
        <v>183</v>
      </c>
      <c r="I112" s="2" t="s">
        <v>732</v>
      </c>
      <c r="J112" s="2" t="s">
        <v>148</v>
      </c>
      <c r="K112" s="2" t="s">
        <v>156</v>
      </c>
      <c r="L112" s="2" t="s">
        <v>149</v>
      </c>
      <c r="M112" s="2" t="s">
        <v>749</v>
      </c>
      <c r="N112" s="2" t="s">
        <v>84</v>
      </c>
      <c r="O112" s="2" t="s">
        <v>91</v>
      </c>
      <c r="P112" s="5">
        <v>820</v>
      </c>
      <c r="Q112" s="5">
        <v>3.681</v>
      </c>
      <c r="R112" s="5">
        <v>10227.780000000001</v>
      </c>
      <c r="S112" s="5">
        <v>0</v>
      </c>
      <c r="T112" s="5">
        <v>308.71735000000001</v>
      </c>
      <c r="U112" s="6">
        <v>1.9199999999999999E-5</v>
      </c>
      <c r="V112" s="6">
        <v>1.1743999999999999E-3</v>
      </c>
      <c r="W112" s="6">
        <v>3.6979999999999999E-4</v>
      </c>
      <c r="X112" s="9">
        <v>77697514</v>
      </c>
      <c r="Y112" s="60" t="s">
        <v>4</v>
      </c>
      <c r="Z112" s="60" t="s">
        <v>1</v>
      </c>
      <c r="AA112">
        <f t="shared" ca="1" si="1"/>
        <v>0</v>
      </c>
    </row>
    <row r="113" spans="1:27">
      <c r="A113" s="2" t="s">
        <v>78</v>
      </c>
      <c r="B113" s="2" t="s">
        <v>96</v>
      </c>
      <c r="C113" s="2" t="s">
        <v>723</v>
      </c>
      <c r="D113" s="2" t="s">
        <v>724</v>
      </c>
      <c r="E113" s="2" t="s">
        <v>168</v>
      </c>
      <c r="F113" s="2" t="s">
        <v>820</v>
      </c>
      <c r="G113" s="2" t="s">
        <v>821</v>
      </c>
      <c r="H113" s="2" t="s">
        <v>183</v>
      </c>
      <c r="I113" s="2" t="s">
        <v>732</v>
      </c>
      <c r="J113" s="2" t="s">
        <v>148</v>
      </c>
      <c r="K113" s="2" t="s">
        <v>822</v>
      </c>
      <c r="L113" s="2" t="s">
        <v>627</v>
      </c>
      <c r="M113" s="2" t="s">
        <v>749</v>
      </c>
      <c r="N113" s="2" t="s">
        <v>84</v>
      </c>
      <c r="O113" s="2" t="s">
        <v>91</v>
      </c>
      <c r="P113" s="5">
        <v>240</v>
      </c>
      <c r="Q113" s="5">
        <v>3.681</v>
      </c>
      <c r="R113" s="5">
        <v>5682.5</v>
      </c>
      <c r="S113" s="5">
        <v>0</v>
      </c>
      <c r="T113" s="5">
        <v>50.20147</v>
      </c>
      <c r="U113" s="6">
        <v>6.1E-6</v>
      </c>
      <c r="V113" s="6">
        <v>1.9099999999999998E-4</v>
      </c>
      <c r="W113" s="6">
        <v>6.0099999999999997E-5</v>
      </c>
      <c r="X113" s="9">
        <v>75918839</v>
      </c>
      <c r="Y113" s="60" t="s">
        <v>4</v>
      </c>
      <c r="Z113" s="60" t="s">
        <v>1</v>
      </c>
      <c r="AA113">
        <f t="shared" ca="1" si="1"/>
        <v>0</v>
      </c>
    </row>
    <row r="114" spans="1:27">
      <c r="A114" s="2" t="s">
        <v>78</v>
      </c>
      <c r="B114" s="2" t="s">
        <v>96</v>
      </c>
      <c r="C114" s="2" t="s">
        <v>727</v>
      </c>
      <c r="D114" s="2" t="s">
        <v>728</v>
      </c>
      <c r="E114" s="2" t="s">
        <v>168</v>
      </c>
      <c r="F114" s="2" t="s">
        <v>823</v>
      </c>
      <c r="G114" s="2" t="s">
        <v>824</v>
      </c>
      <c r="H114" s="2" t="s">
        <v>183</v>
      </c>
      <c r="I114" s="2" t="s">
        <v>732</v>
      </c>
      <c r="J114" s="2" t="s">
        <v>148</v>
      </c>
      <c r="K114" s="2" t="s">
        <v>156</v>
      </c>
      <c r="L114" s="2" t="s">
        <v>627</v>
      </c>
      <c r="M114" s="2" t="s">
        <v>749</v>
      </c>
      <c r="N114" s="2" t="s">
        <v>84</v>
      </c>
      <c r="O114" s="2" t="s">
        <v>91</v>
      </c>
      <c r="P114" s="5">
        <v>1300</v>
      </c>
      <c r="Q114" s="5">
        <v>3.681</v>
      </c>
      <c r="R114" s="5">
        <v>4855.88</v>
      </c>
      <c r="S114" s="5">
        <v>0</v>
      </c>
      <c r="T114" s="5">
        <v>232.36841999999999</v>
      </c>
      <c r="U114" s="6">
        <v>1.7440000000000001E-4</v>
      </c>
      <c r="V114" s="6">
        <v>8.8389999999999996E-4</v>
      </c>
      <c r="W114" s="6">
        <v>2.7829999999999999E-4</v>
      </c>
      <c r="X114" s="9">
        <v>75352146</v>
      </c>
      <c r="Y114" s="60" t="s">
        <v>4</v>
      </c>
      <c r="Z114" s="60" t="s">
        <v>1</v>
      </c>
      <c r="AA114">
        <f t="shared" ca="1" si="1"/>
        <v>0</v>
      </c>
    </row>
    <row r="115" spans="1:27">
      <c r="A115" s="2" t="s">
        <v>78</v>
      </c>
      <c r="B115" s="2" t="s">
        <v>96</v>
      </c>
      <c r="C115" s="2" t="s">
        <v>727</v>
      </c>
      <c r="D115" s="2" t="s">
        <v>728</v>
      </c>
      <c r="E115" s="2" t="s">
        <v>168</v>
      </c>
      <c r="F115" s="2" t="s">
        <v>729</v>
      </c>
      <c r="G115" s="2" t="s">
        <v>730</v>
      </c>
      <c r="H115" s="2" t="s">
        <v>183</v>
      </c>
      <c r="I115" s="2" t="s">
        <v>719</v>
      </c>
      <c r="J115" s="2" t="s">
        <v>148</v>
      </c>
      <c r="K115" s="2" t="s">
        <v>156</v>
      </c>
      <c r="L115" s="2" t="s">
        <v>627</v>
      </c>
      <c r="M115" s="2" t="s">
        <v>720</v>
      </c>
      <c r="N115" s="2" t="s">
        <v>84</v>
      </c>
      <c r="O115" s="2" t="s">
        <v>91</v>
      </c>
      <c r="P115" s="5">
        <v>12100</v>
      </c>
      <c r="Q115" s="5">
        <v>3.681</v>
      </c>
      <c r="R115" s="5">
        <v>2760.5</v>
      </c>
      <c r="S115" s="5">
        <v>0</v>
      </c>
      <c r="T115" s="5">
        <v>1229.52946</v>
      </c>
      <c r="U115" s="6">
        <v>4.7999999999999994E-5</v>
      </c>
      <c r="V115" s="6">
        <v>4.6771E-3</v>
      </c>
      <c r="W115" s="6">
        <v>1.4727000000000002E-3</v>
      </c>
      <c r="X115" s="9">
        <v>77749059</v>
      </c>
      <c r="Y115" s="60" t="s">
        <v>4</v>
      </c>
      <c r="Z115" s="60" t="s">
        <v>1</v>
      </c>
      <c r="AA115">
        <f t="shared" ca="1" si="1"/>
        <v>0</v>
      </c>
    </row>
    <row r="116" spans="1:27">
      <c r="A116" s="2" t="s">
        <v>78</v>
      </c>
      <c r="B116" s="2" t="s">
        <v>96</v>
      </c>
      <c r="C116" s="2" t="s">
        <v>727</v>
      </c>
      <c r="D116" s="2" t="s">
        <v>728</v>
      </c>
      <c r="E116" s="2" t="s">
        <v>168</v>
      </c>
      <c r="F116" s="2" t="s">
        <v>825</v>
      </c>
      <c r="G116" s="2" t="s">
        <v>826</v>
      </c>
      <c r="H116" s="2" t="s">
        <v>183</v>
      </c>
      <c r="I116" s="2" t="s">
        <v>732</v>
      </c>
      <c r="J116" s="2" t="s">
        <v>148</v>
      </c>
      <c r="K116" s="2" t="s">
        <v>156</v>
      </c>
      <c r="L116" s="2" t="s">
        <v>627</v>
      </c>
      <c r="M116" s="2" t="s">
        <v>749</v>
      </c>
      <c r="N116" s="2" t="s">
        <v>84</v>
      </c>
      <c r="O116" s="2" t="s">
        <v>91</v>
      </c>
      <c r="P116" s="5">
        <v>60000</v>
      </c>
      <c r="Q116" s="5">
        <v>3.681</v>
      </c>
      <c r="R116" s="5">
        <v>1267.5999999999999</v>
      </c>
      <c r="S116" s="5">
        <v>0</v>
      </c>
      <c r="T116" s="5">
        <v>2799.6213600000001</v>
      </c>
      <c r="U116" s="6">
        <v>2.6939999999999999E-4</v>
      </c>
      <c r="V116" s="6">
        <v>1.06497E-2</v>
      </c>
      <c r="W116" s="6">
        <v>3.3534000000000003E-3</v>
      </c>
      <c r="X116" s="9">
        <v>79187233</v>
      </c>
      <c r="Y116" s="60" t="s">
        <v>4</v>
      </c>
      <c r="Z116" s="60" t="s">
        <v>1</v>
      </c>
      <c r="AA116">
        <f t="shared" ca="1" si="1"/>
        <v>0</v>
      </c>
    </row>
    <row r="117" spans="1:27">
      <c r="A117" s="2" t="s">
        <v>78</v>
      </c>
      <c r="B117" s="2" t="s">
        <v>98</v>
      </c>
      <c r="C117" s="2" t="s">
        <v>706</v>
      </c>
      <c r="D117" s="2" t="s">
        <v>707</v>
      </c>
      <c r="E117" s="2" t="s">
        <v>194</v>
      </c>
      <c r="F117" s="2" t="s">
        <v>708</v>
      </c>
      <c r="G117" s="9">
        <v>1145259</v>
      </c>
      <c r="H117" s="2" t="s">
        <v>149</v>
      </c>
      <c r="I117" s="2" t="s">
        <v>704</v>
      </c>
      <c r="J117" s="2" t="s">
        <v>83</v>
      </c>
      <c r="K117" s="2" t="s">
        <v>83</v>
      </c>
      <c r="L117" s="2" t="s">
        <v>118</v>
      </c>
      <c r="M117" s="2" t="s">
        <v>705</v>
      </c>
      <c r="N117" s="2" t="s">
        <v>84</v>
      </c>
      <c r="O117" s="2" t="s">
        <v>87</v>
      </c>
      <c r="P117" s="5">
        <v>75000</v>
      </c>
      <c r="Q117" s="5">
        <v>1</v>
      </c>
      <c r="R117" s="5">
        <v>3944.84</v>
      </c>
      <c r="S117" s="5">
        <v>0</v>
      </c>
      <c r="T117" s="5">
        <v>2958.63</v>
      </c>
      <c r="U117" s="6">
        <v>3.0075000000000002E-3</v>
      </c>
      <c r="V117" s="6">
        <v>1.1254599999999998E-2</v>
      </c>
      <c r="W117" s="6">
        <v>3.5439E-3</v>
      </c>
      <c r="X117" s="2" t="s">
        <v>3</v>
      </c>
      <c r="Y117" s="60" t="s">
        <v>4</v>
      </c>
      <c r="Z117" s="60" t="s">
        <v>1</v>
      </c>
      <c r="AA117">
        <f t="shared" ca="1" si="1"/>
        <v>0</v>
      </c>
    </row>
    <row r="118" spans="1:27">
      <c r="A118" s="2" t="s">
        <v>78</v>
      </c>
      <c r="B118" s="2" t="s">
        <v>98</v>
      </c>
      <c r="C118" s="2" t="s">
        <v>710</v>
      </c>
      <c r="D118" s="2" t="s">
        <v>711</v>
      </c>
      <c r="E118" s="2" t="s">
        <v>194</v>
      </c>
      <c r="F118" s="2" t="s">
        <v>712</v>
      </c>
      <c r="G118" s="9">
        <v>1150523</v>
      </c>
      <c r="H118" s="2" t="s">
        <v>149</v>
      </c>
      <c r="I118" s="2" t="s">
        <v>704</v>
      </c>
      <c r="J118" s="2" t="s">
        <v>83</v>
      </c>
      <c r="K118" s="2" t="s">
        <v>83</v>
      </c>
      <c r="L118" s="2" t="s">
        <v>118</v>
      </c>
      <c r="M118" s="2" t="s">
        <v>713</v>
      </c>
      <c r="N118" s="2" t="s">
        <v>84</v>
      </c>
      <c r="O118" s="2" t="s">
        <v>87</v>
      </c>
      <c r="P118" s="5">
        <v>904289</v>
      </c>
      <c r="Q118" s="5">
        <v>1</v>
      </c>
      <c r="R118" s="5">
        <v>385.54</v>
      </c>
      <c r="S118" s="5">
        <v>0</v>
      </c>
      <c r="T118" s="5">
        <v>3486.39581</v>
      </c>
      <c r="U118" s="6">
        <v>3.3130999999999998E-3</v>
      </c>
      <c r="V118" s="6">
        <v>1.32622E-2</v>
      </c>
      <c r="W118" s="6">
        <v>4.176E-3</v>
      </c>
      <c r="X118" s="2" t="s">
        <v>3</v>
      </c>
      <c r="Y118" s="60" t="s">
        <v>4</v>
      </c>
      <c r="Z118" s="60" t="s">
        <v>1</v>
      </c>
      <c r="AA118">
        <f t="shared" ca="1" si="1"/>
        <v>0</v>
      </c>
    </row>
    <row r="119" spans="1:27">
      <c r="A119" s="2" t="s">
        <v>78</v>
      </c>
      <c r="B119" s="2" t="s">
        <v>98</v>
      </c>
      <c r="C119" s="2" t="s">
        <v>701</v>
      </c>
      <c r="D119" s="2" t="s">
        <v>702</v>
      </c>
      <c r="E119" s="2" t="s">
        <v>194</v>
      </c>
      <c r="F119" s="2" t="s">
        <v>827</v>
      </c>
      <c r="G119" s="9">
        <v>1146356</v>
      </c>
      <c r="H119" s="2" t="s">
        <v>149</v>
      </c>
      <c r="I119" s="2" t="s">
        <v>737</v>
      </c>
      <c r="J119" s="2" t="s">
        <v>83</v>
      </c>
      <c r="K119" s="2" t="s">
        <v>83</v>
      </c>
      <c r="L119" s="2" t="s">
        <v>118</v>
      </c>
      <c r="M119" s="2" t="s">
        <v>828</v>
      </c>
      <c r="N119" s="2" t="s">
        <v>84</v>
      </c>
      <c r="O119" s="2" t="s">
        <v>87</v>
      </c>
      <c r="P119" s="5">
        <v>3100</v>
      </c>
      <c r="Q119" s="5">
        <v>1</v>
      </c>
      <c r="R119" s="5">
        <v>20050</v>
      </c>
      <c r="S119" s="5">
        <v>0</v>
      </c>
      <c r="T119" s="5">
        <v>621.54999999999995</v>
      </c>
      <c r="U119" s="6">
        <v>8.7500000000000013E-5</v>
      </c>
      <c r="V119" s="6">
        <v>2.3644E-3</v>
      </c>
      <c r="W119" s="6">
        <v>7.4450000000000004E-4</v>
      </c>
      <c r="X119" s="2" t="s">
        <v>3</v>
      </c>
      <c r="Y119" s="60" t="s">
        <v>4</v>
      </c>
      <c r="Z119" s="60" t="s">
        <v>1</v>
      </c>
      <c r="AA119">
        <f t="shared" ca="1" si="1"/>
        <v>0</v>
      </c>
    </row>
    <row r="120" spans="1:27">
      <c r="A120" s="2" t="s">
        <v>78</v>
      </c>
      <c r="B120" s="2" t="s">
        <v>98</v>
      </c>
      <c r="C120" s="2" t="s">
        <v>701</v>
      </c>
      <c r="D120" s="2" t="s">
        <v>702</v>
      </c>
      <c r="E120" s="2" t="s">
        <v>194</v>
      </c>
      <c r="F120" s="2" t="s">
        <v>714</v>
      </c>
      <c r="G120" s="9">
        <v>1150762</v>
      </c>
      <c r="H120" s="2" t="s">
        <v>149</v>
      </c>
      <c r="I120" s="2" t="s">
        <v>704</v>
      </c>
      <c r="J120" s="2" t="s">
        <v>83</v>
      </c>
      <c r="K120" s="2" t="s">
        <v>83</v>
      </c>
      <c r="L120" s="2" t="s">
        <v>118</v>
      </c>
      <c r="M120" s="2" t="s">
        <v>713</v>
      </c>
      <c r="N120" s="2" t="s">
        <v>84</v>
      </c>
      <c r="O120" s="2" t="s">
        <v>87</v>
      </c>
      <c r="P120" s="5">
        <v>60000</v>
      </c>
      <c r="Q120" s="5">
        <v>1</v>
      </c>
      <c r="R120" s="5">
        <v>3874.92</v>
      </c>
      <c r="S120" s="5">
        <v>0</v>
      </c>
      <c r="T120" s="5">
        <v>2324.9520000000002</v>
      </c>
      <c r="U120" s="6">
        <v>1.5378E-3</v>
      </c>
      <c r="V120" s="6">
        <v>8.8441000000000006E-3</v>
      </c>
      <c r="W120" s="6">
        <v>2.7849000000000003E-3</v>
      </c>
      <c r="X120" s="2" t="s">
        <v>3</v>
      </c>
      <c r="Y120" s="60" t="s">
        <v>4</v>
      </c>
      <c r="Z120" s="60" t="s">
        <v>1</v>
      </c>
      <c r="AA120">
        <f t="shared" ca="1" si="1"/>
        <v>0</v>
      </c>
    </row>
    <row r="121" spans="1:27">
      <c r="A121" s="2" t="s">
        <v>78</v>
      </c>
      <c r="B121" s="2" t="s">
        <v>98</v>
      </c>
      <c r="C121" s="2" t="s">
        <v>734</v>
      </c>
      <c r="D121" s="2" t="s">
        <v>735</v>
      </c>
      <c r="E121" s="2" t="s">
        <v>194</v>
      </c>
      <c r="F121" s="2" t="s">
        <v>845</v>
      </c>
      <c r="G121" s="9">
        <v>1150572</v>
      </c>
      <c r="H121" s="2" t="s">
        <v>149</v>
      </c>
      <c r="I121" s="2" t="s">
        <v>732</v>
      </c>
      <c r="J121" s="2" t="s">
        <v>83</v>
      </c>
      <c r="K121" s="2" t="s">
        <v>156</v>
      </c>
      <c r="L121" s="2" t="s">
        <v>118</v>
      </c>
      <c r="M121" s="2" t="s">
        <v>742</v>
      </c>
      <c r="N121" s="2" t="s">
        <v>84</v>
      </c>
      <c r="O121" s="2" t="s">
        <v>87</v>
      </c>
      <c r="P121" s="5">
        <v>111000</v>
      </c>
      <c r="Q121" s="5">
        <v>1</v>
      </c>
      <c r="R121" s="5">
        <v>6781</v>
      </c>
      <c r="S121" s="5">
        <v>0</v>
      </c>
      <c r="T121" s="5">
        <v>7526.91</v>
      </c>
      <c r="U121" s="6">
        <v>3.5805999999999998E-3</v>
      </c>
      <c r="V121" s="6">
        <v>2.8632300000000003E-2</v>
      </c>
      <c r="W121" s="6">
        <v>9.0158000000000009E-3</v>
      </c>
      <c r="X121" s="2" t="s">
        <v>3</v>
      </c>
      <c r="Y121" s="60" t="s">
        <v>4</v>
      </c>
      <c r="Z121" s="60" t="s">
        <v>1</v>
      </c>
      <c r="AA121">
        <f t="shared" ca="1" si="1"/>
        <v>0</v>
      </c>
    </row>
    <row r="122" spans="1:27">
      <c r="A122" s="2" t="s">
        <v>78</v>
      </c>
      <c r="B122" s="2" t="s">
        <v>98</v>
      </c>
      <c r="C122" s="2" t="s">
        <v>701</v>
      </c>
      <c r="D122" s="2" t="s">
        <v>702</v>
      </c>
      <c r="E122" s="2" t="s">
        <v>194</v>
      </c>
      <c r="F122" s="2" t="s">
        <v>846</v>
      </c>
      <c r="G122" s="9">
        <v>1162783</v>
      </c>
      <c r="H122" s="2" t="s">
        <v>149</v>
      </c>
      <c r="I122" s="2" t="s">
        <v>732</v>
      </c>
      <c r="J122" s="2" t="s">
        <v>83</v>
      </c>
      <c r="K122" s="2" t="s">
        <v>671</v>
      </c>
      <c r="L122" s="2" t="s">
        <v>118</v>
      </c>
      <c r="M122" s="2" t="s">
        <v>847</v>
      </c>
      <c r="N122" s="2" t="s">
        <v>84</v>
      </c>
      <c r="O122" s="2" t="s">
        <v>87</v>
      </c>
      <c r="P122" s="5">
        <v>12800</v>
      </c>
      <c r="Q122" s="5">
        <v>1</v>
      </c>
      <c r="R122" s="5">
        <v>21460</v>
      </c>
      <c r="S122" s="5">
        <v>0</v>
      </c>
      <c r="T122" s="5">
        <v>2746.88</v>
      </c>
      <c r="U122" s="6">
        <v>4.4549999999999998E-3</v>
      </c>
      <c r="V122" s="6">
        <v>1.0449099999999999E-2</v>
      </c>
      <c r="W122" s="6">
        <v>3.2901999999999996E-3</v>
      </c>
      <c r="X122" s="2" t="s">
        <v>3</v>
      </c>
      <c r="Y122" s="60" t="s">
        <v>4</v>
      </c>
      <c r="Z122" s="60" t="s">
        <v>1</v>
      </c>
      <c r="AA122">
        <f t="shared" ca="1" si="1"/>
        <v>0</v>
      </c>
    </row>
    <row r="123" spans="1:27">
      <c r="A123" s="2" t="s">
        <v>78</v>
      </c>
      <c r="B123" s="2" t="s">
        <v>98</v>
      </c>
      <c r="C123" s="2" t="s">
        <v>750</v>
      </c>
      <c r="D123" s="2" t="s">
        <v>751</v>
      </c>
      <c r="E123" s="2" t="s">
        <v>168</v>
      </c>
      <c r="F123" s="2" t="s">
        <v>752</v>
      </c>
      <c r="G123" s="2" t="s">
        <v>753</v>
      </c>
      <c r="H123" s="2" t="s">
        <v>183</v>
      </c>
      <c r="I123" s="2" t="s">
        <v>732</v>
      </c>
      <c r="J123" s="2" t="s">
        <v>148</v>
      </c>
      <c r="K123" s="2" t="s">
        <v>156</v>
      </c>
      <c r="L123" s="2" t="s">
        <v>584</v>
      </c>
      <c r="M123" s="2" t="s">
        <v>749</v>
      </c>
      <c r="N123" s="2" t="s">
        <v>84</v>
      </c>
      <c r="O123" s="2" t="s">
        <v>91</v>
      </c>
      <c r="P123" s="5">
        <v>3842</v>
      </c>
      <c r="Q123" s="5">
        <v>3.681</v>
      </c>
      <c r="R123" s="5">
        <v>22499</v>
      </c>
      <c r="S123" s="5">
        <v>0</v>
      </c>
      <c r="T123" s="5">
        <v>3181.8990199999998</v>
      </c>
      <c r="U123" s="6">
        <v>4.6899999999999995E-5</v>
      </c>
      <c r="V123" s="6">
        <v>1.2103900000000001E-2</v>
      </c>
      <c r="W123" s="6">
        <v>3.8113000000000001E-3</v>
      </c>
      <c r="X123" s="9">
        <v>70537717</v>
      </c>
      <c r="Y123" s="60" t="s">
        <v>4</v>
      </c>
      <c r="Z123" s="60" t="s">
        <v>1</v>
      </c>
      <c r="AA123">
        <f t="shared" ca="1" si="1"/>
        <v>0</v>
      </c>
    </row>
    <row r="124" spans="1:27">
      <c r="A124" s="2" t="s">
        <v>78</v>
      </c>
      <c r="B124" s="2" t="s">
        <v>98</v>
      </c>
      <c r="C124" s="2" t="s">
        <v>754</v>
      </c>
      <c r="D124" s="2" t="s">
        <v>755</v>
      </c>
      <c r="E124" s="2" t="s">
        <v>168</v>
      </c>
      <c r="F124" s="2" t="s">
        <v>756</v>
      </c>
      <c r="G124" s="2" t="s">
        <v>757</v>
      </c>
      <c r="H124" s="2" t="s">
        <v>183</v>
      </c>
      <c r="I124" s="2" t="s">
        <v>732</v>
      </c>
      <c r="J124" s="2" t="s">
        <v>148</v>
      </c>
      <c r="K124" s="2" t="s">
        <v>156</v>
      </c>
      <c r="L124" s="2" t="s">
        <v>584</v>
      </c>
      <c r="M124" s="2" t="s">
        <v>749</v>
      </c>
      <c r="N124" s="2" t="s">
        <v>84</v>
      </c>
      <c r="O124" s="2" t="s">
        <v>91</v>
      </c>
      <c r="P124" s="5">
        <v>960</v>
      </c>
      <c r="Q124" s="5">
        <v>3.681</v>
      </c>
      <c r="R124" s="5">
        <v>44401</v>
      </c>
      <c r="S124" s="5">
        <v>0</v>
      </c>
      <c r="T124" s="5">
        <v>1570.44328</v>
      </c>
      <c r="U124" s="6">
        <v>1.6000000000000001E-6</v>
      </c>
      <c r="V124" s="6">
        <v>5.9740000000000001E-3</v>
      </c>
      <c r="W124" s="6">
        <v>1.8810999999999999E-3</v>
      </c>
      <c r="X124" s="9">
        <v>70486931</v>
      </c>
      <c r="Y124" s="60" t="s">
        <v>4</v>
      </c>
      <c r="Z124" s="60" t="s">
        <v>1</v>
      </c>
      <c r="AA124">
        <f t="shared" ca="1" si="1"/>
        <v>0</v>
      </c>
    </row>
    <row r="125" spans="1:27">
      <c r="A125" s="2" t="s">
        <v>78</v>
      </c>
      <c r="B125" s="2" t="s">
        <v>98</v>
      </c>
      <c r="C125" s="2" t="s">
        <v>727</v>
      </c>
      <c r="D125" s="2" t="s">
        <v>728</v>
      </c>
      <c r="E125" s="2" t="s">
        <v>168</v>
      </c>
      <c r="F125" s="2" t="s">
        <v>760</v>
      </c>
      <c r="G125" s="2" t="s">
        <v>761</v>
      </c>
      <c r="H125" s="2" t="s">
        <v>183</v>
      </c>
      <c r="I125" s="2" t="s">
        <v>732</v>
      </c>
      <c r="J125" s="2" t="s">
        <v>148</v>
      </c>
      <c r="K125" s="2" t="s">
        <v>156</v>
      </c>
      <c r="L125" s="2" t="s">
        <v>149</v>
      </c>
      <c r="M125" s="2" t="s">
        <v>749</v>
      </c>
      <c r="N125" s="2" t="s">
        <v>84</v>
      </c>
      <c r="O125" s="2" t="s">
        <v>91</v>
      </c>
      <c r="P125" s="5">
        <v>21601</v>
      </c>
      <c r="Q125" s="5">
        <v>3.681</v>
      </c>
      <c r="R125" s="5">
        <v>20827</v>
      </c>
      <c r="S125" s="5">
        <v>0.38529999999999998</v>
      </c>
      <c r="T125" s="5">
        <v>16560.231029999999</v>
      </c>
      <c r="U125" s="6">
        <v>6.8799999999999992E-5</v>
      </c>
      <c r="V125" s="6">
        <v>6.2994999999999995E-2</v>
      </c>
      <c r="W125" s="6">
        <v>1.9835999999999999E-2</v>
      </c>
      <c r="X125" s="9">
        <v>70487475</v>
      </c>
      <c r="Y125" s="60" t="s">
        <v>4</v>
      </c>
      <c r="Z125" s="60" t="s">
        <v>1</v>
      </c>
      <c r="AA125">
        <f t="shared" ca="1" si="1"/>
        <v>0</v>
      </c>
    </row>
    <row r="126" spans="1:27">
      <c r="A126" s="2" t="s">
        <v>78</v>
      </c>
      <c r="B126" s="2" t="s">
        <v>98</v>
      </c>
      <c r="C126" s="2" t="s">
        <v>715</v>
      </c>
      <c r="D126" s="2" t="s">
        <v>716</v>
      </c>
      <c r="E126" s="2" t="s">
        <v>168</v>
      </c>
      <c r="F126" s="2" t="s">
        <v>762</v>
      </c>
      <c r="G126" s="2" t="s">
        <v>763</v>
      </c>
      <c r="H126" s="2" t="s">
        <v>183</v>
      </c>
      <c r="I126" s="2" t="s">
        <v>732</v>
      </c>
      <c r="J126" s="2" t="s">
        <v>148</v>
      </c>
      <c r="K126" s="2" t="s">
        <v>764</v>
      </c>
      <c r="L126" s="2" t="s">
        <v>149</v>
      </c>
      <c r="M126" s="2" t="s">
        <v>749</v>
      </c>
      <c r="N126" s="2" t="s">
        <v>84</v>
      </c>
      <c r="O126" s="2" t="s">
        <v>90</v>
      </c>
      <c r="P126" s="5">
        <v>82760</v>
      </c>
      <c r="Q126" s="5">
        <v>3.9790999999999999</v>
      </c>
      <c r="R126" s="5">
        <v>5115</v>
      </c>
      <c r="S126" s="5">
        <v>0</v>
      </c>
      <c r="T126" s="5">
        <v>16844.222659999999</v>
      </c>
      <c r="U126" s="6">
        <v>6.3500000000000004E-4</v>
      </c>
      <c r="V126" s="6">
        <v>6.4075300000000002E-2</v>
      </c>
      <c r="W126" s="6">
        <v>2.0176199999999998E-2</v>
      </c>
      <c r="X126" s="9">
        <v>70558952</v>
      </c>
      <c r="Y126" s="60" t="s">
        <v>4</v>
      </c>
      <c r="Z126" s="60" t="s">
        <v>1</v>
      </c>
      <c r="AA126">
        <f t="shared" ca="1" si="1"/>
        <v>0</v>
      </c>
    </row>
    <row r="127" spans="1:27">
      <c r="A127" s="2" t="s">
        <v>78</v>
      </c>
      <c r="B127" s="2" t="s">
        <v>98</v>
      </c>
      <c r="C127" s="2" t="s">
        <v>727</v>
      </c>
      <c r="D127" s="2" t="s">
        <v>728</v>
      </c>
      <c r="E127" s="2" t="s">
        <v>168</v>
      </c>
      <c r="F127" s="2" t="s">
        <v>767</v>
      </c>
      <c r="G127" s="2" t="s">
        <v>768</v>
      </c>
      <c r="H127" s="2" t="s">
        <v>183</v>
      </c>
      <c r="I127" s="2" t="s">
        <v>732</v>
      </c>
      <c r="J127" s="2" t="s">
        <v>148</v>
      </c>
      <c r="K127" s="2" t="s">
        <v>156</v>
      </c>
      <c r="L127" s="2" t="s">
        <v>584</v>
      </c>
      <c r="M127" s="2" t="s">
        <v>749</v>
      </c>
      <c r="N127" s="2" t="s">
        <v>84</v>
      </c>
      <c r="O127" s="2" t="s">
        <v>91</v>
      </c>
      <c r="P127" s="5">
        <v>5699</v>
      </c>
      <c r="Q127" s="5">
        <v>3.681</v>
      </c>
      <c r="R127" s="5">
        <v>12596</v>
      </c>
      <c r="S127" s="5">
        <v>0</v>
      </c>
      <c r="T127" s="5">
        <v>2642.3912700000001</v>
      </c>
      <c r="U127" s="6">
        <v>3.9500000000000005E-5</v>
      </c>
      <c r="V127" s="6">
        <v>1.0051600000000001E-2</v>
      </c>
      <c r="W127" s="6">
        <v>3.1651000000000001E-3</v>
      </c>
      <c r="X127" s="9">
        <v>70553409</v>
      </c>
      <c r="Y127" s="60" t="s">
        <v>4</v>
      </c>
      <c r="Z127" s="60" t="s">
        <v>1</v>
      </c>
      <c r="AA127">
        <f t="shared" ca="1" si="1"/>
        <v>0</v>
      </c>
    </row>
    <row r="128" spans="1:27">
      <c r="A128" s="2" t="s">
        <v>78</v>
      </c>
      <c r="B128" s="2" t="s">
        <v>98</v>
      </c>
      <c r="C128" s="2" t="s">
        <v>715</v>
      </c>
      <c r="D128" s="2" t="s">
        <v>716</v>
      </c>
      <c r="E128" s="2" t="s">
        <v>168</v>
      </c>
      <c r="F128" s="2" t="s">
        <v>771</v>
      </c>
      <c r="G128" s="2" t="s">
        <v>772</v>
      </c>
      <c r="H128" s="2" t="s">
        <v>183</v>
      </c>
      <c r="I128" s="2" t="s">
        <v>732</v>
      </c>
      <c r="J128" s="2" t="s">
        <v>148</v>
      </c>
      <c r="K128" s="2" t="s">
        <v>156</v>
      </c>
      <c r="L128" s="2" t="s">
        <v>149</v>
      </c>
      <c r="M128" s="2" t="s">
        <v>749</v>
      </c>
      <c r="N128" s="2" t="s">
        <v>84</v>
      </c>
      <c r="O128" s="2" t="s">
        <v>91</v>
      </c>
      <c r="P128" s="5">
        <v>8860</v>
      </c>
      <c r="Q128" s="5">
        <v>3.681</v>
      </c>
      <c r="R128" s="5">
        <v>11577</v>
      </c>
      <c r="S128" s="5">
        <v>0</v>
      </c>
      <c r="T128" s="5">
        <v>3775.6834100000001</v>
      </c>
      <c r="U128" s="6">
        <v>3.076E-4</v>
      </c>
      <c r="V128" s="6">
        <v>1.4362699999999999E-2</v>
      </c>
      <c r="W128" s="6">
        <v>4.5225999999999999E-3</v>
      </c>
      <c r="X128" s="9">
        <v>70775846</v>
      </c>
      <c r="Y128" s="60" t="s">
        <v>4</v>
      </c>
      <c r="Z128" s="60" t="s">
        <v>1</v>
      </c>
      <c r="AA128">
        <f t="shared" ca="1" si="1"/>
        <v>0</v>
      </c>
    </row>
    <row r="129" spans="1:27">
      <c r="A129" s="2" t="s">
        <v>78</v>
      </c>
      <c r="B129" s="2" t="s">
        <v>98</v>
      </c>
      <c r="C129" s="2" t="s">
        <v>723</v>
      </c>
      <c r="D129" s="2" t="s">
        <v>724</v>
      </c>
      <c r="E129" s="2" t="s">
        <v>168</v>
      </c>
      <c r="F129" s="2" t="s">
        <v>773</v>
      </c>
      <c r="G129" s="2" t="s">
        <v>774</v>
      </c>
      <c r="H129" s="2" t="s">
        <v>183</v>
      </c>
      <c r="I129" s="2" t="s">
        <v>732</v>
      </c>
      <c r="J129" s="2" t="s">
        <v>148</v>
      </c>
      <c r="K129" s="2" t="s">
        <v>156</v>
      </c>
      <c r="L129" s="2" t="s">
        <v>584</v>
      </c>
      <c r="M129" s="2" t="s">
        <v>749</v>
      </c>
      <c r="N129" s="2" t="s">
        <v>84</v>
      </c>
      <c r="O129" s="2" t="s">
        <v>91</v>
      </c>
      <c r="P129" s="5">
        <v>8118</v>
      </c>
      <c r="Q129" s="5">
        <v>3.681</v>
      </c>
      <c r="R129" s="5">
        <v>48070</v>
      </c>
      <c r="S129" s="5">
        <v>0</v>
      </c>
      <c r="T129" s="5">
        <v>14364.449490000001</v>
      </c>
      <c r="U129" s="6">
        <v>8.8999999999999995E-6</v>
      </c>
      <c r="V129" s="6">
        <v>5.4642299999999998E-2</v>
      </c>
      <c r="W129" s="6">
        <v>1.72059E-2</v>
      </c>
      <c r="X129" s="9">
        <v>74463126</v>
      </c>
      <c r="Y129" s="60" t="s">
        <v>4</v>
      </c>
      <c r="Z129" s="60" t="s">
        <v>1</v>
      </c>
      <c r="AA129">
        <f t="shared" ca="1" si="1"/>
        <v>0</v>
      </c>
    </row>
    <row r="130" spans="1:27">
      <c r="A130" s="2" t="s">
        <v>78</v>
      </c>
      <c r="B130" s="2" t="s">
        <v>98</v>
      </c>
      <c r="C130" s="2" t="s">
        <v>778</v>
      </c>
      <c r="D130" s="2" t="s">
        <v>779</v>
      </c>
      <c r="E130" s="2" t="s">
        <v>168</v>
      </c>
      <c r="F130" s="2" t="s">
        <v>780</v>
      </c>
      <c r="G130" s="2" t="s">
        <v>781</v>
      </c>
      <c r="H130" s="2" t="s">
        <v>183</v>
      </c>
      <c r="I130" s="2" t="s">
        <v>732</v>
      </c>
      <c r="J130" s="2" t="s">
        <v>148</v>
      </c>
      <c r="K130" s="2" t="s">
        <v>782</v>
      </c>
      <c r="L130" s="2" t="s">
        <v>149</v>
      </c>
      <c r="M130" s="2" t="s">
        <v>749</v>
      </c>
      <c r="N130" s="2" t="s">
        <v>84</v>
      </c>
      <c r="O130" s="2" t="s">
        <v>91</v>
      </c>
      <c r="P130" s="5">
        <v>4000</v>
      </c>
      <c r="Q130" s="5">
        <v>3.681</v>
      </c>
      <c r="R130" s="5">
        <v>10850</v>
      </c>
      <c r="S130" s="5">
        <v>0</v>
      </c>
      <c r="T130" s="5">
        <v>1597.5540000000001</v>
      </c>
      <c r="U130" s="6">
        <v>9.2599999999999988E-5</v>
      </c>
      <c r="V130" s="6">
        <v>6.0770999999999993E-3</v>
      </c>
      <c r="W130" s="6">
        <v>1.9136000000000001E-3</v>
      </c>
      <c r="X130" s="9">
        <v>70761341</v>
      </c>
      <c r="Y130" s="60" t="s">
        <v>4</v>
      </c>
      <c r="Z130" s="60" t="s">
        <v>1</v>
      </c>
      <c r="AA130">
        <f t="shared" ca="1" si="1"/>
        <v>0</v>
      </c>
    </row>
    <row r="131" spans="1:27">
      <c r="A131" s="2" t="s">
        <v>78</v>
      </c>
      <c r="B131" s="2" t="s">
        <v>98</v>
      </c>
      <c r="C131" s="2" t="s">
        <v>754</v>
      </c>
      <c r="D131" s="2" t="s">
        <v>755</v>
      </c>
      <c r="E131" s="2" t="s">
        <v>168</v>
      </c>
      <c r="F131" s="2" t="s">
        <v>791</v>
      </c>
      <c r="G131" s="2" t="s">
        <v>792</v>
      </c>
      <c r="H131" s="2" t="s">
        <v>183</v>
      </c>
      <c r="I131" s="2" t="s">
        <v>732</v>
      </c>
      <c r="J131" s="2" t="s">
        <v>148</v>
      </c>
      <c r="K131" s="2" t="s">
        <v>156</v>
      </c>
      <c r="L131" s="2" t="s">
        <v>627</v>
      </c>
      <c r="M131" s="2" t="s">
        <v>749</v>
      </c>
      <c r="N131" s="2" t="s">
        <v>84</v>
      </c>
      <c r="O131" s="2" t="s">
        <v>91</v>
      </c>
      <c r="P131" s="5">
        <v>330</v>
      </c>
      <c r="Q131" s="5">
        <v>3.681</v>
      </c>
      <c r="R131" s="5">
        <v>102524</v>
      </c>
      <c r="S131" s="5">
        <v>0</v>
      </c>
      <c r="T131" s="5">
        <v>1245.38978</v>
      </c>
      <c r="U131" s="6">
        <v>1.6500000000000001E-5</v>
      </c>
      <c r="V131" s="6">
        <v>4.7375000000000004E-3</v>
      </c>
      <c r="W131" s="6">
        <v>1.4916999999999999E-3</v>
      </c>
      <c r="X131" s="9">
        <v>74657628</v>
      </c>
      <c r="Y131" s="60" t="s">
        <v>4</v>
      </c>
      <c r="Z131" s="60" t="s">
        <v>1</v>
      </c>
      <c r="AA131">
        <f t="shared" ca="1" si="1"/>
        <v>0</v>
      </c>
    </row>
    <row r="132" spans="1:27">
      <c r="A132" s="2" t="s">
        <v>78</v>
      </c>
      <c r="B132" s="2" t="s">
        <v>98</v>
      </c>
      <c r="C132" s="2" t="s">
        <v>793</v>
      </c>
      <c r="D132" s="2" t="s">
        <v>794</v>
      </c>
      <c r="E132" s="2" t="s">
        <v>168</v>
      </c>
      <c r="F132" s="2" t="s">
        <v>795</v>
      </c>
      <c r="G132" s="2" t="s">
        <v>796</v>
      </c>
      <c r="H132" s="2" t="s">
        <v>183</v>
      </c>
      <c r="I132" s="2" t="s">
        <v>732</v>
      </c>
      <c r="J132" s="2" t="s">
        <v>148</v>
      </c>
      <c r="K132" s="2" t="s">
        <v>671</v>
      </c>
      <c r="L132" s="2" t="s">
        <v>590</v>
      </c>
      <c r="M132" s="2" t="s">
        <v>749</v>
      </c>
      <c r="N132" s="2" t="s">
        <v>84</v>
      </c>
      <c r="O132" s="2" t="s">
        <v>91</v>
      </c>
      <c r="P132" s="5">
        <v>60610</v>
      </c>
      <c r="Q132" s="5">
        <v>3.681</v>
      </c>
      <c r="R132" s="5">
        <v>2625</v>
      </c>
      <c r="S132" s="5">
        <v>0</v>
      </c>
      <c r="T132" s="5">
        <v>5856.5170099999996</v>
      </c>
      <c r="U132" s="6">
        <v>2.9309999999999997E-4</v>
      </c>
      <c r="V132" s="6">
        <v>2.2278199999999998E-2</v>
      </c>
      <c r="W132" s="6">
        <v>7.0150000000000004E-3</v>
      </c>
      <c r="X132" s="9">
        <v>74864851</v>
      </c>
      <c r="Y132" s="60" t="s">
        <v>4</v>
      </c>
      <c r="Z132" s="60" t="s">
        <v>1</v>
      </c>
      <c r="AA132">
        <f t="shared" ref="AA132:AA147" ca="1" si="2">COUNTBLANK(INDIRECT(SUBSTITUTE(ADDRESS(ROW(),3),"$","")&amp;":"&amp;SUBSTITUTE(ADDRESS(ROW(),COUNTA(INDIRECT("2:2"))-3),"$","")))</f>
        <v>0</v>
      </c>
    </row>
    <row r="133" spans="1:27">
      <c r="A133" s="2" t="s">
        <v>78</v>
      </c>
      <c r="B133" s="2" t="s">
        <v>98</v>
      </c>
      <c r="C133" s="2" t="s">
        <v>715</v>
      </c>
      <c r="D133" s="2" t="s">
        <v>716</v>
      </c>
      <c r="E133" s="2" t="s">
        <v>168</v>
      </c>
      <c r="F133" s="2" t="s">
        <v>717</v>
      </c>
      <c r="G133" s="2" t="s">
        <v>718</v>
      </c>
      <c r="H133" s="2" t="s">
        <v>183</v>
      </c>
      <c r="I133" s="2" t="s">
        <v>719</v>
      </c>
      <c r="J133" s="2" t="s">
        <v>148</v>
      </c>
      <c r="K133" s="2" t="s">
        <v>156</v>
      </c>
      <c r="L133" s="2" t="s">
        <v>627</v>
      </c>
      <c r="M133" s="2" t="s">
        <v>720</v>
      </c>
      <c r="N133" s="2" t="s">
        <v>84</v>
      </c>
      <c r="O133" s="2" t="s">
        <v>91</v>
      </c>
      <c r="P133" s="5">
        <v>12818</v>
      </c>
      <c r="Q133" s="5">
        <v>3.681</v>
      </c>
      <c r="R133" s="5">
        <v>571.15</v>
      </c>
      <c r="S133" s="5">
        <v>0</v>
      </c>
      <c r="T133" s="5">
        <v>269.48603000000003</v>
      </c>
      <c r="U133" s="6">
        <v>1.7600000000000001E-5</v>
      </c>
      <c r="V133" s="6">
        <v>1.0251000000000001E-3</v>
      </c>
      <c r="W133" s="6">
        <v>3.2280000000000004E-4</v>
      </c>
      <c r="X133" s="9">
        <v>75930313</v>
      </c>
      <c r="Y133" s="60" t="s">
        <v>4</v>
      </c>
      <c r="Z133" s="60" t="s">
        <v>1</v>
      </c>
      <c r="AA133">
        <f t="shared" ca="1" si="2"/>
        <v>0</v>
      </c>
    </row>
    <row r="134" spans="1:27">
      <c r="A134" s="2" t="s">
        <v>78</v>
      </c>
      <c r="B134" s="2" t="s">
        <v>98</v>
      </c>
      <c r="C134" s="2" t="s">
        <v>727</v>
      </c>
      <c r="D134" s="2" t="s">
        <v>728</v>
      </c>
      <c r="E134" s="2" t="s">
        <v>168</v>
      </c>
      <c r="F134" s="2" t="s">
        <v>797</v>
      </c>
      <c r="G134" s="2" t="s">
        <v>798</v>
      </c>
      <c r="H134" s="2" t="s">
        <v>183</v>
      </c>
      <c r="I134" s="2" t="s">
        <v>732</v>
      </c>
      <c r="J134" s="2" t="s">
        <v>148</v>
      </c>
      <c r="K134" s="2" t="s">
        <v>156</v>
      </c>
      <c r="L134" s="2" t="s">
        <v>627</v>
      </c>
      <c r="M134" s="2" t="s">
        <v>749</v>
      </c>
      <c r="N134" s="2" t="s">
        <v>84</v>
      </c>
      <c r="O134" s="2" t="s">
        <v>91</v>
      </c>
      <c r="P134" s="5">
        <v>24995</v>
      </c>
      <c r="Q134" s="5">
        <v>3.681</v>
      </c>
      <c r="R134" s="5">
        <v>3552.75</v>
      </c>
      <c r="S134" s="5">
        <v>0</v>
      </c>
      <c r="T134" s="5">
        <v>3268.7642999999998</v>
      </c>
      <c r="U134" s="6">
        <v>1.1387000000000001E-3</v>
      </c>
      <c r="V134" s="6">
        <v>1.2434400000000002E-2</v>
      </c>
      <c r="W134" s="6">
        <v>3.9154000000000003E-3</v>
      </c>
      <c r="X134" s="9">
        <v>75353904</v>
      </c>
      <c r="Y134" s="60" t="s">
        <v>4</v>
      </c>
      <c r="Z134" s="60" t="s">
        <v>1</v>
      </c>
      <c r="AA134">
        <f t="shared" ca="1" si="2"/>
        <v>0</v>
      </c>
    </row>
    <row r="135" spans="1:27">
      <c r="A135" s="2" t="s">
        <v>78</v>
      </c>
      <c r="B135" s="2" t="s">
        <v>98</v>
      </c>
      <c r="C135" s="2" t="s">
        <v>727</v>
      </c>
      <c r="D135" s="2" t="s">
        <v>728</v>
      </c>
      <c r="E135" s="2" t="s">
        <v>168</v>
      </c>
      <c r="F135" s="2" t="s">
        <v>816</v>
      </c>
      <c r="G135" s="2" t="s">
        <v>817</v>
      </c>
      <c r="H135" s="2" t="s">
        <v>183</v>
      </c>
      <c r="I135" s="2" t="s">
        <v>732</v>
      </c>
      <c r="J135" s="2" t="s">
        <v>148</v>
      </c>
      <c r="K135" s="2" t="s">
        <v>156</v>
      </c>
      <c r="L135" s="2" t="s">
        <v>584</v>
      </c>
      <c r="M135" s="2" t="s">
        <v>749</v>
      </c>
      <c r="N135" s="2" t="s">
        <v>84</v>
      </c>
      <c r="O135" s="2" t="s">
        <v>91</v>
      </c>
      <c r="P135" s="5">
        <v>129906</v>
      </c>
      <c r="Q135" s="5">
        <v>3.681</v>
      </c>
      <c r="R135" s="5">
        <v>6153</v>
      </c>
      <c r="S135" s="5">
        <v>0</v>
      </c>
      <c r="T135" s="5">
        <v>29422.660650000002</v>
      </c>
      <c r="U135" s="6">
        <v>2.3839999999999999E-4</v>
      </c>
      <c r="V135" s="6">
        <v>0.11192360000000001</v>
      </c>
      <c r="W135" s="6">
        <v>3.5242799999999998E-2</v>
      </c>
      <c r="X135" s="9">
        <v>76394998</v>
      </c>
      <c r="Y135" s="60" t="s">
        <v>4</v>
      </c>
      <c r="Z135" s="60" t="s">
        <v>1</v>
      </c>
      <c r="AA135">
        <f t="shared" ca="1" si="2"/>
        <v>0</v>
      </c>
    </row>
    <row r="136" spans="1:27">
      <c r="A136" s="2" t="s">
        <v>78</v>
      </c>
      <c r="B136" s="2" t="s">
        <v>98</v>
      </c>
      <c r="C136" s="2" t="s">
        <v>715</v>
      </c>
      <c r="D136" s="2" t="s">
        <v>716</v>
      </c>
      <c r="E136" s="2" t="s">
        <v>168</v>
      </c>
      <c r="F136" s="2" t="s">
        <v>721</v>
      </c>
      <c r="G136" s="2" t="s">
        <v>722</v>
      </c>
      <c r="H136" s="2" t="s">
        <v>183</v>
      </c>
      <c r="I136" s="2" t="s">
        <v>719</v>
      </c>
      <c r="J136" s="2" t="s">
        <v>148</v>
      </c>
      <c r="K136" s="2" t="s">
        <v>156</v>
      </c>
      <c r="L136" s="2" t="s">
        <v>627</v>
      </c>
      <c r="M136" s="2" t="s">
        <v>720</v>
      </c>
      <c r="N136" s="2" t="s">
        <v>84</v>
      </c>
      <c r="O136" s="2" t="s">
        <v>91</v>
      </c>
      <c r="P136" s="5">
        <v>440000</v>
      </c>
      <c r="Q136" s="5">
        <v>3.681</v>
      </c>
      <c r="R136" s="5">
        <v>574.29999999999995</v>
      </c>
      <c r="S136" s="5">
        <v>0</v>
      </c>
      <c r="T136" s="5">
        <v>9301.5925200000001</v>
      </c>
      <c r="U136" s="6">
        <v>7.0899999999999999E-4</v>
      </c>
      <c r="V136" s="6">
        <v>3.5383200000000004E-2</v>
      </c>
      <c r="W136" s="6">
        <v>1.11416E-2</v>
      </c>
      <c r="X136" s="9">
        <v>75965301</v>
      </c>
      <c r="Y136" s="60" t="s">
        <v>4</v>
      </c>
      <c r="Z136" s="60" t="s">
        <v>1</v>
      </c>
      <c r="AA136">
        <f t="shared" ca="1" si="2"/>
        <v>0</v>
      </c>
    </row>
    <row r="137" spans="1:27">
      <c r="A137" s="2" t="s">
        <v>78</v>
      </c>
      <c r="B137" s="2" t="s">
        <v>98</v>
      </c>
      <c r="C137" s="2" t="s">
        <v>799</v>
      </c>
      <c r="D137" s="2" t="s">
        <v>800</v>
      </c>
      <c r="E137" s="2" t="s">
        <v>168</v>
      </c>
      <c r="F137" s="2" t="s">
        <v>801</v>
      </c>
      <c r="G137" s="2" t="s">
        <v>802</v>
      </c>
      <c r="H137" s="2" t="s">
        <v>183</v>
      </c>
      <c r="I137" s="2" t="s">
        <v>732</v>
      </c>
      <c r="J137" s="2" t="s">
        <v>148</v>
      </c>
      <c r="K137" s="2" t="s">
        <v>782</v>
      </c>
      <c r="L137" s="2" t="s">
        <v>627</v>
      </c>
      <c r="M137" s="2" t="s">
        <v>749</v>
      </c>
      <c r="N137" s="2" t="s">
        <v>84</v>
      </c>
      <c r="O137" s="2" t="s">
        <v>91</v>
      </c>
      <c r="P137" s="5">
        <v>12500</v>
      </c>
      <c r="Q137" s="5">
        <v>3.681</v>
      </c>
      <c r="R137" s="5">
        <v>4107</v>
      </c>
      <c r="S137" s="5">
        <v>0</v>
      </c>
      <c r="T137" s="5">
        <v>1889.7333699999999</v>
      </c>
      <c r="U137" s="6">
        <v>7.3824999999999993E-3</v>
      </c>
      <c r="V137" s="6">
        <v>7.1884999999999996E-3</v>
      </c>
      <c r="W137" s="6">
        <v>2.2634999999999999E-3</v>
      </c>
      <c r="X137" s="9">
        <v>76034412</v>
      </c>
      <c r="Y137" s="60" t="s">
        <v>4</v>
      </c>
      <c r="Z137" s="60" t="s">
        <v>1</v>
      </c>
      <c r="AA137">
        <f t="shared" ca="1" si="2"/>
        <v>0</v>
      </c>
    </row>
    <row r="138" spans="1:27">
      <c r="A138" s="2" t="s">
        <v>78</v>
      </c>
      <c r="B138" s="2" t="s">
        <v>98</v>
      </c>
      <c r="C138" s="2" t="s">
        <v>803</v>
      </c>
      <c r="D138" s="2" t="s">
        <v>804</v>
      </c>
      <c r="E138" s="2" t="s">
        <v>168</v>
      </c>
      <c r="F138" s="2" t="s">
        <v>805</v>
      </c>
      <c r="G138" s="2" t="s">
        <v>806</v>
      </c>
      <c r="H138" s="2" t="s">
        <v>183</v>
      </c>
      <c r="I138" s="2" t="s">
        <v>732</v>
      </c>
      <c r="J138" s="2" t="s">
        <v>148</v>
      </c>
      <c r="K138" s="2" t="s">
        <v>807</v>
      </c>
      <c r="L138" s="2" t="s">
        <v>590</v>
      </c>
      <c r="M138" s="2" t="s">
        <v>749</v>
      </c>
      <c r="N138" s="2" t="s">
        <v>84</v>
      </c>
      <c r="O138" s="2" t="s">
        <v>91</v>
      </c>
      <c r="P138" s="5">
        <v>15250</v>
      </c>
      <c r="Q138" s="5">
        <v>3.681</v>
      </c>
      <c r="R138" s="5">
        <v>2975</v>
      </c>
      <c r="S138" s="5">
        <v>0</v>
      </c>
      <c r="T138" s="5">
        <v>1670.02368</v>
      </c>
      <c r="U138" s="6">
        <v>5.8220000000000006E-4</v>
      </c>
      <c r="V138" s="6">
        <v>6.3527999999999996E-3</v>
      </c>
      <c r="W138" s="6">
        <v>2.0003999999999998E-3</v>
      </c>
      <c r="X138" s="9">
        <v>76755354</v>
      </c>
      <c r="Y138" s="60" t="s">
        <v>4</v>
      </c>
      <c r="Z138" s="60" t="s">
        <v>1</v>
      </c>
      <c r="AA138">
        <f t="shared" ca="1" si="2"/>
        <v>0</v>
      </c>
    </row>
    <row r="139" spans="1:27">
      <c r="A139" s="2" t="s">
        <v>78</v>
      </c>
      <c r="B139" s="2" t="s">
        <v>98</v>
      </c>
      <c r="C139" s="2" t="s">
        <v>808</v>
      </c>
      <c r="D139" s="2" t="s">
        <v>809</v>
      </c>
      <c r="E139" s="2" t="s">
        <v>168</v>
      </c>
      <c r="F139" s="2" t="s">
        <v>810</v>
      </c>
      <c r="G139" s="2" t="s">
        <v>811</v>
      </c>
      <c r="H139" s="2" t="s">
        <v>183</v>
      </c>
      <c r="I139" s="2" t="s">
        <v>732</v>
      </c>
      <c r="J139" s="2" t="s">
        <v>148</v>
      </c>
      <c r="K139" s="2" t="s">
        <v>671</v>
      </c>
      <c r="L139" s="2" t="s">
        <v>627</v>
      </c>
      <c r="M139" s="2" t="s">
        <v>749</v>
      </c>
      <c r="N139" s="2" t="s">
        <v>84</v>
      </c>
      <c r="O139" s="2" t="s">
        <v>91</v>
      </c>
      <c r="P139" s="5">
        <v>6111</v>
      </c>
      <c r="Q139" s="5">
        <v>3.681</v>
      </c>
      <c r="R139" s="5">
        <v>13550</v>
      </c>
      <c r="S139" s="5">
        <v>0</v>
      </c>
      <c r="T139" s="5">
        <v>3048.0170800000001</v>
      </c>
      <c r="U139" s="6">
        <v>4.5117000000000004E-3</v>
      </c>
      <c r="V139" s="6">
        <v>1.15946E-2</v>
      </c>
      <c r="W139" s="6">
        <v>3.6509000000000003E-3</v>
      </c>
      <c r="X139" s="9">
        <v>77196061</v>
      </c>
      <c r="Y139" s="60" t="s">
        <v>4</v>
      </c>
      <c r="Z139" s="60" t="s">
        <v>1</v>
      </c>
      <c r="AA139">
        <f t="shared" ca="1" si="2"/>
        <v>0</v>
      </c>
    </row>
    <row r="140" spans="1:27">
      <c r="A140" s="2" t="s">
        <v>78</v>
      </c>
      <c r="B140" s="2" t="s">
        <v>98</v>
      </c>
      <c r="C140" s="2" t="s">
        <v>808</v>
      </c>
      <c r="D140" s="2" t="s">
        <v>809</v>
      </c>
      <c r="E140" s="2" t="s">
        <v>168</v>
      </c>
      <c r="F140" s="2" t="s">
        <v>812</v>
      </c>
      <c r="G140" s="2" t="s">
        <v>813</v>
      </c>
      <c r="H140" s="2" t="s">
        <v>183</v>
      </c>
      <c r="I140" s="2" t="s">
        <v>732</v>
      </c>
      <c r="J140" s="2" t="s">
        <v>148</v>
      </c>
      <c r="K140" s="2" t="s">
        <v>156</v>
      </c>
      <c r="L140" s="2" t="s">
        <v>627</v>
      </c>
      <c r="M140" s="2" t="s">
        <v>749</v>
      </c>
      <c r="N140" s="2" t="s">
        <v>84</v>
      </c>
      <c r="O140" s="2" t="s">
        <v>91</v>
      </c>
      <c r="P140" s="5">
        <v>11219</v>
      </c>
      <c r="Q140" s="5">
        <v>3.681</v>
      </c>
      <c r="R140" s="5">
        <v>37152.5</v>
      </c>
      <c r="S140" s="5">
        <v>0</v>
      </c>
      <c r="T140" s="5">
        <v>15342.91956</v>
      </c>
      <c r="U140" s="6">
        <v>1.0893000000000001E-3</v>
      </c>
      <c r="V140" s="6">
        <v>5.8364399999999997E-2</v>
      </c>
      <c r="W140" s="6">
        <v>1.8377899999999999E-2</v>
      </c>
      <c r="X140" s="9">
        <v>77414241</v>
      </c>
      <c r="Y140" s="60" t="s">
        <v>4</v>
      </c>
      <c r="Z140" s="60" t="s">
        <v>1</v>
      </c>
      <c r="AA140">
        <f t="shared" ca="1" si="2"/>
        <v>0</v>
      </c>
    </row>
    <row r="141" spans="1:27">
      <c r="A141" s="2" t="s">
        <v>78</v>
      </c>
      <c r="B141" s="2" t="s">
        <v>98</v>
      </c>
      <c r="C141" s="2" t="s">
        <v>723</v>
      </c>
      <c r="D141" s="2" t="s">
        <v>724</v>
      </c>
      <c r="E141" s="2" t="s">
        <v>168</v>
      </c>
      <c r="F141" s="2" t="s">
        <v>725</v>
      </c>
      <c r="G141" s="2" t="s">
        <v>726</v>
      </c>
      <c r="H141" s="2" t="s">
        <v>183</v>
      </c>
      <c r="I141" s="2" t="s">
        <v>719</v>
      </c>
      <c r="J141" s="2" t="s">
        <v>148</v>
      </c>
      <c r="K141" s="2" t="s">
        <v>156</v>
      </c>
      <c r="L141" s="2" t="s">
        <v>627</v>
      </c>
      <c r="M141" s="2" t="s">
        <v>720</v>
      </c>
      <c r="N141" s="2" t="s">
        <v>84</v>
      </c>
      <c r="O141" s="2" t="s">
        <v>91</v>
      </c>
      <c r="P141" s="5">
        <v>30800</v>
      </c>
      <c r="Q141" s="5">
        <v>3.681</v>
      </c>
      <c r="R141" s="5">
        <v>5525</v>
      </c>
      <c r="S141" s="5">
        <v>0</v>
      </c>
      <c r="T141" s="5">
        <v>6263.9576999999999</v>
      </c>
      <c r="U141" s="6">
        <v>9.1350000000000003E-4</v>
      </c>
      <c r="V141" s="6">
        <v>2.3828100000000001E-2</v>
      </c>
      <c r="W141" s="6">
        <v>7.5029999999999993E-3</v>
      </c>
      <c r="X141" s="9">
        <v>77075851</v>
      </c>
      <c r="Y141" s="60" t="s">
        <v>4</v>
      </c>
      <c r="Z141" s="60" t="s">
        <v>1</v>
      </c>
      <c r="AA141">
        <f t="shared" ca="1" si="2"/>
        <v>0</v>
      </c>
    </row>
    <row r="142" spans="1:27">
      <c r="A142" s="2" t="s">
        <v>78</v>
      </c>
      <c r="B142" s="2" t="s">
        <v>98</v>
      </c>
      <c r="C142" s="2" t="s">
        <v>808</v>
      </c>
      <c r="D142" s="2" t="s">
        <v>809</v>
      </c>
      <c r="E142" s="2" t="s">
        <v>168</v>
      </c>
      <c r="F142" s="2" t="s">
        <v>814</v>
      </c>
      <c r="G142" s="2" t="s">
        <v>815</v>
      </c>
      <c r="H142" s="2" t="s">
        <v>183</v>
      </c>
      <c r="I142" s="2" t="s">
        <v>732</v>
      </c>
      <c r="J142" s="2" t="s">
        <v>148</v>
      </c>
      <c r="K142" s="2" t="s">
        <v>671</v>
      </c>
      <c r="L142" s="2" t="s">
        <v>627</v>
      </c>
      <c r="M142" s="2" t="s">
        <v>749</v>
      </c>
      <c r="N142" s="2" t="s">
        <v>84</v>
      </c>
      <c r="O142" s="2" t="s">
        <v>91</v>
      </c>
      <c r="P142" s="5">
        <v>49481</v>
      </c>
      <c r="Q142" s="5">
        <v>3.681</v>
      </c>
      <c r="R142" s="5">
        <v>1434.9</v>
      </c>
      <c r="S142" s="5">
        <v>0</v>
      </c>
      <c r="T142" s="5">
        <v>2613.5205599999999</v>
      </c>
      <c r="U142" s="6">
        <v>2.6481E-3</v>
      </c>
      <c r="V142" s="6">
        <v>9.9417999999999989E-3</v>
      </c>
      <c r="W142" s="6">
        <v>3.1305E-3</v>
      </c>
      <c r="X142" s="9">
        <v>77530517</v>
      </c>
      <c r="Y142" s="60" t="s">
        <v>4</v>
      </c>
      <c r="Z142" s="60" t="s">
        <v>1</v>
      </c>
      <c r="AA142">
        <f t="shared" ca="1" si="2"/>
        <v>0</v>
      </c>
    </row>
    <row r="143" spans="1:27">
      <c r="A143" s="2" t="s">
        <v>78</v>
      </c>
      <c r="B143" s="2" t="s">
        <v>98</v>
      </c>
      <c r="C143" s="2" t="s">
        <v>727</v>
      </c>
      <c r="D143" s="2" t="s">
        <v>728</v>
      </c>
      <c r="E143" s="2" t="s">
        <v>168</v>
      </c>
      <c r="F143" s="2" t="s">
        <v>818</v>
      </c>
      <c r="G143" s="2" t="s">
        <v>819</v>
      </c>
      <c r="H143" s="2" t="s">
        <v>183</v>
      </c>
      <c r="I143" s="2" t="s">
        <v>732</v>
      </c>
      <c r="J143" s="2" t="s">
        <v>148</v>
      </c>
      <c r="K143" s="2" t="s">
        <v>156</v>
      </c>
      <c r="L143" s="2" t="s">
        <v>627</v>
      </c>
      <c r="M143" s="2" t="s">
        <v>749</v>
      </c>
      <c r="N143" s="2" t="s">
        <v>84</v>
      </c>
      <c r="O143" s="2" t="s">
        <v>91</v>
      </c>
      <c r="P143" s="5">
        <v>9600</v>
      </c>
      <c r="Q143" s="5">
        <v>3.681</v>
      </c>
      <c r="R143" s="5">
        <v>10869.5</v>
      </c>
      <c r="S143" s="5">
        <v>0</v>
      </c>
      <c r="T143" s="5">
        <v>3841.02043</v>
      </c>
      <c r="U143" s="6">
        <v>9.5519999999999991E-4</v>
      </c>
      <c r="V143" s="6">
        <v>1.46112E-2</v>
      </c>
      <c r="W143" s="6">
        <v>4.6007999999999995E-3</v>
      </c>
      <c r="X143" s="9">
        <v>75859280</v>
      </c>
      <c r="Y143" s="60" t="s">
        <v>4</v>
      </c>
      <c r="Z143" s="60" t="s">
        <v>1</v>
      </c>
      <c r="AA143">
        <f t="shared" ca="1" si="2"/>
        <v>0</v>
      </c>
    </row>
    <row r="144" spans="1:27">
      <c r="A144" s="2" t="s">
        <v>78</v>
      </c>
      <c r="B144" s="2" t="s">
        <v>98</v>
      </c>
      <c r="C144" s="2" t="s">
        <v>723</v>
      </c>
      <c r="D144" s="2" t="s">
        <v>724</v>
      </c>
      <c r="E144" s="2" t="s">
        <v>168</v>
      </c>
      <c r="F144" s="2" t="s">
        <v>820</v>
      </c>
      <c r="G144" s="2" t="s">
        <v>821</v>
      </c>
      <c r="H144" s="2" t="s">
        <v>183</v>
      </c>
      <c r="I144" s="2" t="s">
        <v>732</v>
      </c>
      <c r="J144" s="2" t="s">
        <v>148</v>
      </c>
      <c r="K144" s="2" t="s">
        <v>822</v>
      </c>
      <c r="L144" s="2" t="s">
        <v>627</v>
      </c>
      <c r="M144" s="2" t="s">
        <v>749</v>
      </c>
      <c r="N144" s="2" t="s">
        <v>84</v>
      </c>
      <c r="O144" s="2" t="s">
        <v>91</v>
      </c>
      <c r="P144" s="5">
        <v>2950</v>
      </c>
      <c r="Q144" s="5">
        <v>3.681</v>
      </c>
      <c r="R144" s="5">
        <v>5682.5</v>
      </c>
      <c r="S144" s="5">
        <v>0</v>
      </c>
      <c r="T144" s="5">
        <v>617.05983000000003</v>
      </c>
      <c r="U144" s="6">
        <v>7.4999999999999993E-5</v>
      </c>
      <c r="V144" s="6">
        <v>2.3473000000000001E-3</v>
      </c>
      <c r="W144" s="6">
        <v>7.3910000000000002E-4</v>
      </c>
      <c r="X144" s="9">
        <v>75918839</v>
      </c>
      <c r="Y144" s="60" t="s">
        <v>4</v>
      </c>
      <c r="Z144" s="60" t="s">
        <v>1</v>
      </c>
      <c r="AA144">
        <f t="shared" ca="1" si="2"/>
        <v>0</v>
      </c>
    </row>
    <row r="145" spans="1:27">
      <c r="A145" s="2" t="s">
        <v>78</v>
      </c>
      <c r="B145" s="2" t="s">
        <v>98</v>
      </c>
      <c r="C145" s="2" t="s">
        <v>727</v>
      </c>
      <c r="D145" s="2" t="s">
        <v>728</v>
      </c>
      <c r="E145" s="2" t="s">
        <v>168</v>
      </c>
      <c r="F145" s="2" t="s">
        <v>823</v>
      </c>
      <c r="G145" s="2" t="s">
        <v>824</v>
      </c>
      <c r="H145" s="2" t="s">
        <v>183</v>
      </c>
      <c r="I145" s="2" t="s">
        <v>732</v>
      </c>
      <c r="J145" s="2" t="s">
        <v>148</v>
      </c>
      <c r="K145" s="2" t="s">
        <v>156</v>
      </c>
      <c r="L145" s="2" t="s">
        <v>627</v>
      </c>
      <c r="M145" s="2" t="s">
        <v>749</v>
      </c>
      <c r="N145" s="2" t="s">
        <v>84</v>
      </c>
      <c r="O145" s="2" t="s">
        <v>91</v>
      </c>
      <c r="P145" s="5">
        <v>10000</v>
      </c>
      <c r="Q145" s="5">
        <v>3.681</v>
      </c>
      <c r="R145" s="5">
        <v>4855.88</v>
      </c>
      <c r="S145" s="5">
        <v>0</v>
      </c>
      <c r="T145" s="5">
        <v>1787.4494199999999</v>
      </c>
      <c r="U145" s="6">
        <v>1.3422E-3</v>
      </c>
      <c r="V145" s="6">
        <v>6.7993999999999997E-3</v>
      </c>
      <c r="W145" s="6">
        <v>2.1410000000000001E-3</v>
      </c>
      <c r="X145" s="9">
        <v>75352146</v>
      </c>
      <c r="Y145" s="60" t="s">
        <v>4</v>
      </c>
      <c r="Z145" s="60" t="s">
        <v>1</v>
      </c>
      <c r="AA145">
        <f t="shared" ca="1" si="2"/>
        <v>0</v>
      </c>
    </row>
    <row r="146" spans="1:27">
      <c r="A146" s="2" t="s">
        <v>78</v>
      </c>
      <c r="B146" s="2" t="s">
        <v>98</v>
      </c>
      <c r="C146" s="2" t="s">
        <v>727</v>
      </c>
      <c r="D146" s="2" t="s">
        <v>728</v>
      </c>
      <c r="E146" s="2" t="s">
        <v>168</v>
      </c>
      <c r="F146" s="2" t="s">
        <v>729</v>
      </c>
      <c r="G146" s="2" t="s">
        <v>730</v>
      </c>
      <c r="H146" s="2" t="s">
        <v>183</v>
      </c>
      <c r="I146" s="2" t="s">
        <v>719</v>
      </c>
      <c r="J146" s="2" t="s">
        <v>148</v>
      </c>
      <c r="K146" s="2" t="s">
        <v>156</v>
      </c>
      <c r="L146" s="2" t="s">
        <v>627</v>
      </c>
      <c r="M146" s="2" t="s">
        <v>720</v>
      </c>
      <c r="N146" s="2" t="s">
        <v>84</v>
      </c>
      <c r="O146" s="2" t="s">
        <v>91</v>
      </c>
      <c r="P146" s="5">
        <v>45000</v>
      </c>
      <c r="Q146" s="5">
        <v>3.681</v>
      </c>
      <c r="R146" s="5">
        <v>2760.5</v>
      </c>
      <c r="S146" s="5">
        <v>0</v>
      </c>
      <c r="T146" s="5">
        <v>4572.63022</v>
      </c>
      <c r="U146" s="6">
        <v>1.786E-4</v>
      </c>
      <c r="V146" s="6">
        <v>1.7394300000000001E-2</v>
      </c>
      <c r="W146" s="6">
        <v>5.4771000000000004E-3</v>
      </c>
      <c r="X146" s="9">
        <v>77749059</v>
      </c>
      <c r="Y146" s="60" t="s">
        <v>4</v>
      </c>
      <c r="Z146" s="60" t="s">
        <v>1</v>
      </c>
      <c r="AA146">
        <f t="shared" ca="1" si="2"/>
        <v>0</v>
      </c>
    </row>
    <row r="147" spans="1:27">
      <c r="A147" s="2" t="s">
        <v>78</v>
      </c>
      <c r="B147" s="2" t="s">
        <v>98</v>
      </c>
      <c r="C147" s="2" t="s">
        <v>727</v>
      </c>
      <c r="D147" s="2" t="s">
        <v>728</v>
      </c>
      <c r="E147" s="2" t="s">
        <v>168</v>
      </c>
      <c r="F147" s="2" t="s">
        <v>825</v>
      </c>
      <c r="G147" s="2" t="s">
        <v>826</v>
      </c>
      <c r="H147" s="2" t="s">
        <v>183</v>
      </c>
      <c r="I147" s="2" t="s">
        <v>732</v>
      </c>
      <c r="J147" s="2" t="s">
        <v>148</v>
      </c>
      <c r="K147" s="2" t="s">
        <v>156</v>
      </c>
      <c r="L147" s="2" t="s">
        <v>627</v>
      </c>
      <c r="M147" s="2" t="s">
        <v>749</v>
      </c>
      <c r="N147" s="2" t="s">
        <v>84</v>
      </c>
      <c r="O147" s="2" t="s">
        <v>91</v>
      </c>
      <c r="P147" s="5">
        <v>367000</v>
      </c>
      <c r="Q147" s="5">
        <v>3.681</v>
      </c>
      <c r="R147" s="5">
        <v>1267.5999999999999</v>
      </c>
      <c r="S147" s="5">
        <v>0</v>
      </c>
      <c r="T147" s="5">
        <v>17124.35065</v>
      </c>
      <c r="U147" s="6">
        <v>1.6481999999999998E-3</v>
      </c>
      <c r="V147" s="6">
        <v>6.5140900000000002E-2</v>
      </c>
      <c r="W147" s="6">
        <v>2.0511700000000001E-2</v>
      </c>
      <c r="X147" s="9">
        <v>79187233</v>
      </c>
      <c r="Y147" s="60" t="s">
        <v>4</v>
      </c>
      <c r="Z147" s="60" t="s">
        <v>1</v>
      </c>
      <c r="AA147">
        <f t="shared" ca="1" si="2"/>
        <v>0</v>
      </c>
    </row>
    <row r="148" spans="1:27">
      <c r="A148" s="2" t="s">
        <v>3</v>
      </c>
      <c r="B148" s="2" t="s">
        <v>100</v>
      </c>
      <c r="C148" s="2" t="s">
        <v>3</v>
      </c>
      <c r="D148" s="2" t="s">
        <v>3</v>
      </c>
      <c r="E148" s="2" t="s">
        <v>3</v>
      </c>
      <c r="F148" s="2" t="s">
        <v>3</v>
      </c>
      <c r="G148" s="2" t="s">
        <v>3</v>
      </c>
      <c r="H148" s="2" t="s">
        <v>3</v>
      </c>
      <c r="I148" s="2" t="s">
        <v>3</v>
      </c>
      <c r="J148" s="2" t="s">
        <v>3</v>
      </c>
      <c r="K148" s="2" t="s">
        <v>3</v>
      </c>
      <c r="L148" s="2" t="s">
        <v>3</v>
      </c>
      <c r="M148" s="2" t="s">
        <v>3</v>
      </c>
      <c r="N148" s="2" t="s">
        <v>3</v>
      </c>
      <c r="O148" s="2" t="s">
        <v>3</v>
      </c>
      <c r="P148" s="2" t="s">
        <v>3</v>
      </c>
      <c r="Q148" s="2" t="s">
        <v>3</v>
      </c>
      <c r="R148" s="2" t="s">
        <v>3</v>
      </c>
      <c r="S148" s="5" t="s">
        <v>3</v>
      </c>
      <c r="T148" s="2" t="s">
        <v>3</v>
      </c>
      <c r="U148" s="2" t="s">
        <v>3</v>
      </c>
      <c r="V148" s="2" t="s">
        <v>3</v>
      </c>
      <c r="W148" s="2" t="s">
        <v>3</v>
      </c>
      <c r="X148" s="2" t="s">
        <v>3</v>
      </c>
      <c r="Y148" s="60" t="s">
        <v>4</v>
      </c>
      <c r="Z148" s="60" t="s">
        <v>1</v>
      </c>
    </row>
    <row r="149" spans="1:27">
      <c r="B149" s="60" t="s">
        <v>24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spans="1:27">
      <c r="B150" s="60" t="s">
        <v>25</v>
      </c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</sheetData>
  <autoFilter ref="A2:AA150"/>
  <mergeCells count="5">
    <mergeCell ref="B1:X1"/>
    <mergeCell ref="B149:X149"/>
    <mergeCell ref="B150:X150"/>
    <mergeCell ref="Y2:Y148"/>
    <mergeCell ref="Z1:Z1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tabColor theme="2"/>
  </sheetPr>
  <dimension ref="A1:AA14"/>
  <sheetViews>
    <sheetView rightToLeft="1" topLeftCell="G1" zoomScale="70" zoomScaleNormal="70" workbookViewId="0">
      <selection activeCell="T24" sqref="H24:T26"/>
    </sheetView>
  </sheetViews>
  <sheetFormatPr defaultRowHeight="14.25"/>
  <cols>
    <col min="1" max="1" width="36" customWidth="1"/>
    <col min="2" max="2" width="12" customWidth="1"/>
    <col min="3" max="3" width="26" customWidth="1"/>
    <col min="4" max="4" width="12" customWidth="1"/>
    <col min="5" max="5" width="21" customWidth="1"/>
    <col min="6" max="6" width="32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52" customWidth="1"/>
    <col min="15" max="15" width="19" customWidth="1"/>
    <col min="16" max="16" width="14" customWidth="1"/>
    <col min="17" max="17" width="19" customWidth="1"/>
    <col min="18" max="18" width="12" customWidth="1"/>
    <col min="19" max="19" width="15" customWidth="1"/>
    <col min="20" max="20" width="24" customWidth="1"/>
    <col min="21" max="21" width="23" customWidth="1"/>
    <col min="22" max="22" width="25" customWidth="1"/>
    <col min="23" max="23" width="23" customWidth="1"/>
    <col min="24" max="24" width="11" customWidth="1"/>
  </cols>
  <sheetData>
    <row r="1" spans="1:27">
      <c r="B1" s="6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61" t="s">
        <v>1</v>
      </c>
    </row>
    <row r="2" spans="1:27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105</v>
      </c>
      <c r="N2" s="4" t="s">
        <v>700</v>
      </c>
      <c r="O2" s="4" t="s">
        <v>172</v>
      </c>
      <c r="P2" s="4" t="s">
        <v>71</v>
      </c>
      <c r="Q2" s="4" t="s">
        <v>111</v>
      </c>
      <c r="R2" s="4" t="s">
        <v>73</v>
      </c>
      <c r="S2" s="4" t="s">
        <v>112</v>
      </c>
      <c r="T2" s="4" t="s">
        <v>75</v>
      </c>
      <c r="U2" s="4" t="s">
        <v>114</v>
      </c>
      <c r="V2" s="4" t="s">
        <v>76</v>
      </c>
      <c r="W2" s="4" t="s">
        <v>77</v>
      </c>
      <c r="X2" s="4" t="s">
        <v>3</v>
      </c>
      <c r="Y2" s="61" t="s">
        <v>4</v>
      </c>
      <c r="Z2" s="61" t="s">
        <v>1</v>
      </c>
    </row>
    <row r="3" spans="1:27">
      <c r="A3" s="2" t="s">
        <v>78</v>
      </c>
      <c r="B3" s="2" t="s">
        <v>79</v>
      </c>
      <c r="C3" s="2" t="s">
        <v>848</v>
      </c>
      <c r="D3" s="2" t="s">
        <v>849</v>
      </c>
      <c r="E3" s="2" t="s">
        <v>168</v>
      </c>
      <c r="F3" s="2" t="s">
        <v>850</v>
      </c>
      <c r="G3" s="2" t="s">
        <v>851</v>
      </c>
      <c r="H3" s="2" t="s">
        <v>183</v>
      </c>
      <c r="I3" s="2" t="s">
        <v>852</v>
      </c>
      <c r="J3" s="2" t="s">
        <v>148</v>
      </c>
      <c r="K3" s="2" t="s">
        <v>156</v>
      </c>
      <c r="L3" s="2" t="s">
        <v>185</v>
      </c>
      <c r="M3" s="2" t="s">
        <v>584</v>
      </c>
      <c r="N3" s="2" t="s">
        <v>720</v>
      </c>
      <c r="O3" s="2" t="s">
        <v>84</v>
      </c>
      <c r="P3" s="2" t="s">
        <v>91</v>
      </c>
      <c r="Q3" s="5">
        <v>108.82</v>
      </c>
      <c r="R3" s="5">
        <v>3.681</v>
      </c>
      <c r="S3" s="5">
        <v>159555.51</v>
      </c>
      <c r="T3" s="5">
        <v>639.12579000000005</v>
      </c>
      <c r="U3" s="6">
        <v>0</v>
      </c>
      <c r="V3" s="6">
        <v>5.82972E-2</v>
      </c>
      <c r="W3" s="6">
        <v>7.6560000000000007E-4</v>
      </c>
      <c r="X3" s="9">
        <v>76129675</v>
      </c>
      <c r="Y3" s="61" t="s">
        <v>4</v>
      </c>
      <c r="Z3" s="61" t="s">
        <v>1</v>
      </c>
      <c r="AA3">
        <f ca="1">COUNTBLANK(INDIRECT(SUBSTITUTE(ADDRESS(ROW(),3),"$","")&amp;":"&amp;SUBSTITUTE(ADDRESS(ROW(),COUNTA(INDIRECT("2:2"))-3),"$","")))</f>
        <v>0</v>
      </c>
    </row>
    <row r="4" spans="1:27">
      <c r="A4" s="2" t="s">
        <v>78</v>
      </c>
      <c r="B4" s="2" t="s">
        <v>78</v>
      </c>
      <c r="C4" s="2" t="s">
        <v>853</v>
      </c>
      <c r="D4" s="2" t="s">
        <v>854</v>
      </c>
      <c r="E4" s="2" t="s">
        <v>168</v>
      </c>
      <c r="F4" s="2" t="s">
        <v>855</v>
      </c>
      <c r="G4" s="2" t="s">
        <v>856</v>
      </c>
      <c r="H4" s="2" t="s">
        <v>183</v>
      </c>
      <c r="I4" s="2" t="s">
        <v>529</v>
      </c>
      <c r="J4" s="2" t="s">
        <v>148</v>
      </c>
      <c r="K4" s="2" t="s">
        <v>857</v>
      </c>
      <c r="L4" s="2" t="s">
        <v>185</v>
      </c>
      <c r="M4" s="2" t="s">
        <v>149</v>
      </c>
      <c r="N4" s="2" t="s">
        <v>749</v>
      </c>
      <c r="O4" s="2" t="s">
        <v>84</v>
      </c>
      <c r="P4" s="2" t="s">
        <v>91</v>
      </c>
      <c r="Q4" s="5">
        <v>1100</v>
      </c>
      <c r="R4" s="5">
        <v>3.681</v>
      </c>
      <c r="S4" s="5">
        <v>2985.12</v>
      </c>
      <c r="T4" s="5">
        <v>120.87049</v>
      </c>
      <c r="U4" s="6">
        <v>6.4999999999999994E-5</v>
      </c>
      <c r="V4" s="6">
        <v>1.1025100000000001E-2</v>
      </c>
      <c r="W4" s="6">
        <v>1.448E-4</v>
      </c>
      <c r="X4" s="9">
        <v>75217265</v>
      </c>
      <c r="Y4" s="61" t="s">
        <v>4</v>
      </c>
      <c r="Z4" s="61" t="s">
        <v>1</v>
      </c>
      <c r="AA4">
        <f t="shared" ref="AA4:AA11" ca="1" si="0">COUNTBLANK(INDIRECT(SUBSTITUTE(ADDRESS(ROW(),3),"$","")&amp;":"&amp;SUBSTITUTE(ADDRESS(ROW(),COUNTA(INDIRECT("2:2"))-3),"$","")))</f>
        <v>0</v>
      </c>
    </row>
    <row r="5" spans="1:27">
      <c r="A5" s="2" t="s">
        <v>78</v>
      </c>
      <c r="B5" s="2" t="s">
        <v>94</v>
      </c>
      <c r="C5" s="2" t="s">
        <v>853</v>
      </c>
      <c r="D5" s="2" t="s">
        <v>854</v>
      </c>
      <c r="E5" s="2" t="s">
        <v>168</v>
      </c>
      <c r="F5" s="2" t="s">
        <v>855</v>
      </c>
      <c r="G5" s="2" t="s">
        <v>856</v>
      </c>
      <c r="H5" s="2" t="s">
        <v>183</v>
      </c>
      <c r="I5" s="2" t="s">
        <v>529</v>
      </c>
      <c r="J5" s="2" t="s">
        <v>148</v>
      </c>
      <c r="K5" s="2" t="s">
        <v>857</v>
      </c>
      <c r="L5" s="2" t="s">
        <v>185</v>
      </c>
      <c r="M5" s="2" t="s">
        <v>149</v>
      </c>
      <c r="N5" s="2" t="s">
        <v>749</v>
      </c>
      <c r="O5" s="2" t="s">
        <v>84</v>
      </c>
      <c r="P5" s="2" t="s">
        <v>91</v>
      </c>
      <c r="Q5" s="5">
        <v>600</v>
      </c>
      <c r="R5" s="5">
        <v>3.681</v>
      </c>
      <c r="S5" s="5">
        <v>2985.12</v>
      </c>
      <c r="T5" s="5">
        <v>65.929360000000003</v>
      </c>
      <c r="U5" s="6">
        <v>3.5500000000000002E-5</v>
      </c>
      <c r="V5" s="6">
        <v>6.0136999999999994E-3</v>
      </c>
      <c r="W5" s="6">
        <v>7.9000000000000009E-5</v>
      </c>
      <c r="X5" s="9">
        <v>75217265</v>
      </c>
      <c r="Y5" s="61" t="s">
        <v>4</v>
      </c>
      <c r="Z5" s="61" t="s">
        <v>1</v>
      </c>
      <c r="AA5">
        <f t="shared" ca="1" si="0"/>
        <v>0</v>
      </c>
    </row>
    <row r="6" spans="1:27">
      <c r="A6" s="2" t="s">
        <v>78</v>
      </c>
      <c r="B6" s="2" t="s">
        <v>96</v>
      </c>
      <c r="C6" s="2" t="s">
        <v>754</v>
      </c>
      <c r="D6" s="2" t="s">
        <v>755</v>
      </c>
      <c r="E6" s="2" t="s">
        <v>168</v>
      </c>
      <c r="F6" s="2" t="s">
        <v>858</v>
      </c>
      <c r="G6" s="2" t="s">
        <v>859</v>
      </c>
      <c r="H6" s="2" t="s">
        <v>183</v>
      </c>
      <c r="I6" s="2" t="s">
        <v>852</v>
      </c>
      <c r="J6" s="2" t="s">
        <v>148</v>
      </c>
      <c r="K6" s="2" t="s">
        <v>156</v>
      </c>
      <c r="L6" s="2" t="s">
        <v>185</v>
      </c>
      <c r="M6" s="2" t="s">
        <v>149</v>
      </c>
      <c r="N6" s="2" t="s">
        <v>720</v>
      </c>
      <c r="O6" s="2" t="s">
        <v>84</v>
      </c>
      <c r="P6" s="2" t="s">
        <v>91</v>
      </c>
      <c r="Q6" s="5">
        <v>1006.76</v>
      </c>
      <c r="R6" s="5">
        <v>3.681</v>
      </c>
      <c r="S6" s="5">
        <v>17736</v>
      </c>
      <c r="T6" s="5">
        <v>657.27549999999997</v>
      </c>
      <c r="U6" s="6">
        <v>1.549E-4</v>
      </c>
      <c r="V6" s="6">
        <v>5.9952699999999998E-2</v>
      </c>
      <c r="W6" s="6">
        <v>7.8729999999999989E-4</v>
      </c>
      <c r="X6" s="9">
        <v>74705997</v>
      </c>
      <c r="Y6" s="61" t="s">
        <v>4</v>
      </c>
      <c r="Z6" s="61" t="s">
        <v>1</v>
      </c>
      <c r="AA6">
        <f t="shared" ca="1" si="0"/>
        <v>0</v>
      </c>
    </row>
    <row r="7" spans="1:27">
      <c r="A7" s="2" t="s">
        <v>78</v>
      </c>
      <c r="B7" s="2" t="s">
        <v>96</v>
      </c>
      <c r="C7" s="2" t="s">
        <v>848</v>
      </c>
      <c r="D7" s="2" t="s">
        <v>849</v>
      </c>
      <c r="E7" s="2" t="s">
        <v>168</v>
      </c>
      <c r="F7" s="2" t="s">
        <v>860</v>
      </c>
      <c r="G7" s="2" t="s">
        <v>861</v>
      </c>
      <c r="H7" s="2" t="s">
        <v>183</v>
      </c>
      <c r="I7" s="2" t="s">
        <v>852</v>
      </c>
      <c r="J7" s="2" t="s">
        <v>148</v>
      </c>
      <c r="K7" s="2" t="s">
        <v>156</v>
      </c>
      <c r="L7" s="2" t="s">
        <v>185</v>
      </c>
      <c r="M7" s="2" t="s">
        <v>584</v>
      </c>
      <c r="N7" s="2" t="s">
        <v>720</v>
      </c>
      <c r="O7" s="2" t="s">
        <v>84</v>
      </c>
      <c r="P7" s="2" t="s">
        <v>91</v>
      </c>
      <c r="Q7" s="5">
        <v>384.54</v>
      </c>
      <c r="R7" s="5">
        <v>3.681</v>
      </c>
      <c r="S7" s="5">
        <v>130343.89</v>
      </c>
      <c r="T7" s="5">
        <v>1845.0069900000001</v>
      </c>
      <c r="U7" s="6">
        <v>0</v>
      </c>
      <c r="V7" s="6">
        <v>0.16829049999999998</v>
      </c>
      <c r="W7" s="6">
        <v>2.2100000000000002E-3</v>
      </c>
      <c r="X7" s="9">
        <v>76297688</v>
      </c>
      <c r="Y7" s="61" t="s">
        <v>4</v>
      </c>
      <c r="Z7" s="61" t="s">
        <v>1</v>
      </c>
      <c r="AA7">
        <f t="shared" ca="1" si="0"/>
        <v>0</v>
      </c>
    </row>
    <row r="8" spans="1:27">
      <c r="A8" s="2" t="s">
        <v>78</v>
      </c>
      <c r="B8" s="2" t="s">
        <v>98</v>
      </c>
      <c r="C8" s="2" t="s">
        <v>862</v>
      </c>
      <c r="D8" s="2" t="s">
        <v>863</v>
      </c>
      <c r="E8" s="2" t="s">
        <v>194</v>
      </c>
      <c r="F8" s="2" t="s">
        <v>864</v>
      </c>
      <c r="G8" s="9">
        <v>1142538</v>
      </c>
      <c r="H8" s="2" t="s">
        <v>149</v>
      </c>
      <c r="I8" s="2" t="s">
        <v>149</v>
      </c>
      <c r="J8" s="2" t="s">
        <v>83</v>
      </c>
      <c r="K8" s="2" t="s">
        <v>83</v>
      </c>
      <c r="L8" s="2" t="s">
        <v>185</v>
      </c>
      <c r="M8" s="2" t="s">
        <v>118</v>
      </c>
      <c r="N8" s="2" t="s">
        <v>865</v>
      </c>
      <c r="O8" s="2" t="s">
        <v>866</v>
      </c>
      <c r="P8" s="2" t="s">
        <v>87</v>
      </c>
      <c r="Q8" s="5">
        <v>4649276.88</v>
      </c>
      <c r="R8" s="5">
        <v>1</v>
      </c>
      <c r="S8" s="5">
        <v>62.3</v>
      </c>
      <c r="T8" s="5">
        <v>2896.4994900000002</v>
      </c>
      <c r="U8" s="6">
        <v>1.39005E-2</v>
      </c>
      <c r="V8" s="6">
        <v>0.26420139999999998</v>
      </c>
      <c r="W8" s="6">
        <v>3.4694999999999999E-3</v>
      </c>
      <c r="X8" s="2" t="s">
        <v>3</v>
      </c>
      <c r="Y8" s="61" t="s">
        <v>4</v>
      </c>
      <c r="Z8" s="61" t="s">
        <v>1</v>
      </c>
      <c r="AA8">
        <f t="shared" ca="1" si="0"/>
        <v>0</v>
      </c>
    </row>
    <row r="9" spans="1:27">
      <c r="A9" s="2" t="s">
        <v>78</v>
      </c>
      <c r="B9" s="2" t="s">
        <v>98</v>
      </c>
      <c r="C9" s="2" t="s">
        <v>701</v>
      </c>
      <c r="D9" s="2" t="s">
        <v>702</v>
      </c>
      <c r="E9" s="2" t="s">
        <v>194</v>
      </c>
      <c r="F9" s="2" t="s">
        <v>867</v>
      </c>
      <c r="G9" s="9">
        <v>5122957</v>
      </c>
      <c r="H9" s="2" t="s">
        <v>149</v>
      </c>
      <c r="I9" s="2" t="s">
        <v>529</v>
      </c>
      <c r="J9" s="2" t="s">
        <v>83</v>
      </c>
      <c r="K9" s="2" t="s">
        <v>156</v>
      </c>
      <c r="L9" s="2" t="s">
        <v>185</v>
      </c>
      <c r="M9" s="2" t="s">
        <v>118</v>
      </c>
      <c r="N9" s="2" t="s">
        <v>868</v>
      </c>
      <c r="O9" s="2" t="s">
        <v>84</v>
      </c>
      <c r="P9" s="2" t="s">
        <v>87</v>
      </c>
      <c r="Q9" s="5">
        <v>910000</v>
      </c>
      <c r="R9" s="5">
        <v>1</v>
      </c>
      <c r="S9" s="5">
        <v>243.63</v>
      </c>
      <c r="T9" s="5">
        <v>2217.0329999999999</v>
      </c>
      <c r="U9" s="6">
        <v>0</v>
      </c>
      <c r="V9" s="6">
        <v>0.20222449999999997</v>
      </c>
      <c r="W9" s="6">
        <v>2.6556000000000001E-3</v>
      </c>
      <c r="X9" s="2" t="s">
        <v>3</v>
      </c>
      <c r="Y9" s="61" t="s">
        <v>4</v>
      </c>
      <c r="Z9" s="61" t="s">
        <v>1</v>
      </c>
      <c r="AA9">
        <f t="shared" ca="1" si="0"/>
        <v>0</v>
      </c>
    </row>
    <row r="10" spans="1:27">
      <c r="A10" s="2" t="s">
        <v>78</v>
      </c>
      <c r="B10" s="2" t="s">
        <v>98</v>
      </c>
      <c r="C10" s="2" t="s">
        <v>853</v>
      </c>
      <c r="D10" s="2" t="s">
        <v>854</v>
      </c>
      <c r="E10" s="2" t="s">
        <v>168</v>
      </c>
      <c r="F10" s="2" t="s">
        <v>855</v>
      </c>
      <c r="G10" s="2" t="s">
        <v>856</v>
      </c>
      <c r="H10" s="2" t="s">
        <v>183</v>
      </c>
      <c r="I10" s="2" t="s">
        <v>529</v>
      </c>
      <c r="J10" s="2" t="s">
        <v>148</v>
      </c>
      <c r="K10" s="2" t="s">
        <v>857</v>
      </c>
      <c r="L10" s="2" t="s">
        <v>185</v>
      </c>
      <c r="M10" s="2" t="s">
        <v>149</v>
      </c>
      <c r="N10" s="2" t="s">
        <v>749</v>
      </c>
      <c r="O10" s="2" t="s">
        <v>84</v>
      </c>
      <c r="P10" s="2" t="s">
        <v>91</v>
      </c>
      <c r="Q10" s="5">
        <v>14102</v>
      </c>
      <c r="R10" s="5">
        <v>3.681</v>
      </c>
      <c r="S10" s="5">
        <v>2985.12</v>
      </c>
      <c r="T10" s="5">
        <v>1549.5597299999999</v>
      </c>
      <c r="U10" s="6">
        <v>8.3440000000000001E-4</v>
      </c>
      <c r="V10" s="6">
        <v>0.14134159999999998</v>
      </c>
      <c r="W10" s="6">
        <v>1.8561000000000001E-3</v>
      </c>
      <c r="X10" s="9">
        <v>75217265</v>
      </c>
      <c r="Y10" s="61" t="s">
        <v>4</v>
      </c>
      <c r="Z10" s="61" t="s">
        <v>1</v>
      </c>
      <c r="AA10">
        <f t="shared" ca="1" si="0"/>
        <v>0</v>
      </c>
    </row>
    <row r="11" spans="1:27">
      <c r="A11" s="2" t="s">
        <v>78</v>
      </c>
      <c r="B11" s="2" t="s">
        <v>98</v>
      </c>
      <c r="C11" s="2" t="s">
        <v>869</v>
      </c>
      <c r="D11" s="2" t="s">
        <v>870</v>
      </c>
      <c r="E11" s="2" t="s">
        <v>168</v>
      </c>
      <c r="F11" s="2" t="s">
        <v>871</v>
      </c>
      <c r="G11" s="2" t="s">
        <v>872</v>
      </c>
      <c r="H11" s="2" t="s">
        <v>183</v>
      </c>
      <c r="I11" s="2" t="s">
        <v>529</v>
      </c>
      <c r="J11" s="2" t="s">
        <v>148</v>
      </c>
      <c r="K11" s="2" t="s">
        <v>764</v>
      </c>
      <c r="L11" s="2" t="s">
        <v>185</v>
      </c>
      <c r="M11" s="2" t="s">
        <v>149</v>
      </c>
      <c r="N11" s="2" t="s">
        <v>749</v>
      </c>
      <c r="O11" s="2" t="s">
        <v>84</v>
      </c>
      <c r="P11" s="2" t="s">
        <v>90</v>
      </c>
      <c r="Q11" s="5">
        <v>4530</v>
      </c>
      <c r="R11" s="5">
        <v>3.9790999999999999</v>
      </c>
      <c r="S11" s="5">
        <v>5392</v>
      </c>
      <c r="T11" s="5">
        <v>971.92541000000006</v>
      </c>
      <c r="U11" s="6">
        <v>1.3481000000000001E-3</v>
      </c>
      <c r="V11" s="6">
        <v>8.8653200000000001E-2</v>
      </c>
      <c r="W11" s="6">
        <v>1.1642E-3</v>
      </c>
      <c r="X11" s="9">
        <v>76043702</v>
      </c>
      <c r="Y11" s="61" t="s">
        <v>4</v>
      </c>
      <c r="Z11" s="61" t="s">
        <v>1</v>
      </c>
      <c r="AA11">
        <f t="shared" ca="1" si="0"/>
        <v>0</v>
      </c>
    </row>
    <row r="12" spans="1:27">
      <c r="A12" s="2" t="s">
        <v>3</v>
      </c>
      <c r="B12" s="2" t="s">
        <v>100</v>
      </c>
      <c r="C12" s="2" t="s">
        <v>3</v>
      </c>
      <c r="D12" s="2" t="s">
        <v>3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  <c r="L12" s="2" t="s">
        <v>3</v>
      </c>
      <c r="M12" s="2" t="s">
        <v>3</v>
      </c>
      <c r="N12" s="2" t="s">
        <v>3</v>
      </c>
      <c r="O12" s="2" t="s">
        <v>3</v>
      </c>
      <c r="P12" s="2" t="s">
        <v>3</v>
      </c>
      <c r="Q12" s="2" t="s">
        <v>3</v>
      </c>
      <c r="R12" s="2" t="s">
        <v>3</v>
      </c>
      <c r="S12" s="2" t="s">
        <v>3</v>
      </c>
      <c r="T12" s="2" t="s">
        <v>3</v>
      </c>
      <c r="U12" s="2" t="s">
        <v>3</v>
      </c>
      <c r="V12" s="2" t="s">
        <v>3</v>
      </c>
      <c r="W12" s="2" t="s">
        <v>3</v>
      </c>
      <c r="X12" s="2" t="s">
        <v>3</v>
      </c>
      <c r="Y12" s="61" t="s">
        <v>4</v>
      </c>
      <c r="Z12" s="61" t="s">
        <v>1</v>
      </c>
    </row>
    <row r="13" spans="1:27">
      <c r="B13" s="61" t="s">
        <v>24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7">
      <c r="B14" s="61" t="s">
        <v>25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</sheetData>
  <mergeCells count="5">
    <mergeCell ref="B1:X1"/>
    <mergeCell ref="B13:X13"/>
    <mergeCell ref="B14:X14"/>
    <mergeCell ref="Y2:Y12"/>
    <mergeCell ref="Z1:Z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AC10"/>
  <sheetViews>
    <sheetView rightToLeft="1" workbookViewId="0">
      <selection activeCell="T21" sqref="A15:T21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2" customWidth="1"/>
    <col min="14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4" customWidth="1"/>
    <col min="24" max="24" width="25" customWidth="1"/>
    <col min="25" max="25" width="23" customWidth="1"/>
    <col min="26" max="26" width="2" customWidth="1"/>
  </cols>
  <sheetData>
    <row r="1" spans="1:29">
      <c r="B1" s="62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B1" s="62" t="s">
        <v>1</v>
      </c>
    </row>
    <row r="2" spans="1:29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67</v>
      </c>
      <c r="J2" s="4" t="s">
        <v>104</v>
      </c>
      <c r="K2" s="4" t="s">
        <v>178</v>
      </c>
      <c r="L2" s="4" t="s">
        <v>105</v>
      </c>
      <c r="M2" s="4" t="s">
        <v>873</v>
      </c>
      <c r="N2" s="4" t="s">
        <v>171</v>
      </c>
      <c r="O2" s="4" t="s">
        <v>874</v>
      </c>
      <c r="P2" s="4" t="s">
        <v>172</v>
      </c>
      <c r="Q2" s="4" t="s">
        <v>71</v>
      </c>
      <c r="R2" s="4" t="s">
        <v>875</v>
      </c>
      <c r="S2" s="4" t="s">
        <v>876</v>
      </c>
      <c r="T2" s="4" t="s">
        <v>111</v>
      </c>
      <c r="U2" s="4" t="s">
        <v>73</v>
      </c>
      <c r="V2" s="4" t="s">
        <v>112</v>
      </c>
      <c r="W2" s="4" t="s">
        <v>75</v>
      </c>
      <c r="X2" s="4" t="s">
        <v>76</v>
      </c>
      <c r="Y2" s="4" t="s">
        <v>77</v>
      </c>
      <c r="Z2" s="4" t="s">
        <v>3</v>
      </c>
      <c r="AA2" s="62" t="s">
        <v>4</v>
      </c>
      <c r="AB2" s="62" t="s">
        <v>1</v>
      </c>
    </row>
    <row r="3" spans="1:29">
      <c r="A3" s="2" t="s">
        <v>78</v>
      </c>
      <c r="B3" s="2" t="s">
        <v>78</v>
      </c>
      <c r="C3" s="2" t="s">
        <v>201</v>
      </c>
      <c r="D3" s="2" t="s">
        <v>202</v>
      </c>
      <c r="E3" s="2" t="s">
        <v>194</v>
      </c>
      <c r="F3" s="2" t="s">
        <v>877</v>
      </c>
      <c r="G3" s="9">
        <v>1202837</v>
      </c>
      <c r="H3" s="2" t="s">
        <v>149</v>
      </c>
      <c r="I3" s="2" t="s">
        <v>83</v>
      </c>
      <c r="J3" s="2" t="s">
        <v>83</v>
      </c>
      <c r="K3" s="2" t="s">
        <v>185</v>
      </c>
      <c r="L3" s="2" t="s">
        <v>118</v>
      </c>
      <c r="M3" s="2" t="s">
        <v>878</v>
      </c>
      <c r="N3" s="2" t="s">
        <v>879</v>
      </c>
      <c r="O3" s="2" t="s">
        <v>880</v>
      </c>
      <c r="P3" s="2" t="s">
        <v>84</v>
      </c>
      <c r="Q3" s="2" t="s">
        <v>87</v>
      </c>
      <c r="R3" s="5">
        <v>294</v>
      </c>
      <c r="S3" s="5">
        <v>1</v>
      </c>
      <c r="T3" s="5">
        <v>225</v>
      </c>
      <c r="U3" s="5">
        <v>1</v>
      </c>
      <c r="V3" s="5">
        <v>1407</v>
      </c>
      <c r="W3" s="5">
        <v>3.1657500000000001</v>
      </c>
      <c r="X3" s="6">
        <v>7.8947400000000001E-2</v>
      </c>
      <c r="Y3" s="6">
        <v>3.8E-6</v>
      </c>
      <c r="Z3" s="2" t="s">
        <v>3</v>
      </c>
      <c r="AA3" s="62" t="s">
        <v>4</v>
      </c>
      <c r="AB3" s="62" t="s">
        <v>1</v>
      </c>
      <c r="AC3">
        <f ca="1">COUNTBLANK(INDIRECT(SUBSTITUTE(ADDRESS(ROW(),3),"$","")&amp;":"&amp;SUBSTITUTE(ADDRESS(ROW(),COUNTA(INDIRECT("2:2"))-3),"$","")))</f>
        <v>0</v>
      </c>
    </row>
    <row r="4" spans="1:29">
      <c r="A4" s="2" t="s">
        <v>78</v>
      </c>
      <c r="B4" s="2" t="s">
        <v>94</v>
      </c>
      <c r="C4" s="2" t="s">
        <v>201</v>
      </c>
      <c r="D4" s="2" t="s">
        <v>202</v>
      </c>
      <c r="E4" s="2" t="s">
        <v>194</v>
      </c>
      <c r="F4" s="2" t="s">
        <v>877</v>
      </c>
      <c r="G4" s="9">
        <v>1202837</v>
      </c>
      <c r="H4" s="2" t="s">
        <v>149</v>
      </c>
      <c r="I4" s="2" t="s">
        <v>83</v>
      </c>
      <c r="J4" s="2" t="s">
        <v>83</v>
      </c>
      <c r="K4" s="2" t="s">
        <v>185</v>
      </c>
      <c r="L4" s="2" t="s">
        <v>118</v>
      </c>
      <c r="M4" s="2" t="s">
        <v>878</v>
      </c>
      <c r="N4" s="2" t="s">
        <v>879</v>
      </c>
      <c r="O4" s="2" t="s">
        <v>880</v>
      </c>
      <c r="P4" s="2" t="s">
        <v>84</v>
      </c>
      <c r="Q4" s="2" t="s">
        <v>87</v>
      </c>
      <c r="R4" s="5">
        <v>294</v>
      </c>
      <c r="S4" s="5">
        <v>1</v>
      </c>
      <c r="T4" s="5">
        <v>75</v>
      </c>
      <c r="U4" s="5">
        <v>1</v>
      </c>
      <c r="V4" s="5">
        <v>1407</v>
      </c>
      <c r="W4" s="5">
        <v>1.05525</v>
      </c>
      <c r="X4" s="6">
        <v>2.63158E-2</v>
      </c>
      <c r="Y4" s="6">
        <v>1.2999999999999998E-6</v>
      </c>
      <c r="Z4" s="2" t="s">
        <v>3</v>
      </c>
      <c r="AA4" s="62" t="s">
        <v>4</v>
      </c>
      <c r="AB4" s="62" t="s">
        <v>1</v>
      </c>
      <c r="AC4">
        <f t="shared" ref="AC4:AC6" ca="1" si="0">COUNTBLANK(INDIRECT(SUBSTITUTE(ADDRESS(ROW(),3),"$","")&amp;":"&amp;SUBSTITUTE(ADDRESS(ROW(),COUNTA(INDIRECT("2:2"))-3),"$","")))</f>
        <v>0</v>
      </c>
    </row>
    <row r="5" spans="1:29">
      <c r="A5" s="2" t="s">
        <v>78</v>
      </c>
      <c r="B5" s="2" t="s">
        <v>96</v>
      </c>
      <c r="C5" s="2" t="s">
        <v>201</v>
      </c>
      <c r="D5" s="2" t="s">
        <v>202</v>
      </c>
      <c r="E5" s="2" t="s">
        <v>194</v>
      </c>
      <c r="F5" s="2" t="s">
        <v>877</v>
      </c>
      <c r="G5" s="9">
        <v>1202837</v>
      </c>
      <c r="H5" s="2" t="s">
        <v>149</v>
      </c>
      <c r="I5" s="2" t="s">
        <v>83</v>
      </c>
      <c r="J5" s="2" t="s">
        <v>83</v>
      </c>
      <c r="K5" s="2" t="s">
        <v>185</v>
      </c>
      <c r="L5" s="2" t="s">
        <v>118</v>
      </c>
      <c r="M5" s="2" t="s">
        <v>878</v>
      </c>
      <c r="N5" s="2" t="s">
        <v>879</v>
      </c>
      <c r="O5" s="2" t="s">
        <v>880</v>
      </c>
      <c r="P5" s="2" t="s">
        <v>84</v>
      </c>
      <c r="Q5" s="2" t="s">
        <v>87</v>
      </c>
      <c r="R5" s="5">
        <v>294</v>
      </c>
      <c r="S5" s="5">
        <v>1</v>
      </c>
      <c r="T5" s="5">
        <v>450</v>
      </c>
      <c r="U5" s="5">
        <v>1</v>
      </c>
      <c r="V5" s="5">
        <v>1407</v>
      </c>
      <c r="W5" s="5">
        <v>6.3315000000000001</v>
      </c>
      <c r="X5" s="6">
        <v>0.1578947</v>
      </c>
      <c r="Y5" s="6">
        <v>7.6000000000000001E-6</v>
      </c>
      <c r="Z5" s="2" t="s">
        <v>3</v>
      </c>
      <c r="AA5" s="62" t="s">
        <v>4</v>
      </c>
      <c r="AB5" s="62" t="s">
        <v>1</v>
      </c>
      <c r="AC5">
        <f t="shared" ca="1" si="0"/>
        <v>0</v>
      </c>
    </row>
    <row r="6" spans="1:29">
      <c r="A6" s="2" t="s">
        <v>78</v>
      </c>
      <c r="B6" s="2" t="s">
        <v>98</v>
      </c>
      <c r="C6" s="2" t="s">
        <v>201</v>
      </c>
      <c r="D6" s="2" t="s">
        <v>202</v>
      </c>
      <c r="E6" s="2" t="s">
        <v>194</v>
      </c>
      <c r="F6" s="2" t="s">
        <v>877</v>
      </c>
      <c r="G6" s="9">
        <v>1202837</v>
      </c>
      <c r="H6" s="2" t="s">
        <v>149</v>
      </c>
      <c r="I6" s="2" t="s">
        <v>83</v>
      </c>
      <c r="J6" s="2" t="s">
        <v>83</v>
      </c>
      <c r="K6" s="2" t="s">
        <v>185</v>
      </c>
      <c r="L6" s="2" t="s">
        <v>118</v>
      </c>
      <c r="M6" s="2" t="s">
        <v>878</v>
      </c>
      <c r="N6" s="2" t="s">
        <v>879</v>
      </c>
      <c r="O6" s="2" t="s">
        <v>880</v>
      </c>
      <c r="P6" s="2" t="s">
        <v>84</v>
      </c>
      <c r="Q6" s="2" t="s">
        <v>87</v>
      </c>
      <c r="R6" s="5">
        <v>294</v>
      </c>
      <c r="S6" s="5">
        <v>1</v>
      </c>
      <c r="T6" s="5">
        <v>2100</v>
      </c>
      <c r="U6" s="5">
        <v>1</v>
      </c>
      <c r="V6" s="5">
        <v>1407</v>
      </c>
      <c r="W6" s="5">
        <v>29.547000000000001</v>
      </c>
      <c r="X6" s="6">
        <v>0.73684209999999994</v>
      </c>
      <c r="Y6" s="6">
        <v>3.54E-5</v>
      </c>
      <c r="Z6" s="2" t="s">
        <v>3</v>
      </c>
      <c r="AA6" s="62" t="s">
        <v>4</v>
      </c>
      <c r="AB6" s="62" t="s">
        <v>1</v>
      </c>
      <c r="AC6">
        <f t="shared" ca="1" si="0"/>
        <v>0</v>
      </c>
    </row>
    <row r="7" spans="1:29">
      <c r="A7" s="2" t="s">
        <v>78</v>
      </c>
      <c r="B7" s="2" t="s">
        <v>79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62" t="s">
        <v>4</v>
      </c>
      <c r="AB7" s="62" t="s">
        <v>1</v>
      </c>
    </row>
    <row r="8" spans="1:29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62" t="s">
        <v>4</v>
      </c>
      <c r="AB8" s="62" t="s">
        <v>1</v>
      </c>
    </row>
    <row r="9" spans="1:29">
      <c r="B9" s="62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9">
      <c r="B10" s="62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AA10"/>
  <sheetViews>
    <sheetView rightToLeft="1" topLeftCell="Q1" workbookViewId="0">
      <selection activeCell="B9" sqref="B9:AA9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4" customWidth="1"/>
    <col min="23" max="23" width="25" customWidth="1"/>
    <col min="24" max="24" width="23" customWidth="1"/>
    <col min="25" max="25" width="2" customWidth="1"/>
  </cols>
  <sheetData>
    <row r="1" spans="1:27">
      <c r="B1" s="63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AA1" s="63" t="s">
        <v>1</v>
      </c>
    </row>
    <row r="2" spans="1:27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105</v>
      </c>
      <c r="M2" s="4" t="s">
        <v>171</v>
      </c>
      <c r="N2" s="4" t="s">
        <v>881</v>
      </c>
      <c r="O2" s="4" t="s">
        <v>874</v>
      </c>
      <c r="P2" s="4" t="s">
        <v>172</v>
      </c>
      <c r="Q2" s="4" t="s">
        <v>71</v>
      </c>
      <c r="R2" s="4" t="s">
        <v>875</v>
      </c>
      <c r="S2" s="4" t="s">
        <v>111</v>
      </c>
      <c r="T2" s="4" t="s">
        <v>73</v>
      </c>
      <c r="U2" s="4" t="s">
        <v>112</v>
      </c>
      <c r="V2" s="4" t="s">
        <v>75</v>
      </c>
      <c r="W2" s="4" t="s">
        <v>76</v>
      </c>
      <c r="X2" s="4" t="s">
        <v>77</v>
      </c>
      <c r="Y2" s="4" t="s">
        <v>3</v>
      </c>
      <c r="Z2" s="63" t="s">
        <v>4</v>
      </c>
      <c r="AA2" s="63" t="s">
        <v>1</v>
      </c>
    </row>
    <row r="3" spans="1:27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63" t="s">
        <v>4</v>
      </c>
      <c r="AA3" s="63" t="s">
        <v>1</v>
      </c>
    </row>
    <row r="4" spans="1:27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63" t="s">
        <v>4</v>
      </c>
      <c r="AA4" s="63" t="s">
        <v>1</v>
      </c>
    </row>
    <row r="5" spans="1:27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63" t="s">
        <v>4</v>
      </c>
      <c r="AA5" s="63" t="s">
        <v>1</v>
      </c>
    </row>
    <row r="6" spans="1:27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63" t="s">
        <v>4</v>
      </c>
      <c r="AA6" s="63" t="s">
        <v>1</v>
      </c>
    </row>
    <row r="7" spans="1:27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63" t="s">
        <v>4</v>
      </c>
      <c r="AA7" s="63" t="s">
        <v>1</v>
      </c>
    </row>
    <row r="8" spans="1:27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63" t="s">
        <v>4</v>
      </c>
      <c r="AA8" s="63" t="s">
        <v>1</v>
      </c>
    </row>
    <row r="9" spans="1:27">
      <c r="B9" s="63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7">
      <c r="B10" s="63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W11"/>
  <sheetViews>
    <sheetView rightToLeft="1" topLeftCell="N1" workbookViewId="0">
      <selection activeCell="X1" sqref="X1:X1048576"/>
    </sheetView>
  </sheetViews>
  <sheetFormatPr defaultRowHeight="14.25"/>
  <cols>
    <col min="1" max="1" width="36" customWidth="1"/>
    <col min="2" max="2" width="12" customWidth="1"/>
    <col min="3" max="3" width="11" customWidth="1"/>
    <col min="4" max="4" width="12" customWidth="1"/>
    <col min="5" max="5" width="21" customWidth="1"/>
    <col min="6" max="6" width="30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24" customWidth="1"/>
    <col min="13" max="13" width="19" customWidth="1"/>
    <col min="14" max="14" width="14" customWidth="1"/>
    <col min="15" max="15" width="19" customWidth="1"/>
    <col min="16" max="16" width="12" customWidth="1"/>
    <col min="17" max="17" width="15" customWidth="1"/>
    <col min="18" max="18" width="24" customWidth="1"/>
    <col min="19" max="19" width="25" customWidth="1"/>
    <col min="20" max="20" width="23" customWidth="1"/>
    <col min="21" max="21" width="11" customWidth="1"/>
  </cols>
  <sheetData>
    <row r="1" spans="1:23">
      <c r="B1" s="64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W1" s="64" t="s">
        <v>1</v>
      </c>
    </row>
    <row r="2" spans="1:23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67</v>
      </c>
      <c r="J2" s="4" t="s">
        <v>104</v>
      </c>
      <c r="K2" s="4" t="s">
        <v>105</v>
      </c>
      <c r="L2" s="4" t="s">
        <v>881</v>
      </c>
      <c r="M2" s="4" t="s">
        <v>172</v>
      </c>
      <c r="N2" s="4" t="s">
        <v>71</v>
      </c>
      <c r="O2" s="4" t="s">
        <v>111</v>
      </c>
      <c r="P2" s="4" t="s">
        <v>73</v>
      </c>
      <c r="Q2" s="4" t="s">
        <v>112</v>
      </c>
      <c r="R2" s="4" t="s">
        <v>75</v>
      </c>
      <c r="S2" s="4" t="s">
        <v>76</v>
      </c>
      <c r="T2" s="4" t="s">
        <v>77</v>
      </c>
      <c r="U2" s="4" t="s">
        <v>3</v>
      </c>
      <c r="V2" s="64" t="s">
        <v>4</v>
      </c>
      <c r="W2" s="64" t="s">
        <v>1</v>
      </c>
    </row>
    <row r="3" spans="1:23">
      <c r="A3" s="2" t="s">
        <v>78</v>
      </c>
      <c r="B3" s="2" t="s">
        <v>78</v>
      </c>
      <c r="C3" s="2" t="s">
        <v>882</v>
      </c>
      <c r="D3" s="2" t="s">
        <v>883</v>
      </c>
      <c r="E3" s="2" t="s">
        <v>168</v>
      </c>
      <c r="F3" s="2" t="s">
        <v>884</v>
      </c>
      <c r="G3" s="2" t="s">
        <v>885</v>
      </c>
      <c r="H3" s="2" t="s">
        <v>183</v>
      </c>
      <c r="I3" s="2" t="s">
        <v>148</v>
      </c>
      <c r="J3" s="2" t="s">
        <v>156</v>
      </c>
      <c r="K3" s="2" t="s">
        <v>149</v>
      </c>
      <c r="L3" s="2" t="s">
        <v>886</v>
      </c>
      <c r="M3" s="2" t="s">
        <v>84</v>
      </c>
      <c r="N3" s="2" t="s">
        <v>91</v>
      </c>
      <c r="O3" s="5">
        <v>1</v>
      </c>
      <c r="P3" s="5">
        <v>3.681</v>
      </c>
      <c r="Q3" s="5">
        <v>613500.13583000004</v>
      </c>
      <c r="R3" s="5">
        <v>22.582940000000001</v>
      </c>
      <c r="S3" s="6">
        <v>2.7903799999999999E-2</v>
      </c>
      <c r="T3" s="6">
        <v>2.7100000000000001E-5</v>
      </c>
      <c r="U3" s="9">
        <v>79184040</v>
      </c>
      <c r="V3" s="64" t="s">
        <v>4</v>
      </c>
      <c r="W3" s="64" t="s">
        <v>1</v>
      </c>
    </row>
    <row r="4" spans="1:23">
      <c r="A4" s="2" t="s">
        <v>78</v>
      </c>
      <c r="B4" s="2" t="s">
        <v>98</v>
      </c>
      <c r="C4" s="2" t="s">
        <v>882</v>
      </c>
      <c r="D4" s="2" t="s">
        <v>883</v>
      </c>
      <c r="E4" s="2" t="s">
        <v>168</v>
      </c>
      <c r="F4" s="2" t="s">
        <v>884</v>
      </c>
      <c r="G4" s="2" t="s">
        <v>885</v>
      </c>
      <c r="H4" s="2" t="s">
        <v>183</v>
      </c>
      <c r="I4" s="2" t="s">
        <v>148</v>
      </c>
      <c r="J4" s="2" t="s">
        <v>156</v>
      </c>
      <c r="K4" s="2" t="s">
        <v>149</v>
      </c>
      <c r="L4" s="2" t="s">
        <v>886</v>
      </c>
      <c r="M4" s="2" t="s">
        <v>84</v>
      </c>
      <c r="N4" s="2" t="s">
        <v>91</v>
      </c>
      <c r="O4" s="5">
        <v>24</v>
      </c>
      <c r="P4" s="5">
        <v>3.681</v>
      </c>
      <c r="Q4" s="5">
        <v>613500</v>
      </c>
      <c r="R4" s="5">
        <v>541.99044000000004</v>
      </c>
      <c r="S4" s="6">
        <v>0.66968990000000006</v>
      </c>
      <c r="T4" s="6">
        <v>6.4920000000000006E-4</v>
      </c>
      <c r="U4" s="9">
        <v>79184040</v>
      </c>
      <c r="V4" s="64" t="s">
        <v>4</v>
      </c>
      <c r="W4" s="64" t="s">
        <v>1</v>
      </c>
    </row>
    <row r="5" spans="1:23">
      <c r="A5" s="2" t="s">
        <v>78</v>
      </c>
      <c r="B5" s="2" t="s">
        <v>98</v>
      </c>
      <c r="C5" s="2" t="s">
        <v>887</v>
      </c>
      <c r="D5" s="2" t="s">
        <v>888</v>
      </c>
      <c r="E5" s="2" t="s">
        <v>168</v>
      </c>
      <c r="F5" s="2" t="s">
        <v>889</v>
      </c>
      <c r="G5" s="2" t="s">
        <v>890</v>
      </c>
      <c r="H5" s="2" t="s">
        <v>183</v>
      </c>
      <c r="I5" s="2" t="s">
        <v>148</v>
      </c>
      <c r="J5" s="2" t="s">
        <v>156</v>
      </c>
      <c r="K5" s="2" t="s">
        <v>149</v>
      </c>
      <c r="L5" s="2" t="s">
        <v>886</v>
      </c>
      <c r="M5" s="2" t="s">
        <v>84</v>
      </c>
      <c r="N5" s="2" t="s">
        <v>91</v>
      </c>
      <c r="O5" s="5">
        <v>13</v>
      </c>
      <c r="P5" s="5">
        <v>3.681</v>
      </c>
      <c r="Q5" s="5">
        <v>511445.80277000001</v>
      </c>
      <c r="R5" s="5">
        <v>244.74216000000001</v>
      </c>
      <c r="S5" s="6">
        <v>0.30240639999999996</v>
      </c>
      <c r="T5" s="6">
        <v>2.9319999999999997E-4</v>
      </c>
      <c r="U5" s="9">
        <v>79184073</v>
      </c>
      <c r="V5" s="64" t="s">
        <v>4</v>
      </c>
      <c r="W5" s="64" t="s">
        <v>1</v>
      </c>
    </row>
    <row r="6" spans="1:23">
      <c r="A6" s="2" t="s">
        <v>78</v>
      </c>
      <c r="B6" s="2" t="s">
        <v>79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64" t="s">
        <v>4</v>
      </c>
      <c r="W6" s="64" t="s">
        <v>1</v>
      </c>
    </row>
    <row r="7" spans="1:23">
      <c r="A7" s="2" t="s">
        <v>78</v>
      </c>
      <c r="B7" s="2" t="s">
        <v>94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64" t="s">
        <v>4</v>
      </c>
      <c r="W7" s="64" t="s">
        <v>1</v>
      </c>
    </row>
    <row r="8" spans="1:23">
      <c r="A8" s="2" t="s">
        <v>78</v>
      </c>
      <c r="B8" s="2" t="s">
        <v>96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64" t="s">
        <v>4</v>
      </c>
      <c r="W8" s="64" t="s">
        <v>1</v>
      </c>
    </row>
    <row r="9" spans="1:23">
      <c r="A9" s="2" t="s">
        <v>3</v>
      </c>
      <c r="B9" s="2" t="s">
        <v>100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64" t="s">
        <v>4</v>
      </c>
      <c r="W9" s="64" t="s">
        <v>1</v>
      </c>
    </row>
    <row r="10" spans="1:23">
      <c r="B10" s="64" t="s">
        <v>24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23">
      <c r="B11" s="64" t="s">
        <v>25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</sheetData>
  <mergeCells count="5">
    <mergeCell ref="B1:U1"/>
    <mergeCell ref="B10:U10"/>
    <mergeCell ref="B11:U11"/>
    <mergeCell ref="V2:V9"/>
    <mergeCell ref="W1:W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AE12"/>
  <sheetViews>
    <sheetView rightToLeft="1" topLeftCell="V1" workbookViewId="0">
      <selection activeCell="AF2" sqref="AF2:AF11"/>
    </sheetView>
  </sheetViews>
  <sheetFormatPr defaultRowHeight="14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7" customWidth="1"/>
    <col min="7" max="7" width="15" customWidth="1"/>
    <col min="8" max="8" width="19" customWidth="1"/>
    <col min="9" max="9" width="15" customWidth="1"/>
    <col min="10" max="10" width="12" customWidth="1"/>
    <col min="11" max="11" width="24" customWidth="1"/>
    <col min="12" max="12" width="15" customWidth="1"/>
    <col min="13" max="13" width="11" customWidth="1"/>
    <col min="14" max="14" width="13" customWidth="1"/>
    <col min="15" max="15" width="19" customWidth="1"/>
    <col min="16" max="16" width="7" customWidth="1"/>
    <col min="17" max="17" width="13" customWidth="1"/>
    <col min="18" max="18" width="14" customWidth="1"/>
    <col min="19" max="19" width="7" customWidth="1"/>
    <col min="20" max="20" width="11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65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E1" s="65" t="s">
        <v>1</v>
      </c>
    </row>
    <row r="2" spans="1:31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105</v>
      </c>
      <c r="N2" s="4" t="s">
        <v>881</v>
      </c>
      <c r="O2" s="4" t="s">
        <v>172</v>
      </c>
      <c r="P2" s="4" t="s">
        <v>107</v>
      </c>
      <c r="Q2" s="4" t="s">
        <v>74</v>
      </c>
      <c r="R2" s="4" t="s">
        <v>109</v>
      </c>
      <c r="S2" s="4" t="s">
        <v>106</v>
      </c>
      <c r="T2" s="4" t="s">
        <v>70</v>
      </c>
      <c r="U2" s="4" t="s">
        <v>173</v>
      </c>
      <c r="V2" s="4" t="s">
        <v>71</v>
      </c>
      <c r="W2" s="4" t="s">
        <v>111</v>
      </c>
      <c r="X2" s="4" t="s">
        <v>73</v>
      </c>
      <c r="Y2" s="4" t="s">
        <v>112</v>
      </c>
      <c r="Z2" s="4" t="s">
        <v>75</v>
      </c>
      <c r="AA2" s="4" t="s">
        <v>76</v>
      </c>
      <c r="AB2" s="4" t="s">
        <v>77</v>
      </c>
      <c r="AC2" s="4" t="s">
        <v>3</v>
      </c>
      <c r="AD2" s="65" t="s">
        <v>4</v>
      </c>
      <c r="AE2" s="65" t="s">
        <v>1</v>
      </c>
    </row>
    <row r="3" spans="1:31">
      <c r="A3" s="2" t="s">
        <v>78</v>
      </c>
      <c r="B3" s="2" t="s">
        <v>79</v>
      </c>
      <c r="C3" s="2" t="s">
        <v>891</v>
      </c>
      <c r="D3" s="2" t="s">
        <v>892</v>
      </c>
      <c r="E3" s="2" t="s">
        <v>194</v>
      </c>
      <c r="F3" s="2" t="s">
        <v>893</v>
      </c>
      <c r="G3" s="9">
        <v>1162304</v>
      </c>
      <c r="H3" s="2" t="s">
        <v>149</v>
      </c>
      <c r="I3" s="2" t="s">
        <v>894</v>
      </c>
      <c r="J3" s="2" t="s">
        <v>83</v>
      </c>
      <c r="K3" s="2" t="s">
        <v>83</v>
      </c>
      <c r="L3" s="2" t="s">
        <v>149</v>
      </c>
      <c r="M3" s="2" t="s">
        <v>118</v>
      </c>
      <c r="N3" s="2" t="s">
        <v>895</v>
      </c>
      <c r="O3" s="2" t="s">
        <v>84</v>
      </c>
      <c r="P3" s="5">
        <v>1.91</v>
      </c>
      <c r="Q3" s="2" t="s">
        <v>896</v>
      </c>
      <c r="R3" s="6">
        <v>5.67E-2</v>
      </c>
      <c r="S3" s="2" t="s">
        <v>401</v>
      </c>
      <c r="T3" s="2" t="s">
        <v>86</v>
      </c>
      <c r="U3" s="2" t="s">
        <v>189</v>
      </c>
      <c r="V3" s="2" t="s">
        <v>87</v>
      </c>
      <c r="W3" s="5">
        <v>90000</v>
      </c>
      <c r="X3" s="5">
        <v>1</v>
      </c>
      <c r="Y3" s="5">
        <v>109.3</v>
      </c>
      <c r="Z3" s="5">
        <v>98.37</v>
      </c>
      <c r="AA3" s="6">
        <v>2.7033000000000001E-2</v>
      </c>
      <c r="AB3" s="6">
        <v>1.178E-4</v>
      </c>
      <c r="AC3" s="2" t="s">
        <v>3</v>
      </c>
      <c r="AD3" s="65" t="s">
        <v>4</v>
      </c>
      <c r="AE3" s="65" t="s">
        <v>1</v>
      </c>
    </row>
    <row r="4" spans="1:31">
      <c r="A4" s="2" t="s">
        <v>78</v>
      </c>
      <c r="B4" s="2" t="s">
        <v>94</v>
      </c>
      <c r="C4" s="2" t="s">
        <v>891</v>
      </c>
      <c r="D4" s="2" t="s">
        <v>892</v>
      </c>
      <c r="E4" s="2" t="s">
        <v>194</v>
      </c>
      <c r="F4" s="2" t="s">
        <v>893</v>
      </c>
      <c r="G4" s="9">
        <v>1162304</v>
      </c>
      <c r="H4" s="2" t="s">
        <v>149</v>
      </c>
      <c r="I4" s="2" t="s">
        <v>894</v>
      </c>
      <c r="J4" s="2" t="s">
        <v>83</v>
      </c>
      <c r="K4" s="2" t="s">
        <v>83</v>
      </c>
      <c r="L4" s="2" t="s">
        <v>149</v>
      </c>
      <c r="M4" s="2" t="s">
        <v>118</v>
      </c>
      <c r="N4" s="2" t="s">
        <v>895</v>
      </c>
      <c r="O4" s="2" t="s">
        <v>84</v>
      </c>
      <c r="P4" s="5">
        <v>1.91</v>
      </c>
      <c r="Q4" s="2" t="s">
        <v>896</v>
      </c>
      <c r="R4" s="6">
        <v>5.67E-2</v>
      </c>
      <c r="S4" s="2" t="s">
        <v>401</v>
      </c>
      <c r="T4" s="2" t="s">
        <v>86</v>
      </c>
      <c r="U4" s="2" t="s">
        <v>189</v>
      </c>
      <c r="V4" s="2" t="s">
        <v>87</v>
      </c>
      <c r="W4" s="5">
        <v>50000</v>
      </c>
      <c r="X4" s="5">
        <v>1</v>
      </c>
      <c r="Y4" s="5">
        <v>109.3</v>
      </c>
      <c r="Z4" s="5">
        <v>54.65</v>
      </c>
      <c r="AA4" s="6">
        <v>1.50183E-2</v>
      </c>
      <c r="AB4" s="6">
        <v>6.5500000000000006E-5</v>
      </c>
      <c r="AC4" s="2" t="s">
        <v>3</v>
      </c>
      <c r="AD4" s="65" t="s">
        <v>4</v>
      </c>
      <c r="AE4" s="65" t="s">
        <v>1</v>
      </c>
    </row>
    <row r="5" spans="1:31">
      <c r="A5" s="2" t="s">
        <v>78</v>
      </c>
      <c r="B5" s="2" t="s">
        <v>96</v>
      </c>
      <c r="C5" s="2" t="s">
        <v>891</v>
      </c>
      <c r="D5" s="2" t="s">
        <v>892</v>
      </c>
      <c r="E5" s="2" t="s">
        <v>194</v>
      </c>
      <c r="F5" s="2" t="s">
        <v>893</v>
      </c>
      <c r="G5" s="9">
        <v>1162304</v>
      </c>
      <c r="H5" s="2" t="s">
        <v>149</v>
      </c>
      <c r="I5" s="2" t="s">
        <v>894</v>
      </c>
      <c r="J5" s="2" t="s">
        <v>83</v>
      </c>
      <c r="K5" s="2" t="s">
        <v>83</v>
      </c>
      <c r="L5" s="2" t="s">
        <v>149</v>
      </c>
      <c r="M5" s="2" t="s">
        <v>118</v>
      </c>
      <c r="N5" s="2" t="s">
        <v>895</v>
      </c>
      <c r="O5" s="2" t="s">
        <v>84</v>
      </c>
      <c r="P5" s="5">
        <v>1.91</v>
      </c>
      <c r="Q5" s="2" t="s">
        <v>896</v>
      </c>
      <c r="R5" s="6">
        <v>5.67E-2</v>
      </c>
      <c r="S5" s="2" t="s">
        <v>401</v>
      </c>
      <c r="T5" s="2" t="s">
        <v>86</v>
      </c>
      <c r="U5" s="2" t="s">
        <v>189</v>
      </c>
      <c r="V5" s="2" t="s">
        <v>87</v>
      </c>
      <c r="W5" s="5">
        <v>542000</v>
      </c>
      <c r="X5" s="5">
        <v>1</v>
      </c>
      <c r="Y5" s="5">
        <v>109.3</v>
      </c>
      <c r="Z5" s="5">
        <v>592.40599999999995</v>
      </c>
      <c r="AA5" s="6">
        <v>0.16279879999999999</v>
      </c>
      <c r="AB5" s="6">
        <v>7.095999999999999E-4</v>
      </c>
      <c r="AC5" s="2" t="s">
        <v>3</v>
      </c>
      <c r="AD5" s="65" t="s">
        <v>4</v>
      </c>
      <c r="AE5" s="65" t="s">
        <v>1</v>
      </c>
    </row>
    <row r="6" spans="1:31">
      <c r="A6" s="2" t="s">
        <v>78</v>
      </c>
      <c r="B6" s="2" t="s">
        <v>96</v>
      </c>
      <c r="C6" s="2" t="s">
        <v>891</v>
      </c>
      <c r="D6" s="2" t="s">
        <v>892</v>
      </c>
      <c r="E6" s="2" t="s">
        <v>194</v>
      </c>
      <c r="F6" s="2" t="s">
        <v>897</v>
      </c>
      <c r="G6" s="9">
        <v>1162577</v>
      </c>
      <c r="H6" s="2" t="s">
        <v>149</v>
      </c>
      <c r="I6" s="2" t="s">
        <v>894</v>
      </c>
      <c r="J6" s="2" t="s">
        <v>83</v>
      </c>
      <c r="K6" s="2" t="s">
        <v>83</v>
      </c>
      <c r="L6" s="2" t="s">
        <v>149</v>
      </c>
      <c r="M6" s="2" t="s">
        <v>118</v>
      </c>
      <c r="N6" s="2" t="s">
        <v>895</v>
      </c>
      <c r="O6" s="2" t="s">
        <v>84</v>
      </c>
      <c r="P6" s="5">
        <v>3.78</v>
      </c>
      <c r="Q6" s="2" t="s">
        <v>898</v>
      </c>
      <c r="R6" s="6">
        <v>2.1099999999999997E-2</v>
      </c>
      <c r="S6" s="2" t="s">
        <v>401</v>
      </c>
      <c r="T6" s="2" t="s">
        <v>86</v>
      </c>
      <c r="U6" s="2" t="s">
        <v>189</v>
      </c>
      <c r="V6" s="2" t="s">
        <v>87</v>
      </c>
      <c r="W6" s="5">
        <v>189000.03</v>
      </c>
      <c r="X6" s="5">
        <v>1</v>
      </c>
      <c r="Y6" s="5">
        <v>102.75</v>
      </c>
      <c r="Z6" s="5">
        <v>194.19753</v>
      </c>
      <c r="AA6" s="6">
        <v>5.3367299999999999E-2</v>
      </c>
      <c r="AB6" s="6">
        <v>2.3259999999999999E-4</v>
      </c>
      <c r="AC6" s="2" t="s">
        <v>3</v>
      </c>
      <c r="AD6" s="65" t="s">
        <v>4</v>
      </c>
      <c r="AE6" s="65" t="s">
        <v>1</v>
      </c>
    </row>
    <row r="7" spans="1:31">
      <c r="A7" s="2" t="s">
        <v>78</v>
      </c>
      <c r="B7" s="2" t="s">
        <v>98</v>
      </c>
      <c r="C7" s="2" t="s">
        <v>891</v>
      </c>
      <c r="D7" s="2" t="s">
        <v>892</v>
      </c>
      <c r="E7" s="2" t="s">
        <v>194</v>
      </c>
      <c r="F7" s="2" t="s">
        <v>893</v>
      </c>
      <c r="G7" s="9">
        <v>1162304</v>
      </c>
      <c r="H7" s="2" t="s">
        <v>149</v>
      </c>
      <c r="I7" s="2" t="s">
        <v>894</v>
      </c>
      <c r="J7" s="2" t="s">
        <v>83</v>
      </c>
      <c r="K7" s="2" t="s">
        <v>83</v>
      </c>
      <c r="L7" s="2" t="s">
        <v>149</v>
      </c>
      <c r="M7" s="2" t="s">
        <v>118</v>
      </c>
      <c r="N7" s="2" t="s">
        <v>895</v>
      </c>
      <c r="O7" s="2" t="s">
        <v>84</v>
      </c>
      <c r="P7" s="5">
        <v>1.91</v>
      </c>
      <c r="Q7" s="2" t="s">
        <v>896</v>
      </c>
      <c r="R7" s="6">
        <v>5.67E-2</v>
      </c>
      <c r="S7" s="2" t="s">
        <v>401</v>
      </c>
      <c r="T7" s="2" t="s">
        <v>86</v>
      </c>
      <c r="U7" s="2" t="s">
        <v>189</v>
      </c>
      <c r="V7" s="2" t="s">
        <v>87</v>
      </c>
      <c r="W7" s="5">
        <v>2061000</v>
      </c>
      <c r="X7" s="5">
        <v>1</v>
      </c>
      <c r="Y7" s="5">
        <v>109.3</v>
      </c>
      <c r="Z7" s="5">
        <v>2252.6729999999998</v>
      </c>
      <c r="AA7" s="6">
        <v>0.61905580000000004</v>
      </c>
      <c r="AB7" s="6">
        <v>2.6983000000000003E-3</v>
      </c>
      <c r="AC7" s="2" t="s">
        <v>3</v>
      </c>
      <c r="AD7" s="65" t="s">
        <v>4</v>
      </c>
      <c r="AE7" s="65" t="s">
        <v>1</v>
      </c>
    </row>
    <row r="8" spans="1:31">
      <c r="A8" s="2" t="s">
        <v>78</v>
      </c>
      <c r="B8" s="2" t="s">
        <v>98</v>
      </c>
      <c r="C8" s="2" t="s">
        <v>891</v>
      </c>
      <c r="D8" s="2" t="s">
        <v>892</v>
      </c>
      <c r="E8" s="2" t="s">
        <v>194</v>
      </c>
      <c r="F8" s="2" t="s">
        <v>897</v>
      </c>
      <c r="G8" s="9">
        <v>1162577</v>
      </c>
      <c r="H8" s="2" t="s">
        <v>149</v>
      </c>
      <c r="I8" s="2" t="s">
        <v>894</v>
      </c>
      <c r="J8" s="2" t="s">
        <v>83</v>
      </c>
      <c r="K8" s="2" t="s">
        <v>83</v>
      </c>
      <c r="L8" s="2" t="s">
        <v>149</v>
      </c>
      <c r="M8" s="2" t="s">
        <v>118</v>
      </c>
      <c r="N8" s="2" t="s">
        <v>895</v>
      </c>
      <c r="O8" s="2" t="s">
        <v>84</v>
      </c>
      <c r="P8" s="5">
        <v>3.78</v>
      </c>
      <c r="Q8" s="2" t="s">
        <v>898</v>
      </c>
      <c r="R8" s="6">
        <v>2.1099999999999997E-2</v>
      </c>
      <c r="S8" s="2" t="s">
        <v>401</v>
      </c>
      <c r="T8" s="2" t="s">
        <v>86</v>
      </c>
      <c r="U8" s="2" t="s">
        <v>189</v>
      </c>
      <c r="V8" s="2" t="s">
        <v>87</v>
      </c>
      <c r="W8" s="5">
        <v>434636.22</v>
      </c>
      <c r="X8" s="5">
        <v>1</v>
      </c>
      <c r="Y8" s="5">
        <v>102.75</v>
      </c>
      <c r="Z8" s="5">
        <v>446.58870999999999</v>
      </c>
      <c r="AA8" s="6">
        <v>0.1227268</v>
      </c>
      <c r="AB8" s="6">
        <v>5.3490000000000005E-4</v>
      </c>
      <c r="AC8" s="2" t="s">
        <v>3</v>
      </c>
      <c r="AD8" s="65" t="s">
        <v>4</v>
      </c>
      <c r="AE8" s="65" t="s">
        <v>1</v>
      </c>
    </row>
    <row r="9" spans="1:31">
      <c r="A9" s="2" t="s">
        <v>78</v>
      </c>
      <c r="B9" s="2" t="s">
        <v>78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65" t="s">
        <v>4</v>
      </c>
      <c r="AE9" s="65" t="s">
        <v>1</v>
      </c>
    </row>
    <row r="10" spans="1:31">
      <c r="A10" s="2" t="s">
        <v>3</v>
      </c>
      <c r="B10" s="2" t="s">
        <v>100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65" t="s">
        <v>4</v>
      </c>
      <c r="AE10" s="65" t="s">
        <v>1</v>
      </c>
    </row>
    <row r="11" spans="1:31">
      <c r="B11" s="65" t="s">
        <v>24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spans="1:31">
      <c r="B12" s="65" t="s">
        <v>25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</sheetData>
  <mergeCells count="5">
    <mergeCell ref="B1:AC1"/>
    <mergeCell ref="B11:AC11"/>
    <mergeCell ref="B12:AC12"/>
    <mergeCell ref="AD2:AD10"/>
    <mergeCell ref="AE1:AE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A1:AB10"/>
  <sheetViews>
    <sheetView rightToLeft="1" topLeftCell="Q1" workbookViewId="0">
      <selection activeCell="T16" sqref="T16:X17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4" customWidth="1"/>
    <col min="22" max="24" width="25" customWidth="1"/>
    <col min="25" max="25" width="23" customWidth="1"/>
    <col min="26" max="26" width="2" customWidth="1"/>
  </cols>
  <sheetData>
    <row r="1" spans="1:28">
      <c r="B1" s="66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B1" s="66" t="s">
        <v>1</v>
      </c>
    </row>
    <row r="2" spans="1:28">
      <c r="A2" s="4" t="s">
        <v>61</v>
      </c>
      <c r="B2" s="4" t="s">
        <v>62</v>
      </c>
      <c r="C2" s="4" t="s">
        <v>101</v>
      </c>
      <c r="D2" s="4" t="s">
        <v>102</v>
      </c>
      <c r="E2" s="4" t="s">
        <v>103</v>
      </c>
      <c r="F2" s="4" t="s">
        <v>170</v>
      </c>
      <c r="G2" s="4" t="s">
        <v>66</v>
      </c>
      <c r="H2" s="4" t="s">
        <v>67</v>
      </c>
      <c r="I2" s="4" t="s">
        <v>104</v>
      </c>
      <c r="J2" s="4" t="s">
        <v>899</v>
      </c>
      <c r="K2" s="4" t="s">
        <v>106</v>
      </c>
      <c r="L2" s="4" t="s">
        <v>70</v>
      </c>
      <c r="M2" s="4" t="s">
        <v>71</v>
      </c>
      <c r="N2" s="4" t="s">
        <v>107</v>
      </c>
      <c r="O2" s="4" t="s">
        <v>108</v>
      </c>
      <c r="P2" s="4" t="s">
        <v>74</v>
      </c>
      <c r="Q2" s="4" t="s">
        <v>109</v>
      </c>
      <c r="R2" s="4" t="s">
        <v>111</v>
      </c>
      <c r="S2" s="4" t="s">
        <v>73</v>
      </c>
      <c r="T2" s="4" t="s">
        <v>112</v>
      </c>
      <c r="U2" s="4" t="s">
        <v>75</v>
      </c>
      <c r="V2" s="4" t="s">
        <v>113</v>
      </c>
      <c r="W2" s="4" t="s">
        <v>29</v>
      </c>
      <c r="X2" s="4" t="s">
        <v>76</v>
      </c>
      <c r="Y2" s="4" t="s">
        <v>77</v>
      </c>
      <c r="Z2" s="4" t="s">
        <v>3</v>
      </c>
      <c r="AA2" s="66" t="s">
        <v>4</v>
      </c>
      <c r="AB2" s="66" t="s">
        <v>1</v>
      </c>
    </row>
    <row r="3" spans="1:28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66" t="s">
        <v>4</v>
      </c>
      <c r="AB3" s="66" t="s">
        <v>1</v>
      </c>
    </row>
    <row r="4" spans="1:28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66" t="s">
        <v>4</v>
      </c>
      <c r="AB4" s="66" t="s">
        <v>1</v>
      </c>
    </row>
    <row r="5" spans="1:28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66" t="s">
        <v>4</v>
      </c>
      <c r="AB5" s="66" t="s">
        <v>1</v>
      </c>
    </row>
    <row r="6" spans="1:28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66" t="s">
        <v>4</v>
      </c>
      <c r="AB6" s="66" t="s">
        <v>1</v>
      </c>
    </row>
    <row r="7" spans="1:28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66" t="s">
        <v>4</v>
      </c>
      <c r="AB7" s="66" t="s">
        <v>1</v>
      </c>
    </row>
    <row r="8" spans="1:28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66" t="s">
        <v>4</v>
      </c>
      <c r="AB8" s="66" t="s">
        <v>1</v>
      </c>
    </row>
    <row r="9" spans="1:28">
      <c r="B9" s="66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8">
      <c r="B10" s="66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A1:T10"/>
  <sheetViews>
    <sheetView rightToLeft="1" workbookViewId="0">
      <selection activeCell="K2" sqref="K2"/>
    </sheetView>
  </sheetViews>
  <sheetFormatPr defaultRowHeight="14.25"/>
  <cols>
    <col min="1" max="1" width="36" customWidth="1"/>
    <col min="2" max="2" width="12" customWidth="1"/>
    <col min="3" max="3" width="14" customWidth="1"/>
    <col min="4" max="4" width="13" customWidth="1"/>
    <col min="5" max="5" width="15" customWidth="1"/>
    <col min="6" max="6" width="13" customWidth="1"/>
    <col min="7" max="7" width="6" customWidth="1"/>
    <col min="8" max="8" width="11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4" customWidth="1"/>
    <col min="15" max="17" width="25" customWidth="1"/>
    <col min="18" max="18" width="23" customWidth="1"/>
  </cols>
  <sheetData>
    <row r="1" spans="1:20">
      <c r="B1" s="67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T1" s="67" t="s">
        <v>1</v>
      </c>
    </row>
    <row r="2" spans="1:20">
      <c r="A2" s="4" t="s">
        <v>61</v>
      </c>
      <c r="B2" s="4" t="s">
        <v>62</v>
      </c>
      <c r="C2" s="4" t="s">
        <v>66</v>
      </c>
      <c r="D2" s="4" t="s">
        <v>102</v>
      </c>
      <c r="E2" s="4" t="s">
        <v>103</v>
      </c>
      <c r="F2" s="4" t="s">
        <v>899</v>
      </c>
      <c r="G2" s="4" t="s">
        <v>107</v>
      </c>
      <c r="H2" s="4" t="s">
        <v>900</v>
      </c>
      <c r="I2" s="4" t="s">
        <v>108</v>
      </c>
      <c r="J2" s="4" t="s">
        <v>74</v>
      </c>
      <c r="K2" s="4" t="s">
        <v>109</v>
      </c>
      <c r="L2" s="4" t="s">
        <v>111</v>
      </c>
      <c r="M2" s="4" t="s">
        <v>112</v>
      </c>
      <c r="N2" s="4" t="s">
        <v>75</v>
      </c>
      <c r="O2" s="4" t="s">
        <v>113</v>
      </c>
      <c r="P2" s="4" t="s">
        <v>29</v>
      </c>
      <c r="Q2" s="4" t="s">
        <v>76</v>
      </c>
      <c r="R2" s="4" t="s">
        <v>77</v>
      </c>
      <c r="S2" s="67" t="s">
        <v>4</v>
      </c>
      <c r="T2" s="67" t="s">
        <v>1</v>
      </c>
    </row>
    <row r="3" spans="1:20">
      <c r="A3" s="2" t="s">
        <v>78</v>
      </c>
      <c r="B3" s="2" t="s">
        <v>79</v>
      </c>
      <c r="C3" s="2" t="s">
        <v>901</v>
      </c>
      <c r="D3" s="2" t="s">
        <v>901</v>
      </c>
      <c r="E3" s="2" t="s">
        <v>901</v>
      </c>
      <c r="F3" s="2" t="s">
        <v>901</v>
      </c>
      <c r="G3" s="2" t="s">
        <v>901</v>
      </c>
      <c r="H3" s="2" t="s">
        <v>901</v>
      </c>
      <c r="I3" s="2" t="s">
        <v>901</v>
      </c>
      <c r="J3" s="2" t="s">
        <v>901</v>
      </c>
      <c r="K3" s="2" t="s">
        <v>901</v>
      </c>
      <c r="L3" s="2" t="s">
        <v>901</v>
      </c>
      <c r="M3" s="2" t="s">
        <v>901</v>
      </c>
      <c r="N3" s="2" t="s">
        <v>901</v>
      </c>
      <c r="O3" s="2" t="s">
        <v>901</v>
      </c>
      <c r="P3" s="2" t="s">
        <v>901</v>
      </c>
      <c r="Q3" s="2" t="s">
        <v>901</v>
      </c>
      <c r="R3" s="2" t="s">
        <v>901</v>
      </c>
      <c r="S3" s="67" t="s">
        <v>4</v>
      </c>
      <c r="T3" s="67" t="s">
        <v>1</v>
      </c>
    </row>
    <row r="4" spans="1:20">
      <c r="A4" s="2" t="s">
        <v>78</v>
      </c>
      <c r="B4" s="2" t="s">
        <v>78</v>
      </c>
      <c r="C4" s="2" t="s">
        <v>901</v>
      </c>
      <c r="D4" s="2" t="s">
        <v>901</v>
      </c>
      <c r="E4" s="2" t="s">
        <v>901</v>
      </c>
      <c r="F4" s="2" t="s">
        <v>901</v>
      </c>
      <c r="G4" s="2" t="s">
        <v>901</v>
      </c>
      <c r="H4" s="2" t="s">
        <v>901</v>
      </c>
      <c r="I4" s="2" t="s">
        <v>901</v>
      </c>
      <c r="J4" s="2" t="s">
        <v>901</v>
      </c>
      <c r="K4" s="2" t="s">
        <v>901</v>
      </c>
      <c r="L4" s="2" t="s">
        <v>901</v>
      </c>
      <c r="M4" s="2" t="s">
        <v>901</v>
      </c>
      <c r="N4" s="2" t="s">
        <v>901</v>
      </c>
      <c r="O4" s="2" t="s">
        <v>901</v>
      </c>
      <c r="P4" s="2" t="s">
        <v>901</v>
      </c>
      <c r="Q4" s="2" t="s">
        <v>901</v>
      </c>
      <c r="R4" s="2" t="s">
        <v>901</v>
      </c>
      <c r="S4" s="67" t="s">
        <v>4</v>
      </c>
      <c r="T4" s="67" t="s">
        <v>1</v>
      </c>
    </row>
    <row r="5" spans="1:20">
      <c r="A5" s="2" t="s">
        <v>78</v>
      </c>
      <c r="B5" s="2" t="s">
        <v>94</v>
      </c>
      <c r="C5" s="2" t="s">
        <v>901</v>
      </c>
      <c r="D5" s="2" t="s">
        <v>901</v>
      </c>
      <c r="E5" s="2" t="s">
        <v>901</v>
      </c>
      <c r="F5" s="2" t="s">
        <v>901</v>
      </c>
      <c r="G5" s="2" t="s">
        <v>901</v>
      </c>
      <c r="H5" s="2" t="s">
        <v>901</v>
      </c>
      <c r="I5" s="2" t="s">
        <v>901</v>
      </c>
      <c r="J5" s="2" t="s">
        <v>901</v>
      </c>
      <c r="K5" s="2" t="s">
        <v>901</v>
      </c>
      <c r="L5" s="2" t="s">
        <v>901</v>
      </c>
      <c r="M5" s="2" t="s">
        <v>901</v>
      </c>
      <c r="N5" s="2" t="s">
        <v>901</v>
      </c>
      <c r="O5" s="2" t="s">
        <v>901</v>
      </c>
      <c r="P5" s="2" t="s">
        <v>901</v>
      </c>
      <c r="Q5" s="2" t="s">
        <v>901</v>
      </c>
      <c r="R5" s="2" t="s">
        <v>901</v>
      </c>
      <c r="S5" s="67" t="s">
        <v>4</v>
      </c>
      <c r="T5" s="67" t="s">
        <v>1</v>
      </c>
    </row>
    <row r="6" spans="1:20">
      <c r="A6" s="2" t="s">
        <v>78</v>
      </c>
      <c r="B6" s="2" t="s">
        <v>96</v>
      </c>
      <c r="C6" s="2" t="s">
        <v>901</v>
      </c>
      <c r="D6" s="2" t="s">
        <v>901</v>
      </c>
      <c r="E6" s="2" t="s">
        <v>901</v>
      </c>
      <c r="F6" s="2" t="s">
        <v>901</v>
      </c>
      <c r="G6" s="2" t="s">
        <v>901</v>
      </c>
      <c r="H6" s="2" t="s">
        <v>901</v>
      </c>
      <c r="I6" s="2" t="s">
        <v>901</v>
      </c>
      <c r="J6" s="2" t="s">
        <v>901</v>
      </c>
      <c r="K6" s="2" t="s">
        <v>901</v>
      </c>
      <c r="L6" s="2" t="s">
        <v>901</v>
      </c>
      <c r="M6" s="2" t="s">
        <v>901</v>
      </c>
      <c r="N6" s="2" t="s">
        <v>901</v>
      </c>
      <c r="O6" s="2" t="s">
        <v>901</v>
      </c>
      <c r="P6" s="2" t="s">
        <v>901</v>
      </c>
      <c r="Q6" s="2" t="s">
        <v>901</v>
      </c>
      <c r="R6" s="2" t="s">
        <v>901</v>
      </c>
      <c r="S6" s="67" t="s">
        <v>4</v>
      </c>
      <c r="T6" s="67" t="s">
        <v>1</v>
      </c>
    </row>
    <row r="7" spans="1:20">
      <c r="A7" s="2" t="s">
        <v>78</v>
      </c>
      <c r="B7" s="2" t="s">
        <v>98</v>
      </c>
      <c r="C7" s="2" t="s">
        <v>901</v>
      </c>
      <c r="D7" s="2" t="s">
        <v>901</v>
      </c>
      <c r="E7" s="2" t="s">
        <v>901</v>
      </c>
      <c r="F7" s="2" t="s">
        <v>901</v>
      </c>
      <c r="G7" s="2" t="s">
        <v>901</v>
      </c>
      <c r="H7" s="2" t="s">
        <v>901</v>
      </c>
      <c r="I7" s="2" t="s">
        <v>901</v>
      </c>
      <c r="J7" s="2" t="s">
        <v>901</v>
      </c>
      <c r="K7" s="2" t="s">
        <v>901</v>
      </c>
      <c r="L7" s="2" t="s">
        <v>901</v>
      </c>
      <c r="M7" s="2" t="s">
        <v>901</v>
      </c>
      <c r="N7" s="2" t="s">
        <v>901</v>
      </c>
      <c r="O7" s="2" t="s">
        <v>901</v>
      </c>
      <c r="P7" s="2" t="s">
        <v>901</v>
      </c>
      <c r="Q7" s="2" t="s">
        <v>901</v>
      </c>
      <c r="R7" s="2" t="s">
        <v>901</v>
      </c>
      <c r="S7" s="67" t="s">
        <v>4</v>
      </c>
      <c r="T7" s="67" t="s">
        <v>1</v>
      </c>
    </row>
    <row r="8" spans="1:20">
      <c r="A8" s="2" t="s">
        <v>3</v>
      </c>
      <c r="B8" s="2" t="s">
        <v>100</v>
      </c>
      <c r="C8" s="2" t="s">
        <v>901</v>
      </c>
      <c r="D8" s="2" t="s">
        <v>901</v>
      </c>
      <c r="E8" s="2" t="s">
        <v>901</v>
      </c>
      <c r="F8" s="2" t="s">
        <v>901</v>
      </c>
      <c r="G8" s="2" t="s">
        <v>901</v>
      </c>
      <c r="H8" s="2" t="s">
        <v>901</v>
      </c>
      <c r="I8" s="2" t="s">
        <v>901</v>
      </c>
      <c r="J8" s="2" t="s">
        <v>901</v>
      </c>
      <c r="K8" s="2" t="s">
        <v>901</v>
      </c>
      <c r="L8" s="2" t="s">
        <v>901</v>
      </c>
      <c r="M8" s="2" t="s">
        <v>901</v>
      </c>
      <c r="N8" s="2" t="s">
        <v>901</v>
      </c>
      <c r="O8" s="2" t="s">
        <v>901</v>
      </c>
      <c r="P8" s="2" t="s">
        <v>901</v>
      </c>
      <c r="Q8" s="2" t="s">
        <v>901</v>
      </c>
      <c r="R8" s="2" t="s">
        <v>901</v>
      </c>
      <c r="S8" s="67" t="s">
        <v>4</v>
      </c>
      <c r="T8" s="67" t="s">
        <v>1</v>
      </c>
    </row>
    <row r="9" spans="1:20">
      <c r="B9" s="67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</row>
    <row r="10" spans="1:20">
      <c r="B10" s="67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</row>
  </sheetData>
  <mergeCells count="5">
    <mergeCell ref="B1:R1"/>
    <mergeCell ref="B9:R9"/>
    <mergeCell ref="B10:R10"/>
    <mergeCell ref="S2:S8"/>
    <mergeCell ref="T1:T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A1:I10"/>
  <sheetViews>
    <sheetView rightToLeft="1" workbookViewId="0"/>
  </sheetViews>
  <sheetFormatPr defaultRowHeight="14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31" customWidth="1"/>
    <col min="7" max="7" width="23" customWidth="1"/>
  </cols>
  <sheetData>
    <row r="1" spans="1:9">
      <c r="B1" s="68" t="s">
        <v>0</v>
      </c>
      <c r="C1" s="51"/>
      <c r="D1" s="51"/>
      <c r="E1" s="51"/>
      <c r="F1" s="51"/>
      <c r="G1" s="51"/>
      <c r="I1" s="68" t="s">
        <v>1</v>
      </c>
    </row>
    <row r="2" spans="1:9">
      <c r="A2" s="4" t="s">
        <v>902</v>
      </c>
      <c r="B2" s="4" t="s">
        <v>62</v>
      </c>
      <c r="C2" s="4" t="s">
        <v>66</v>
      </c>
      <c r="D2" s="4" t="s">
        <v>903</v>
      </c>
      <c r="E2" s="4" t="s">
        <v>904</v>
      </c>
      <c r="F2" s="4" t="s">
        <v>905</v>
      </c>
      <c r="G2" s="4" t="s">
        <v>77</v>
      </c>
      <c r="H2" s="68" t="s">
        <v>4</v>
      </c>
      <c r="I2" s="68" t="s">
        <v>1</v>
      </c>
    </row>
    <row r="3" spans="1:9">
      <c r="A3" s="2" t="s">
        <v>78</v>
      </c>
      <c r="B3" s="2" t="s">
        <v>79</v>
      </c>
      <c r="C3" s="2" t="s">
        <v>901</v>
      </c>
      <c r="D3" s="2" t="s">
        <v>901</v>
      </c>
      <c r="E3" s="2" t="s">
        <v>901</v>
      </c>
      <c r="F3" s="2" t="s">
        <v>901</v>
      </c>
      <c r="G3" s="2" t="s">
        <v>901</v>
      </c>
      <c r="H3" s="68" t="s">
        <v>4</v>
      </c>
      <c r="I3" s="68" t="s">
        <v>1</v>
      </c>
    </row>
    <row r="4" spans="1:9">
      <c r="A4" s="2" t="s">
        <v>78</v>
      </c>
      <c r="B4" s="2" t="s">
        <v>78</v>
      </c>
      <c r="C4" s="2" t="s">
        <v>901</v>
      </c>
      <c r="D4" s="2" t="s">
        <v>901</v>
      </c>
      <c r="E4" s="2" t="s">
        <v>901</v>
      </c>
      <c r="F4" s="2" t="s">
        <v>901</v>
      </c>
      <c r="G4" s="2" t="s">
        <v>901</v>
      </c>
      <c r="H4" s="68" t="s">
        <v>4</v>
      </c>
      <c r="I4" s="68" t="s">
        <v>1</v>
      </c>
    </row>
    <row r="5" spans="1:9">
      <c r="A5" s="2" t="s">
        <v>78</v>
      </c>
      <c r="B5" s="2" t="s">
        <v>94</v>
      </c>
      <c r="C5" s="2" t="s">
        <v>901</v>
      </c>
      <c r="D5" s="2" t="s">
        <v>901</v>
      </c>
      <c r="E5" s="2" t="s">
        <v>901</v>
      </c>
      <c r="F5" s="2" t="s">
        <v>901</v>
      </c>
      <c r="G5" s="2" t="s">
        <v>901</v>
      </c>
      <c r="H5" s="68" t="s">
        <v>4</v>
      </c>
      <c r="I5" s="68" t="s">
        <v>1</v>
      </c>
    </row>
    <row r="6" spans="1:9">
      <c r="A6" s="2" t="s">
        <v>78</v>
      </c>
      <c r="B6" s="2" t="s">
        <v>96</v>
      </c>
      <c r="C6" s="2" t="s">
        <v>901</v>
      </c>
      <c r="D6" s="2" t="s">
        <v>901</v>
      </c>
      <c r="E6" s="2" t="s">
        <v>901</v>
      </c>
      <c r="F6" s="2" t="s">
        <v>901</v>
      </c>
      <c r="G6" s="2" t="s">
        <v>901</v>
      </c>
      <c r="H6" s="68" t="s">
        <v>4</v>
      </c>
      <c r="I6" s="68" t="s">
        <v>1</v>
      </c>
    </row>
    <row r="7" spans="1:9">
      <c r="A7" s="2" t="s">
        <v>78</v>
      </c>
      <c r="B7" s="2" t="s">
        <v>98</v>
      </c>
      <c r="C7" s="2" t="s">
        <v>901</v>
      </c>
      <c r="D7" s="2" t="s">
        <v>901</v>
      </c>
      <c r="E7" s="2" t="s">
        <v>901</v>
      </c>
      <c r="F7" s="2" t="s">
        <v>901</v>
      </c>
      <c r="G7" s="2" t="s">
        <v>901</v>
      </c>
      <c r="H7" s="68" t="s">
        <v>4</v>
      </c>
      <c r="I7" s="68" t="s">
        <v>1</v>
      </c>
    </row>
    <row r="8" spans="1:9">
      <c r="A8" s="2" t="s">
        <v>3</v>
      </c>
      <c r="B8" s="2" t="s">
        <v>100</v>
      </c>
      <c r="C8" s="2" t="s">
        <v>901</v>
      </c>
      <c r="D8" s="2" t="s">
        <v>901</v>
      </c>
      <c r="E8" s="2" t="s">
        <v>901</v>
      </c>
      <c r="F8" s="2" t="s">
        <v>901</v>
      </c>
      <c r="G8" s="2" t="s">
        <v>901</v>
      </c>
      <c r="H8" s="68" t="s">
        <v>4</v>
      </c>
      <c r="I8" s="68" t="s">
        <v>1</v>
      </c>
    </row>
    <row r="9" spans="1:9">
      <c r="B9" s="68" t="s">
        <v>24</v>
      </c>
      <c r="C9" s="51"/>
      <c r="D9" s="51"/>
      <c r="E9" s="51"/>
      <c r="F9" s="51"/>
      <c r="G9" s="51"/>
    </row>
    <row r="10" spans="1:9">
      <c r="B10" s="68" t="s">
        <v>25</v>
      </c>
      <c r="C10" s="51"/>
      <c r="D10" s="51"/>
      <c r="E10" s="51"/>
      <c r="F10" s="51"/>
      <c r="G10" s="51"/>
    </row>
  </sheetData>
  <mergeCells count="5">
    <mergeCell ref="B1:G1"/>
    <mergeCell ref="B9:G9"/>
    <mergeCell ref="B10:G10"/>
    <mergeCell ref="H2:H8"/>
    <mergeCell ref="I1:I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A1:AP10"/>
  <sheetViews>
    <sheetView rightToLeft="1" topLeftCell="Z1" workbookViewId="0">
      <selection activeCell="AJ7" sqref="AJ7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9" customWidth="1"/>
    <col min="32" max="32" width="19" customWidth="1"/>
    <col min="33" max="33" width="12" customWidth="1"/>
    <col min="34" max="34" width="15" customWidth="1"/>
    <col min="35" max="35" width="24" customWidth="1"/>
    <col min="36" max="36" width="25" customWidth="1"/>
    <col min="37" max="37" width="29" customWidth="1"/>
    <col min="38" max="39" width="25" customWidth="1"/>
    <col min="40" max="40" width="23" customWidth="1"/>
  </cols>
  <sheetData>
    <row r="1" spans="1:42">
      <c r="B1" s="69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P1" s="69" t="s">
        <v>1</v>
      </c>
    </row>
    <row r="2" spans="1:42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171</v>
      </c>
      <c r="M2" s="4" t="s">
        <v>172</v>
      </c>
      <c r="N2" s="4" t="s">
        <v>899</v>
      </c>
      <c r="O2" s="4" t="s">
        <v>106</v>
      </c>
      <c r="P2" s="4" t="s">
        <v>70</v>
      </c>
      <c r="Q2" s="4" t="s">
        <v>173</v>
      </c>
      <c r="R2" s="4" t="s">
        <v>71</v>
      </c>
      <c r="S2" s="4" t="s">
        <v>107</v>
      </c>
      <c r="T2" s="4" t="s">
        <v>900</v>
      </c>
      <c r="U2" s="4" t="s">
        <v>174</v>
      </c>
      <c r="V2" s="4" t="s">
        <v>108</v>
      </c>
      <c r="W2" s="4" t="s">
        <v>74</v>
      </c>
      <c r="X2" s="4" t="s">
        <v>109</v>
      </c>
      <c r="Y2" s="4" t="s">
        <v>175</v>
      </c>
      <c r="Z2" s="4" t="s">
        <v>176</v>
      </c>
      <c r="AA2" s="4" t="s">
        <v>906</v>
      </c>
      <c r="AB2" s="4" t="s">
        <v>907</v>
      </c>
      <c r="AC2" s="4" t="s">
        <v>908</v>
      </c>
      <c r="AD2" s="4" t="s">
        <v>909</v>
      </c>
      <c r="AE2" s="4" t="s">
        <v>910</v>
      </c>
      <c r="AF2" s="4" t="s">
        <v>111</v>
      </c>
      <c r="AG2" s="4" t="s">
        <v>73</v>
      </c>
      <c r="AH2" s="4" t="s">
        <v>112</v>
      </c>
      <c r="AI2" s="4" t="s">
        <v>75</v>
      </c>
      <c r="AJ2" s="4" t="s">
        <v>113</v>
      </c>
      <c r="AK2" s="4" t="s">
        <v>177</v>
      </c>
      <c r="AL2" s="4" t="s">
        <v>29</v>
      </c>
      <c r="AM2" s="4" t="s">
        <v>76</v>
      </c>
      <c r="AN2" s="4" t="s">
        <v>77</v>
      </c>
      <c r="AO2" s="69" t="s">
        <v>4</v>
      </c>
      <c r="AP2" s="69" t="s">
        <v>1</v>
      </c>
    </row>
    <row r="3" spans="1:42">
      <c r="A3" s="2" t="s">
        <v>78</v>
      </c>
      <c r="B3" s="2" t="s">
        <v>79</v>
      </c>
      <c r="C3" s="2" t="s">
        <v>901</v>
      </c>
      <c r="D3" s="2" t="s">
        <v>901</v>
      </c>
      <c r="E3" s="2" t="s">
        <v>901</v>
      </c>
      <c r="F3" s="2" t="s">
        <v>901</v>
      </c>
      <c r="G3" s="2" t="s">
        <v>901</v>
      </c>
      <c r="H3" s="2" t="s">
        <v>901</v>
      </c>
      <c r="I3" s="2" t="s">
        <v>901</v>
      </c>
      <c r="J3" s="2" t="s">
        <v>901</v>
      </c>
      <c r="K3" s="2" t="s">
        <v>901</v>
      </c>
      <c r="L3" s="2" t="s">
        <v>901</v>
      </c>
      <c r="M3" s="2" t="s">
        <v>901</v>
      </c>
      <c r="N3" s="2" t="s">
        <v>901</v>
      </c>
      <c r="O3" s="2" t="s">
        <v>901</v>
      </c>
      <c r="P3" s="2" t="s">
        <v>901</v>
      </c>
      <c r="Q3" s="2" t="s">
        <v>901</v>
      </c>
      <c r="R3" s="2" t="s">
        <v>901</v>
      </c>
      <c r="S3" s="2" t="s">
        <v>901</v>
      </c>
      <c r="T3" s="2" t="s">
        <v>901</v>
      </c>
      <c r="U3" s="2" t="s">
        <v>901</v>
      </c>
      <c r="V3" s="2" t="s">
        <v>901</v>
      </c>
      <c r="W3" s="2" t="s">
        <v>901</v>
      </c>
      <c r="X3" s="2" t="s">
        <v>901</v>
      </c>
      <c r="Y3" s="2" t="s">
        <v>901</v>
      </c>
      <c r="Z3" s="2" t="s">
        <v>901</v>
      </c>
      <c r="AA3" s="2" t="s">
        <v>901</v>
      </c>
      <c r="AB3" s="2" t="s">
        <v>901</v>
      </c>
      <c r="AC3" s="2" t="s">
        <v>901</v>
      </c>
      <c r="AD3" s="2" t="s">
        <v>901</v>
      </c>
      <c r="AE3" s="2" t="s">
        <v>901</v>
      </c>
      <c r="AF3" s="2" t="s">
        <v>901</v>
      </c>
      <c r="AG3" s="2" t="s">
        <v>901</v>
      </c>
      <c r="AH3" s="2" t="s">
        <v>901</v>
      </c>
      <c r="AI3" s="2" t="s">
        <v>901</v>
      </c>
      <c r="AJ3" s="2" t="s">
        <v>901</v>
      </c>
      <c r="AK3" s="2" t="s">
        <v>901</v>
      </c>
      <c r="AL3" s="2" t="s">
        <v>901</v>
      </c>
      <c r="AM3" s="2" t="s">
        <v>901</v>
      </c>
      <c r="AN3" s="2" t="s">
        <v>901</v>
      </c>
      <c r="AO3" s="69" t="s">
        <v>4</v>
      </c>
      <c r="AP3" s="69" t="s">
        <v>1</v>
      </c>
    </row>
    <row r="4" spans="1:42">
      <c r="A4" s="2" t="s">
        <v>78</v>
      </c>
      <c r="B4" s="2" t="s">
        <v>78</v>
      </c>
      <c r="C4" s="2" t="s">
        <v>901</v>
      </c>
      <c r="D4" s="2" t="s">
        <v>901</v>
      </c>
      <c r="E4" s="2" t="s">
        <v>901</v>
      </c>
      <c r="F4" s="2" t="s">
        <v>901</v>
      </c>
      <c r="G4" s="2" t="s">
        <v>901</v>
      </c>
      <c r="H4" s="2" t="s">
        <v>901</v>
      </c>
      <c r="I4" s="2" t="s">
        <v>901</v>
      </c>
      <c r="J4" s="2" t="s">
        <v>901</v>
      </c>
      <c r="K4" s="2" t="s">
        <v>901</v>
      </c>
      <c r="L4" s="2" t="s">
        <v>901</v>
      </c>
      <c r="M4" s="2" t="s">
        <v>901</v>
      </c>
      <c r="N4" s="2" t="s">
        <v>901</v>
      </c>
      <c r="O4" s="2" t="s">
        <v>901</v>
      </c>
      <c r="P4" s="2" t="s">
        <v>901</v>
      </c>
      <c r="Q4" s="2" t="s">
        <v>901</v>
      </c>
      <c r="R4" s="2" t="s">
        <v>901</v>
      </c>
      <c r="S4" s="2" t="s">
        <v>901</v>
      </c>
      <c r="T4" s="2" t="s">
        <v>901</v>
      </c>
      <c r="U4" s="2" t="s">
        <v>901</v>
      </c>
      <c r="V4" s="2" t="s">
        <v>901</v>
      </c>
      <c r="W4" s="2" t="s">
        <v>901</v>
      </c>
      <c r="X4" s="2" t="s">
        <v>901</v>
      </c>
      <c r="Y4" s="2" t="s">
        <v>901</v>
      </c>
      <c r="Z4" s="2" t="s">
        <v>901</v>
      </c>
      <c r="AA4" s="2" t="s">
        <v>901</v>
      </c>
      <c r="AB4" s="2" t="s">
        <v>901</v>
      </c>
      <c r="AC4" s="2" t="s">
        <v>901</v>
      </c>
      <c r="AD4" s="2" t="s">
        <v>901</v>
      </c>
      <c r="AE4" s="2" t="s">
        <v>901</v>
      </c>
      <c r="AF4" s="2" t="s">
        <v>901</v>
      </c>
      <c r="AG4" s="2" t="s">
        <v>901</v>
      </c>
      <c r="AH4" s="2" t="s">
        <v>901</v>
      </c>
      <c r="AI4" s="2" t="s">
        <v>901</v>
      </c>
      <c r="AJ4" s="2" t="s">
        <v>901</v>
      </c>
      <c r="AK4" s="2" t="s">
        <v>901</v>
      </c>
      <c r="AL4" s="2" t="s">
        <v>901</v>
      </c>
      <c r="AM4" s="2" t="s">
        <v>901</v>
      </c>
      <c r="AN4" s="2" t="s">
        <v>901</v>
      </c>
      <c r="AO4" s="69" t="s">
        <v>4</v>
      </c>
      <c r="AP4" s="69" t="s">
        <v>1</v>
      </c>
    </row>
    <row r="5" spans="1:42">
      <c r="A5" s="2" t="s">
        <v>78</v>
      </c>
      <c r="B5" s="2" t="s">
        <v>94</v>
      </c>
      <c r="C5" s="2" t="s">
        <v>901</v>
      </c>
      <c r="D5" s="2" t="s">
        <v>901</v>
      </c>
      <c r="E5" s="2" t="s">
        <v>901</v>
      </c>
      <c r="F5" s="2" t="s">
        <v>901</v>
      </c>
      <c r="G5" s="2" t="s">
        <v>901</v>
      </c>
      <c r="H5" s="2" t="s">
        <v>901</v>
      </c>
      <c r="I5" s="2" t="s">
        <v>901</v>
      </c>
      <c r="J5" s="2" t="s">
        <v>901</v>
      </c>
      <c r="K5" s="2" t="s">
        <v>901</v>
      </c>
      <c r="L5" s="2" t="s">
        <v>901</v>
      </c>
      <c r="M5" s="2" t="s">
        <v>901</v>
      </c>
      <c r="N5" s="2" t="s">
        <v>901</v>
      </c>
      <c r="O5" s="2" t="s">
        <v>901</v>
      </c>
      <c r="P5" s="2" t="s">
        <v>901</v>
      </c>
      <c r="Q5" s="2" t="s">
        <v>901</v>
      </c>
      <c r="R5" s="2" t="s">
        <v>901</v>
      </c>
      <c r="S5" s="2" t="s">
        <v>901</v>
      </c>
      <c r="T5" s="2" t="s">
        <v>901</v>
      </c>
      <c r="U5" s="2" t="s">
        <v>901</v>
      </c>
      <c r="V5" s="2" t="s">
        <v>901</v>
      </c>
      <c r="W5" s="2" t="s">
        <v>901</v>
      </c>
      <c r="X5" s="2" t="s">
        <v>901</v>
      </c>
      <c r="Y5" s="2" t="s">
        <v>901</v>
      </c>
      <c r="Z5" s="2" t="s">
        <v>901</v>
      </c>
      <c r="AA5" s="2" t="s">
        <v>901</v>
      </c>
      <c r="AB5" s="2" t="s">
        <v>901</v>
      </c>
      <c r="AC5" s="2" t="s">
        <v>901</v>
      </c>
      <c r="AD5" s="2" t="s">
        <v>901</v>
      </c>
      <c r="AE5" s="2" t="s">
        <v>901</v>
      </c>
      <c r="AF5" s="2" t="s">
        <v>901</v>
      </c>
      <c r="AG5" s="2" t="s">
        <v>901</v>
      </c>
      <c r="AH5" s="2" t="s">
        <v>901</v>
      </c>
      <c r="AI5" s="2" t="s">
        <v>901</v>
      </c>
      <c r="AJ5" s="2" t="s">
        <v>901</v>
      </c>
      <c r="AK5" s="2" t="s">
        <v>901</v>
      </c>
      <c r="AL5" s="2" t="s">
        <v>901</v>
      </c>
      <c r="AM5" s="2" t="s">
        <v>901</v>
      </c>
      <c r="AN5" s="2" t="s">
        <v>901</v>
      </c>
      <c r="AO5" s="69" t="s">
        <v>4</v>
      </c>
      <c r="AP5" s="69" t="s">
        <v>1</v>
      </c>
    </row>
    <row r="6" spans="1:42">
      <c r="A6" s="2" t="s">
        <v>78</v>
      </c>
      <c r="B6" s="2" t="s">
        <v>96</v>
      </c>
      <c r="C6" s="2" t="s">
        <v>901</v>
      </c>
      <c r="D6" s="2" t="s">
        <v>901</v>
      </c>
      <c r="E6" s="2" t="s">
        <v>901</v>
      </c>
      <c r="F6" s="2" t="s">
        <v>901</v>
      </c>
      <c r="G6" s="2" t="s">
        <v>901</v>
      </c>
      <c r="H6" s="2" t="s">
        <v>901</v>
      </c>
      <c r="I6" s="2" t="s">
        <v>901</v>
      </c>
      <c r="J6" s="2" t="s">
        <v>901</v>
      </c>
      <c r="K6" s="2" t="s">
        <v>901</v>
      </c>
      <c r="L6" s="2" t="s">
        <v>901</v>
      </c>
      <c r="M6" s="2" t="s">
        <v>901</v>
      </c>
      <c r="N6" s="2" t="s">
        <v>901</v>
      </c>
      <c r="O6" s="2" t="s">
        <v>901</v>
      </c>
      <c r="P6" s="2" t="s">
        <v>901</v>
      </c>
      <c r="Q6" s="2" t="s">
        <v>901</v>
      </c>
      <c r="R6" s="2" t="s">
        <v>901</v>
      </c>
      <c r="S6" s="2" t="s">
        <v>901</v>
      </c>
      <c r="T6" s="2" t="s">
        <v>901</v>
      </c>
      <c r="U6" s="2" t="s">
        <v>901</v>
      </c>
      <c r="V6" s="2" t="s">
        <v>901</v>
      </c>
      <c r="W6" s="2" t="s">
        <v>901</v>
      </c>
      <c r="X6" s="2" t="s">
        <v>901</v>
      </c>
      <c r="Y6" s="2" t="s">
        <v>901</v>
      </c>
      <c r="Z6" s="2" t="s">
        <v>901</v>
      </c>
      <c r="AA6" s="2" t="s">
        <v>901</v>
      </c>
      <c r="AB6" s="2" t="s">
        <v>901</v>
      </c>
      <c r="AC6" s="2" t="s">
        <v>901</v>
      </c>
      <c r="AD6" s="2" t="s">
        <v>901</v>
      </c>
      <c r="AE6" s="2" t="s">
        <v>901</v>
      </c>
      <c r="AF6" s="2" t="s">
        <v>901</v>
      </c>
      <c r="AG6" s="2" t="s">
        <v>901</v>
      </c>
      <c r="AH6" s="2" t="s">
        <v>901</v>
      </c>
      <c r="AI6" s="2" t="s">
        <v>901</v>
      </c>
      <c r="AJ6" s="2" t="s">
        <v>901</v>
      </c>
      <c r="AK6" s="2" t="s">
        <v>901</v>
      </c>
      <c r="AL6" s="2" t="s">
        <v>901</v>
      </c>
      <c r="AM6" s="2" t="s">
        <v>901</v>
      </c>
      <c r="AN6" s="2" t="s">
        <v>901</v>
      </c>
      <c r="AO6" s="69" t="s">
        <v>4</v>
      </c>
      <c r="AP6" s="69" t="s">
        <v>1</v>
      </c>
    </row>
    <row r="7" spans="1:42">
      <c r="A7" s="2" t="s">
        <v>78</v>
      </c>
      <c r="B7" s="2" t="s">
        <v>98</v>
      </c>
      <c r="C7" s="2" t="s">
        <v>901</v>
      </c>
      <c r="D7" s="2" t="s">
        <v>901</v>
      </c>
      <c r="E7" s="2" t="s">
        <v>901</v>
      </c>
      <c r="F7" s="2" t="s">
        <v>901</v>
      </c>
      <c r="G7" s="2" t="s">
        <v>901</v>
      </c>
      <c r="H7" s="2" t="s">
        <v>901</v>
      </c>
      <c r="I7" s="2" t="s">
        <v>901</v>
      </c>
      <c r="J7" s="2" t="s">
        <v>901</v>
      </c>
      <c r="K7" s="2" t="s">
        <v>901</v>
      </c>
      <c r="L7" s="2" t="s">
        <v>901</v>
      </c>
      <c r="M7" s="2" t="s">
        <v>901</v>
      </c>
      <c r="N7" s="2" t="s">
        <v>901</v>
      </c>
      <c r="O7" s="2" t="s">
        <v>901</v>
      </c>
      <c r="P7" s="2" t="s">
        <v>901</v>
      </c>
      <c r="Q7" s="2" t="s">
        <v>901</v>
      </c>
      <c r="R7" s="2" t="s">
        <v>901</v>
      </c>
      <c r="S7" s="2" t="s">
        <v>901</v>
      </c>
      <c r="T7" s="2" t="s">
        <v>901</v>
      </c>
      <c r="U7" s="2" t="s">
        <v>901</v>
      </c>
      <c r="V7" s="2" t="s">
        <v>901</v>
      </c>
      <c r="W7" s="2" t="s">
        <v>901</v>
      </c>
      <c r="X7" s="2" t="s">
        <v>901</v>
      </c>
      <c r="Y7" s="2" t="s">
        <v>901</v>
      </c>
      <c r="Z7" s="2" t="s">
        <v>901</v>
      </c>
      <c r="AA7" s="2" t="s">
        <v>901</v>
      </c>
      <c r="AB7" s="2" t="s">
        <v>901</v>
      </c>
      <c r="AC7" s="2" t="s">
        <v>901</v>
      </c>
      <c r="AD7" s="2" t="s">
        <v>901</v>
      </c>
      <c r="AE7" s="2" t="s">
        <v>901</v>
      </c>
      <c r="AF7" s="2" t="s">
        <v>901</v>
      </c>
      <c r="AG7" s="2" t="s">
        <v>901</v>
      </c>
      <c r="AH7" s="2" t="s">
        <v>901</v>
      </c>
      <c r="AI7" s="2" t="s">
        <v>901</v>
      </c>
      <c r="AJ7" s="2" t="s">
        <v>901</v>
      </c>
      <c r="AK7" s="2" t="s">
        <v>901</v>
      </c>
      <c r="AL7" s="2" t="s">
        <v>901</v>
      </c>
      <c r="AM7" s="2" t="s">
        <v>901</v>
      </c>
      <c r="AN7" s="2" t="s">
        <v>901</v>
      </c>
      <c r="AO7" s="69" t="s">
        <v>4</v>
      </c>
      <c r="AP7" s="69" t="s">
        <v>1</v>
      </c>
    </row>
    <row r="8" spans="1:42">
      <c r="A8" s="2" t="s">
        <v>3</v>
      </c>
      <c r="B8" s="2" t="s">
        <v>100</v>
      </c>
      <c r="C8" s="2" t="s">
        <v>901</v>
      </c>
      <c r="D8" s="2" t="s">
        <v>901</v>
      </c>
      <c r="E8" s="2" t="s">
        <v>901</v>
      </c>
      <c r="F8" s="2" t="s">
        <v>901</v>
      </c>
      <c r="G8" s="2" t="s">
        <v>901</v>
      </c>
      <c r="H8" s="2" t="s">
        <v>901</v>
      </c>
      <c r="I8" s="2" t="s">
        <v>901</v>
      </c>
      <c r="J8" s="2" t="s">
        <v>901</v>
      </c>
      <c r="K8" s="2" t="s">
        <v>901</v>
      </c>
      <c r="L8" s="2" t="s">
        <v>901</v>
      </c>
      <c r="M8" s="2" t="s">
        <v>901</v>
      </c>
      <c r="N8" s="2" t="s">
        <v>901</v>
      </c>
      <c r="O8" s="2" t="s">
        <v>901</v>
      </c>
      <c r="P8" s="2" t="s">
        <v>901</v>
      </c>
      <c r="Q8" s="2" t="s">
        <v>901</v>
      </c>
      <c r="R8" s="2" t="s">
        <v>901</v>
      </c>
      <c r="S8" s="2" t="s">
        <v>901</v>
      </c>
      <c r="T8" s="2" t="s">
        <v>901</v>
      </c>
      <c r="U8" s="2" t="s">
        <v>901</v>
      </c>
      <c r="V8" s="2" t="s">
        <v>901</v>
      </c>
      <c r="W8" s="2" t="s">
        <v>901</v>
      </c>
      <c r="X8" s="2" t="s">
        <v>901</v>
      </c>
      <c r="Y8" s="2" t="s">
        <v>901</v>
      </c>
      <c r="Z8" s="2" t="s">
        <v>901</v>
      </c>
      <c r="AA8" s="2" t="s">
        <v>901</v>
      </c>
      <c r="AB8" s="2" t="s">
        <v>901</v>
      </c>
      <c r="AC8" s="2" t="s">
        <v>901</v>
      </c>
      <c r="AD8" s="2" t="s">
        <v>901</v>
      </c>
      <c r="AE8" s="2" t="s">
        <v>901</v>
      </c>
      <c r="AF8" s="2" t="s">
        <v>901</v>
      </c>
      <c r="AG8" s="2" t="s">
        <v>901</v>
      </c>
      <c r="AH8" s="2" t="s">
        <v>901</v>
      </c>
      <c r="AI8" s="2" t="s">
        <v>901</v>
      </c>
      <c r="AJ8" s="2" t="s">
        <v>901</v>
      </c>
      <c r="AK8" s="2" t="s">
        <v>901</v>
      </c>
      <c r="AL8" s="2" t="s">
        <v>901</v>
      </c>
      <c r="AM8" s="2" t="s">
        <v>901</v>
      </c>
      <c r="AN8" s="2" t="s">
        <v>901</v>
      </c>
      <c r="AO8" s="69" t="s">
        <v>4</v>
      </c>
      <c r="AP8" s="69" t="s">
        <v>1</v>
      </c>
    </row>
    <row r="9" spans="1:42">
      <c r="B9" s="69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</row>
    <row r="10" spans="1:42">
      <c r="B10" s="69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</row>
  </sheetData>
  <mergeCells count="5">
    <mergeCell ref="B1:AN1"/>
    <mergeCell ref="B9:AN9"/>
    <mergeCell ref="B10:AN10"/>
    <mergeCell ref="AO2:AO8"/>
    <mergeCell ref="AP1:AP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A1:AO12"/>
  <sheetViews>
    <sheetView rightToLeft="1" topLeftCell="AH1" workbookViewId="0">
      <selection activeCell="AP2" sqref="AP2:AP11"/>
    </sheetView>
  </sheetViews>
  <sheetFormatPr defaultRowHeight="14.25"/>
  <cols>
    <col min="1" max="1" width="36" customWidth="1"/>
    <col min="2" max="2" width="12" customWidth="1"/>
    <col min="3" max="3" width="15" customWidth="1"/>
    <col min="4" max="4" width="12" customWidth="1"/>
    <col min="5" max="5" width="21" customWidth="1"/>
    <col min="6" max="6" width="28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7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9" customWidth="1"/>
    <col min="30" max="30" width="19" customWidth="1"/>
    <col min="31" max="31" width="12" customWidth="1"/>
    <col min="32" max="32" width="15" customWidth="1"/>
    <col min="33" max="33" width="24" customWidth="1"/>
    <col min="34" max="34" width="25" customWidth="1"/>
    <col min="35" max="35" width="29" customWidth="1"/>
    <col min="36" max="37" width="25" customWidth="1"/>
    <col min="38" max="38" width="23" customWidth="1"/>
    <col min="39" max="39" width="2" customWidth="1"/>
  </cols>
  <sheetData>
    <row r="1" spans="1:41">
      <c r="B1" s="7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O1" s="70" t="s">
        <v>1</v>
      </c>
    </row>
    <row r="2" spans="1:41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171</v>
      </c>
      <c r="N2" s="4" t="s">
        <v>172</v>
      </c>
      <c r="O2" s="4" t="s">
        <v>899</v>
      </c>
      <c r="P2" s="4" t="s">
        <v>106</v>
      </c>
      <c r="Q2" s="4" t="s">
        <v>70</v>
      </c>
      <c r="R2" s="4" t="s">
        <v>173</v>
      </c>
      <c r="S2" s="4" t="s">
        <v>71</v>
      </c>
      <c r="T2" s="4" t="s">
        <v>107</v>
      </c>
      <c r="U2" s="4" t="s">
        <v>108</v>
      </c>
      <c r="V2" s="4" t="s">
        <v>109</v>
      </c>
      <c r="W2" s="4" t="s">
        <v>74</v>
      </c>
      <c r="X2" s="4" t="s">
        <v>175</v>
      </c>
      <c r="Y2" s="4" t="s">
        <v>176</v>
      </c>
      <c r="Z2" s="4" t="s">
        <v>906</v>
      </c>
      <c r="AA2" s="4" t="s">
        <v>907</v>
      </c>
      <c r="AB2" s="4" t="s">
        <v>909</v>
      </c>
      <c r="AC2" s="4" t="s">
        <v>910</v>
      </c>
      <c r="AD2" s="4" t="s">
        <v>111</v>
      </c>
      <c r="AE2" s="4" t="s">
        <v>73</v>
      </c>
      <c r="AF2" s="4" t="s">
        <v>112</v>
      </c>
      <c r="AG2" s="4" t="s">
        <v>75</v>
      </c>
      <c r="AH2" s="4" t="s">
        <v>113</v>
      </c>
      <c r="AI2" s="4" t="s">
        <v>177</v>
      </c>
      <c r="AJ2" s="4" t="s">
        <v>29</v>
      </c>
      <c r="AK2" s="4" t="s">
        <v>76</v>
      </c>
      <c r="AL2" s="4" t="s">
        <v>77</v>
      </c>
      <c r="AM2" s="4" t="s">
        <v>3</v>
      </c>
      <c r="AN2" s="70" t="s">
        <v>4</v>
      </c>
      <c r="AO2" s="70" t="s">
        <v>1</v>
      </c>
    </row>
    <row r="3" spans="1:41">
      <c r="A3" s="2" t="s">
        <v>78</v>
      </c>
      <c r="B3" s="2" t="s">
        <v>79</v>
      </c>
      <c r="C3" s="2" t="s">
        <v>911</v>
      </c>
      <c r="D3" s="2" t="s">
        <v>912</v>
      </c>
      <c r="E3" s="2" t="s">
        <v>194</v>
      </c>
      <c r="F3" s="2" t="s">
        <v>913</v>
      </c>
      <c r="G3" s="9">
        <v>1140284</v>
      </c>
      <c r="H3" s="2" t="s">
        <v>149</v>
      </c>
      <c r="I3" s="2" t="s">
        <v>204</v>
      </c>
      <c r="J3" s="2" t="s">
        <v>83</v>
      </c>
      <c r="K3" s="2" t="s">
        <v>83</v>
      </c>
      <c r="L3" s="2" t="s">
        <v>914</v>
      </c>
      <c r="M3" s="2" t="s">
        <v>556</v>
      </c>
      <c r="N3" s="2" t="s">
        <v>84</v>
      </c>
      <c r="O3" s="2" t="s">
        <v>915</v>
      </c>
      <c r="P3" s="2" t="s">
        <v>916</v>
      </c>
      <c r="Q3" s="2" t="s">
        <v>199</v>
      </c>
      <c r="R3" s="2" t="s">
        <v>189</v>
      </c>
      <c r="S3" s="2" t="s">
        <v>87</v>
      </c>
      <c r="T3" s="5">
        <v>4.72</v>
      </c>
      <c r="U3" s="2" t="s">
        <v>917</v>
      </c>
      <c r="V3" s="6">
        <v>5.0099999999999999E-2</v>
      </c>
      <c r="W3" s="6">
        <v>3.7400000000000003E-2</v>
      </c>
      <c r="X3" s="2" t="s">
        <v>191</v>
      </c>
      <c r="Y3" s="2" t="s">
        <v>84</v>
      </c>
      <c r="Z3" s="2" t="s">
        <v>918</v>
      </c>
      <c r="AA3" s="2" t="s">
        <v>919</v>
      </c>
      <c r="AB3" s="2" t="s">
        <v>920</v>
      </c>
      <c r="AC3" s="22"/>
      <c r="AD3" s="5">
        <v>293440</v>
      </c>
      <c r="AE3" s="5">
        <v>1</v>
      </c>
      <c r="AF3" s="5">
        <v>94.63</v>
      </c>
      <c r="AG3" s="5">
        <v>277.68227000000002</v>
      </c>
      <c r="AH3" s="2" t="s">
        <v>3</v>
      </c>
      <c r="AI3" s="2" t="s">
        <v>3</v>
      </c>
      <c r="AJ3" s="2" t="s">
        <v>27</v>
      </c>
      <c r="AK3" s="6">
        <v>0.3117953</v>
      </c>
      <c r="AL3" s="6">
        <v>3.3259999999999995E-4</v>
      </c>
      <c r="AM3" s="2" t="s">
        <v>3</v>
      </c>
      <c r="AN3" s="70" t="s">
        <v>4</v>
      </c>
      <c r="AO3" s="70" t="s">
        <v>1</v>
      </c>
    </row>
    <row r="4" spans="1:41">
      <c r="A4" s="2" t="s">
        <v>78</v>
      </c>
      <c r="B4" s="2" t="s">
        <v>98</v>
      </c>
      <c r="C4" s="2" t="s">
        <v>921</v>
      </c>
      <c r="D4" s="2" t="s">
        <v>922</v>
      </c>
      <c r="E4" s="2" t="s">
        <v>194</v>
      </c>
      <c r="F4" s="2" t="s">
        <v>923</v>
      </c>
      <c r="G4" s="9">
        <v>1109180</v>
      </c>
      <c r="H4" s="2" t="s">
        <v>149</v>
      </c>
      <c r="I4" s="2" t="s">
        <v>196</v>
      </c>
      <c r="J4" s="2" t="s">
        <v>83</v>
      </c>
      <c r="K4" s="2" t="s">
        <v>83</v>
      </c>
      <c r="L4" s="2" t="s">
        <v>914</v>
      </c>
      <c r="M4" s="2" t="s">
        <v>197</v>
      </c>
      <c r="N4" s="2" t="s">
        <v>84</v>
      </c>
      <c r="O4" s="2" t="s">
        <v>924</v>
      </c>
      <c r="P4" s="2" t="s">
        <v>925</v>
      </c>
      <c r="Q4" s="2" t="s">
        <v>199</v>
      </c>
      <c r="R4" s="2" t="s">
        <v>189</v>
      </c>
      <c r="S4" s="2" t="s">
        <v>87</v>
      </c>
      <c r="T4" s="27" t="s">
        <v>1322</v>
      </c>
      <c r="U4" s="2" t="s">
        <v>3</v>
      </c>
      <c r="V4" s="6">
        <v>9.9000000000000005E-2</v>
      </c>
      <c r="W4" s="6">
        <v>9.9000000000000005E-2</v>
      </c>
      <c r="X4" s="2" t="s">
        <v>191</v>
      </c>
      <c r="Y4" s="2" t="s">
        <v>866</v>
      </c>
      <c r="Z4" s="2" t="s">
        <v>918</v>
      </c>
      <c r="AA4" s="2" t="s">
        <v>919</v>
      </c>
      <c r="AB4" s="2" t="s">
        <v>926</v>
      </c>
      <c r="AC4" s="22">
        <v>45355</v>
      </c>
      <c r="AD4" s="5">
        <v>421888.91</v>
      </c>
      <c r="AE4" s="5">
        <v>1</v>
      </c>
      <c r="AF4" s="5">
        <v>0.01</v>
      </c>
      <c r="AG4" s="5">
        <v>4.2180000000000002E-2</v>
      </c>
      <c r="AH4" s="2" t="s">
        <v>3</v>
      </c>
      <c r="AI4" s="2" t="s">
        <v>3</v>
      </c>
      <c r="AJ4" s="2" t="s">
        <v>27</v>
      </c>
      <c r="AK4" s="6">
        <v>4.74E-5</v>
      </c>
      <c r="AL4" s="6">
        <v>1.0000000000000001E-7</v>
      </c>
      <c r="AM4" s="2" t="s">
        <v>3</v>
      </c>
      <c r="AN4" s="70" t="s">
        <v>4</v>
      </c>
      <c r="AO4" s="70" t="s">
        <v>1</v>
      </c>
    </row>
    <row r="5" spans="1:41">
      <c r="A5" s="2" t="s">
        <v>78</v>
      </c>
      <c r="B5" s="2" t="s">
        <v>98</v>
      </c>
      <c r="C5" s="2" t="s">
        <v>927</v>
      </c>
      <c r="D5" s="2" t="s">
        <v>928</v>
      </c>
      <c r="E5" s="2" t="s">
        <v>194</v>
      </c>
      <c r="F5" s="2" t="s">
        <v>929</v>
      </c>
      <c r="G5" s="9">
        <v>1097997</v>
      </c>
      <c r="H5" s="2" t="s">
        <v>149</v>
      </c>
      <c r="I5" s="2" t="s">
        <v>196</v>
      </c>
      <c r="J5" s="2" t="s">
        <v>83</v>
      </c>
      <c r="K5" s="2" t="s">
        <v>83</v>
      </c>
      <c r="L5" s="2" t="s">
        <v>914</v>
      </c>
      <c r="M5" s="2" t="s">
        <v>210</v>
      </c>
      <c r="N5" s="2" t="s">
        <v>84</v>
      </c>
      <c r="O5" s="2" t="s">
        <v>930</v>
      </c>
      <c r="P5" s="2" t="s">
        <v>345</v>
      </c>
      <c r="Q5" s="2" t="s">
        <v>86</v>
      </c>
      <c r="R5" s="2" t="s">
        <v>189</v>
      </c>
      <c r="S5" s="2" t="s">
        <v>87</v>
      </c>
      <c r="T5" s="5">
        <v>0.79</v>
      </c>
      <c r="U5" s="2" t="s">
        <v>931</v>
      </c>
      <c r="V5" s="6">
        <v>2.0299999999999999E-2</v>
      </c>
      <c r="W5" s="6">
        <v>7.7499999999999999E-2</v>
      </c>
      <c r="X5" s="2" t="s">
        <v>191</v>
      </c>
      <c r="Y5" s="2" t="s">
        <v>84</v>
      </c>
      <c r="Z5" s="2" t="s">
        <v>918</v>
      </c>
      <c r="AA5" s="2" t="s">
        <v>919</v>
      </c>
      <c r="AB5" s="2" t="s">
        <v>920</v>
      </c>
      <c r="AC5" s="22"/>
      <c r="AD5" s="5">
        <v>374607.45</v>
      </c>
      <c r="AE5" s="5">
        <v>1</v>
      </c>
      <c r="AF5" s="5">
        <v>146.38999999999999</v>
      </c>
      <c r="AG5" s="5">
        <v>548.38783999999998</v>
      </c>
      <c r="AH5" s="2" t="s">
        <v>3</v>
      </c>
      <c r="AI5" s="2" t="s">
        <v>3</v>
      </c>
      <c r="AJ5" s="2" t="s">
        <v>27</v>
      </c>
      <c r="AK5" s="6">
        <v>0.61575679999999999</v>
      </c>
      <c r="AL5" s="6">
        <v>6.5689999999999998E-4</v>
      </c>
      <c r="AM5" s="2" t="s">
        <v>3</v>
      </c>
      <c r="AN5" s="70" t="s">
        <v>4</v>
      </c>
      <c r="AO5" s="70" t="s">
        <v>1</v>
      </c>
    </row>
    <row r="6" spans="1:41">
      <c r="A6" s="2" t="s">
        <v>78</v>
      </c>
      <c r="B6" s="2" t="s">
        <v>98</v>
      </c>
      <c r="C6" s="2" t="s">
        <v>932</v>
      </c>
      <c r="D6" s="2" t="s">
        <v>933</v>
      </c>
      <c r="E6" s="2" t="s">
        <v>194</v>
      </c>
      <c r="F6" s="2" t="s">
        <v>934</v>
      </c>
      <c r="G6" s="9">
        <v>1101567</v>
      </c>
      <c r="H6" s="2" t="s">
        <v>149</v>
      </c>
      <c r="I6" s="2" t="s">
        <v>196</v>
      </c>
      <c r="J6" s="2" t="s">
        <v>83</v>
      </c>
      <c r="K6" s="2" t="s">
        <v>83</v>
      </c>
      <c r="L6" s="2" t="s">
        <v>914</v>
      </c>
      <c r="M6" s="2" t="s">
        <v>314</v>
      </c>
      <c r="N6" s="2" t="s">
        <v>84</v>
      </c>
      <c r="O6" s="2" t="s">
        <v>935</v>
      </c>
      <c r="P6" s="2" t="s">
        <v>120</v>
      </c>
      <c r="Q6" s="2" t="s">
        <v>120</v>
      </c>
      <c r="R6" s="2" t="s">
        <v>120</v>
      </c>
      <c r="S6" s="2" t="s">
        <v>87</v>
      </c>
      <c r="T6" s="5">
        <v>0.25</v>
      </c>
      <c r="U6" s="22">
        <v>45473</v>
      </c>
      <c r="V6" s="6">
        <v>2.0000000000000001E-4</v>
      </c>
      <c r="W6" s="6">
        <v>5.5999999999999994E-2</v>
      </c>
      <c r="X6" s="2" t="s">
        <v>191</v>
      </c>
      <c r="Y6" s="2" t="s">
        <v>84</v>
      </c>
      <c r="Z6" s="2" t="s">
        <v>149</v>
      </c>
      <c r="AA6" s="2" t="s">
        <v>919</v>
      </c>
      <c r="AB6" s="2" t="s">
        <v>920</v>
      </c>
      <c r="AC6" s="22">
        <v>45355</v>
      </c>
      <c r="AD6" s="5">
        <v>417883</v>
      </c>
      <c r="AE6" s="5">
        <v>1</v>
      </c>
      <c r="AF6" s="5">
        <v>15.43</v>
      </c>
      <c r="AG6" s="5">
        <v>64.479339999999993</v>
      </c>
      <c r="AH6" s="2" t="s">
        <v>3</v>
      </c>
      <c r="AI6" s="2" t="s">
        <v>3</v>
      </c>
      <c r="AJ6" s="2" t="s">
        <v>27</v>
      </c>
      <c r="AK6" s="6">
        <v>7.2400599999999996E-2</v>
      </c>
      <c r="AL6" s="6">
        <v>7.7200000000000006E-5</v>
      </c>
      <c r="AM6" s="2" t="s">
        <v>3</v>
      </c>
      <c r="AN6" s="70" t="s">
        <v>4</v>
      </c>
      <c r="AO6" s="70" t="s">
        <v>1</v>
      </c>
    </row>
    <row r="7" spans="1:41">
      <c r="A7" s="2" t="s">
        <v>78</v>
      </c>
      <c r="B7" s="2" t="s">
        <v>78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70" t="s">
        <v>4</v>
      </c>
      <c r="AO7" s="70" t="s">
        <v>1</v>
      </c>
    </row>
    <row r="8" spans="1:41">
      <c r="A8" s="2" t="s">
        <v>78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70" t="s">
        <v>4</v>
      </c>
      <c r="AO8" s="70" t="s">
        <v>1</v>
      </c>
    </row>
    <row r="9" spans="1:41">
      <c r="A9" s="2" t="s">
        <v>78</v>
      </c>
      <c r="B9" s="2" t="s">
        <v>96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70" t="s">
        <v>4</v>
      </c>
      <c r="AO9" s="70" t="s">
        <v>1</v>
      </c>
    </row>
    <row r="10" spans="1:41">
      <c r="A10" s="2" t="s">
        <v>3</v>
      </c>
      <c r="B10" s="2" t="s">
        <v>100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70" t="s">
        <v>4</v>
      </c>
      <c r="AO10" s="70" t="s">
        <v>1</v>
      </c>
    </row>
    <row r="11" spans="1:41">
      <c r="B11" s="70" t="s">
        <v>24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</row>
    <row r="12" spans="1:41">
      <c r="B12" s="70" t="s">
        <v>25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</row>
  </sheetData>
  <mergeCells count="5">
    <mergeCell ref="B1:AM1"/>
    <mergeCell ref="B11:AM11"/>
    <mergeCell ref="B12:AM12"/>
    <mergeCell ref="AN2:AN10"/>
    <mergeCell ref="AO1:AO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בחירה'!$C$35:$C$36</xm:f>
          </x14:formula1>
          <xm:sqref>Y3:Y6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A1:AC16"/>
  <sheetViews>
    <sheetView rightToLeft="1" topLeftCell="U1" workbookViewId="0">
      <selection activeCell="AD1" sqref="AD1:AD1048576"/>
    </sheetView>
  </sheetViews>
  <sheetFormatPr defaultRowHeight="14.25"/>
  <cols>
    <col min="1" max="1" width="36" customWidth="1"/>
    <col min="2" max="2" width="12" customWidth="1"/>
    <col min="3" max="3" width="23" customWidth="1"/>
    <col min="4" max="4" width="12" customWidth="1"/>
    <col min="5" max="5" width="21" customWidth="1"/>
    <col min="6" max="6" width="3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3" width="15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9" customWidth="1"/>
    <col min="21" max="21" width="19" customWidth="1"/>
    <col min="22" max="22" width="12" customWidth="1"/>
    <col min="23" max="23" width="15" customWidth="1"/>
    <col min="24" max="24" width="24" customWidth="1"/>
    <col min="25" max="25" width="25" customWidth="1"/>
    <col min="26" max="26" width="23" customWidth="1"/>
    <col min="27" max="27" width="2" customWidth="1"/>
  </cols>
  <sheetData>
    <row r="1" spans="1:29">
      <c r="B1" s="7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C1" s="71" t="s">
        <v>1</v>
      </c>
    </row>
    <row r="2" spans="1:29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178</v>
      </c>
      <c r="M2" s="4" t="s">
        <v>171</v>
      </c>
      <c r="N2" s="4" t="s">
        <v>172</v>
      </c>
      <c r="O2" s="4" t="s">
        <v>899</v>
      </c>
      <c r="P2" s="4" t="s">
        <v>71</v>
      </c>
      <c r="Q2" s="4" t="s">
        <v>906</v>
      </c>
      <c r="R2" s="4" t="s">
        <v>907</v>
      </c>
      <c r="S2" s="4" t="s">
        <v>909</v>
      </c>
      <c r="T2" s="4" t="s">
        <v>910</v>
      </c>
      <c r="U2" s="4" t="s">
        <v>111</v>
      </c>
      <c r="V2" s="4" t="s">
        <v>73</v>
      </c>
      <c r="W2" s="4" t="s">
        <v>112</v>
      </c>
      <c r="X2" s="4" t="s">
        <v>75</v>
      </c>
      <c r="Y2" s="4" t="s">
        <v>76</v>
      </c>
      <c r="Z2" s="4" t="s">
        <v>77</v>
      </c>
      <c r="AA2" s="4" t="s">
        <v>3</v>
      </c>
      <c r="AB2" s="71" t="s">
        <v>4</v>
      </c>
      <c r="AC2" s="71" t="s">
        <v>1</v>
      </c>
    </row>
    <row r="3" spans="1:29">
      <c r="A3" s="2" t="s">
        <v>78</v>
      </c>
      <c r="B3" s="2" t="s">
        <v>78</v>
      </c>
      <c r="C3" s="2" t="s">
        <v>936</v>
      </c>
      <c r="D3" s="2" t="s">
        <v>937</v>
      </c>
      <c r="E3" s="2" t="s">
        <v>168</v>
      </c>
      <c r="F3" s="2" t="s">
        <v>938</v>
      </c>
      <c r="G3" s="9">
        <v>100560853</v>
      </c>
      <c r="H3" s="2" t="s">
        <v>149</v>
      </c>
      <c r="I3" s="2" t="s">
        <v>939</v>
      </c>
      <c r="J3" s="2" t="s">
        <v>83</v>
      </c>
      <c r="K3" s="2" t="s">
        <v>83</v>
      </c>
      <c r="L3" s="2" t="s">
        <v>914</v>
      </c>
      <c r="M3" s="2" t="s">
        <v>149</v>
      </c>
      <c r="N3" s="2" t="s">
        <v>84</v>
      </c>
      <c r="O3" s="2" t="s">
        <v>940</v>
      </c>
      <c r="P3" s="2" t="s">
        <v>87</v>
      </c>
      <c r="Q3" s="2" t="s">
        <v>941</v>
      </c>
      <c r="R3" s="2" t="s">
        <v>919</v>
      </c>
      <c r="S3" s="2" t="s">
        <v>942</v>
      </c>
      <c r="T3" s="10">
        <v>45134</v>
      </c>
      <c r="U3" s="5">
        <v>13.7</v>
      </c>
      <c r="V3" s="5">
        <v>1</v>
      </c>
      <c r="W3" s="5">
        <v>170092.69200000001</v>
      </c>
      <c r="X3" s="5">
        <v>23.302689999999998</v>
      </c>
      <c r="Y3" s="6">
        <v>1.5171499999999999E-2</v>
      </c>
      <c r="Z3" s="6">
        <v>2.7900000000000001E-5</v>
      </c>
      <c r="AA3" s="2" t="s">
        <v>3</v>
      </c>
      <c r="AB3" s="71" t="s">
        <v>4</v>
      </c>
      <c r="AC3" s="71" t="s">
        <v>1</v>
      </c>
    </row>
    <row r="4" spans="1:29">
      <c r="A4" s="2" t="s">
        <v>78</v>
      </c>
      <c r="B4" s="2" t="s">
        <v>78</v>
      </c>
      <c r="C4" s="2" t="s">
        <v>943</v>
      </c>
      <c r="D4" s="2" t="s">
        <v>944</v>
      </c>
      <c r="E4" s="2" t="s">
        <v>168</v>
      </c>
      <c r="F4" s="2" t="s">
        <v>945</v>
      </c>
      <c r="G4" s="9">
        <v>100356187</v>
      </c>
      <c r="H4" s="2" t="s">
        <v>149</v>
      </c>
      <c r="I4" s="2" t="s">
        <v>939</v>
      </c>
      <c r="J4" s="2" t="s">
        <v>83</v>
      </c>
      <c r="K4" s="2" t="s">
        <v>83</v>
      </c>
      <c r="L4" s="2" t="s">
        <v>914</v>
      </c>
      <c r="M4" s="2" t="s">
        <v>946</v>
      </c>
      <c r="N4" s="2" t="s">
        <v>84</v>
      </c>
      <c r="O4" s="2" t="s">
        <v>947</v>
      </c>
      <c r="P4" s="2" t="s">
        <v>91</v>
      </c>
      <c r="Q4" s="2" t="s">
        <v>941</v>
      </c>
      <c r="R4" s="2" t="s">
        <v>919</v>
      </c>
      <c r="S4" s="2" t="s">
        <v>948</v>
      </c>
      <c r="T4" s="23" t="s">
        <v>1297</v>
      </c>
      <c r="U4" s="5">
        <v>300</v>
      </c>
      <c r="V4" s="5">
        <v>3.681</v>
      </c>
      <c r="W4" s="5">
        <v>8.0000000000000007E-5</v>
      </c>
      <c r="X4" s="5">
        <v>0</v>
      </c>
      <c r="Y4" s="6">
        <v>0</v>
      </c>
      <c r="Z4" s="6">
        <v>0</v>
      </c>
      <c r="AA4" s="2" t="s">
        <v>3</v>
      </c>
      <c r="AB4" s="71" t="s">
        <v>4</v>
      </c>
      <c r="AC4" s="71" t="s">
        <v>1</v>
      </c>
    </row>
    <row r="5" spans="1:29">
      <c r="A5" s="2" t="s">
        <v>78</v>
      </c>
      <c r="B5" s="2" t="s">
        <v>94</v>
      </c>
      <c r="C5" s="2" t="s">
        <v>936</v>
      </c>
      <c r="D5" s="2" t="s">
        <v>937</v>
      </c>
      <c r="E5" s="2" t="s">
        <v>168</v>
      </c>
      <c r="F5" s="2" t="s">
        <v>938</v>
      </c>
      <c r="G5" s="9">
        <v>100560853</v>
      </c>
      <c r="H5" s="2" t="s">
        <v>149</v>
      </c>
      <c r="I5" s="2" t="s">
        <v>939</v>
      </c>
      <c r="J5" s="2" t="s">
        <v>83</v>
      </c>
      <c r="K5" s="2" t="s">
        <v>83</v>
      </c>
      <c r="L5" s="2" t="s">
        <v>914</v>
      </c>
      <c r="M5" s="2" t="s">
        <v>149</v>
      </c>
      <c r="N5" s="2" t="s">
        <v>84</v>
      </c>
      <c r="O5" s="2" t="s">
        <v>940</v>
      </c>
      <c r="P5" s="2" t="s">
        <v>87</v>
      </c>
      <c r="Q5" s="2" t="s">
        <v>941</v>
      </c>
      <c r="R5" s="2" t="s">
        <v>919</v>
      </c>
      <c r="S5" s="2" t="s">
        <v>942</v>
      </c>
      <c r="T5" s="10">
        <v>45134</v>
      </c>
      <c r="U5" s="5">
        <v>13.7</v>
      </c>
      <c r="V5" s="5">
        <v>1</v>
      </c>
      <c r="W5" s="5">
        <v>170092.69200000001</v>
      </c>
      <c r="X5" s="5">
        <v>23.302689999999998</v>
      </c>
      <c r="Y5" s="6">
        <v>1.5171499999999999E-2</v>
      </c>
      <c r="Z5" s="6">
        <v>2.7900000000000001E-5</v>
      </c>
      <c r="AA5" s="2" t="s">
        <v>3</v>
      </c>
      <c r="AB5" s="71" t="s">
        <v>4</v>
      </c>
      <c r="AC5" s="71" t="s">
        <v>1</v>
      </c>
    </row>
    <row r="6" spans="1:29">
      <c r="A6" s="2" t="s">
        <v>78</v>
      </c>
      <c r="B6" s="2" t="s">
        <v>96</v>
      </c>
      <c r="C6" s="2" t="s">
        <v>936</v>
      </c>
      <c r="D6" s="2" t="s">
        <v>937</v>
      </c>
      <c r="E6" s="2" t="s">
        <v>168</v>
      </c>
      <c r="F6" s="2" t="s">
        <v>938</v>
      </c>
      <c r="G6" s="9">
        <v>100560853</v>
      </c>
      <c r="H6" s="2" t="s">
        <v>149</v>
      </c>
      <c r="I6" s="2" t="s">
        <v>939</v>
      </c>
      <c r="J6" s="2" t="s">
        <v>83</v>
      </c>
      <c r="K6" s="2" t="s">
        <v>83</v>
      </c>
      <c r="L6" s="2" t="s">
        <v>914</v>
      </c>
      <c r="M6" s="2" t="s">
        <v>149</v>
      </c>
      <c r="N6" s="2" t="s">
        <v>84</v>
      </c>
      <c r="O6" s="2" t="s">
        <v>949</v>
      </c>
      <c r="P6" s="2" t="s">
        <v>87</v>
      </c>
      <c r="Q6" s="2" t="s">
        <v>941</v>
      </c>
      <c r="R6" s="2" t="s">
        <v>919</v>
      </c>
      <c r="S6" s="2" t="s">
        <v>942</v>
      </c>
      <c r="T6" s="10">
        <v>45134</v>
      </c>
      <c r="U6" s="5">
        <v>101</v>
      </c>
      <c r="V6" s="5">
        <v>1</v>
      </c>
      <c r="W6" s="5">
        <v>170092.69200000001</v>
      </c>
      <c r="X6" s="5">
        <v>171.79361</v>
      </c>
      <c r="Y6" s="6">
        <v>0.11184810000000001</v>
      </c>
      <c r="Z6" s="6">
        <v>2.0580000000000002E-4</v>
      </c>
      <c r="AA6" s="2" t="s">
        <v>3</v>
      </c>
      <c r="AB6" s="71" t="s">
        <v>4</v>
      </c>
      <c r="AC6" s="71" t="s">
        <v>1</v>
      </c>
    </row>
    <row r="7" spans="1:29">
      <c r="A7" s="2" t="s">
        <v>78</v>
      </c>
      <c r="B7" s="2" t="s">
        <v>98</v>
      </c>
      <c r="C7" s="2" t="s">
        <v>936</v>
      </c>
      <c r="D7" s="2" t="s">
        <v>937</v>
      </c>
      <c r="E7" s="2" t="s">
        <v>168</v>
      </c>
      <c r="F7" s="2" t="s">
        <v>938</v>
      </c>
      <c r="G7" s="9">
        <v>100560853</v>
      </c>
      <c r="H7" s="2" t="s">
        <v>149</v>
      </c>
      <c r="I7" s="2" t="s">
        <v>939</v>
      </c>
      <c r="J7" s="2" t="s">
        <v>83</v>
      </c>
      <c r="K7" s="2" t="s">
        <v>83</v>
      </c>
      <c r="L7" s="2" t="s">
        <v>914</v>
      </c>
      <c r="M7" s="2" t="s">
        <v>149</v>
      </c>
      <c r="N7" s="2" t="s">
        <v>84</v>
      </c>
      <c r="O7" s="2" t="s">
        <v>950</v>
      </c>
      <c r="P7" s="2" t="s">
        <v>87</v>
      </c>
      <c r="Q7" s="2" t="s">
        <v>941</v>
      </c>
      <c r="R7" s="2" t="s">
        <v>919</v>
      </c>
      <c r="S7" s="2" t="s">
        <v>942</v>
      </c>
      <c r="T7" s="10">
        <v>45134</v>
      </c>
      <c r="U7" s="5">
        <v>774.61</v>
      </c>
      <c r="V7" s="5">
        <v>1</v>
      </c>
      <c r="W7" s="5">
        <v>170092.69200000001</v>
      </c>
      <c r="X7" s="5">
        <v>1317.5550000000001</v>
      </c>
      <c r="Y7" s="6">
        <v>0.85780869999999998</v>
      </c>
      <c r="Z7" s="6">
        <v>1.5781999999999999E-3</v>
      </c>
      <c r="AA7" s="2" t="s">
        <v>3</v>
      </c>
      <c r="AB7" s="71" t="s">
        <v>4</v>
      </c>
      <c r="AC7" s="71" t="s">
        <v>1</v>
      </c>
    </row>
    <row r="8" spans="1:29">
      <c r="A8" s="2" t="s">
        <v>78</v>
      </c>
      <c r="B8" s="2" t="s">
        <v>98</v>
      </c>
      <c r="C8" s="2" t="s">
        <v>951</v>
      </c>
      <c r="D8" s="2" t="s">
        <v>933</v>
      </c>
      <c r="E8" s="2" t="s">
        <v>194</v>
      </c>
      <c r="F8" s="2" t="s">
        <v>952</v>
      </c>
      <c r="G8" s="9">
        <v>100448679</v>
      </c>
      <c r="H8" s="2" t="s">
        <v>149</v>
      </c>
      <c r="I8" s="2" t="s">
        <v>939</v>
      </c>
      <c r="J8" s="2" t="s">
        <v>83</v>
      </c>
      <c r="K8" s="2" t="s">
        <v>83</v>
      </c>
      <c r="L8" s="2" t="s">
        <v>914</v>
      </c>
      <c r="M8" s="2" t="s">
        <v>314</v>
      </c>
      <c r="N8" s="2" t="s">
        <v>84</v>
      </c>
      <c r="O8" s="2" t="s">
        <v>953</v>
      </c>
      <c r="P8" s="2" t="s">
        <v>87</v>
      </c>
      <c r="Q8" s="2" t="s">
        <v>941</v>
      </c>
      <c r="R8" s="2" t="s">
        <v>919</v>
      </c>
      <c r="S8" s="2" t="s">
        <v>954</v>
      </c>
      <c r="T8" s="23" t="s">
        <v>1297</v>
      </c>
      <c r="U8" s="5">
        <v>30342.46</v>
      </c>
      <c r="V8" s="5">
        <v>1</v>
      </c>
      <c r="W8" s="5">
        <v>1E-3</v>
      </c>
      <c r="X8" s="5">
        <v>2.9999999999999997E-4</v>
      </c>
      <c r="Y8" s="6">
        <v>2.0000000000000002E-7</v>
      </c>
      <c r="Z8" s="6">
        <v>0</v>
      </c>
      <c r="AA8" s="2" t="s">
        <v>3</v>
      </c>
      <c r="AB8" s="71" t="s">
        <v>4</v>
      </c>
      <c r="AC8" s="71" t="s">
        <v>1</v>
      </c>
    </row>
    <row r="9" spans="1:29">
      <c r="A9" s="2" t="s">
        <v>78</v>
      </c>
      <c r="B9" s="2" t="s">
        <v>98</v>
      </c>
      <c r="C9" s="2" t="s">
        <v>943</v>
      </c>
      <c r="D9" s="2" t="s">
        <v>944</v>
      </c>
      <c r="E9" s="2" t="s">
        <v>168</v>
      </c>
      <c r="F9" s="2" t="s">
        <v>945</v>
      </c>
      <c r="G9" s="9">
        <v>100356187</v>
      </c>
      <c r="H9" s="2" t="s">
        <v>149</v>
      </c>
      <c r="I9" s="2" t="s">
        <v>939</v>
      </c>
      <c r="J9" s="2" t="s">
        <v>83</v>
      </c>
      <c r="K9" s="2" t="s">
        <v>83</v>
      </c>
      <c r="L9" s="2" t="s">
        <v>914</v>
      </c>
      <c r="M9" s="2" t="s">
        <v>149</v>
      </c>
      <c r="N9" s="2" t="s">
        <v>84</v>
      </c>
      <c r="O9" s="2" t="s">
        <v>955</v>
      </c>
      <c r="P9" s="2" t="s">
        <v>91</v>
      </c>
      <c r="Q9" s="2" t="s">
        <v>941</v>
      </c>
      <c r="R9" s="2" t="s">
        <v>919</v>
      </c>
      <c r="S9" s="2" t="s">
        <v>942</v>
      </c>
      <c r="T9" s="23" t="s">
        <v>1297</v>
      </c>
      <c r="U9" s="5">
        <v>30950</v>
      </c>
      <c r="V9" s="5">
        <v>3.681</v>
      </c>
      <c r="W9" s="5">
        <v>8.0000000000000007E-5</v>
      </c>
      <c r="X9" s="5">
        <v>9.0000000000000006E-5</v>
      </c>
      <c r="Y9" s="6">
        <v>1.0000000000000001E-7</v>
      </c>
      <c r="Z9" s="6">
        <v>0</v>
      </c>
      <c r="AA9" s="2" t="s">
        <v>3</v>
      </c>
      <c r="AB9" s="71" t="s">
        <v>4</v>
      </c>
      <c r="AC9" s="71" t="s">
        <v>1</v>
      </c>
    </row>
    <row r="10" spans="1:29">
      <c r="A10" s="2" t="s">
        <v>78</v>
      </c>
      <c r="B10" s="2" t="s">
        <v>98</v>
      </c>
      <c r="C10" s="2" t="s">
        <v>956</v>
      </c>
      <c r="D10" s="2" t="s">
        <v>957</v>
      </c>
      <c r="E10" s="2" t="s">
        <v>194</v>
      </c>
      <c r="F10" s="2" t="s">
        <v>958</v>
      </c>
      <c r="G10" s="9">
        <v>239012</v>
      </c>
      <c r="H10" s="2" t="s">
        <v>149</v>
      </c>
      <c r="I10" s="2" t="s">
        <v>939</v>
      </c>
      <c r="J10" s="2" t="s">
        <v>83</v>
      </c>
      <c r="K10" s="2" t="s">
        <v>83</v>
      </c>
      <c r="L10" s="2" t="s">
        <v>914</v>
      </c>
      <c r="M10" s="2" t="s">
        <v>959</v>
      </c>
      <c r="N10" s="2" t="s">
        <v>84</v>
      </c>
      <c r="O10" s="2" t="s">
        <v>960</v>
      </c>
      <c r="P10" s="2" t="s">
        <v>87</v>
      </c>
      <c r="Q10" s="2" t="s">
        <v>941</v>
      </c>
      <c r="R10" s="2" t="s">
        <v>919</v>
      </c>
      <c r="S10" s="2" t="s">
        <v>954</v>
      </c>
      <c r="T10" s="23" t="s">
        <v>1297</v>
      </c>
      <c r="U10" s="5">
        <v>31238.26</v>
      </c>
      <c r="V10" s="5">
        <v>1</v>
      </c>
      <c r="W10" s="5">
        <v>1E-4</v>
      </c>
      <c r="X10" s="5">
        <v>3.0000000000000001E-5</v>
      </c>
      <c r="Y10" s="6">
        <v>0</v>
      </c>
      <c r="Z10" s="6">
        <v>0</v>
      </c>
      <c r="AA10" s="2" t="s">
        <v>3</v>
      </c>
      <c r="AB10" s="71" t="s">
        <v>4</v>
      </c>
      <c r="AC10" s="71" t="s">
        <v>1</v>
      </c>
    </row>
    <row r="11" spans="1:29">
      <c r="A11" s="2" t="s">
        <v>78</v>
      </c>
      <c r="B11" s="2" t="s">
        <v>98</v>
      </c>
      <c r="C11" s="2" t="s">
        <v>961</v>
      </c>
      <c r="D11" s="2" t="s">
        <v>962</v>
      </c>
      <c r="E11" s="2" t="s">
        <v>194</v>
      </c>
      <c r="F11" s="2" t="s">
        <v>963</v>
      </c>
      <c r="G11" s="9">
        <v>100150168</v>
      </c>
      <c r="H11" s="2" t="s">
        <v>149</v>
      </c>
      <c r="I11" s="2" t="s">
        <v>939</v>
      </c>
      <c r="J11" s="2" t="s">
        <v>83</v>
      </c>
      <c r="K11" s="2" t="s">
        <v>83</v>
      </c>
      <c r="L11" s="2" t="s">
        <v>914</v>
      </c>
      <c r="M11" s="2" t="s">
        <v>149</v>
      </c>
      <c r="N11" s="2" t="s">
        <v>84</v>
      </c>
      <c r="O11" s="2" t="s">
        <v>953</v>
      </c>
      <c r="P11" s="2" t="s">
        <v>87</v>
      </c>
      <c r="Q11" s="2" t="s">
        <v>941</v>
      </c>
      <c r="R11" s="2" t="s">
        <v>919</v>
      </c>
      <c r="S11" s="2" t="s">
        <v>964</v>
      </c>
      <c r="T11" s="23" t="s">
        <v>1297</v>
      </c>
      <c r="U11" s="5">
        <v>790</v>
      </c>
      <c r="V11" s="5">
        <v>1</v>
      </c>
      <c r="W11" s="5">
        <v>1E-4</v>
      </c>
      <c r="X11" s="5">
        <v>0</v>
      </c>
      <c r="Y11" s="6">
        <v>0</v>
      </c>
      <c r="Z11" s="6">
        <v>0</v>
      </c>
      <c r="AA11" s="2" t="s">
        <v>3</v>
      </c>
      <c r="AB11" s="71" t="s">
        <v>4</v>
      </c>
      <c r="AC11" s="71" t="s">
        <v>1</v>
      </c>
    </row>
    <row r="12" spans="1:29">
      <c r="A12" s="2" t="s">
        <v>78</v>
      </c>
      <c r="B12" s="2" t="s">
        <v>98</v>
      </c>
      <c r="C12" s="2" t="s">
        <v>965</v>
      </c>
      <c r="D12" s="2" t="s">
        <v>966</v>
      </c>
      <c r="E12" s="2" t="s">
        <v>168</v>
      </c>
      <c r="F12" s="2" t="s">
        <v>967</v>
      </c>
      <c r="G12" s="9">
        <v>60298106</v>
      </c>
      <c r="H12" s="2" t="s">
        <v>183</v>
      </c>
      <c r="I12" s="2" t="s">
        <v>939</v>
      </c>
      <c r="J12" s="2" t="s">
        <v>148</v>
      </c>
      <c r="K12" s="2" t="s">
        <v>156</v>
      </c>
      <c r="L12" s="2" t="s">
        <v>914</v>
      </c>
      <c r="M12" s="2" t="s">
        <v>497</v>
      </c>
      <c r="N12" s="2" t="s">
        <v>84</v>
      </c>
      <c r="O12" s="2" t="s">
        <v>955</v>
      </c>
      <c r="P12" s="2" t="s">
        <v>90</v>
      </c>
      <c r="Q12" s="2" t="s">
        <v>941</v>
      </c>
      <c r="R12" s="2" t="s">
        <v>919</v>
      </c>
      <c r="S12" s="2" t="s">
        <v>968</v>
      </c>
      <c r="T12" s="23" t="s">
        <v>1297</v>
      </c>
      <c r="U12" s="5">
        <v>355</v>
      </c>
      <c r="V12" s="5">
        <v>3.9790999999999999</v>
      </c>
      <c r="W12" s="5">
        <v>6.9999999999999994E-5</v>
      </c>
      <c r="X12" s="5">
        <v>0</v>
      </c>
      <c r="Y12" s="6">
        <v>0</v>
      </c>
      <c r="Z12" s="6">
        <v>0</v>
      </c>
      <c r="AA12" s="2" t="s">
        <v>3</v>
      </c>
      <c r="AB12" s="71" t="s">
        <v>4</v>
      </c>
      <c r="AC12" s="71" t="s">
        <v>1</v>
      </c>
    </row>
    <row r="13" spans="1:29">
      <c r="A13" s="2" t="s">
        <v>78</v>
      </c>
      <c r="B13" s="2" t="s">
        <v>79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10"/>
      <c r="U13" s="2" t="s">
        <v>3</v>
      </c>
      <c r="V13" s="2" t="s">
        <v>3</v>
      </c>
      <c r="W13" s="2" t="s">
        <v>3</v>
      </c>
      <c r="X13" s="2" t="s">
        <v>3</v>
      </c>
      <c r="Y13" s="2" t="s">
        <v>3</v>
      </c>
      <c r="Z13" s="2" t="s">
        <v>3</v>
      </c>
      <c r="AA13" s="2" t="s">
        <v>3</v>
      </c>
      <c r="AB13" s="71" t="s">
        <v>4</v>
      </c>
      <c r="AC13" s="71" t="s">
        <v>1</v>
      </c>
    </row>
    <row r="14" spans="1:29">
      <c r="A14" s="2" t="s">
        <v>3</v>
      </c>
      <c r="B14" s="2" t="s">
        <v>100</v>
      </c>
      <c r="C14" s="2" t="s">
        <v>3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71" t="s">
        <v>4</v>
      </c>
      <c r="AC14" s="71" t="s">
        <v>1</v>
      </c>
    </row>
    <row r="15" spans="1:29">
      <c r="B15" s="71" t="s">
        <v>24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9">
      <c r="B16" s="71" t="s">
        <v>25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</sheetData>
  <mergeCells count="5">
    <mergeCell ref="B1:AA1"/>
    <mergeCell ref="B15:AA15"/>
    <mergeCell ref="B16:AA16"/>
    <mergeCell ref="AB2:AB14"/>
    <mergeCell ref="AC1:AC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A1:AC117"/>
  <sheetViews>
    <sheetView rightToLeft="1" topLeftCell="A22" zoomScale="85" zoomScaleNormal="85" workbookViewId="0">
      <selection activeCell="F42" sqref="F42"/>
    </sheetView>
  </sheetViews>
  <sheetFormatPr defaultRowHeight="14.25"/>
  <cols>
    <col min="1" max="1" width="36" customWidth="1"/>
    <col min="2" max="2" width="12" customWidth="1"/>
    <col min="3" max="3" width="25" customWidth="1"/>
    <col min="4" max="4" width="32" customWidth="1"/>
    <col min="5" max="5" width="36" customWidth="1"/>
    <col min="6" max="6" width="37" customWidth="1"/>
    <col min="7" max="7" width="21" customWidth="1"/>
    <col min="8" max="8" width="26" customWidth="1"/>
    <col min="9" max="9" width="24" customWidth="1"/>
    <col min="10" max="10" width="28" customWidth="1"/>
    <col min="11" max="11" width="12" customWidth="1"/>
    <col min="12" max="12" width="25" customWidth="1"/>
    <col min="13" max="13" width="32.5" customWidth="1"/>
    <col min="14" max="14" width="24" customWidth="1"/>
    <col min="15" max="15" width="19" customWidth="1"/>
    <col min="16" max="16" width="13" customWidth="1"/>
    <col min="17" max="17" width="14" customWidth="1"/>
    <col min="18" max="18" width="17" customWidth="1"/>
    <col min="19" max="19" width="21" customWidth="1"/>
    <col min="20" max="20" width="19" customWidth="1"/>
    <col min="21" max="21" width="12" customWidth="1"/>
    <col min="22" max="22" width="33" customWidth="1"/>
    <col min="23" max="24" width="24" customWidth="1"/>
    <col min="25" max="25" width="25" customWidth="1"/>
    <col min="26" max="26" width="23" customWidth="1"/>
    <col min="27" max="27" width="11" customWidth="1"/>
  </cols>
  <sheetData>
    <row r="1" spans="1:29">
      <c r="B1" s="72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C1" s="72" t="s">
        <v>1</v>
      </c>
    </row>
    <row r="2" spans="1:29">
      <c r="A2" s="4" t="s">
        <v>61</v>
      </c>
      <c r="B2" s="4" t="s">
        <v>62</v>
      </c>
      <c r="C2" s="4" t="s">
        <v>969</v>
      </c>
      <c r="D2" s="4" t="s">
        <v>970</v>
      </c>
      <c r="E2" s="4" t="s">
        <v>971</v>
      </c>
      <c r="F2" s="4" t="s">
        <v>972</v>
      </c>
      <c r="G2" s="4" t="s">
        <v>973</v>
      </c>
      <c r="H2" s="4" t="s">
        <v>974</v>
      </c>
      <c r="I2" s="4" t="s">
        <v>66</v>
      </c>
      <c r="J2" s="4" t="s">
        <v>975</v>
      </c>
      <c r="K2" s="4" t="s">
        <v>67</v>
      </c>
      <c r="L2" s="4" t="s">
        <v>976</v>
      </c>
      <c r="M2" s="4" t="s">
        <v>977</v>
      </c>
      <c r="N2" s="4" t="s">
        <v>104</v>
      </c>
      <c r="O2" s="4" t="s">
        <v>172</v>
      </c>
      <c r="P2" s="4" t="s">
        <v>899</v>
      </c>
      <c r="Q2" s="4" t="s">
        <v>71</v>
      </c>
      <c r="R2" s="4" t="s">
        <v>906</v>
      </c>
      <c r="S2" s="4" t="s">
        <v>907</v>
      </c>
      <c r="T2" s="4" t="s">
        <v>909</v>
      </c>
      <c r="U2" s="4" t="s">
        <v>73</v>
      </c>
      <c r="V2" s="4" t="s">
        <v>978</v>
      </c>
      <c r="W2" s="4" t="s">
        <v>75</v>
      </c>
      <c r="X2" s="4" t="s">
        <v>979</v>
      </c>
      <c r="Y2" s="4" t="s">
        <v>76</v>
      </c>
      <c r="Z2" s="4" t="s">
        <v>77</v>
      </c>
      <c r="AA2" s="4" t="s">
        <v>3</v>
      </c>
      <c r="AB2" s="72" t="s">
        <v>4</v>
      </c>
      <c r="AC2" s="72" t="s">
        <v>1</v>
      </c>
    </row>
    <row r="3" spans="1:29">
      <c r="A3" s="2" t="s">
        <v>78</v>
      </c>
      <c r="B3" s="2" t="s">
        <v>79</v>
      </c>
      <c r="C3" s="2" t="s">
        <v>980</v>
      </c>
      <c r="D3" s="24" t="s">
        <v>981</v>
      </c>
      <c r="E3" s="24" t="s">
        <v>194</v>
      </c>
      <c r="F3" s="2" t="s">
        <v>982</v>
      </c>
      <c r="G3" s="9">
        <v>50001080</v>
      </c>
      <c r="H3" s="2" t="s">
        <v>505</v>
      </c>
      <c r="I3" s="2" t="s">
        <v>983</v>
      </c>
      <c r="J3" s="2" t="s">
        <v>984</v>
      </c>
      <c r="K3" s="2" t="s">
        <v>83</v>
      </c>
      <c r="L3" s="2" t="s">
        <v>83</v>
      </c>
      <c r="M3" s="2" t="s">
        <v>1246</v>
      </c>
      <c r="N3" s="2" t="s">
        <v>83</v>
      </c>
      <c r="O3" s="2" t="s">
        <v>84</v>
      </c>
      <c r="P3" s="2" t="s">
        <v>985</v>
      </c>
      <c r="Q3" s="2" t="s">
        <v>87</v>
      </c>
      <c r="R3" s="2" t="s">
        <v>149</v>
      </c>
      <c r="S3" s="2" t="s">
        <v>919</v>
      </c>
      <c r="T3" s="2" t="s">
        <v>986</v>
      </c>
      <c r="U3" s="5">
        <v>1</v>
      </c>
      <c r="V3" s="5">
        <v>161.8888</v>
      </c>
      <c r="W3" s="5">
        <v>161.88888</v>
      </c>
      <c r="X3" s="6">
        <v>1.0000000000000001E-7</v>
      </c>
      <c r="Y3" s="6">
        <v>1.2570999999999999E-3</v>
      </c>
      <c r="Z3" s="6">
        <v>1.939E-4</v>
      </c>
      <c r="AA3" s="2" t="s">
        <v>3</v>
      </c>
      <c r="AB3" s="72" t="s">
        <v>4</v>
      </c>
      <c r="AC3" s="72" t="s">
        <v>1</v>
      </c>
    </row>
    <row r="4" spans="1:29">
      <c r="A4" s="2" t="s">
        <v>78</v>
      </c>
      <c r="B4" s="2" t="s">
        <v>79</v>
      </c>
      <c r="C4" s="2" t="s">
        <v>980</v>
      </c>
      <c r="D4" s="24" t="s">
        <v>1302</v>
      </c>
      <c r="E4" s="24" t="s">
        <v>194</v>
      </c>
      <c r="F4" s="2" t="s">
        <v>987</v>
      </c>
      <c r="G4" s="9">
        <v>62011770</v>
      </c>
      <c r="H4" s="2" t="s">
        <v>505</v>
      </c>
      <c r="I4" s="2" t="s">
        <v>988</v>
      </c>
      <c r="J4" s="2" t="s">
        <v>989</v>
      </c>
      <c r="K4" s="2" t="s">
        <v>83</v>
      </c>
      <c r="L4" s="2" t="s">
        <v>83</v>
      </c>
      <c r="M4" s="2" t="s">
        <v>990</v>
      </c>
      <c r="N4" s="2" t="s">
        <v>156</v>
      </c>
      <c r="O4" s="2" t="s">
        <v>84</v>
      </c>
      <c r="P4" s="22">
        <v>43465</v>
      </c>
      <c r="Q4" s="2" t="s">
        <v>91</v>
      </c>
      <c r="R4" s="2" t="s">
        <v>941</v>
      </c>
      <c r="S4" s="2" t="s">
        <v>919</v>
      </c>
      <c r="T4" s="2" t="s">
        <v>991</v>
      </c>
      <c r="U4" s="5">
        <v>3.681</v>
      </c>
      <c r="V4" s="5">
        <v>4.8999999999999998E-3</v>
      </c>
      <c r="W4" s="5">
        <v>1.84E-2</v>
      </c>
      <c r="X4" s="6">
        <v>0</v>
      </c>
      <c r="Y4" s="6">
        <v>1.0000000000000001E-7</v>
      </c>
      <c r="Z4" s="6">
        <v>0</v>
      </c>
      <c r="AA4" s="2" t="s">
        <v>3</v>
      </c>
      <c r="AB4" s="72" t="s">
        <v>4</v>
      </c>
      <c r="AC4" s="72" t="s">
        <v>1</v>
      </c>
    </row>
    <row r="5" spans="1:29">
      <c r="A5" s="2" t="s">
        <v>78</v>
      </c>
      <c r="B5" s="2" t="s">
        <v>79</v>
      </c>
      <c r="C5" s="2" t="s">
        <v>980</v>
      </c>
      <c r="D5" s="24" t="s">
        <v>992</v>
      </c>
      <c r="E5" s="24" t="s">
        <v>194</v>
      </c>
      <c r="F5" s="2" t="s">
        <v>993</v>
      </c>
      <c r="G5" s="9">
        <v>62010327</v>
      </c>
      <c r="H5" s="2" t="s">
        <v>505</v>
      </c>
      <c r="I5" s="2" t="s">
        <v>988</v>
      </c>
      <c r="J5" s="2" t="s">
        <v>984</v>
      </c>
      <c r="K5" s="2" t="s">
        <v>83</v>
      </c>
      <c r="L5" s="2" t="s">
        <v>83</v>
      </c>
      <c r="M5" s="2" t="s">
        <v>1246</v>
      </c>
      <c r="N5" s="2" t="s">
        <v>156</v>
      </c>
      <c r="O5" s="2" t="s">
        <v>84</v>
      </c>
      <c r="P5" s="2" t="s">
        <v>994</v>
      </c>
      <c r="Q5" s="2" t="s">
        <v>91</v>
      </c>
      <c r="R5" s="2" t="s">
        <v>149</v>
      </c>
      <c r="S5" s="2" t="s">
        <v>919</v>
      </c>
      <c r="T5" s="2" t="s">
        <v>920</v>
      </c>
      <c r="U5" s="5">
        <v>3.681</v>
      </c>
      <c r="V5" s="5">
        <v>74.676400000000001</v>
      </c>
      <c r="W5" s="5">
        <v>274.88405</v>
      </c>
      <c r="X5" s="6">
        <v>0</v>
      </c>
      <c r="Y5" s="6">
        <v>2.1345000000000001E-3</v>
      </c>
      <c r="Z5" s="6">
        <v>3.2930000000000004E-4</v>
      </c>
      <c r="AA5" s="2" t="s">
        <v>3</v>
      </c>
      <c r="AB5" s="72" t="s">
        <v>4</v>
      </c>
      <c r="AC5" s="72" t="s">
        <v>1</v>
      </c>
    </row>
    <row r="6" spans="1:29">
      <c r="A6" s="2" t="s">
        <v>78</v>
      </c>
      <c r="B6" s="2" t="s">
        <v>79</v>
      </c>
      <c r="C6" s="2" t="s">
        <v>995</v>
      </c>
      <c r="D6" s="24" t="s">
        <v>1303</v>
      </c>
      <c r="E6" s="24" t="s">
        <v>194</v>
      </c>
      <c r="F6" s="2" t="s">
        <v>996</v>
      </c>
      <c r="G6" s="9">
        <v>60416153</v>
      </c>
      <c r="H6" s="2" t="s">
        <v>505</v>
      </c>
      <c r="I6" s="2" t="s">
        <v>988</v>
      </c>
      <c r="J6" s="2" t="s">
        <v>984</v>
      </c>
      <c r="K6" s="2" t="s">
        <v>148</v>
      </c>
      <c r="L6" s="2" t="s">
        <v>997</v>
      </c>
      <c r="M6" s="2" t="s">
        <v>1247</v>
      </c>
      <c r="N6" s="2" t="s">
        <v>156</v>
      </c>
      <c r="O6" s="2" t="s">
        <v>866</v>
      </c>
      <c r="P6" s="2" t="s">
        <v>998</v>
      </c>
      <c r="Q6" s="2" t="s">
        <v>91</v>
      </c>
      <c r="R6" s="2" t="s">
        <v>149</v>
      </c>
      <c r="S6" s="2" t="s">
        <v>919</v>
      </c>
      <c r="T6" s="2" t="s">
        <v>991</v>
      </c>
      <c r="U6" s="5">
        <v>3.681</v>
      </c>
      <c r="V6" s="5">
        <v>20.860700000000001</v>
      </c>
      <c r="W6" s="5">
        <v>76.788470000000004</v>
      </c>
      <c r="X6" s="6">
        <v>0</v>
      </c>
      <c r="Y6" s="6">
        <v>5.9630000000000002E-4</v>
      </c>
      <c r="Z6" s="6">
        <v>9.2E-5</v>
      </c>
      <c r="AA6" s="2" t="s">
        <v>3</v>
      </c>
      <c r="AB6" s="72" t="s">
        <v>4</v>
      </c>
      <c r="AC6" s="72" t="s">
        <v>1</v>
      </c>
    </row>
    <row r="7" spans="1:29">
      <c r="A7" s="2" t="s">
        <v>78</v>
      </c>
      <c r="B7" s="2" t="s">
        <v>79</v>
      </c>
      <c r="C7" s="2" t="s">
        <v>999</v>
      </c>
      <c r="D7" s="24" t="s">
        <v>1304</v>
      </c>
      <c r="E7" s="24" t="s">
        <v>194</v>
      </c>
      <c r="F7" s="2" t="s">
        <v>1000</v>
      </c>
      <c r="G7" s="9">
        <v>62011226</v>
      </c>
      <c r="H7" s="2" t="s">
        <v>505</v>
      </c>
      <c r="I7" s="2" t="s">
        <v>988</v>
      </c>
      <c r="J7" s="2" t="s">
        <v>984</v>
      </c>
      <c r="K7" s="2" t="s">
        <v>148</v>
      </c>
      <c r="L7" s="2" t="s">
        <v>997</v>
      </c>
      <c r="M7" s="2" t="s">
        <v>1298</v>
      </c>
      <c r="N7" s="2" t="s">
        <v>156</v>
      </c>
      <c r="O7" s="2" t="s">
        <v>84</v>
      </c>
      <c r="P7" s="2" t="s">
        <v>1001</v>
      </c>
      <c r="Q7" s="2" t="s">
        <v>91</v>
      </c>
      <c r="R7" s="2" t="s">
        <v>941</v>
      </c>
      <c r="S7" s="2" t="s">
        <v>919</v>
      </c>
      <c r="T7" s="2" t="s">
        <v>991</v>
      </c>
      <c r="U7" s="5">
        <v>3.681</v>
      </c>
      <c r="V7" s="5">
        <v>2.9639000000000002</v>
      </c>
      <c r="W7" s="5">
        <v>10.91043</v>
      </c>
      <c r="X7" s="6">
        <v>0</v>
      </c>
      <c r="Y7" s="6">
        <v>8.4699999999999999E-5</v>
      </c>
      <c r="Z7" s="6">
        <v>1.31E-5</v>
      </c>
      <c r="AA7" s="2" t="s">
        <v>3</v>
      </c>
      <c r="AB7" s="72" t="s">
        <v>4</v>
      </c>
      <c r="AC7" s="72" t="s">
        <v>1</v>
      </c>
    </row>
    <row r="8" spans="1:29">
      <c r="A8" s="2" t="s">
        <v>78</v>
      </c>
      <c r="B8" s="2" t="s">
        <v>79</v>
      </c>
      <c r="C8" s="2" t="s">
        <v>995</v>
      </c>
      <c r="D8" s="24" t="s">
        <v>1304</v>
      </c>
      <c r="E8" s="24" t="s">
        <v>194</v>
      </c>
      <c r="F8" s="2" t="s">
        <v>1002</v>
      </c>
      <c r="G8" s="9">
        <v>62010699</v>
      </c>
      <c r="H8" s="2" t="s">
        <v>505</v>
      </c>
      <c r="I8" s="2" t="s">
        <v>988</v>
      </c>
      <c r="J8" s="2" t="s">
        <v>984</v>
      </c>
      <c r="K8" s="2" t="s">
        <v>148</v>
      </c>
      <c r="L8" s="2" t="s">
        <v>997</v>
      </c>
      <c r="M8" s="2" t="s">
        <v>1247</v>
      </c>
      <c r="N8" s="2" t="s">
        <v>156</v>
      </c>
      <c r="O8" s="2" t="s">
        <v>866</v>
      </c>
      <c r="P8" s="2" t="s">
        <v>1003</v>
      </c>
      <c r="Q8" s="2" t="s">
        <v>91</v>
      </c>
      <c r="R8" s="2" t="s">
        <v>149</v>
      </c>
      <c r="S8" s="2" t="s">
        <v>919</v>
      </c>
      <c r="T8" s="2" t="s">
        <v>920</v>
      </c>
      <c r="U8" s="5">
        <v>3.681</v>
      </c>
      <c r="V8" s="5">
        <v>106.4551</v>
      </c>
      <c r="W8" s="5">
        <v>391.86151000000001</v>
      </c>
      <c r="X8" s="6">
        <v>0</v>
      </c>
      <c r="Y8" s="6">
        <v>3.0428999999999999E-3</v>
      </c>
      <c r="Z8" s="6">
        <v>4.6940000000000003E-4</v>
      </c>
      <c r="AA8" s="2" t="s">
        <v>3</v>
      </c>
      <c r="AB8" s="72" t="s">
        <v>4</v>
      </c>
      <c r="AC8" s="72" t="s">
        <v>1</v>
      </c>
    </row>
    <row r="9" spans="1:29">
      <c r="A9" s="2" t="s">
        <v>78</v>
      </c>
      <c r="B9" s="2" t="s">
        <v>78</v>
      </c>
      <c r="C9" s="2" t="s">
        <v>1004</v>
      </c>
      <c r="D9" s="24" t="s">
        <v>1303</v>
      </c>
      <c r="E9" s="24" t="s">
        <v>194</v>
      </c>
      <c r="F9" s="2" t="s">
        <v>1006</v>
      </c>
      <c r="G9" s="9">
        <v>100987569</v>
      </c>
      <c r="H9" s="2" t="s">
        <v>505</v>
      </c>
      <c r="I9" s="2" t="s">
        <v>988</v>
      </c>
      <c r="J9" s="2" t="s">
        <v>989</v>
      </c>
      <c r="K9" s="2" t="s">
        <v>83</v>
      </c>
      <c r="L9" s="2" t="s">
        <v>83</v>
      </c>
      <c r="M9" s="2" t="s">
        <v>1248</v>
      </c>
      <c r="N9" s="2" t="s">
        <v>83</v>
      </c>
      <c r="O9" s="2" t="s">
        <v>84</v>
      </c>
      <c r="P9" s="2" t="s">
        <v>1007</v>
      </c>
      <c r="Q9" s="2" t="s">
        <v>87</v>
      </c>
      <c r="R9" s="2" t="s">
        <v>149</v>
      </c>
      <c r="S9" s="2" t="s">
        <v>919</v>
      </c>
      <c r="T9" s="2" t="s">
        <v>920</v>
      </c>
      <c r="U9" s="5">
        <v>1</v>
      </c>
      <c r="V9" s="5">
        <v>226.95330000000001</v>
      </c>
      <c r="W9" s="5">
        <v>226.95334</v>
      </c>
      <c r="X9" s="6">
        <v>2.9999999999999999E-7</v>
      </c>
      <c r="Y9" s="6">
        <v>1.7623000000000001E-3</v>
      </c>
      <c r="Z9" s="6">
        <v>2.7179999999999999E-4</v>
      </c>
      <c r="AA9" s="2" t="s">
        <v>3</v>
      </c>
      <c r="AB9" s="72" t="s">
        <v>4</v>
      </c>
      <c r="AC9" s="72" t="s">
        <v>1</v>
      </c>
    </row>
    <row r="10" spans="1:29">
      <c r="A10" s="2" t="s">
        <v>78</v>
      </c>
      <c r="B10" s="2" t="s">
        <v>78</v>
      </c>
      <c r="C10" s="2" t="s">
        <v>1004</v>
      </c>
      <c r="D10" s="24" t="s">
        <v>1303</v>
      </c>
      <c r="E10" s="24" t="s">
        <v>194</v>
      </c>
      <c r="F10" s="2" t="s">
        <v>1008</v>
      </c>
      <c r="G10" s="9">
        <v>100383074</v>
      </c>
      <c r="H10" s="2" t="s">
        <v>505</v>
      </c>
      <c r="I10" s="2" t="s">
        <v>988</v>
      </c>
      <c r="J10" s="2" t="s">
        <v>989</v>
      </c>
      <c r="K10" s="2" t="s">
        <v>83</v>
      </c>
      <c r="L10" s="2" t="s">
        <v>997</v>
      </c>
      <c r="M10" s="2" t="s">
        <v>1248</v>
      </c>
      <c r="N10" s="2" t="s">
        <v>83</v>
      </c>
      <c r="O10" s="2" t="s">
        <v>84</v>
      </c>
      <c r="P10" s="2" t="s">
        <v>1009</v>
      </c>
      <c r="Q10" s="2" t="s">
        <v>87</v>
      </c>
      <c r="R10" s="2" t="s">
        <v>149</v>
      </c>
      <c r="S10" s="2" t="s">
        <v>919</v>
      </c>
      <c r="T10" s="2" t="s">
        <v>1010</v>
      </c>
      <c r="U10" s="5">
        <v>1</v>
      </c>
      <c r="V10" s="5">
        <v>127.2841</v>
      </c>
      <c r="W10" s="5">
        <v>127.28411</v>
      </c>
      <c r="X10" s="6">
        <v>1.0000000000000001E-7</v>
      </c>
      <c r="Y10" s="6">
        <v>9.8839999999999996E-4</v>
      </c>
      <c r="Z10" s="6">
        <v>1.5249999999999999E-4</v>
      </c>
      <c r="AA10" s="2" t="s">
        <v>3</v>
      </c>
      <c r="AB10" s="72" t="s">
        <v>4</v>
      </c>
      <c r="AC10" s="72" t="s">
        <v>1</v>
      </c>
    </row>
    <row r="11" spans="1:29">
      <c r="A11" s="2" t="s">
        <v>78</v>
      </c>
      <c r="B11" s="2" t="s">
        <v>94</v>
      </c>
      <c r="C11" s="2" t="s">
        <v>1004</v>
      </c>
      <c r="D11" s="24" t="s">
        <v>1304</v>
      </c>
      <c r="E11" s="24" t="s">
        <v>194</v>
      </c>
      <c r="F11" s="2" t="s">
        <v>1008</v>
      </c>
      <c r="G11" s="9">
        <v>100383074</v>
      </c>
      <c r="H11" s="2" t="s">
        <v>505</v>
      </c>
      <c r="I11" s="2" t="s">
        <v>988</v>
      </c>
      <c r="J11" s="2" t="s">
        <v>989</v>
      </c>
      <c r="K11" s="2" t="s">
        <v>83</v>
      </c>
      <c r="L11" s="2" t="s">
        <v>997</v>
      </c>
      <c r="M11" s="2" t="s">
        <v>1248</v>
      </c>
      <c r="N11" s="2" t="s">
        <v>83</v>
      </c>
      <c r="O11" s="2" t="s">
        <v>84</v>
      </c>
      <c r="P11" s="2" t="s">
        <v>1009</v>
      </c>
      <c r="Q11" s="2" t="s">
        <v>87</v>
      </c>
      <c r="R11" s="2" t="s">
        <v>149</v>
      </c>
      <c r="S11" s="2" t="s">
        <v>919</v>
      </c>
      <c r="T11" s="2" t="s">
        <v>1010</v>
      </c>
      <c r="U11" s="5">
        <v>1</v>
      </c>
      <c r="V11" s="5">
        <v>127.2841</v>
      </c>
      <c r="W11" s="5">
        <v>127.28411</v>
      </c>
      <c r="X11" s="6">
        <v>1.0000000000000001E-7</v>
      </c>
      <c r="Y11" s="6">
        <v>9.8839999999999996E-4</v>
      </c>
      <c r="Z11" s="6">
        <v>1.5249999999999999E-4</v>
      </c>
      <c r="AA11" s="2" t="s">
        <v>3</v>
      </c>
      <c r="AB11" s="72" t="s">
        <v>4</v>
      </c>
      <c r="AC11" s="72" t="s">
        <v>1</v>
      </c>
    </row>
    <row r="12" spans="1:29">
      <c r="A12" s="2" t="s">
        <v>78</v>
      </c>
      <c r="B12" s="2" t="s">
        <v>94</v>
      </c>
      <c r="C12" s="2" t="s">
        <v>1004</v>
      </c>
      <c r="D12" s="24" t="s">
        <v>1304</v>
      </c>
      <c r="E12" s="24" t="s">
        <v>194</v>
      </c>
      <c r="F12" s="2" t="s">
        <v>1011</v>
      </c>
      <c r="G12" s="9">
        <v>50006147</v>
      </c>
      <c r="H12" s="2" t="s">
        <v>505</v>
      </c>
      <c r="I12" s="2" t="s">
        <v>988</v>
      </c>
      <c r="J12" s="2" t="s">
        <v>989</v>
      </c>
      <c r="K12" s="2" t="s">
        <v>83</v>
      </c>
      <c r="L12" s="2" t="s">
        <v>997</v>
      </c>
      <c r="M12" s="2" t="s">
        <v>1248</v>
      </c>
      <c r="N12" s="2" t="s">
        <v>83</v>
      </c>
      <c r="O12" s="2" t="s">
        <v>84</v>
      </c>
      <c r="P12" s="28">
        <v>43487</v>
      </c>
      <c r="Q12" s="2" t="s">
        <v>87</v>
      </c>
      <c r="R12" s="2" t="s">
        <v>149</v>
      </c>
      <c r="S12" s="2" t="s">
        <v>919</v>
      </c>
      <c r="T12" s="2" t="s">
        <v>920</v>
      </c>
      <c r="U12" s="5">
        <v>1</v>
      </c>
      <c r="V12" s="5">
        <v>75.360900000000001</v>
      </c>
      <c r="W12" s="5">
        <v>75.360910000000004</v>
      </c>
      <c r="X12" s="6">
        <v>1.01E-5</v>
      </c>
      <c r="Y12" s="6">
        <v>5.8520000000000002E-4</v>
      </c>
      <c r="Z12" s="6">
        <v>9.0299999999999999E-5</v>
      </c>
      <c r="AA12" s="2" t="s">
        <v>3</v>
      </c>
      <c r="AB12" s="72" t="s">
        <v>4</v>
      </c>
      <c r="AC12" s="72" t="s">
        <v>1</v>
      </c>
    </row>
    <row r="13" spans="1:29">
      <c r="A13" s="2" t="s">
        <v>78</v>
      </c>
      <c r="B13" s="2" t="s">
        <v>94</v>
      </c>
      <c r="C13" s="2" t="s">
        <v>999</v>
      </c>
      <c r="D13" s="24" t="s">
        <v>1303</v>
      </c>
      <c r="E13" s="24" t="s">
        <v>194</v>
      </c>
      <c r="F13" s="2" t="s">
        <v>1000</v>
      </c>
      <c r="G13" s="9">
        <v>62011226</v>
      </c>
      <c r="H13" s="2" t="s">
        <v>505</v>
      </c>
      <c r="I13" s="2" t="s">
        <v>988</v>
      </c>
      <c r="J13" s="2" t="s">
        <v>984</v>
      </c>
      <c r="K13" s="2" t="s">
        <v>148</v>
      </c>
      <c r="L13" s="2" t="s">
        <v>997</v>
      </c>
      <c r="M13" s="2" t="s">
        <v>1298</v>
      </c>
      <c r="N13" s="2" t="s">
        <v>156</v>
      </c>
      <c r="O13" s="2" t="s">
        <v>84</v>
      </c>
      <c r="P13" s="2" t="s">
        <v>1001</v>
      </c>
      <c r="Q13" s="2" t="s">
        <v>91</v>
      </c>
      <c r="R13" s="2" t="s">
        <v>941</v>
      </c>
      <c r="S13" s="2" t="s">
        <v>919</v>
      </c>
      <c r="T13" s="2" t="s">
        <v>991</v>
      </c>
      <c r="U13" s="5">
        <v>3.681</v>
      </c>
      <c r="V13" s="5">
        <v>1.1740999999999999</v>
      </c>
      <c r="W13" s="5">
        <v>4.3222100000000001</v>
      </c>
      <c r="X13" s="6">
        <v>0</v>
      </c>
      <c r="Y13" s="6">
        <v>3.3600000000000004E-5</v>
      </c>
      <c r="Z13" s="6">
        <v>5.1999999999999993E-6</v>
      </c>
      <c r="AA13" s="2" t="s">
        <v>3</v>
      </c>
      <c r="AB13" s="72" t="s">
        <v>4</v>
      </c>
      <c r="AC13" s="72" t="s">
        <v>1</v>
      </c>
    </row>
    <row r="14" spans="1:29">
      <c r="A14" s="2" t="s">
        <v>78</v>
      </c>
      <c r="B14" s="2" t="s">
        <v>96</v>
      </c>
      <c r="C14" s="2" t="s">
        <v>1004</v>
      </c>
      <c r="D14" s="24" t="s">
        <v>1303</v>
      </c>
      <c r="E14" s="24" t="s">
        <v>194</v>
      </c>
      <c r="F14" s="2" t="s">
        <v>1008</v>
      </c>
      <c r="G14" s="9">
        <v>100383074</v>
      </c>
      <c r="H14" s="2" t="s">
        <v>505</v>
      </c>
      <c r="I14" s="2" t="s">
        <v>988</v>
      </c>
      <c r="J14" s="2" t="s">
        <v>989</v>
      </c>
      <c r="K14" s="2" t="s">
        <v>83</v>
      </c>
      <c r="L14" s="2" t="s">
        <v>997</v>
      </c>
      <c r="M14" s="2" t="s">
        <v>1248</v>
      </c>
      <c r="N14" s="2" t="s">
        <v>83</v>
      </c>
      <c r="O14" s="2" t="s">
        <v>84</v>
      </c>
      <c r="P14" s="2" t="s">
        <v>1012</v>
      </c>
      <c r="Q14" s="2" t="s">
        <v>87</v>
      </c>
      <c r="R14" s="2" t="s">
        <v>149</v>
      </c>
      <c r="S14" s="2" t="s">
        <v>919</v>
      </c>
      <c r="T14" s="2" t="s">
        <v>1010</v>
      </c>
      <c r="U14" s="5">
        <v>1</v>
      </c>
      <c r="V14" s="5">
        <v>1272.8005000000001</v>
      </c>
      <c r="W14" s="5">
        <v>1272.80054</v>
      </c>
      <c r="X14" s="6">
        <v>9.9999999999999995E-7</v>
      </c>
      <c r="Y14" s="6">
        <v>9.8834999999999999E-3</v>
      </c>
      <c r="Z14" s="6">
        <v>1.5246000000000001E-3</v>
      </c>
      <c r="AA14" s="2" t="s">
        <v>3</v>
      </c>
      <c r="AB14" s="72" t="s">
        <v>4</v>
      </c>
      <c r="AC14" s="72" t="s">
        <v>1</v>
      </c>
    </row>
    <row r="15" spans="1:29">
      <c r="A15" s="2" t="s">
        <v>78</v>
      </c>
      <c r="B15" s="2" t="s">
        <v>96</v>
      </c>
      <c r="C15" s="2" t="s">
        <v>1004</v>
      </c>
      <c r="D15" s="24" t="s">
        <v>1303</v>
      </c>
      <c r="E15" s="24" t="s">
        <v>194</v>
      </c>
      <c r="F15" s="2" t="s">
        <v>1006</v>
      </c>
      <c r="G15" s="9">
        <v>100987569</v>
      </c>
      <c r="H15" s="2" t="s">
        <v>505</v>
      </c>
      <c r="I15" s="2" t="s">
        <v>988</v>
      </c>
      <c r="J15" s="2" t="s">
        <v>989</v>
      </c>
      <c r="K15" s="2" t="s">
        <v>83</v>
      </c>
      <c r="L15" s="2" t="s">
        <v>83</v>
      </c>
      <c r="M15" s="2" t="s">
        <v>1248</v>
      </c>
      <c r="N15" s="2" t="s">
        <v>83</v>
      </c>
      <c r="O15" s="2" t="s">
        <v>84</v>
      </c>
      <c r="P15" s="2" t="s">
        <v>1013</v>
      </c>
      <c r="Q15" s="2" t="s">
        <v>87</v>
      </c>
      <c r="R15" s="2" t="s">
        <v>149</v>
      </c>
      <c r="S15" s="2" t="s">
        <v>919</v>
      </c>
      <c r="T15" s="2" t="s">
        <v>920</v>
      </c>
      <c r="U15" s="5">
        <v>1</v>
      </c>
      <c r="V15" s="5">
        <v>697.35360000000003</v>
      </c>
      <c r="W15" s="5">
        <v>697.35366999999997</v>
      </c>
      <c r="X15" s="6">
        <v>9.9999999999999995E-7</v>
      </c>
      <c r="Y15" s="6">
        <v>5.4151000000000008E-3</v>
      </c>
      <c r="Z15" s="6">
        <v>8.3529999999999997E-4</v>
      </c>
      <c r="AA15" s="2" t="s">
        <v>3</v>
      </c>
      <c r="AB15" s="72" t="s">
        <v>4</v>
      </c>
      <c r="AC15" s="72" t="s">
        <v>1</v>
      </c>
    </row>
    <row r="16" spans="1:29">
      <c r="A16" s="2" t="s">
        <v>78</v>
      </c>
      <c r="B16" s="2" t="s">
        <v>96</v>
      </c>
      <c r="C16" s="2" t="s">
        <v>980</v>
      </c>
      <c r="D16" s="24" t="s">
        <v>981</v>
      </c>
      <c r="E16" s="24" t="s">
        <v>194</v>
      </c>
      <c r="F16" s="2" t="s">
        <v>982</v>
      </c>
      <c r="G16" s="9">
        <v>50001114</v>
      </c>
      <c r="H16" s="2" t="s">
        <v>505</v>
      </c>
      <c r="I16" s="2" t="s">
        <v>983</v>
      </c>
      <c r="J16" s="2" t="s">
        <v>984</v>
      </c>
      <c r="K16" s="2" t="s">
        <v>83</v>
      </c>
      <c r="L16" s="2" t="s">
        <v>83</v>
      </c>
      <c r="M16" s="2" t="s">
        <v>1246</v>
      </c>
      <c r="N16" s="2" t="s">
        <v>83</v>
      </c>
      <c r="O16" s="2" t="s">
        <v>84</v>
      </c>
      <c r="P16" s="2" t="s">
        <v>985</v>
      </c>
      <c r="Q16" s="2" t="s">
        <v>87</v>
      </c>
      <c r="R16" s="2" t="s">
        <v>149</v>
      </c>
      <c r="S16" s="2" t="s">
        <v>919</v>
      </c>
      <c r="T16" s="2" t="s">
        <v>986</v>
      </c>
      <c r="U16" s="5">
        <v>1</v>
      </c>
      <c r="V16" s="5">
        <v>485.79680000000002</v>
      </c>
      <c r="W16" s="5">
        <v>485.79687999999999</v>
      </c>
      <c r="X16" s="6">
        <v>2.9999999999999999E-7</v>
      </c>
      <c r="Y16" s="6">
        <v>3.7723000000000001E-3</v>
      </c>
      <c r="Z16" s="6">
        <v>5.819E-4</v>
      </c>
      <c r="AA16" s="2" t="s">
        <v>3</v>
      </c>
      <c r="AB16" s="72" t="s">
        <v>4</v>
      </c>
      <c r="AC16" s="72" t="s">
        <v>1</v>
      </c>
    </row>
    <row r="17" spans="1:29">
      <c r="A17" s="2" t="s">
        <v>78</v>
      </c>
      <c r="B17" s="2" t="s">
        <v>96</v>
      </c>
      <c r="C17" s="2" t="s">
        <v>1014</v>
      </c>
      <c r="D17" s="24" t="s">
        <v>1015</v>
      </c>
      <c r="E17" s="24" t="s">
        <v>194</v>
      </c>
      <c r="F17" s="2" t="s">
        <v>1016</v>
      </c>
      <c r="G17" s="9">
        <v>50000884</v>
      </c>
      <c r="H17" s="2" t="s">
        <v>505</v>
      </c>
      <c r="I17" s="2" t="s">
        <v>983</v>
      </c>
      <c r="J17" s="2" t="s">
        <v>984</v>
      </c>
      <c r="K17" s="2" t="s">
        <v>83</v>
      </c>
      <c r="L17" s="2" t="s">
        <v>83</v>
      </c>
      <c r="M17" s="2" t="s">
        <v>1249</v>
      </c>
      <c r="N17" s="2" t="s">
        <v>83</v>
      </c>
      <c r="O17" s="2" t="s">
        <v>84</v>
      </c>
      <c r="P17" s="2" t="s">
        <v>1017</v>
      </c>
      <c r="Q17" s="2" t="s">
        <v>87</v>
      </c>
      <c r="R17" s="2" t="s">
        <v>149</v>
      </c>
      <c r="S17" s="2" t="s">
        <v>919</v>
      </c>
      <c r="T17" s="2" t="s">
        <v>920</v>
      </c>
      <c r="U17" s="5">
        <v>1</v>
      </c>
      <c r="V17" s="5">
        <v>474.35820000000001</v>
      </c>
      <c r="W17" s="5">
        <v>474.35825</v>
      </c>
      <c r="X17" s="6">
        <v>2.241E-4</v>
      </c>
      <c r="Y17" s="6">
        <v>3.6835000000000001E-3</v>
      </c>
      <c r="Z17" s="6">
        <v>5.6820000000000004E-4</v>
      </c>
      <c r="AA17" s="2" t="s">
        <v>3</v>
      </c>
      <c r="AB17" s="72" t="s">
        <v>4</v>
      </c>
      <c r="AC17" s="72" t="s">
        <v>1</v>
      </c>
    </row>
    <row r="18" spans="1:29">
      <c r="A18" s="2" t="s">
        <v>78</v>
      </c>
      <c r="B18" s="2" t="s">
        <v>96</v>
      </c>
      <c r="C18" s="2" t="s">
        <v>1018</v>
      </c>
      <c r="D18" s="24" t="s">
        <v>1305</v>
      </c>
      <c r="E18" s="24" t="s">
        <v>194</v>
      </c>
      <c r="F18" s="2" t="s">
        <v>1019</v>
      </c>
      <c r="G18" s="9">
        <v>50001023</v>
      </c>
      <c r="H18" s="2" t="s">
        <v>505</v>
      </c>
      <c r="I18" s="2" t="s">
        <v>1020</v>
      </c>
      <c r="J18" s="2" t="s">
        <v>1021</v>
      </c>
      <c r="K18" s="2" t="s">
        <v>83</v>
      </c>
      <c r="L18" s="2" t="s">
        <v>997</v>
      </c>
      <c r="M18" s="2" t="s">
        <v>1250</v>
      </c>
      <c r="N18" s="2" t="s">
        <v>83</v>
      </c>
      <c r="O18" s="2" t="s">
        <v>84</v>
      </c>
      <c r="P18" s="2" t="s">
        <v>1022</v>
      </c>
      <c r="Q18" s="2" t="s">
        <v>87</v>
      </c>
      <c r="R18" s="2" t="s">
        <v>941</v>
      </c>
      <c r="S18" s="2" t="s">
        <v>919</v>
      </c>
      <c r="T18" s="2" t="s">
        <v>920</v>
      </c>
      <c r="U18" s="5">
        <v>1</v>
      </c>
      <c r="V18" s="5">
        <v>319.4205</v>
      </c>
      <c r="W18" s="5">
        <v>319.4205</v>
      </c>
      <c r="X18" s="6">
        <v>1.5209999999999998E-4</v>
      </c>
      <c r="Y18" s="6">
        <v>2.4803E-3</v>
      </c>
      <c r="Z18" s="6">
        <v>3.8260000000000003E-4</v>
      </c>
      <c r="AA18" s="2" t="s">
        <v>3</v>
      </c>
      <c r="AB18" s="72" t="s">
        <v>4</v>
      </c>
      <c r="AC18" s="72" t="s">
        <v>1</v>
      </c>
    </row>
    <row r="19" spans="1:29">
      <c r="A19" s="2" t="s">
        <v>78</v>
      </c>
      <c r="B19" s="2" t="s">
        <v>96</v>
      </c>
      <c r="C19" s="2" t="s">
        <v>1004</v>
      </c>
      <c r="D19" s="24" t="s">
        <v>1005</v>
      </c>
      <c r="E19" s="24" t="s">
        <v>194</v>
      </c>
      <c r="F19" s="2" t="s">
        <v>1023</v>
      </c>
      <c r="G19" s="9">
        <v>50003037</v>
      </c>
      <c r="H19" s="2" t="s">
        <v>505</v>
      </c>
      <c r="I19" s="2" t="s">
        <v>988</v>
      </c>
      <c r="J19" s="2" t="s">
        <v>989</v>
      </c>
      <c r="K19" s="2" t="s">
        <v>83</v>
      </c>
      <c r="L19" s="2" t="s">
        <v>83</v>
      </c>
      <c r="M19" s="2" t="s">
        <v>1299</v>
      </c>
      <c r="N19" s="2" t="s">
        <v>83</v>
      </c>
      <c r="O19" s="2" t="s">
        <v>84</v>
      </c>
      <c r="P19" s="2" t="s">
        <v>1024</v>
      </c>
      <c r="Q19" s="2" t="s">
        <v>87</v>
      </c>
      <c r="R19" s="2" t="s">
        <v>149</v>
      </c>
      <c r="S19" s="2" t="s">
        <v>919</v>
      </c>
      <c r="T19" s="2" t="s">
        <v>920</v>
      </c>
      <c r="U19" s="5">
        <v>1</v>
      </c>
      <c r="V19" s="5">
        <v>969.59349999999995</v>
      </c>
      <c r="W19" s="5">
        <v>969.59353999999996</v>
      </c>
      <c r="X19" s="6">
        <v>1.4999999999999998E-6</v>
      </c>
      <c r="Y19" s="6">
        <v>7.5290000000000001E-3</v>
      </c>
      <c r="Z19" s="6">
        <v>1.1613999999999999E-3</v>
      </c>
      <c r="AA19" s="2" t="s">
        <v>3</v>
      </c>
      <c r="AB19" s="72" t="s">
        <v>4</v>
      </c>
      <c r="AC19" s="72" t="s">
        <v>1</v>
      </c>
    </row>
    <row r="20" spans="1:29">
      <c r="A20" s="2" t="s">
        <v>78</v>
      </c>
      <c r="B20" s="2" t="s">
        <v>96</v>
      </c>
      <c r="C20" s="2" t="s">
        <v>980</v>
      </c>
      <c r="D20" s="24" t="s">
        <v>992</v>
      </c>
      <c r="E20" s="24" t="s">
        <v>194</v>
      </c>
      <c r="F20" s="2" t="s">
        <v>993</v>
      </c>
      <c r="G20" s="9">
        <v>62010327</v>
      </c>
      <c r="H20" s="2" t="s">
        <v>505</v>
      </c>
      <c r="I20" s="2" t="s">
        <v>988</v>
      </c>
      <c r="J20" s="2" t="s">
        <v>984</v>
      </c>
      <c r="K20" s="2" t="s">
        <v>83</v>
      </c>
      <c r="L20" s="2" t="s">
        <v>83</v>
      </c>
      <c r="M20" s="2" t="s">
        <v>1246</v>
      </c>
      <c r="N20" s="2" t="s">
        <v>156</v>
      </c>
      <c r="O20" s="2" t="s">
        <v>84</v>
      </c>
      <c r="P20" s="2" t="s">
        <v>1025</v>
      </c>
      <c r="Q20" s="2" t="s">
        <v>91</v>
      </c>
      <c r="R20" s="2" t="s">
        <v>149</v>
      </c>
      <c r="S20" s="2" t="s">
        <v>919</v>
      </c>
      <c r="T20" s="2" t="s">
        <v>920</v>
      </c>
      <c r="U20" s="5">
        <v>3.681</v>
      </c>
      <c r="V20" s="5">
        <v>203.69800000000001</v>
      </c>
      <c r="W20" s="5">
        <v>749.81255999999996</v>
      </c>
      <c r="X20" s="6">
        <v>0</v>
      </c>
      <c r="Y20" s="6">
        <v>5.8224000000000001E-3</v>
      </c>
      <c r="Z20" s="6">
        <v>8.9809999999999998E-4</v>
      </c>
      <c r="AA20" s="2" t="s">
        <v>3</v>
      </c>
      <c r="AB20" s="72" t="s">
        <v>4</v>
      </c>
      <c r="AC20" s="72" t="s">
        <v>1</v>
      </c>
    </row>
    <row r="21" spans="1:29">
      <c r="A21" s="2" t="s">
        <v>78</v>
      </c>
      <c r="B21" s="2" t="s">
        <v>96</v>
      </c>
      <c r="C21" s="2" t="s">
        <v>1004</v>
      </c>
      <c r="D21" s="24" t="s">
        <v>1306</v>
      </c>
      <c r="E21" s="24" t="s">
        <v>194</v>
      </c>
      <c r="F21" s="2" t="s">
        <v>1011</v>
      </c>
      <c r="G21" s="9">
        <v>50006147</v>
      </c>
      <c r="H21" s="2" t="s">
        <v>505</v>
      </c>
      <c r="I21" s="2" t="s">
        <v>988</v>
      </c>
      <c r="J21" s="2" t="s">
        <v>989</v>
      </c>
      <c r="K21" s="2" t="s">
        <v>83</v>
      </c>
      <c r="L21" s="2" t="s">
        <v>997</v>
      </c>
      <c r="M21" s="2" t="s">
        <v>1248</v>
      </c>
      <c r="N21" s="2" t="s">
        <v>83</v>
      </c>
      <c r="O21" s="2" t="s">
        <v>84</v>
      </c>
      <c r="P21" s="11">
        <v>43962</v>
      </c>
      <c r="Q21" s="2" t="s">
        <v>87</v>
      </c>
      <c r="R21" s="2" t="s">
        <v>149</v>
      </c>
      <c r="S21" s="2" t="s">
        <v>919</v>
      </c>
      <c r="T21" s="2" t="s">
        <v>920</v>
      </c>
      <c r="U21" s="5">
        <v>1</v>
      </c>
      <c r="V21" s="5">
        <v>753.60910000000001</v>
      </c>
      <c r="W21" s="5">
        <v>753.60914000000002</v>
      </c>
      <c r="X21" s="6">
        <v>1.0179999999999999E-4</v>
      </c>
      <c r="Y21" s="6">
        <v>5.8519000000000002E-3</v>
      </c>
      <c r="Z21" s="6">
        <v>9.0269999999999999E-4</v>
      </c>
      <c r="AA21" s="2" t="s">
        <v>3</v>
      </c>
      <c r="AB21" s="72" t="s">
        <v>4</v>
      </c>
      <c r="AC21" s="72" t="s">
        <v>1</v>
      </c>
    </row>
    <row r="22" spans="1:29">
      <c r="A22" s="2" t="s">
        <v>78</v>
      </c>
      <c r="B22" s="2" t="s">
        <v>96</v>
      </c>
      <c r="C22" s="2" t="s">
        <v>980</v>
      </c>
      <c r="D22" s="24" t="s">
        <v>1302</v>
      </c>
      <c r="E22" s="24" t="s">
        <v>194</v>
      </c>
      <c r="F22" s="2" t="s">
        <v>987</v>
      </c>
      <c r="G22" s="9">
        <v>62011770</v>
      </c>
      <c r="H22" s="2" t="s">
        <v>505</v>
      </c>
      <c r="I22" s="2" t="s">
        <v>988</v>
      </c>
      <c r="J22" s="2" t="s">
        <v>989</v>
      </c>
      <c r="K22" s="2" t="s">
        <v>83</v>
      </c>
      <c r="L22" s="2" t="s">
        <v>83</v>
      </c>
      <c r="M22" s="2" t="s">
        <v>990</v>
      </c>
      <c r="N22" s="2" t="s">
        <v>156</v>
      </c>
      <c r="O22" s="2" t="s">
        <v>84</v>
      </c>
      <c r="P22" s="28">
        <v>43465</v>
      </c>
      <c r="Q22" s="2" t="s">
        <v>91</v>
      </c>
      <c r="R22" s="2" t="s">
        <v>941</v>
      </c>
      <c r="S22" s="2" t="s">
        <v>919</v>
      </c>
      <c r="T22" s="2" t="s">
        <v>991</v>
      </c>
      <c r="U22" s="5">
        <v>3.681</v>
      </c>
      <c r="V22" s="5">
        <v>4.8999999999999998E-3</v>
      </c>
      <c r="W22" s="5">
        <v>1.84E-2</v>
      </c>
      <c r="X22" s="6">
        <v>0</v>
      </c>
      <c r="Y22" s="6">
        <v>1.0000000000000001E-7</v>
      </c>
      <c r="Z22" s="6">
        <v>0</v>
      </c>
      <c r="AA22" s="2" t="s">
        <v>3</v>
      </c>
      <c r="AB22" s="72" t="s">
        <v>4</v>
      </c>
      <c r="AC22" s="72" t="s">
        <v>1</v>
      </c>
    </row>
    <row r="23" spans="1:29">
      <c r="A23" s="2" t="s">
        <v>78</v>
      </c>
      <c r="B23" s="2" t="s">
        <v>96</v>
      </c>
      <c r="C23" s="2" t="s">
        <v>1026</v>
      </c>
      <c r="D23" s="24" t="s">
        <v>1027</v>
      </c>
      <c r="E23" s="24" t="s">
        <v>194</v>
      </c>
      <c r="F23" s="2" t="s">
        <v>1028</v>
      </c>
      <c r="G23" s="9">
        <v>62016084</v>
      </c>
      <c r="H23" s="2" t="s">
        <v>505</v>
      </c>
      <c r="I23" s="2" t="s">
        <v>1020</v>
      </c>
      <c r="J23" s="2" t="s">
        <v>1029</v>
      </c>
      <c r="K23" s="2" t="s">
        <v>148</v>
      </c>
      <c r="L23" s="2" t="s">
        <v>83</v>
      </c>
      <c r="M23" s="2" t="s">
        <v>1251</v>
      </c>
      <c r="N23" s="2" t="s">
        <v>83</v>
      </c>
      <c r="O23" s="2" t="s">
        <v>84</v>
      </c>
      <c r="P23" s="2" t="s">
        <v>1030</v>
      </c>
      <c r="Q23" s="2" t="s">
        <v>91</v>
      </c>
      <c r="R23" s="2" t="s">
        <v>941</v>
      </c>
      <c r="S23" s="2" t="s">
        <v>919</v>
      </c>
      <c r="T23" s="2" t="s">
        <v>920</v>
      </c>
      <c r="U23" s="5">
        <v>3.681</v>
      </c>
      <c r="V23" s="5">
        <v>267.44589999999999</v>
      </c>
      <c r="W23" s="5">
        <v>984.46852000000001</v>
      </c>
      <c r="X23" s="6">
        <v>0</v>
      </c>
      <c r="Y23" s="6">
        <v>7.6444999999999994E-3</v>
      </c>
      <c r="Z23" s="6">
        <v>1.1792E-3</v>
      </c>
      <c r="AA23" s="2" t="s">
        <v>3</v>
      </c>
      <c r="AB23" s="72" t="s">
        <v>4</v>
      </c>
      <c r="AC23" s="72" t="s">
        <v>1</v>
      </c>
    </row>
    <row r="24" spans="1:29" ht="15">
      <c r="A24" s="2" t="s">
        <v>78</v>
      </c>
      <c r="B24" s="2" t="s">
        <v>96</v>
      </c>
      <c r="C24" s="2" t="s">
        <v>999</v>
      </c>
      <c r="D24" s="24" t="s">
        <v>1307</v>
      </c>
      <c r="E24" s="24" t="s">
        <v>194</v>
      </c>
      <c r="F24" s="2" t="s">
        <v>1000</v>
      </c>
      <c r="G24" s="9">
        <v>62011226</v>
      </c>
      <c r="H24" s="2" t="s">
        <v>505</v>
      </c>
      <c r="I24" s="2" t="s">
        <v>988</v>
      </c>
      <c r="J24" s="2" t="s">
        <v>984</v>
      </c>
      <c r="K24" s="2" t="s">
        <v>148</v>
      </c>
      <c r="L24" s="2" t="s">
        <v>997</v>
      </c>
      <c r="M24" s="2" t="s">
        <v>1300</v>
      </c>
      <c r="N24" s="2" t="s">
        <v>156</v>
      </c>
      <c r="O24" s="2" t="s">
        <v>84</v>
      </c>
      <c r="P24" s="2" t="s">
        <v>1031</v>
      </c>
      <c r="Q24" s="2" t="s">
        <v>91</v>
      </c>
      <c r="R24" s="2" t="s">
        <v>941</v>
      </c>
      <c r="S24" s="2" t="s">
        <v>919</v>
      </c>
      <c r="T24" s="2" t="s">
        <v>991</v>
      </c>
      <c r="U24" s="5">
        <v>3.681</v>
      </c>
      <c r="V24" s="5">
        <v>8.1623000000000001</v>
      </c>
      <c r="W24" s="5">
        <v>30.045660000000002</v>
      </c>
      <c r="X24" s="6">
        <v>0</v>
      </c>
      <c r="Y24" s="6">
        <v>2.3330000000000001E-4</v>
      </c>
      <c r="Z24" s="6">
        <v>3.6000000000000001E-5</v>
      </c>
      <c r="AA24" s="2" t="s">
        <v>3</v>
      </c>
      <c r="AB24" s="72" t="s">
        <v>4</v>
      </c>
      <c r="AC24" s="72" t="s">
        <v>1</v>
      </c>
    </row>
    <row r="25" spans="1:29">
      <c r="A25" s="2" t="s">
        <v>78</v>
      </c>
      <c r="B25" s="2" t="s">
        <v>96</v>
      </c>
      <c r="C25" s="2" t="s">
        <v>995</v>
      </c>
      <c r="D25" s="24" t="s">
        <v>1304</v>
      </c>
      <c r="E25" s="24" t="s">
        <v>194</v>
      </c>
      <c r="F25" s="2" t="s">
        <v>1002</v>
      </c>
      <c r="G25" s="9">
        <v>62010699</v>
      </c>
      <c r="H25" s="2" t="s">
        <v>505</v>
      </c>
      <c r="I25" s="2" t="s">
        <v>988</v>
      </c>
      <c r="J25" s="2" t="s">
        <v>984</v>
      </c>
      <c r="K25" s="2" t="s">
        <v>148</v>
      </c>
      <c r="L25" s="2" t="s">
        <v>997</v>
      </c>
      <c r="M25" s="2" t="s">
        <v>1247</v>
      </c>
      <c r="N25" s="2" t="s">
        <v>156</v>
      </c>
      <c r="O25" s="2" t="s">
        <v>866</v>
      </c>
      <c r="P25" s="2" t="s">
        <v>1032</v>
      </c>
      <c r="Q25" s="2" t="s">
        <v>91</v>
      </c>
      <c r="R25" s="2" t="s">
        <v>149</v>
      </c>
      <c r="S25" s="2" t="s">
        <v>919</v>
      </c>
      <c r="T25" s="2" t="s">
        <v>920</v>
      </c>
      <c r="U25" s="5">
        <v>3.681</v>
      </c>
      <c r="V25" s="5">
        <v>294.47739999999999</v>
      </c>
      <c r="W25" s="5">
        <v>1083.9715799999999</v>
      </c>
      <c r="X25" s="6">
        <v>0</v>
      </c>
      <c r="Y25" s="6">
        <v>8.4171999999999997E-3</v>
      </c>
      <c r="Z25" s="6">
        <v>1.2984000000000001E-3</v>
      </c>
      <c r="AA25" s="2" t="s">
        <v>3</v>
      </c>
      <c r="AB25" s="72" t="s">
        <v>4</v>
      </c>
      <c r="AC25" s="72" t="s">
        <v>1</v>
      </c>
    </row>
    <row r="26" spans="1:29">
      <c r="A26" s="2" t="s">
        <v>78</v>
      </c>
      <c r="B26" s="2" t="s">
        <v>96</v>
      </c>
      <c r="C26" s="2" t="s">
        <v>1033</v>
      </c>
      <c r="D26" s="24" t="s">
        <v>1308</v>
      </c>
      <c r="E26" s="24" t="s">
        <v>1309</v>
      </c>
      <c r="F26" s="2" t="s">
        <v>1034</v>
      </c>
      <c r="G26" s="9">
        <v>62009766</v>
      </c>
      <c r="H26" s="2" t="s">
        <v>505</v>
      </c>
      <c r="I26" s="2" t="s">
        <v>1020</v>
      </c>
      <c r="J26" s="2" t="s">
        <v>1035</v>
      </c>
      <c r="K26" s="2" t="s">
        <v>148</v>
      </c>
      <c r="L26" s="2" t="s">
        <v>997</v>
      </c>
      <c r="M26" s="2" t="s">
        <v>1252</v>
      </c>
      <c r="N26" s="2" t="s">
        <v>156</v>
      </c>
      <c r="O26" s="2" t="s">
        <v>84</v>
      </c>
      <c r="P26" s="2" t="s">
        <v>1036</v>
      </c>
      <c r="Q26" s="2" t="s">
        <v>91</v>
      </c>
      <c r="R26" s="2" t="s">
        <v>941</v>
      </c>
      <c r="S26" s="2" t="s">
        <v>919</v>
      </c>
      <c r="T26" s="2" t="s">
        <v>991</v>
      </c>
      <c r="U26" s="5">
        <v>3.681</v>
      </c>
      <c r="V26" s="5">
        <v>175.14080000000001</v>
      </c>
      <c r="W26" s="5">
        <v>644.69353000000001</v>
      </c>
      <c r="X26" s="6">
        <v>0</v>
      </c>
      <c r="Y26" s="6">
        <v>5.0061000000000003E-3</v>
      </c>
      <c r="Z26" s="6">
        <v>7.7220000000000001E-4</v>
      </c>
      <c r="AA26" s="2" t="s">
        <v>3</v>
      </c>
      <c r="AB26" s="72" t="s">
        <v>4</v>
      </c>
      <c r="AC26" s="72" t="s">
        <v>1</v>
      </c>
    </row>
    <row r="27" spans="1:29" ht="21.75">
      <c r="A27" s="2" t="s">
        <v>78</v>
      </c>
      <c r="B27" s="2" t="s">
        <v>96</v>
      </c>
      <c r="C27" s="2" t="s">
        <v>1037</v>
      </c>
      <c r="D27" s="24" t="s">
        <v>1310</v>
      </c>
      <c r="E27" s="24" t="s">
        <v>194</v>
      </c>
      <c r="F27" s="2" t="s">
        <v>1038</v>
      </c>
      <c r="G27" s="9">
        <v>62007869</v>
      </c>
      <c r="H27" s="2" t="s">
        <v>505</v>
      </c>
      <c r="I27" s="2" t="s">
        <v>983</v>
      </c>
      <c r="J27" s="2" t="s">
        <v>1039</v>
      </c>
      <c r="K27" s="2" t="s">
        <v>148</v>
      </c>
      <c r="L27" s="2" t="s">
        <v>997</v>
      </c>
      <c r="M27" s="2" t="s">
        <v>1260</v>
      </c>
      <c r="N27" s="2" t="s">
        <v>156</v>
      </c>
      <c r="O27" s="2" t="s">
        <v>84</v>
      </c>
      <c r="P27" s="2" t="s">
        <v>940</v>
      </c>
      <c r="Q27" s="2" t="s">
        <v>91</v>
      </c>
      <c r="R27" s="2" t="s">
        <v>149</v>
      </c>
      <c r="S27" s="2" t="s">
        <v>919</v>
      </c>
      <c r="T27" s="2" t="s">
        <v>920</v>
      </c>
      <c r="U27" s="5">
        <v>3.681</v>
      </c>
      <c r="V27" s="5">
        <v>239.98490000000001</v>
      </c>
      <c r="W27" s="5">
        <v>883.38475000000005</v>
      </c>
      <c r="X27" s="6">
        <v>0</v>
      </c>
      <c r="Y27" s="6">
        <v>6.8596000000000004E-3</v>
      </c>
      <c r="Z27" s="6">
        <v>1.0581E-3</v>
      </c>
      <c r="AA27" s="2" t="s">
        <v>3</v>
      </c>
      <c r="AB27" s="72" t="s">
        <v>4</v>
      </c>
      <c r="AC27" s="72" t="s">
        <v>1</v>
      </c>
    </row>
    <row r="28" spans="1:29">
      <c r="A28" s="2" t="s">
        <v>78</v>
      </c>
      <c r="B28" s="2" t="s">
        <v>96</v>
      </c>
      <c r="C28" s="2" t="s">
        <v>1040</v>
      </c>
      <c r="D28" s="24" t="s">
        <v>1311</v>
      </c>
      <c r="E28" s="24" t="s">
        <v>194</v>
      </c>
      <c r="F28" s="2" t="s">
        <v>1041</v>
      </c>
      <c r="G28" s="9">
        <v>62002115</v>
      </c>
      <c r="H28" s="2" t="s">
        <v>505</v>
      </c>
      <c r="I28" s="2" t="s">
        <v>983</v>
      </c>
      <c r="J28" s="2" t="s">
        <v>1039</v>
      </c>
      <c r="K28" s="2" t="s">
        <v>148</v>
      </c>
      <c r="L28" s="2" t="s">
        <v>764</v>
      </c>
      <c r="M28" s="2" t="s">
        <v>1261</v>
      </c>
      <c r="N28" s="2" t="s">
        <v>764</v>
      </c>
      <c r="O28" s="2" t="s">
        <v>84</v>
      </c>
      <c r="P28" s="2" t="s">
        <v>1042</v>
      </c>
      <c r="Q28" s="2" t="s">
        <v>90</v>
      </c>
      <c r="R28" s="2" t="s">
        <v>941</v>
      </c>
      <c r="S28" s="2" t="s">
        <v>919</v>
      </c>
      <c r="T28" s="2" t="s">
        <v>991</v>
      </c>
      <c r="U28" s="5">
        <v>3.9790999999999999</v>
      </c>
      <c r="V28" s="5">
        <v>81.483800000000002</v>
      </c>
      <c r="W28" s="5">
        <v>324.23232999999999</v>
      </c>
      <c r="X28" s="6">
        <v>8.3430000000000006E-4</v>
      </c>
      <c r="Y28" s="6">
        <v>2.5176999999999999E-3</v>
      </c>
      <c r="Z28" s="6">
        <v>3.8840000000000001E-4</v>
      </c>
      <c r="AA28" s="2" t="s">
        <v>3</v>
      </c>
      <c r="AB28" s="72" t="s">
        <v>4</v>
      </c>
      <c r="AC28" s="72" t="s">
        <v>1</v>
      </c>
    </row>
    <row r="29" spans="1:29">
      <c r="A29" s="2" t="s">
        <v>78</v>
      </c>
      <c r="B29" s="2" t="s">
        <v>96</v>
      </c>
      <c r="C29" s="2" t="s">
        <v>1043</v>
      </c>
      <c r="D29" s="24" t="s">
        <v>1311</v>
      </c>
      <c r="E29" s="24" t="s">
        <v>194</v>
      </c>
      <c r="F29" s="2" t="s">
        <v>1044</v>
      </c>
      <c r="G29" s="9">
        <v>62002044</v>
      </c>
      <c r="H29" s="2" t="s">
        <v>505</v>
      </c>
      <c r="I29" s="2" t="s">
        <v>1020</v>
      </c>
      <c r="J29" s="2" t="s">
        <v>1039</v>
      </c>
      <c r="K29" s="2" t="s">
        <v>148</v>
      </c>
      <c r="L29" s="2" t="s">
        <v>156</v>
      </c>
      <c r="M29" s="2" t="s">
        <v>1262</v>
      </c>
      <c r="N29" s="2" t="s">
        <v>156</v>
      </c>
      <c r="O29" s="2" t="s">
        <v>84</v>
      </c>
      <c r="P29" s="2" t="s">
        <v>1045</v>
      </c>
      <c r="Q29" s="2" t="s">
        <v>91</v>
      </c>
      <c r="R29" s="2" t="s">
        <v>941</v>
      </c>
      <c r="S29" s="2" t="s">
        <v>919</v>
      </c>
      <c r="T29" s="2" t="s">
        <v>991</v>
      </c>
      <c r="U29" s="5">
        <v>3.681</v>
      </c>
      <c r="V29" s="5">
        <v>146.80930000000001</v>
      </c>
      <c r="W29" s="5">
        <v>540.40512000000001</v>
      </c>
      <c r="X29" s="6">
        <v>1.609E-3</v>
      </c>
      <c r="Y29" s="6">
        <v>4.1963E-3</v>
      </c>
      <c r="Z29" s="6">
        <v>6.4729999999999996E-4</v>
      </c>
      <c r="AA29" s="2" t="s">
        <v>3</v>
      </c>
      <c r="AB29" s="72" t="s">
        <v>4</v>
      </c>
      <c r="AC29" s="72" t="s">
        <v>1</v>
      </c>
    </row>
    <row r="30" spans="1:29">
      <c r="A30" s="2" t="s">
        <v>78</v>
      </c>
      <c r="B30" s="2" t="s">
        <v>96</v>
      </c>
      <c r="C30" s="2" t="s">
        <v>1046</v>
      </c>
      <c r="D30" s="24" t="s">
        <v>1312</v>
      </c>
      <c r="E30" s="24" t="s">
        <v>194</v>
      </c>
      <c r="F30" s="2" t="s">
        <v>1047</v>
      </c>
      <c r="G30" s="9">
        <v>62000073</v>
      </c>
      <c r="H30" s="2" t="s">
        <v>505</v>
      </c>
      <c r="I30" s="2" t="s">
        <v>983</v>
      </c>
      <c r="J30" s="2" t="s">
        <v>1039</v>
      </c>
      <c r="K30" s="2" t="s">
        <v>148</v>
      </c>
      <c r="L30" s="2" t="s">
        <v>156</v>
      </c>
      <c r="M30" s="2" t="s">
        <v>1263</v>
      </c>
      <c r="N30" s="2" t="s">
        <v>156</v>
      </c>
      <c r="O30" s="2" t="s">
        <v>84</v>
      </c>
      <c r="P30" s="2" t="s">
        <v>1048</v>
      </c>
      <c r="Q30" s="2" t="s">
        <v>91</v>
      </c>
      <c r="R30" s="2" t="s">
        <v>941</v>
      </c>
      <c r="S30" s="2" t="s">
        <v>919</v>
      </c>
      <c r="T30" s="2" t="s">
        <v>991</v>
      </c>
      <c r="U30" s="5">
        <v>3.681</v>
      </c>
      <c r="V30" s="5">
        <v>63.112900000000003</v>
      </c>
      <c r="W30" s="5">
        <v>232.31888000000001</v>
      </c>
      <c r="X30" s="6">
        <v>0</v>
      </c>
      <c r="Y30" s="6">
        <v>1.804E-3</v>
      </c>
      <c r="Z30" s="6">
        <v>2.7829999999999999E-4</v>
      </c>
      <c r="AA30" s="2" t="s">
        <v>3</v>
      </c>
      <c r="AB30" s="72" t="s">
        <v>4</v>
      </c>
      <c r="AC30" s="72" t="s">
        <v>1</v>
      </c>
    </row>
    <row r="31" spans="1:29">
      <c r="A31" s="2" t="s">
        <v>78</v>
      </c>
      <c r="B31" s="2" t="s">
        <v>96</v>
      </c>
      <c r="C31" s="2" t="s">
        <v>995</v>
      </c>
      <c r="D31" s="24" t="s">
        <v>1303</v>
      </c>
      <c r="E31" s="24" t="s">
        <v>194</v>
      </c>
      <c r="F31" s="2" t="s">
        <v>996</v>
      </c>
      <c r="G31" s="9">
        <v>60416153</v>
      </c>
      <c r="H31" s="2" t="s">
        <v>505</v>
      </c>
      <c r="I31" s="2" t="s">
        <v>988</v>
      </c>
      <c r="J31" s="2" t="s">
        <v>984</v>
      </c>
      <c r="K31" s="2" t="s">
        <v>148</v>
      </c>
      <c r="L31" s="2" t="s">
        <v>997</v>
      </c>
      <c r="M31" s="2" t="s">
        <v>1247</v>
      </c>
      <c r="N31" s="2" t="s">
        <v>156</v>
      </c>
      <c r="O31" s="2" t="s">
        <v>866</v>
      </c>
      <c r="P31" s="11">
        <v>43425</v>
      </c>
      <c r="Q31" s="2" t="s">
        <v>91</v>
      </c>
      <c r="R31" s="2" t="s">
        <v>149</v>
      </c>
      <c r="S31" s="2" t="s">
        <v>919</v>
      </c>
      <c r="T31" s="2" t="s">
        <v>991</v>
      </c>
      <c r="U31" s="5">
        <v>3.681</v>
      </c>
      <c r="V31" s="5">
        <v>56.989899999999999</v>
      </c>
      <c r="W31" s="5">
        <v>209.78013999999999</v>
      </c>
      <c r="X31" s="6">
        <v>0</v>
      </c>
      <c r="Y31" s="6">
        <v>1.6289999999999998E-3</v>
      </c>
      <c r="Z31" s="6">
        <v>2.5129999999999998E-4</v>
      </c>
      <c r="AA31" s="2" t="s">
        <v>3</v>
      </c>
      <c r="AB31" s="72" t="s">
        <v>4</v>
      </c>
      <c r="AC31" s="72" t="s">
        <v>1</v>
      </c>
    </row>
    <row r="32" spans="1:29" s="29" customFormat="1" ht="21.75">
      <c r="A32" s="33" t="s">
        <v>78</v>
      </c>
      <c r="B32" s="33" t="s">
        <v>96</v>
      </c>
      <c r="C32" s="33" t="s">
        <v>1049</v>
      </c>
      <c r="D32" s="33" t="s">
        <v>1313</v>
      </c>
      <c r="E32" s="33" t="s">
        <v>194</v>
      </c>
      <c r="F32" s="33" t="s">
        <v>1050</v>
      </c>
      <c r="G32" s="36">
        <v>62020243</v>
      </c>
      <c r="H32" s="33" t="s">
        <v>505</v>
      </c>
      <c r="I32" s="33" t="s">
        <v>1020</v>
      </c>
      <c r="J32" s="33" t="s">
        <v>984</v>
      </c>
      <c r="K32" s="33" t="s">
        <v>148</v>
      </c>
      <c r="L32" s="33" t="s">
        <v>997</v>
      </c>
      <c r="M32" s="33" t="s">
        <v>1264</v>
      </c>
      <c r="N32" s="33" t="s">
        <v>156</v>
      </c>
      <c r="O32" s="33" t="s">
        <v>84</v>
      </c>
      <c r="P32" s="33" t="s">
        <v>1051</v>
      </c>
      <c r="Q32" s="33" t="s">
        <v>91</v>
      </c>
      <c r="R32" s="33" t="s">
        <v>149</v>
      </c>
      <c r="S32" s="33" t="s">
        <v>919</v>
      </c>
      <c r="T32" s="33" t="s">
        <v>991</v>
      </c>
      <c r="U32" s="37">
        <v>3.681</v>
      </c>
      <c r="V32" s="37">
        <v>203.39750000000001</v>
      </c>
      <c r="W32" s="37">
        <v>748.70640000000003</v>
      </c>
      <c r="X32" s="38">
        <v>0</v>
      </c>
      <c r="Y32" s="38">
        <v>5.8138E-3</v>
      </c>
      <c r="Z32" s="38">
        <v>8.9680000000000001E-4</v>
      </c>
      <c r="AA32" s="33" t="s">
        <v>3</v>
      </c>
      <c r="AB32" s="72" t="s">
        <v>4</v>
      </c>
      <c r="AC32" s="72" t="s">
        <v>1</v>
      </c>
    </row>
    <row r="33" spans="1:29" s="29" customFormat="1">
      <c r="A33" s="33" t="s">
        <v>78</v>
      </c>
      <c r="B33" s="33" t="s">
        <v>98</v>
      </c>
      <c r="C33" s="33" t="s">
        <v>1052</v>
      </c>
      <c r="D33" s="33" t="s">
        <v>1053</v>
      </c>
      <c r="E33" s="33" t="s">
        <v>194</v>
      </c>
      <c r="F33" s="33" t="s">
        <v>1054</v>
      </c>
      <c r="G33" s="36">
        <v>100189521</v>
      </c>
      <c r="H33" s="33" t="s">
        <v>505</v>
      </c>
      <c r="I33" s="33" t="s">
        <v>1020</v>
      </c>
      <c r="J33" s="33" t="s">
        <v>989</v>
      </c>
      <c r="K33" s="33" t="s">
        <v>83</v>
      </c>
      <c r="L33" s="33" t="s">
        <v>83</v>
      </c>
      <c r="M33" s="33" t="s">
        <v>1253</v>
      </c>
      <c r="N33" s="33" t="s">
        <v>83</v>
      </c>
      <c r="O33" s="33" t="s">
        <v>84</v>
      </c>
      <c r="P33" s="33" t="s">
        <v>1055</v>
      </c>
      <c r="Q33" s="33" t="s">
        <v>87</v>
      </c>
      <c r="R33" s="33" t="s">
        <v>941</v>
      </c>
      <c r="S33" s="33" t="s">
        <v>919</v>
      </c>
      <c r="T33" s="33" t="s">
        <v>1010</v>
      </c>
      <c r="U33" s="37">
        <v>1</v>
      </c>
      <c r="V33" s="37">
        <v>869.33529999999996</v>
      </c>
      <c r="W33" s="37">
        <v>869.33538999999996</v>
      </c>
      <c r="X33" s="38">
        <v>2.0509999999999999E-3</v>
      </c>
      <c r="Y33" s="38">
        <v>6.7505000000000004E-3</v>
      </c>
      <c r="Z33" s="38">
        <v>1.0413E-3</v>
      </c>
      <c r="AA33" s="33" t="s">
        <v>3</v>
      </c>
      <c r="AB33" s="72" t="s">
        <v>4</v>
      </c>
      <c r="AC33" s="72" t="s">
        <v>1</v>
      </c>
    </row>
    <row r="34" spans="1:29" s="29" customFormat="1">
      <c r="A34" s="33" t="s">
        <v>78</v>
      </c>
      <c r="B34" s="33" t="s">
        <v>98</v>
      </c>
      <c r="C34" s="33" t="s">
        <v>1004</v>
      </c>
      <c r="D34" s="33" t="s">
        <v>1306</v>
      </c>
      <c r="E34" s="33" t="s">
        <v>194</v>
      </c>
      <c r="F34" s="33" t="s">
        <v>1008</v>
      </c>
      <c r="G34" s="36">
        <v>100383074</v>
      </c>
      <c r="H34" s="33" t="s">
        <v>505</v>
      </c>
      <c r="I34" s="33" t="s">
        <v>988</v>
      </c>
      <c r="J34" s="33" t="s">
        <v>989</v>
      </c>
      <c r="K34" s="33" t="s">
        <v>83</v>
      </c>
      <c r="L34" s="33" t="s">
        <v>997</v>
      </c>
      <c r="M34" s="33" t="s">
        <v>1248</v>
      </c>
      <c r="N34" s="33" t="s">
        <v>83</v>
      </c>
      <c r="O34" s="33" t="s">
        <v>84</v>
      </c>
      <c r="P34" s="33" t="s">
        <v>1009</v>
      </c>
      <c r="Q34" s="33" t="s">
        <v>87</v>
      </c>
      <c r="R34" s="33" t="s">
        <v>149</v>
      </c>
      <c r="S34" s="33" t="s">
        <v>919</v>
      </c>
      <c r="T34" s="33" t="s">
        <v>1010</v>
      </c>
      <c r="U34" s="37">
        <v>1</v>
      </c>
      <c r="V34" s="37">
        <v>4616.6208999999999</v>
      </c>
      <c r="W34" s="37">
        <v>4616.62093</v>
      </c>
      <c r="X34" s="38">
        <v>3.7000000000000002E-6</v>
      </c>
      <c r="Y34" s="38">
        <v>3.5848699999999997E-2</v>
      </c>
      <c r="Z34" s="38">
        <v>5.5298000000000005E-3</v>
      </c>
      <c r="AA34" s="33" t="s">
        <v>3</v>
      </c>
      <c r="AB34" s="72" t="s">
        <v>4</v>
      </c>
      <c r="AC34" s="72" t="s">
        <v>1</v>
      </c>
    </row>
    <row r="35" spans="1:29" s="29" customFormat="1">
      <c r="A35" s="33" t="s">
        <v>78</v>
      </c>
      <c r="B35" s="33" t="s">
        <v>98</v>
      </c>
      <c r="C35" s="33" t="s">
        <v>1056</v>
      </c>
      <c r="D35" s="33" t="s">
        <v>1314</v>
      </c>
      <c r="E35" s="33" t="s">
        <v>194</v>
      </c>
      <c r="F35" s="33" t="s">
        <v>1057</v>
      </c>
      <c r="G35" s="36">
        <v>100500131</v>
      </c>
      <c r="H35" s="33" t="s">
        <v>505</v>
      </c>
      <c r="I35" s="33" t="s">
        <v>988</v>
      </c>
      <c r="J35" s="33" t="s">
        <v>989</v>
      </c>
      <c r="K35" s="33" t="s">
        <v>83</v>
      </c>
      <c r="L35" s="33" t="s">
        <v>997</v>
      </c>
      <c r="M35" s="33" t="s">
        <v>1254</v>
      </c>
      <c r="N35" s="33" t="s">
        <v>83</v>
      </c>
      <c r="O35" s="33" t="s">
        <v>84</v>
      </c>
      <c r="P35" s="33" t="s">
        <v>1058</v>
      </c>
      <c r="Q35" s="33" t="s">
        <v>87</v>
      </c>
      <c r="R35" s="33" t="s">
        <v>149</v>
      </c>
      <c r="S35" s="33" t="s">
        <v>919</v>
      </c>
      <c r="T35" s="33" t="s">
        <v>1010</v>
      </c>
      <c r="U35" s="37">
        <v>1</v>
      </c>
      <c r="V35" s="37">
        <v>5383.4032999999999</v>
      </c>
      <c r="W35" s="37">
        <v>5383.4033200000003</v>
      </c>
      <c r="X35" s="38">
        <v>5.9000000000000003E-6</v>
      </c>
      <c r="Y35" s="38">
        <v>4.1802900000000004E-2</v>
      </c>
      <c r="Z35" s="38">
        <v>6.4483000000000006E-3</v>
      </c>
      <c r="AA35" s="33" t="s">
        <v>3</v>
      </c>
      <c r="AB35" s="72" t="s">
        <v>4</v>
      </c>
      <c r="AC35" s="72" t="s">
        <v>1</v>
      </c>
    </row>
    <row r="36" spans="1:29" s="29" customFormat="1">
      <c r="A36" s="33" t="s">
        <v>78</v>
      </c>
      <c r="B36" s="33" t="s">
        <v>98</v>
      </c>
      <c r="C36" s="33" t="s">
        <v>1004</v>
      </c>
      <c r="D36" s="33" t="s">
        <v>1005</v>
      </c>
      <c r="E36" s="33" t="s">
        <v>194</v>
      </c>
      <c r="F36" s="33" t="s">
        <v>1006</v>
      </c>
      <c r="G36" s="36">
        <v>100987569</v>
      </c>
      <c r="H36" s="33" t="s">
        <v>505</v>
      </c>
      <c r="I36" s="33" t="s">
        <v>988</v>
      </c>
      <c r="J36" s="33" t="s">
        <v>989</v>
      </c>
      <c r="K36" s="33" t="s">
        <v>83</v>
      </c>
      <c r="L36" s="33" t="s">
        <v>83</v>
      </c>
      <c r="M36" s="33" t="s">
        <v>1248</v>
      </c>
      <c r="N36" s="33" t="s">
        <v>83</v>
      </c>
      <c r="O36" s="33" t="s">
        <v>84</v>
      </c>
      <c r="P36" s="33" t="s">
        <v>1007</v>
      </c>
      <c r="Q36" s="33" t="s">
        <v>87</v>
      </c>
      <c r="R36" s="33" t="s">
        <v>149</v>
      </c>
      <c r="S36" s="33" t="s">
        <v>919</v>
      </c>
      <c r="T36" s="33" t="s">
        <v>920</v>
      </c>
      <c r="U36" s="37">
        <v>1</v>
      </c>
      <c r="V36" s="37">
        <v>1844.7512999999999</v>
      </c>
      <c r="W36" s="37">
        <v>1844.7512999999999</v>
      </c>
      <c r="X36" s="38">
        <v>2.7999999999999999E-6</v>
      </c>
      <c r="Y36" s="38">
        <v>1.43248E-2</v>
      </c>
      <c r="Z36" s="38">
        <v>2.2097000000000002E-3</v>
      </c>
      <c r="AA36" s="33" t="s">
        <v>3</v>
      </c>
      <c r="AB36" s="72" t="s">
        <v>4</v>
      </c>
      <c r="AC36" s="72" t="s">
        <v>1</v>
      </c>
    </row>
    <row r="37" spans="1:29" s="29" customFormat="1">
      <c r="A37" s="33" t="s">
        <v>78</v>
      </c>
      <c r="B37" s="33" t="s">
        <v>98</v>
      </c>
      <c r="C37" s="33" t="s">
        <v>1059</v>
      </c>
      <c r="D37" s="33" t="s">
        <v>1060</v>
      </c>
      <c r="E37" s="33" t="s">
        <v>194</v>
      </c>
      <c r="F37" s="33" t="s">
        <v>1061</v>
      </c>
      <c r="G37" s="36">
        <v>62010434</v>
      </c>
      <c r="H37" s="33" t="s">
        <v>505</v>
      </c>
      <c r="I37" s="33" t="s">
        <v>1020</v>
      </c>
      <c r="J37" s="33" t="s">
        <v>1035</v>
      </c>
      <c r="K37" s="33" t="s">
        <v>83</v>
      </c>
      <c r="L37" s="33" t="s">
        <v>83</v>
      </c>
      <c r="M37" s="33" t="s">
        <v>1255</v>
      </c>
      <c r="N37" s="33" t="s">
        <v>83</v>
      </c>
      <c r="O37" s="33" t="s">
        <v>84</v>
      </c>
      <c r="P37" s="33" t="s">
        <v>1032</v>
      </c>
      <c r="Q37" s="33" t="s">
        <v>91</v>
      </c>
      <c r="R37" s="33" t="s">
        <v>941</v>
      </c>
      <c r="S37" s="33" t="s">
        <v>919</v>
      </c>
      <c r="T37" s="33" t="s">
        <v>991</v>
      </c>
      <c r="U37" s="37">
        <v>3.681</v>
      </c>
      <c r="V37" s="37">
        <v>1099.3442</v>
      </c>
      <c r="W37" s="37">
        <v>4046.68613</v>
      </c>
      <c r="X37" s="38">
        <v>0</v>
      </c>
      <c r="Y37" s="38">
        <v>3.1423100000000002E-2</v>
      </c>
      <c r="Z37" s="38">
        <v>4.8471999999999994E-3</v>
      </c>
      <c r="AA37" s="33" t="s">
        <v>3</v>
      </c>
      <c r="AB37" s="72" t="s">
        <v>4</v>
      </c>
      <c r="AC37" s="72" t="s">
        <v>1</v>
      </c>
    </row>
    <row r="38" spans="1:29" s="29" customFormat="1">
      <c r="A38" s="33" t="s">
        <v>78</v>
      </c>
      <c r="B38" s="33" t="s">
        <v>98</v>
      </c>
      <c r="C38" s="33" t="s">
        <v>3</v>
      </c>
      <c r="D38" s="33" t="s">
        <v>901</v>
      </c>
      <c r="E38" s="33" t="s">
        <v>3</v>
      </c>
      <c r="F38" s="33" t="s">
        <v>993</v>
      </c>
      <c r="G38" s="36">
        <v>62010327</v>
      </c>
      <c r="H38" s="33" t="s">
        <v>505</v>
      </c>
      <c r="I38" s="33" t="s">
        <v>988</v>
      </c>
      <c r="J38" s="33" t="s">
        <v>984</v>
      </c>
      <c r="K38" s="33" t="s">
        <v>83</v>
      </c>
      <c r="L38" s="33" t="s">
        <v>83</v>
      </c>
      <c r="M38" s="33" t="s">
        <v>1246</v>
      </c>
      <c r="N38" s="33" t="s">
        <v>156</v>
      </c>
      <c r="O38" s="33" t="s">
        <v>84</v>
      </c>
      <c r="P38" s="33" t="s">
        <v>1062</v>
      </c>
      <c r="Q38" s="33" t="s">
        <v>91</v>
      </c>
      <c r="R38" s="33" t="s">
        <v>941</v>
      </c>
      <c r="S38" s="33" t="s">
        <v>919</v>
      </c>
      <c r="T38" s="33" t="s">
        <v>920</v>
      </c>
      <c r="U38" s="37">
        <v>3.681</v>
      </c>
      <c r="V38" s="37">
        <v>1178.5927999999999</v>
      </c>
      <c r="W38" s="37">
        <v>4338.4001600000001</v>
      </c>
      <c r="X38" s="38">
        <v>0</v>
      </c>
      <c r="Y38" s="38">
        <v>3.3688299999999997E-2</v>
      </c>
      <c r="Z38" s="38">
        <v>5.1966E-3</v>
      </c>
      <c r="AA38" s="33" t="s">
        <v>3</v>
      </c>
      <c r="AB38" s="72" t="s">
        <v>4</v>
      </c>
      <c r="AC38" s="72" t="s">
        <v>1</v>
      </c>
    </row>
    <row r="39" spans="1:29" s="29" customFormat="1">
      <c r="A39" s="33" t="s">
        <v>78</v>
      </c>
      <c r="B39" s="33" t="s">
        <v>98</v>
      </c>
      <c r="C39" s="33" t="s">
        <v>1063</v>
      </c>
      <c r="D39" s="33" t="s">
        <v>1315</v>
      </c>
      <c r="E39" s="33" t="s">
        <v>194</v>
      </c>
      <c r="F39" s="33" t="s">
        <v>1064</v>
      </c>
      <c r="G39" s="36">
        <v>62006150</v>
      </c>
      <c r="H39" s="33" t="s">
        <v>505</v>
      </c>
      <c r="I39" s="33" t="s">
        <v>1020</v>
      </c>
      <c r="J39" s="33" t="s">
        <v>1035</v>
      </c>
      <c r="K39" s="33" t="s">
        <v>83</v>
      </c>
      <c r="L39" s="33" t="s">
        <v>997</v>
      </c>
      <c r="M39" s="33" t="s">
        <v>1256</v>
      </c>
      <c r="N39" s="33" t="s">
        <v>156</v>
      </c>
      <c r="O39" s="33" t="s">
        <v>84</v>
      </c>
      <c r="P39" s="33" t="s">
        <v>1065</v>
      </c>
      <c r="Q39" s="33" t="s">
        <v>91</v>
      </c>
      <c r="R39" s="33" t="s">
        <v>941</v>
      </c>
      <c r="S39" s="33" t="s">
        <v>919</v>
      </c>
      <c r="T39" s="33" t="s">
        <v>920</v>
      </c>
      <c r="U39" s="37">
        <v>3.681</v>
      </c>
      <c r="V39" s="37">
        <v>538.62639999999999</v>
      </c>
      <c r="W39" s="37">
        <v>1982.68397</v>
      </c>
      <c r="X39" s="38">
        <v>0</v>
      </c>
      <c r="Y39" s="38">
        <v>1.5395799999999999E-2</v>
      </c>
      <c r="Z39" s="38">
        <v>2.3749000000000001E-3</v>
      </c>
      <c r="AA39" s="33" t="s">
        <v>3</v>
      </c>
      <c r="AB39" s="72" t="s">
        <v>4</v>
      </c>
      <c r="AC39" s="72" t="s">
        <v>1</v>
      </c>
    </row>
    <row r="40" spans="1:29" s="29" customFormat="1">
      <c r="A40" s="33" t="s">
        <v>78</v>
      </c>
      <c r="B40" s="33" t="s">
        <v>98</v>
      </c>
      <c r="C40" s="33" t="s">
        <v>1018</v>
      </c>
      <c r="D40" s="33" t="s">
        <v>1305</v>
      </c>
      <c r="E40" s="33" t="s">
        <v>194</v>
      </c>
      <c r="F40" s="33" t="s">
        <v>1019</v>
      </c>
      <c r="G40" s="36">
        <v>50001023</v>
      </c>
      <c r="H40" s="33" t="s">
        <v>505</v>
      </c>
      <c r="I40" s="33" t="s">
        <v>1020</v>
      </c>
      <c r="J40" s="33" t="s">
        <v>1021</v>
      </c>
      <c r="K40" s="33" t="s">
        <v>83</v>
      </c>
      <c r="L40" s="33" t="s">
        <v>997</v>
      </c>
      <c r="M40" s="33" t="s">
        <v>1250</v>
      </c>
      <c r="N40" s="33" t="s">
        <v>83</v>
      </c>
      <c r="O40" s="33" t="s">
        <v>84</v>
      </c>
      <c r="P40" s="33" t="s">
        <v>1066</v>
      </c>
      <c r="Q40" s="33" t="s">
        <v>87</v>
      </c>
      <c r="R40" s="33" t="s">
        <v>941</v>
      </c>
      <c r="S40" s="33" t="s">
        <v>919</v>
      </c>
      <c r="T40" s="33" t="s">
        <v>920</v>
      </c>
      <c r="U40" s="37">
        <v>1</v>
      </c>
      <c r="V40" s="37">
        <v>2235.9434999999999</v>
      </c>
      <c r="W40" s="37">
        <v>2235.9434999999999</v>
      </c>
      <c r="X40" s="38">
        <v>1.0652000000000001E-3</v>
      </c>
      <c r="Y40" s="38">
        <v>1.73624E-2</v>
      </c>
      <c r="Z40" s="38">
        <v>2.6781999999999999E-3</v>
      </c>
      <c r="AA40" s="33" t="s">
        <v>3</v>
      </c>
      <c r="AB40" s="72" t="s">
        <v>4</v>
      </c>
      <c r="AC40" s="72" t="s">
        <v>1</v>
      </c>
    </row>
    <row r="41" spans="1:29" s="29" customFormat="1">
      <c r="A41" s="33" t="s">
        <v>78</v>
      </c>
      <c r="B41" s="33" t="s">
        <v>98</v>
      </c>
      <c r="C41" s="33" t="s">
        <v>1014</v>
      </c>
      <c r="D41" s="33" t="s">
        <v>1015</v>
      </c>
      <c r="E41" s="33" t="s">
        <v>194</v>
      </c>
      <c r="F41" s="33" t="s">
        <v>1016</v>
      </c>
      <c r="G41" s="36">
        <v>50000884</v>
      </c>
      <c r="H41" s="33" t="s">
        <v>505</v>
      </c>
      <c r="I41" s="33" t="s">
        <v>983</v>
      </c>
      <c r="J41" s="33" t="s">
        <v>984</v>
      </c>
      <c r="K41" s="33" t="s">
        <v>83</v>
      </c>
      <c r="L41" s="33" t="s">
        <v>83</v>
      </c>
      <c r="M41" s="33" t="s">
        <v>1249</v>
      </c>
      <c r="N41" s="33" t="s">
        <v>83</v>
      </c>
      <c r="O41" s="33" t="s">
        <v>84</v>
      </c>
      <c r="P41" s="33" t="s">
        <v>1067</v>
      </c>
      <c r="Q41" s="33" t="s">
        <v>87</v>
      </c>
      <c r="R41" s="33" t="s">
        <v>149</v>
      </c>
      <c r="S41" s="33" t="s">
        <v>919</v>
      </c>
      <c r="T41" s="33" t="s">
        <v>920</v>
      </c>
      <c r="U41" s="37">
        <v>1</v>
      </c>
      <c r="V41" s="37">
        <v>2477.9922000000001</v>
      </c>
      <c r="W41" s="37">
        <v>2477.9922299999998</v>
      </c>
      <c r="X41" s="38">
        <v>1.1708000000000001E-3</v>
      </c>
      <c r="Y41" s="38">
        <v>1.9241999999999999E-2</v>
      </c>
      <c r="Z41" s="38">
        <v>2.9681999999999998E-3</v>
      </c>
      <c r="AA41" s="33" t="s">
        <v>3</v>
      </c>
      <c r="AB41" s="72" t="s">
        <v>4</v>
      </c>
      <c r="AC41" s="72" t="s">
        <v>1</v>
      </c>
    </row>
    <row r="42" spans="1:29" s="29" customFormat="1">
      <c r="A42" s="33" t="s">
        <v>78</v>
      </c>
      <c r="B42" s="33" t="s">
        <v>98</v>
      </c>
      <c r="C42" s="33" t="s">
        <v>980</v>
      </c>
      <c r="D42" s="33" t="s">
        <v>1302</v>
      </c>
      <c r="E42" s="33" t="s">
        <v>194</v>
      </c>
      <c r="F42" s="33" t="s">
        <v>987</v>
      </c>
      <c r="G42" s="36">
        <v>62011770</v>
      </c>
      <c r="H42" s="33" t="s">
        <v>505</v>
      </c>
      <c r="I42" s="33" t="s">
        <v>988</v>
      </c>
      <c r="J42" s="33" t="s">
        <v>989</v>
      </c>
      <c r="K42" s="33" t="s">
        <v>83</v>
      </c>
      <c r="L42" s="33" t="s">
        <v>83</v>
      </c>
      <c r="M42" s="33" t="s">
        <v>990</v>
      </c>
      <c r="N42" s="33" t="s">
        <v>156</v>
      </c>
      <c r="O42" s="33" t="s">
        <v>84</v>
      </c>
      <c r="P42" s="40">
        <v>43465</v>
      </c>
      <c r="Q42" s="33" t="s">
        <v>91</v>
      </c>
      <c r="R42" s="33" t="s">
        <v>941</v>
      </c>
      <c r="S42" s="33" t="s">
        <v>919</v>
      </c>
      <c r="T42" s="33" t="s">
        <v>991</v>
      </c>
      <c r="U42" s="37">
        <v>3.681</v>
      </c>
      <c r="V42" s="37">
        <v>4.8999999999999998E-3</v>
      </c>
      <c r="W42" s="37">
        <v>1.84E-2</v>
      </c>
      <c r="X42" s="38">
        <v>0</v>
      </c>
      <c r="Y42" s="38">
        <v>1.0000000000000001E-7</v>
      </c>
      <c r="Z42" s="38">
        <v>0</v>
      </c>
      <c r="AA42" s="33" t="s">
        <v>3</v>
      </c>
      <c r="AB42" s="72" t="s">
        <v>4</v>
      </c>
      <c r="AC42" s="72" t="s">
        <v>1</v>
      </c>
    </row>
    <row r="43" spans="1:29" s="29" customFormat="1">
      <c r="A43" s="33" t="s">
        <v>78</v>
      </c>
      <c r="B43" s="33" t="s">
        <v>98</v>
      </c>
      <c r="C43" s="33" t="s">
        <v>1004</v>
      </c>
      <c r="D43" s="33" t="s">
        <v>1005</v>
      </c>
      <c r="E43" s="33" t="s">
        <v>194</v>
      </c>
      <c r="F43" s="33" t="s">
        <v>1023</v>
      </c>
      <c r="G43" s="36">
        <v>50003037</v>
      </c>
      <c r="H43" s="33" t="s">
        <v>505</v>
      </c>
      <c r="I43" s="33" t="s">
        <v>988</v>
      </c>
      <c r="J43" s="33" t="s">
        <v>989</v>
      </c>
      <c r="K43" s="33" t="s">
        <v>83</v>
      </c>
      <c r="L43" s="33" t="s">
        <v>83</v>
      </c>
      <c r="M43" s="33" t="s">
        <v>1299</v>
      </c>
      <c r="N43" s="33" t="s">
        <v>83</v>
      </c>
      <c r="O43" s="33" t="s">
        <v>84</v>
      </c>
      <c r="P43" s="41">
        <v>43487</v>
      </c>
      <c r="Q43" s="33" t="s">
        <v>87</v>
      </c>
      <c r="R43" s="33" t="s">
        <v>149</v>
      </c>
      <c r="S43" s="33" t="s">
        <v>919</v>
      </c>
      <c r="T43" s="33" t="s">
        <v>920</v>
      </c>
      <c r="U43" s="37">
        <v>1</v>
      </c>
      <c r="V43" s="37">
        <v>2891.4337999999998</v>
      </c>
      <c r="W43" s="37">
        <v>2891.43388</v>
      </c>
      <c r="X43" s="38">
        <v>4.4000000000000002E-6</v>
      </c>
      <c r="Y43" s="38">
        <v>2.2452399999999997E-2</v>
      </c>
      <c r="Z43" s="38">
        <v>3.4633999999999997E-3</v>
      </c>
      <c r="AA43" s="33" t="s">
        <v>3</v>
      </c>
      <c r="AB43" s="72" t="s">
        <v>4</v>
      </c>
      <c r="AC43" s="72" t="s">
        <v>1</v>
      </c>
    </row>
    <row r="44" spans="1:29" s="29" customFormat="1">
      <c r="A44" s="33" t="s">
        <v>78</v>
      </c>
      <c r="B44" s="33" t="s">
        <v>98</v>
      </c>
      <c r="C44" s="33" t="s">
        <v>980</v>
      </c>
      <c r="D44" s="33" t="s">
        <v>981</v>
      </c>
      <c r="E44" s="33" t="s">
        <v>194</v>
      </c>
      <c r="F44" s="33" t="s">
        <v>982</v>
      </c>
      <c r="G44" s="36">
        <v>50001114</v>
      </c>
      <c r="H44" s="33" t="s">
        <v>505</v>
      </c>
      <c r="I44" s="33" t="s">
        <v>983</v>
      </c>
      <c r="J44" s="33" t="s">
        <v>984</v>
      </c>
      <c r="K44" s="33" t="s">
        <v>83</v>
      </c>
      <c r="L44" s="33" t="s">
        <v>83</v>
      </c>
      <c r="M44" s="33" t="s">
        <v>1246</v>
      </c>
      <c r="N44" s="33" t="s">
        <v>83</v>
      </c>
      <c r="O44" s="33" t="s">
        <v>84</v>
      </c>
      <c r="P44" s="41">
        <v>43821</v>
      </c>
      <c r="Q44" s="33" t="s">
        <v>87</v>
      </c>
      <c r="R44" s="33" t="s">
        <v>149</v>
      </c>
      <c r="S44" s="33" t="s">
        <v>919</v>
      </c>
      <c r="T44" s="33" t="s">
        <v>986</v>
      </c>
      <c r="U44" s="37">
        <v>1</v>
      </c>
      <c r="V44" s="37">
        <v>2590.7429999999999</v>
      </c>
      <c r="W44" s="37">
        <v>2590.7430800000002</v>
      </c>
      <c r="X44" s="38">
        <v>1.7E-6</v>
      </c>
      <c r="Y44" s="38">
        <v>2.01175E-2</v>
      </c>
      <c r="Z44" s="38">
        <v>3.1032E-3</v>
      </c>
      <c r="AA44" s="33" t="s">
        <v>3</v>
      </c>
      <c r="AB44" s="72" t="s">
        <v>4</v>
      </c>
      <c r="AC44" s="72" t="s">
        <v>1</v>
      </c>
    </row>
    <row r="45" spans="1:29" s="29" customFormat="1">
      <c r="A45" s="33" t="s">
        <v>78</v>
      </c>
      <c r="B45" s="33" t="s">
        <v>98</v>
      </c>
      <c r="C45" s="33" t="s">
        <v>1004</v>
      </c>
      <c r="D45" s="33" t="s">
        <v>1306</v>
      </c>
      <c r="E45" s="33" t="s">
        <v>194</v>
      </c>
      <c r="F45" s="33" t="s">
        <v>1068</v>
      </c>
      <c r="G45" s="36">
        <v>50008002</v>
      </c>
      <c r="H45" s="33" t="s">
        <v>505</v>
      </c>
      <c r="I45" s="33" t="s">
        <v>988</v>
      </c>
      <c r="J45" s="33" t="s">
        <v>989</v>
      </c>
      <c r="K45" s="33" t="s">
        <v>83</v>
      </c>
      <c r="L45" s="33" t="s">
        <v>997</v>
      </c>
      <c r="M45" s="33" t="s">
        <v>1248</v>
      </c>
      <c r="N45" s="33" t="s">
        <v>83</v>
      </c>
      <c r="O45" s="33" t="s">
        <v>84</v>
      </c>
      <c r="P45" s="33" t="s">
        <v>1069</v>
      </c>
      <c r="Q45" s="33" t="s">
        <v>87</v>
      </c>
      <c r="R45" s="33" t="s">
        <v>149</v>
      </c>
      <c r="S45" s="33" t="s">
        <v>919</v>
      </c>
      <c r="T45" s="33" t="s">
        <v>920</v>
      </c>
      <c r="U45" s="37">
        <v>1</v>
      </c>
      <c r="V45" s="37">
        <v>4319.9105</v>
      </c>
      <c r="W45" s="37">
        <v>4319.91057</v>
      </c>
      <c r="X45" s="38">
        <v>7.4490000000000005E-4</v>
      </c>
      <c r="Y45" s="38">
        <v>3.3544700000000004E-2</v>
      </c>
      <c r="Z45" s="38">
        <v>5.1744E-3</v>
      </c>
      <c r="AA45" s="33" t="s">
        <v>3</v>
      </c>
      <c r="AB45" s="72" t="s">
        <v>4</v>
      </c>
      <c r="AC45" s="72" t="s">
        <v>1</v>
      </c>
    </row>
    <row r="46" spans="1:29" s="29" customFormat="1">
      <c r="A46" s="33" t="s">
        <v>78</v>
      </c>
      <c r="B46" s="33" t="s">
        <v>98</v>
      </c>
      <c r="C46" s="33" t="s">
        <v>1070</v>
      </c>
      <c r="D46" s="33" t="s">
        <v>901</v>
      </c>
      <c r="E46" s="33" t="s">
        <v>3</v>
      </c>
      <c r="F46" s="33" t="s">
        <v>1071</v>
      </c>
      <c r="G46" s="33" t="s">
        <v>1072</v>
      </c>
      <c r="H46" s="33" t="s">
        <v>183</v>
      </c>
      <c r="I46" s="33" t="s">
        <v>988</v>
      </c>
      <c r="J46" s="33" t="s">
        <v>1021</v>
      </c>
      <c r="K46" s="33" t="s">
        <v>148</v>
      </c>
      <c r="L46" s="33" t="s">
        <v>997</v>
      </c>
      <c r="M46" s="33" t="s">
        <v>1265</v>
      </c>
      <c r="N46" s="33" t="s">
        <v>156</v>
      </c>
      <c r="O46" s="33" t="s">
        <v>84</v>
      </c>
      <c r="P46" s="33" t="s">
        <v>1073</v>
      </c>
      <c r="Q46" s="33" t="s">
        <v>91</v>
      </c>
      <c r="R46" s="33" t="s">
        <v>149</v>
      </c>
      <c r="S46" s="33" t="s">
        <v>919</v>
      </c>
      <c r="T46" s="33" t="s">
        <v>991</v>
      </c>
      <c r="U46" s="37">
        <v>3.681</v>
      </c>
      <c r="V46" s="37">
        <v>258.3476</v>
      </c>
      <c r="W46" s="37">
        <v>950.97754999999995</v>
      </c>
      <c r="X46" s="38">
        <v>1.2999999999999999E-3</v>
      </c>
      <c r="Y46" s="38">
        <v>7.3845000000000004E-3</v>
      </c>
      <c r="Z46" s="38">
        <v>1.1390999999999999E-3</v>
      </c>
      <c r="AA46" s="36">
        <v>60391075</v>
      </c>
      <c r="AB46" s="72" t="s">
        <v>4</v>
      </c>
      <c r="AC46" s="72" t="s">
        <v>1</v>
      </c>
    </row>
    <row r="47" spans="1:29" s="29" customFormat="1" ht="12.75" customHeight="1">
      <c r="A47" s="33" t="s">
        <v>78</v>
      </c>
      <c r="B47" s="33" t="s">
        <v>98</v>
      </c>
      <c r="C47" s="33" t="s">
        <v>995</v>
      </c>
      <c r="D47" s="33" t="s">
        <v>1303</v>
      </c>
      <c r="E47" s="33" t="s">
        <v>194</v>
      </c>
      <c r="F47" s="33" t="s">
        <v>996</v>
      </c>
      <c r="G47" s="33" t="s">
        <v>1074</v>
      </c>
      <c r="H47" s="33" t="s">
        <v>183</v>
      </c>
      <c r="I47" s="33" t="s">
        <v>988</v>
      </c>
      <c r="J47" s="33" t="s">
        <v>984</v>
      </c>
      <c r="K47" s="33" t="s">
        <v>148</v>
      </c>
      <c r="L47" s="33" t="s">
        <v>997</v>
      </c>
      <c r="M47" s="33" t="s">
        <v>1247</v>
      </c>
      <c r="N47" s="33" t="s">
        <v>156</v>
      </c>
      <c r="O47" s="33" t="s">
        <v>866</v>
      </c>
      <c r="P47" s="33" t="s">
        <v>1075</v>
      </c>
      <c r="Q47" s="33" t="s">
        <v>91</v>
      </c>
      <c r="R47" s="33" t="s">
        <v>941</v>
      </c>
      <c r="S47" s="33" t="s">
        <v>919</v>
      </c>
      <c r="T47" s="33" t="s">
        <v>991</v>
      </c>
      <c r="U47" s="37">
        <v>3.681</v>
      </c>
      <c r="V47" s="37">
        <v>333.22949999999997</v>
      </c>
      <c r="W47" s="37">
        <v>1226.61796</v>
      </c>
      <c r="X47" s="38">
        <v>0</v>
      </c>
      <c r="Y47" s="38">
        <v>9.5248999999999993E-3</v>
      </c>
      <c r="Z47" s="38">
        <v>1.4693E-3</v>
      </c>
      <c r="AA47" s="36">
        <v>60416153</v>
      </c>
      <c r="AB47" s="72" t="s">
        <v>4</v>
      </c>
      <c r="AC47" s="72" t="s">
        <v>1</v>
      </c>
    </row>
    <row r="48" spans="1:29" s="29" customFormat="1">
      <c r="A48" s="33" t="s">
        <v>78</v>
      </c>
      <c r="B48" s="33" t="s">
        <v>98</v>
      </c>
      <c r="C48" s="33" t="s">
        <v>1076</v>
      </c>
      <c r="D48" s="33" t="s">
        <v>901</v>
      </c>
      <c r="E48" s="33" t="s">
        <v>3</v>
      </c>
      <c r="F48" s="33" t="s">
        <v>1077</v>
      </c>
      <c r="G48" s="33" t="s">
        <v>1078</v>
      </c>
      <c r="H48" s="33" t="s">
        <v>183</v>
      </c>
      <c r="I48" s="33" t="s">
        <v>983</v>
      </c>
      <c r="J48" s="33" t="s">
        <v>1039</v>
      </c>
      <c r="K48" s="33" t="s">
        <v>148</v>
      </c>
      <c r="L48" s="33" t="s">
        <v>997</v>
      </c>
      <c r="M48" s="33" t="s">
        <v>1266</v>
      </c>
      <c r="N48" s="33" t="s">
        <v>777</v>
      </c>
      <c r="O48" s="33" t="s">
        <v>84</v>
      </c>
      <c r="P48" s="33" t="s">
        <v>1079</v>
      </c>
      <c r="Q48" s="33" t="s">
        <v>91</v>
      </c>
      <c r="R48" s="33" t="s">
        <v>941</v>
      </c>
      <c r="S48" s="33" t="s">
        <v>919</v>
      </c>
      <c r="T48" s="33" t="s">
        <v>991</v>
      </c>
      <c r="U48" s="37">
        <v>3.681</v>
      </c>
      <c r="V48" s="37">
        <v>452.12119999999999</v>
      </c>
      <c r="W48" s="37">
        <v>1664.25821</v>
      </c>
      <c r="X48" s="38">
        <v>1.292E-4</v>
      </c>
      <c r="Y48" s="38">
        <v>1.2923199999999999E-2</v>
      </c>
      <c r="Z48" s="38">
        <v>1.9935E-3</v>
      </c>
      <c r="AA48" s="36">
        <v>60345899</v>
      </c>
      <c r="AB48" s="72" t="s">
        <v>4</v>
      </c>
      <c r="AC48" s="72" t="s">
        <v>1</v>
      </c>
    </row>
    <row r="49" spans="1:29" s="29" customFormat="1">
      <c r="A49" s="33" t="s">
        <v>78</v>
      </c>
      <c r="B49" s="33" t="s">
        <v>98</v>
      </c>
      <c r="C49" s="33" t="s">
        <v>1076</v>
      </c>
      <c r="D49" s="33" t="s">
        <v>901</v>
      </c>
      <c r="E49" s="33" t="s">
        <v>3</v>
      </c>
      <c r="F49" s="33" t="s">
        <v>1080</v>
      </c>
      <c r="G49" s="33" t="s">
        <v>1081</v>
      </c>
      <c r="H49" s="33" t="s">
        <v>183</v>
      </c>
      <c r="I49" s="33" t="s">
        <v>983</v>
      </c>
      <c r="J49" s="33" t="s">
        <v>1039</v>
      </c>
      <c r="K49" s="33" t="s">
        <v>148</v>
      </c>
      <c r="L49" s="33" t="s">
        <v>997</v>
      </c>
      <c r="M49" s="33" t="s">
        <v>1266</v>
      </c>
      <c r="N49" s="33" t="s">
        <v>156</v>
      </c>
      <c r="O49" s="33" t="s">
        <v>84</v>
      </c>
      <c r="P49" s="33" t="s">
        <v>1082</v>
      </c>
      <c r="Q49" s="33" t="s">
        <v>91</v>
      </c>
      <c r="R49" s="33" t="s">
        <v>941</v>
      </c>
      <c r="S49" s="33" t="s">
        <v>919</v>
      </c>
      <c r="T49" s="33" t="s">
        <v>991</v>
      </c>
      <c r="U49" s="37">
        <v>3.681</v>
      </c>
      <c r="V49" s="37">
        <v>237.49549999999999</v>
      </c>
      <c r="W49" s="37">
        <v>874.22099000000003</v>
      </c>
      <c r="X49" s="38">
        <v>3.68E-5</v>
      </c>
      <c r="Y49" s="38">
        <v>6.7884999999999994E-3</v>
      </c>
      <c r="Z49" s="38">
        <v>1.0471999999999999E-3</v>
      </c>
      <c r="AA49" s="36">
        <v>60305554</v>
      </c>
      <c r="AB49" s="72" t="s">
        <v>4</v>
      </c>
      <c r="AC49" s="72" t="s">
        <v>1</v>
      </c>
    </row>
    <row r="50" spans="1:29" s="29" customFormat="1">
      <c r="A50" s="33" t="s">
        <v>78</v>
      </c>
      <c r="B50" s="33" t="s">
        <v>98</v>
      </c>
      <c r="C50" s="33" t="s">
        <v>999</v>
      </c>
      <c r="D50" s="33" t="s">
        <v>1307</v>
      </c>
      <c r="E50" s="33" t="s">
        <v>194</v>
      </c>
      <c r="F50" s="33" t="s">
        <v>1000</v>
      </c>
      <c r="G50" s="36">
        <v>62011226</v>
      </c>
      <c r="H50" s="33" t="s">
        <v>505</v>
      </c>
      <c r="I50" s="33" t="s">
        <v>988</v>
      </c>
      <c r="J50" s="33" t="s">
        <v>984</v>
      </c>
      <c r="K50" s="33" t="s">
        <v>148</v>
      </c>
      <c r="L50" s="33" t="s">
        <v>997</v>
      </c>
      <c r="M50" s="33" t="s">
        <v>1299</v>
      </c>
      <c r="N50" s="33" t="s">
        <v>156</v>
      </c>
      <c r="O50" s="33" t="s">
        <v>84</v>
      </c>
      <c r="P50" s="33" t="s">
        <v>1001</v>
      </c>
      <c r="Q50" s="33" t="s">
        <v>91</v>
      </c>
      <c r="R50" s="33" t="s">
        <v>941</v>
      </c>
      <c r="S50" s="33" t="s">
        <v>919</v>
      </c>
      <c r="T50" s="33" t="s">
        <v>991</v>
      </c>
      <c r="U50" s="37">
        <v>3.681</v>
      </c>
      <c r="V50" s="37">
        <v>45.736499999999999</v>
      </c>
      <c r="W50" s="37">
        <v>168.35641000000001</v>
      </c>
      <c r="X50" s="38">
        <v>0</v>
      </c>
      <c r="Y50" s="38">
        <v>1.3073000000000002E-3</v>
      </c>
      <c r="Z50" s="38">
        <v>2.017E-4</v>
      </c>
      <c r="AA50" s="33" t="s">
        <v>3</v>
      </c>
      <c r="AB50" s="72" t="s">
        <v>4</v>
      </c>
      <c r="AC50" s="72" t="s">
        <v>1</v>
      </c>
    </row>
    <row r="51" spans="1:29" s="29" customFormat="1">
      <c r="A51" s="33" t="s">
        <v>78</v>
      </c>
      <c r="B51" s="33" t="s">
        <v>98</v>
      </c>
      <c r="C51" s="33" t="s">
        <v>1083</v>
      </c>
      <c r="D51" s="33" t="s">
        <v>1084</v>
      </c>
      <c r="E51" s="33" t="s">
        <v>194</v>
      </c>
      <c r="F51" s="33" t="s">
        <v>1085</v>
      </c>
      <c r="G51" s="36">
        <v>62002240</v>
      </c>
      <c r="H51" s="33" t="s">
        <v>505</v>
      </c>
      <c r="I51" s="33" t="s">
        <v>983</v>
      </c>
      <c r="J51" s="33" t="s">
        <v>1039</v>
      </c>
      <c r="K51" s="33" t="s">
        <v>148</v>
      </c>
      <c r="L51" s="33" t="s">
        <v>83</v>
      </c>
      <c r="M51" s="33" t="s">
        <v>1257</v>
      </c>
      <c r="N51" s="33" t="s">
        <v>156</v>
      </c>
      <c r="O51" s="33" t="s">
        <v>84</v>
      </c>
      <c r="P51" s="33" t="s">
        <v>1086</v>
      </c>
      <c r="Q51" s="33" t="s">
        <v>90</v>
      </c>
      <c r="R51" s="33" t="s">
        <v>941</v>
      </c>
      <c r="S51" s="33" t="s">
        <v>919</v>
      </c>
      <c r="T51" s="33" t="s">
        <v>920</v>
      </c>
      <c r="U51" s="37">
        <v>3.9790999999999999</v>
      </c>
      <c r="V51" s="37">
        <v>648.72209999999995</v>
      </c>
      <c r="W51" s="37">
        <v>2581.33034</v>
      </c>
      <c r="X51" s="38">
        <v>0</v>
      </c>
      <c r="Y51" s="38">
        <v>2.0044400000000004E-2</v>
      </c>
      <c r="Z51" s="38">
        <v>3.0919000000000003E-3</v>
      </c>
      <c r="AA51" s="33" t="s">
        <v>3</v>
      </c>
      <c r="AB51" s="72" t="s">
        <v>4</v>
      </c>
      <c r="AC51" s="72" t="s">
        <v>1</v>
      </c>
    </row>
    <row r="52" spans="1:29" s="29" customFormat="1">
      <c r="A52" s="33" t="s">
        <v>78</v>
      </c>
      <c r="B52" s="33" t="s">
        <v>98</v>
      </c>
      <c r="C52" s="33" t="s">
        <v>1046</v>
      </c>
      <c r="D52" s="33" t="s">
        <v>1312</v>
      </c>
      <c r="E52" s="33" t="s">
        <v>194</v>
      </c>
      <c r="F52" s="33" t="s">
        <v>1047</v>
      </c>
      <c r="G52" s="36">
        <v>62000073</v>
      </c>
      <c r="H52" s="33" t="s">
        <v>505</v>
      </c>
      <c r="I52" s="33" t="s">
        <v>983</v>
      </c>
      <c r="J52" s="33" t="s">
        <v>1039</v>
      </c>
      <c r="K52" s="33" t="s">
        <v>148</v>
      </c>
      <c r="L52" s="33" t="s">
        <v>156</v>
      </c>
      <c r="M52" s="33" t="s">
        <v>1263</v>
      </c>
      <c r="N52" s="33" t="s">
        <v>156</v>
      </c>
      <c r="O52" s="33" t="s">
        <v>84</v>
      </c>
      <c r="P52" s="33" t="s">
        <v>1087</v>
      </c>
      <c r="Q52" s="33" t="s">
        <v>91</v>
      </c>
      <c r="R52" s="33" t="s">
        <v>941</v>
      </c>
      <c r="S52" s="33" t="s">
        <v>919</v>
      </c>
      <c r="T52" s="33" t="s">
        <v>991</v>
      </c>
      <c r="U52" s="37">
        <v>3.681</v>
      </c>
      <c r="V52" s="37">
        <v>838.49710000000005</v>
      </c>
      <c r="W52" s="37">
        <v>3086.5081799999998</v>
      </c>
      <c r="X52" s="38">
        <v>0</v>
      </c>
      <c r="Y52" s="38">
        <v>2.3967200000000001E-2</v>
      </c>
      <c r="Z52" s="38">
        <v>3.6971E-3</v>
      </c>
      <c r="AA52" s="33" t="s">
        <v>3</v>
      </c>
      <c r="AB52" s="72" t="s">
        <v>4</v>
      </c>
      <c r="AC52" s="72" t="s">
        <v>1</v>
      </c>
    </row>
    <row r="53" spans="1:29" s="29" customFormat="1" ht="21.75">
      <c r="A53" s="33" t="s">
        <v>78</v>
      </c>
      <c r="B53" s="33" t="s">
        <v>98</v>
      </c>
      <c r="C53" s="33" t="s">
        <v>1088</v>
      </c>
      <c r="D53" s="33" t="s">
        <v>1316</v>
      </c>
      <c r="E53" s="33" t="s">
        <v>1317</v>
      </c>
      <c r="F53" s="33" t="s">
        <v>1089</v>
      </c>
      <c r="G53" s="36">
        <v>60419223</v>
      </c>
      <c r="H53" s="33" t="s">
        <v>505</v>
      </c>
      <c r="I53" s="33" t="s">
        <v>1020</v>
      </c>
      <c r="J53" s="33" t="s">
        <v>1029</v>
      </c>
      <c r="K53" s="33" t="s">
        <v>148</v>
      </c>
      <c r="L53" s="33" t="s">
        <v>495</v>
      </c>
      <c r="M53" s="33" t="s">
        <v>1267</v>
      </c>
      <c r="N53" s="33" t="s">
        <v>83</v>
      </c>
      <c r="O53" s="33" t="s">
        <v>84</v>
      </c>
      <c r="P53" s="33" t="s">
        <v>1090</v>
      </c>
      <c r="Q53" s="33" t="s">
        <v>91</v>
      </c>
      <c r="R53" s="33" t="s">
        <v>149</v>
      </c>
      <c r="S53" s="33" t="s">
        <v>919</v>
      </c>
      <c r="T53" s="33" t="s">
        <v>991</v>
      </c>
      <c r="U53" s="37">
        <v>3.681</v>
      </c>
      <c r="V53" s="37">
        <v>555.5376</v>
      </c>
      <c r="W53" s="37">
        <v>2044.93418</v>
      </c>
      <c r="X53" s="38">
        <v>2.0650999999999998E-3</v>
      </c>
      <c r="Y53" s="38">
        <v>1.58792E-2</v>
      </c>
      <c r="Z53" s="38">
        <v>2.4494E-3</v>
      </c>
      <c r="AA53" s="33" t="s">
        <v>3</v>
      </c>
      <c r="AB53" s="72" t="s">
        <v>4</v>
      </c>
      <c r="AC53" s="72" t="s">
        <v>1</v>
      </c>
    </row>
    <row r="54" spans="1:29" s="29" customFormat="1">
      <c r="A54" s="33" t="s">
        <v>78</v>
      </c>
      <c r="B54" s="33" t="s">
        <v>98</v>
      </c>
      <c r="C54" s="33" t="s">
        <v>3</v>
      </c>
      <c r="D54" s="33" t="s">
        <v>1318</v>
      </c>
      <c r="E54" s="33" t="s">
        <v>194</v>
      </c>
      <c r="F54" s="33" t="s">
        <v>1091</v>
      </c>
      <c r="G54" s="36">
        <v>60346871</v>
      </c>
      <c r="H54" s="33" t="s">
        <v>505</v>
      </c>
      <c r="I54" s="33" t="s">
        <v>983</v>
      </c>
      <c r="J54" s="33" t="s">
        <v>1029</v>
      </c>
      <c r="K54" s="33" t="s">
        <v>148</v>
      </c>
      <c r="L54" s="33" t="s">
        <v>83</v>
      </c>
      <c r="M54" s="33" t="s">
        <v>1258</v>
      </c>
      <c r="N54" s="33" t="s">
        <v>83</v>
      </c>
      <c r="O54" s="33" t="s">
        <v>84</v>
      </c>
      <c r="P54" s="33" t="s">
        <v>1092</v>
      </c>
      <c r="Q54" s="33" t="s">
        <v>91</v>
      </c>
      <c r="R54" s="33" t="s">
        <v>941</v>
      </c>
      <c r="S54" s="33" t="s">
        <v>919</v>
      </c>
      <c r="T54" s="33" t="s">
        <v>991</v>
      </c>
      <c r="U54" s="37">
        <v>3.681</v>
      </c>
      <c r="V54" s="37">
        <v>1649.3995</v>
      </c>
      <c r="W54" s="37">
        <v>6071.4396100000004</v>
      </c>
      <c r="X54" s="38">
        <v>6.5253000000000004E-3</v>
      </c>
      <c r="Y54" s="38">
        <v>4.7145599999999996E-2</v>
      </c>
      <c r="Z54" s="38">
        <v>7.2724E-3</v>
      </c>
      <c r="AA54" s="33" t="s">
        <v>3</v>
      </c>
      <c r="AB54" s="72" t="s">
        <v>4</v>
      </c>
      <c r="AC54" s="72" t="s">
        <v>1</v>
      </c>
    </row>
    <row r="55" spans="1:29" s="29" customFormat="1">
      <c r="A55" s="33" t="s">
        <v>78</v>
      </c>
      <c r="B55" s="33" t="s">
        <v>98</v>
      </c>
      <c r="C55" s="33" t="s">
        <v>1093</v>
      </c>
      <c r="D55" s="33" t="s">
        <v>1319</v>
      </c>
      <c r="E55" s="33" t="s">
        <v>194</v>
      </c>
      <c r="F55" s="33" t="s">
        <v>1094</v>
      </c>
      <c r="G55" s="36">
        <v>62012463</v>
      </c>
      <c r="H55" s="33" t="s">
        <v>505</v>
      </c>
      <c r="I55" s="33" t="s">
        <v>1020</v>
      </c>
      <c r="J55" s="33" t="s">
        <v>1029</v>
      </c>
      <c r="K55" s="33" t="s">
        <v>148</v>
      </c>
      <c r="L55" s="33" t="s">
        <v>1095</v>
      </c>
      <c r="M55" s="33" t="s">
        <v>1268</v>
      </c>
      <c r="N55" s="33" t="s">
        <v>156</v>
      </c>
      <c r="O55" s="33" t="s">
        <v>84</v>
      </c>
      <c r="P55" s="33" t="s">
        <v>1096</v>
      </c>
      <c r="Q55" s="33" t="s">
        <v>90</v>
      </c>
      <c r="R55" s="33" t="s">
        <v>149</v>
      </c>
      <c r="S55" s="33" t="s">
        <v>919</v>
      </c>
      <c r="T55" s="33" t="s">
        <v>991</v>
      </c>
      <c r="U55" s="37">
        <v>3.9790999999999999</v>
      </c>
      <c r="V55" s="37">
        <v>830.47280000000001</v>
      </c>
      <c r="W55" s="37">
        <v>3304.5346300000001</v>
      </c>
      <c r="X55" s="38">
        <v>0</v>
      </c>
      <c r="Y55" s="38">
        <v>2.5660200000000001E-2</v>
      </c>
      <c r="Z55" s="38">
        <v>3.9582000000000003E-3</v>
      </c>
      <c r="AA55" s="33" t="s">
        <v>3</v>
      </c>
      <c r="AB55" s="72" t="s">
        <v>4</v>
      </c>
      <c r="AC55" s="72" t="s">
        <v>1</v>
      </c>
    </row>
    <row r="56" spans="1:29" s="29" customFormat="1">
      <c r="A56" s="33" t="s">
        <v>78</v>
      </c>
      <c r="B56" s="33" t="s">
        <v>98</v>
      </c>
      <c r="C56" s="33" t="s">
        <v>1076</v>
      </c>
      <c r="D56" s="33" t="s">
        <v>901</v>
      </c>
      <c r="E56" s="33" t="s">
        <v>3</v>
      </c>
      <c r="F56" s="33" t="s">
        <v>1097</v>
      </c>
      <c r="G56" s="36">
        <v>60385630</v>
      </c>
      <c r="H56" s="33" t="s">
        <v>505</v>
      </c>
      <c r="I56" s="33" t="s">
        <v>983</v>
      </c>
      <c r="J56" s="33" t="s">
        <v>1039</v>
      </c>
      <c r="K56" s="33" t="s">
        <v>148</v>
      </c>
      <c r="L56" s="33" t="s">
        <v>997</v>
      </c>
      <c r="M56" s="33" t="s">
        <v>1266</v>
      </c>
      <c r="N56" s="33" t="s">
        <v>156</v>
      </c>
      <c r="O56" s="33" t="s">
        <v>84</v>
      </c>
      <c r="P56" s="33" t="s">
        <v>1098</v>
      </c>
      <c r="Q56" s="33" t="s">
        <v>91</v>
      </c>
      <c r="R56" s="33" t="s">
        <v>941</v>
      </c>
      <c r="S56" s="33" t="s">
        <v>919</v>
      </c>
      <c r="T56" s="33" t="s">
        <v>991</v>
      </c>
      <c r="U56" s="37">
        <v>3.681</v>
      </c>
      <c r="V56" s="37">
        <v>1284.7306000000001</v>
      </c>
      <c r="W56" s="37">
        <v>4729.09357</v>
      </c>
      <c r="X56" s="38">
        <v>7.8238500000000002E-2</v>
      </c>
      <c r="Y56" s="38">
        <v>3.6722100000000001E-2</v>
      </c>
      <c r="Z56" s="38">
        <v>5.6645999999999997E-3</v>
      </c>
      <c r="AA56" s="33" t="s">
        <v>3</v>
      </c>
      <c r="AB56" s="72" t="s">
        <v>4</v>
      </c>
      <c r="AC56" s="72" t="s">
        <v>1</v>
      </c>
    </row>
    <row r="57" spans="1:29" s="29" customFormat="1">
      <c r="A57" s="33" t="s">
        <v>78</v>
      </c>
      <c r="B57" s="33" t="s">
        <v>98</v>
      </c>
      <c r="C57" s="33" t="s">
        <v>1033</v>
      </c>
      <c r="D57" s="33" t="s">
        <v>1308</v>
      </c>
      <c r="E57" s="33" t="s">
        <v>1309</v>
      </c>
      <c r="F57" s="33" t="s">
        <v>1034</v>
      </c>
      <c r="G57" s="36">
        <v>62009766</v>
      </c>
      <c r="H57" s="33" t="s">
        <v>505</v>
      </c>
      <c r="I57" s="33" t="s">
        <v>1020</v>
      </c>
      <c r="J57" s="33" t="s">
        <v>1035</v>
      </c>
      <c r="K57" s="33" t="s">
        <v>148</v>
      </c>
      <c r="L57" s="33" t="s">
        <v>997</v>
      </c>
      <c r="M57" s="33" t="s">
        <v>1252</v>
      </c>
      <c r="N57" s="33" t="s">
        <v>156</v>
      </c>
      <c r="O57" s="33" t="s">
        <v>84</v>
      </c>
      <c r="P57" s="33" t="s">
        <v>1099</v>
      </c>
      <c r="Q57" s="33" t="s">
        <v>91</v>
      </c>
      <c r="R57" s="33" t="s">
        <v>941</v>
      </c>
      <c r="S57" s="33" t="s">
        <v>919</v>
      </c>
      <c r="T57" s="33" t="s">
        <v>991</v>
      </c>
      <c r="U57" s="37">
        <v>3.681</v>
      </c>
      <c r="V57" s="37">
        <v>1021.655</v>
      </c>
      <c r="W57" s="37">
        <v>3760.7122599999998</v>
      </c>
      <c r="X57" s="38">
        <v>0</v>
      </c>
      <c r="Y57" s="38">
        <v>2.9202499999999999E-2</v>
      </c>
      <c r="Z57" s="38">
        <v>4.5046000000000001E-3</v>
      </c>
      <c r="AA57" s="33" t="s">
        <v>3</v>
      </c>
      <c r="AB57" s="72" t="s">
        <v>4</v>
      </c>
      <c r="AC57" s="72" t="s">
        <v>1</v>
      </c>
    </row>
    <row r="58" spans="1:29" s="29" customFormat="1">
      <c r="A58" s="33" t="s">
        <v>78</v>
      </c>
      <c r="B58" s="33" t="s">
        <v>98</v>
      </c>
      <c r="C58" s="33" t="s">
        <v>1100</v>
      </c>
      <c r="D58" s="33" t="s">
        <v>1320</v>
      </c>
      <c r="E58" s="33" t="s">
        <v>194</v>
      </c>
      <c r="F58" s="33" t="s">
        <v>1101</v>
      </c>
      <c r="G58" s="36">
        <v>62007802</v>
      </c>
      <c r="H58" s="33" t="s">
        <v>505</v>
      </c>
      <c r="I58" s="33" t="s">
        <v>983</v>
      </c>
      <c r="J58" s="33" t="s">
        <v>1029</v>
      </c>
      <c r="K58" s="33" t="s">
        <v>148</v>
      </c>
      <c r="L58" s="33" t="s">
        <v>997</v>
      </c>
      <c r="M58" s="33" t="s">
        <v>1269</v>
      </c>
      <c r="N58" s="33" t="s">
        <v>156</v>
      </c>
      <c r="O58" s="33" t="s">
        <v>84</v>
      </c>
      <c r="P58" s="33" t="s">
        <v>1102</v>
      </c>
      <c r="Q58" s="33" t="s">
        <v>91</v>
      </c>
      <c r="R58" s="33" t="s">
        <v>941</v>
      </c>
      <c r="S58" s="33" t="s">
        <v>919</v>
      </c>
      <c r="T58" s="33" t="s">
        <v>920</v>
      </c>
      <c r="U58" s="37">
        <v>3.681</v>
      </c>
      <c r="V58" s="37">
        <v>1540.6057000000001</v>
      </c>
      <c r="W58" s="37">
        <v>5670.9696599999997</v>
      </c>
      <c r="X58" s="38">
        <v>2.4118E-3</v>
      </c>
      <c r="Y58" s="38">
        <v>4.4035900000000003E-2</v>
      </c>
      <c r="Z58" s="38">
        <v>6.7927999999999999E-3</v>
      </c>
      <c r="AA58" s="33" t="s">
        <v>3</v>
      </c>
      <c r="AB58" s="72" t="s">
        <v>4</v>
      </c>
      <c r="AC58" s="72" t="s">
        <v>1</v>
      </c>
    </row>
    <row r="59" spans="1:29" s="29" customFormat="1">
      <c r="A59" s="33" t="s">
        <v>78</v>
      </c>
      <c r="B59" s="33" t="s">
        <v>98</v>
      </c>
      <c r="C59" s="33" t="s">
        <v>1040</v>
      </c>
      <c r="D59" s="33" t="s">
        <v>1311</v>
      </c>
      <c r="E59" s="33" t="s">
        <v>194</v>
      </c>
      <c r="F59" s="33" t="s">
        <v>1041</v>
      </c>
      <c r="G59" s="36">
        <v>62002115</v>
      </c>
      <c r="H59" s="33" t="s">
        <v>505</v>
      </c>
      <c r="I59" s="33" t="s">
        <v>983</v>
      </c>
      <c r="J59" s="33" t="s">
        <v>1039</v>
      </c>
      <c r="K59" s="33" t="s">
        <v>148</v>
      </c>
      <c r="L59" s="33" t="s">
        <v>764</v>
      </c>
      <c r="M59" s="33" t="s">
        <v>1261</v>
      </c>
      <c r="N59" s="33" t="s">
        <v>764</v>
      </c>
      <c r="O59" s="33" t="s">
        <v>84</v>
      </c>
      <c r="P59" s="33" t="s">
        <v>1103</v>
      </c>
      <c r="Q59" s="33" t="s">
        <v>90</v>
      </c>
      <c r="R59" s="33" t="s">
        <v>941</v>
      </c>
      <c r="S59" s="33" t="s">
        <v>919</v>
      </c>
      <c r="T59" s="33" t="s">
        <v>991</v>
      </c>
      <c r="U59" s="37">
        <v>3.9790999999999999</v>
      </c>
      <c r="V59" s="37">
        <v>491.96589999999998</v>
      </c>
      <c r="W59" s="37">
        <v>1957.58178</v>
      </c>
      <c r="X59" s="38">
        <v>5.0377000000000009E-3</v>
      </c>
      <c r="Y59" s="38">
        <v>1.52009E-2</v>
      </c>
      <c r="Z59" s="38">
        <v>2.3447999999999997E-3</v>
      </c>
      <c r="AA59" s="33" t="s">
        <v>3</v>
      </c>
      <c r="AB59" s="72" t="s">
        <v>4</v>
      </c>
      <c r="AC59" s="72" t="s">
        <v>1</v>
      </c>
    </row>
    <row r="60" spans="1:29" s="29" customFormat="1" ht="21.75">
      <c r="A60" s="33" t="s">
        <v>78</v>
      </c>
      <c r="B60" s="33" t="s">
        <v>98</v>
      </c>
      <c r="C60" s="33" t="s">
        <v>1037</v>
      </c>
      <c r="D60" s="33" t="s">
        <v>1311</v>
      </c>
      <c r="E60" s="33" t="s">
        <v>194</v>
      </c>
      <c r="F60" s="33" t="s">
        <v>1038</v>
      </c>
      <c r="G60" s="36">
        <v>62007869</v>
      </c>
      <c r="H60" s="33" t="s">
        <v>505</v>
      </c>
      <c r="I60" s="33" t="s">
        <v>983</v>
      </c>
      <c r="J60" s="33" t="s">
        <v>1039</v>
      </c>
      <c r="K60" s="33" t="s">
        <v>148</v>
      </c>
      <c r="L60" s="33" t="s">
        <v>997</v>
      </c>
      <c r="M60" s="33" t="s">
        <v>1260</v>
      </c>
      <c r="N60" s="33" t="s">
        <v>156</v>
      </c>
      <c r="O60" s="33" t="s">
        <v>84</v>
      </c>
      <c r="P60" s="33" t="s">
        <v>1104</v>
      </c>
      <c r="Q60" s="33" t="s">
        <v>91</v>
      </c>
      <c r="R60" s="33" t="s">
        <v>149</v>
      </c>
      <c r="S60" s="33" t="s">
        <v>919</v>
      </c>
      <c r="T60" s="33" t="s">
        <v>920</v>
      </c>
      <c r="U60" s="37">
        <v>3.681</v>
      </c>
      <c r="V60" s="37">
        <v>1439.9099000000001</v>
      </c>
      <c r="W60" s="37">
        <v>5300.3085000000001</v>
      </c>
      <c r="X60" s="38">
        <v>0</v>
      </c>
      <c r="Y60" s="38">
        <v>4.1157700000000005E-2</v>
      </c>
      <c r="Z60" s="38">
        <v>6.3487999999999999E-3</v>
      </c>
      <c r="AA60" s="33" t="s">
        <v>3</v>
      </c>
      <c r="AB60" s="72" t="s">
        <v>4</v>
      </c>
      <c r="AC60" s="72" t="s">
        <v>1</v>
      </c>
    </row>
    <row r="61" spans="1:29" s="29" customFormat="1">
      <c r="A61" s="33" t="s">
        <v>78</v>
      </c>
      <c r="B61" s="33" t="s">
        <v>98</v>
      </c>
      <c r="C61" s="33" t="s">
        <v>1026</v>
      </c>
      <c r="D61" s="33" t="s">
        <v>1027</v>
      </c>
      <c r="E61" s="33" t="s">
        <v>194</v>
      </c>
      <c r="F61" s="33" t="s">
        <v>1028</v>
      </c>
      <c r="G61" s="36">
        <v>62016084</v>
      </c>
      <c r="H61" s="33" t="s">
        <v>505</v>
      </c>
      <c r="I61" s="33" t="s">
        <v>1020</v>
      </c>
      <c r="J61" s="33" t="s">
        <v>1029</v>
      </c>
      <c r="K61" s="33" t="s">
        <v>148</v>
      </c>
      <c r="L61" s="33" t="s">
        <v>83</v>
      </c>
      <c r="M61" s="33" t="s">
        <v>1251</v>
      </c>
      <c r="N61" s="33" t="s">
        <v>83</v>
      </c>
      <c r="O61" s="33" t="s">
        <v>84</v>
      </c>
      <c r="P61" s="33" t="s">
        <v>1105</v>
      </c>
      <c r="Q61" s="33" t="s">
        <v>91</v>
      </c>
      <c r="R61" s="33" t="s">
        <v>941</v>
      </c>
      <c r="S61" s="33" t="s">
        <v>919</v>
      </c>
      <c r="T61" s="33" t="s">
        <v>920</v>
      </c>
      <c r="U61" s="37">
        <v>3.681</v>
      </c>
      <c r="V61" s="37">
        <v>1337.2297000000001</v>
      </c>
      <c r="W61" s="37">
        <v>4922.3425999999999</v>
      </c>
      <c r="X61" s="38">
        <v>0</v>
      </c>
      <c r="Y61" s="38">
        <v>3.8222699999999998E-2</v>
      </c>
      <c r="Z61" s="38">
        <v>5.8960000000000002E-3</v>
      </c>
      <c r="AA61" s="33" t="s">
        <v>3</v>
      </c>
      <c r="AB61" s="72" t="s">
        <v>4</v>
      </c>
      <c r="AC61" s="72" t="s">
        <v>1</v>
      </c>
    </row>
    <row r="62" spans="1:29" s="29" customFormat="1">
      <c r="A62" s="33" t="s">
        <v>78</v>
      </c>
      <c r="B62" s="33" t="s">
        <v>98</v>
      </c>
      <c r="C62" s="33" t="s">
        <v>1043</v>
      </c>
      <c r="D62" s="33" t="s">
        <v>901</v>
      </c>
      <c r="E62" s="33" t="s">
        <v>3</v>
      </c>
      <c r="F62" s="33" t="s">
        <v>1044</v>
      </c>
      <c r="G62" s="36">
        <v>62002044</v>
      </c>
      <c r="H62" s="33" t="s">
        <v>505</v>
      </c>
      <c r="I62" s="33" t="s">
        <v>1020</v>
      </c>
      <c r="J62" s="33" t="s">
        <v>1039</v>
      </c>
      <c r="K62" s="33" t="s">
        <v>148</v>
      </c>
      <c r="L62" s="33" t="s">
        <v>156</v>
      </c>
      <c r="M62" s="33" t="s">
        <v>1262</v>
      </c>
      <c r="N62" s="33" t="s">
        <v>156</v>
      </c>
      <c r="O62" s="33" t="s">
        <v>84</v>
      </c>
      <c r="P62" s="33" t="s">
        <v>1106</v>
      </c>
      <c r="Q62" s="33" t="s">
        <v>91</v>
      </c>
      <c r="R62" s="33" t="s">
        <v>941</v>
      </c>
      <c r="S62" s="33" t="s">
        <v>919</v>
      </c>
      <c r="T62" s="33" t="s">
        <v>991</v>
      </c>
      <c r="U62" s="37">
        <v>3.681</v>
      </c>
      <c r="V62" s="37">
        <v>979.029</v>
      </c>
      <c r="W62" s="37">
        <v>3603.8059400000002</v>
      </c>
      <c r="X62" s="38">
        <v>1.073E-2</v>
      </c>
      <c r="Y62" s="38">
        <v>2.7984100000000001E-2</v>
      </c>
      <c r="Z62" s="38">
        <v>4.3166999999999997E-3</v>
      </c>
      <c r="AA62" s="33" t="s">
        <v>3</v>
      </c>
      <c r="AB62" s="72" t="s">
        <v>4</v>
      </c>
      <c r="AC62" s="72" t="s">
        <v>1</v>
      </c>
    </row>
    <row r="63" spans="1:29" s="29" customFormat="1">
      <c r="A63" s="33" t="s">
        <v>78</v>
      </c>
      <c r="B63" s="33" t="s">
        <v>98</v>
      </c>
      <c r="C63" s="33" t="s">
        <v>1076</v>
      </c>
      <c r="D63" s="33" t="s">
        <v>901</v>
      </c>
      <c r="E63" s="33" t="s">
        <v>3</v>
      </c>
      <c r="F63" s="33" t="s">
        <v>1107</v>
      </c>
      <c r="G63" s="36">
        <v>62002026</v>
      </c>
      <c r="H63" s="33" t="s">
        <v>505</v>
      </c>
      <c r="I63" s="33" t="s">
        <v>983</v>
      </c>
      <c r="J63" s="33" t="s">
        <v>1039</v>
      </c>
      <c r="K63" s="33" t="s">
        <v>148</v>
      </c>
      <c r="L63" s="33" t="s">
        <v>997</v>
      </c>
      <c r="M63" s="33" t="s">
        <v>1266</v>
      </c>
      <c r="N63" s="33" t="s">
        <v>156</v>
      </c>
      <c r="O63" s="33" t="s">
        <v>84</v>
      </c>
      <c r="P63" s="33" t="s">
        <v>1098</v>
      </c>
      <c r="Q63" s="33" t="s">
        <v>91</v>
      </c>
      <c r="R63" s="33" t="s">
        <v>941</v>
      </c>
      <c r="S63" s="33" t="s">
        <v>919</v>
      </c>
      <c r="T63" s="33" t="s">
        <v>991</v>
      </c>
      <c r="U63" s="37">
        <v>3.681</v>
      </c>
      <c r="V63" s="37">
        <v>1143.1498999999999</v>
      </c>
      <c r="W63" s="37">
        <v>4207.9348200000004</v>
      </c>
      <c r="X63" s="38">
        <v>0</v>
      </c>
      <c r="Y63" s="38">
        <v>3.2675200000000001E-2</v>
      </c>
      <c r="Z63" s="38">
        <v>5.0403000000000002E-3</v>
      </c>
      <c r="AA63" s="33" t="s">
        <v>3</v>
      </c>
      <c r="AB63" s="72" t="s">
        <v>4</v>
      </c>
      <c r="AC63" s="72" t="s">
        <v>1</v>
      </c>
    </row>
    <row r="64" spans="1:29" s="29" customFormat="1">
      <c r="A64" s="33" t="s">
        <v>78</v>
      </c>
      <c r="B64" s="33" t="s">
        <v>98</v>
      </c>
      <c r="C64" s="33" t="s">
        <v>547</v>
      </c>
      <c r="D64" s="33" t="s">
        <v>1302</v>
      </c>
      <c r="E64" s="33" t="s">
        <v>194</v>
      </c>
      <c r="F64" s="33" t="s">
        <v>1108</v>
      </c>
      <c r="G64" s="36">
        <v>62013941</v>
      </c>
      <c r="H64" s="33" t="s">
        <v>505</v>
      </c>
      <c r="I64" s="33" t="s">
        <v>1020</v>
      </c>
      <c r="J64" s="33" t="s">
        <v>1029</v>
      </c>
      <c r="K64" s="33" t="s">
        <v>148</v>
      </c>
      <c r="L64" s="33" t="s">
        <v>997</v>
      </c>
      <c r="M64" s="33" t="s">
        <v>1259</v>
      </c>
      <c r="N64" s="33" t="s">
        <v>156</v>
      </c>
      <c r="O64" s="33" t="s">
        <v>84</v>
      </c>
      <c r="P64" s="33" t="s">
        <v>1109</v>
      </c>
      <c r="Q64" s="33" t="s">
        <v>91</v>
      </c>
      <c r="R64" s="33" t="s">
        <v>149</v>
      </c>
      <c r="S64" s="33" t="s">
        <v>919</v>
      </c>
      <c r="T64" s="33" t="s">
        <v>991</v>
      </c>
      <c r="U64" s="37">
        <v>3.681</v>
      </c>
      <c r="V64" s="37">
        <v>1505.9799</v>
      </c>
      <c r="W64" s="37">
        <v>5543.5120800000004</v>
      </c>
      <c r="X64" s="38">
        <v>0</v>
      </c>
      <c r="Y64" s="38">
        <v>4.30462E-2</v>
      </c>
      <c r="Z64" s="38">
        <v>6.6400999999999995E-3</v>
      </c>
      <c r="AA64" s="33" t="s">
        <v>3</v>
      </c>
      <c r="AB64" s="72" t="s">
        <v>4</v>
      </c>
      <c r="AC64" s="72" t="s">
        <v>1</v>
      </c>
    </row>
    <row r="65" spans="1:29" s="29" customFormat="1">
      <c r="A65" s="33" t="s">
        <v>78</v>
      </c>
      <c r="B65" s="33" t="s">
        <v>98</v>
      </c>
      <c r="C65" s="33" t="s">
        <v>1043</v>
      </c>
      <c r="D65" s="33" t="s">
        <v>901</v>
      </c>
      <c r="E65" s="33" t="s">
        <v>3</v>
      </c>
      <c r="F65" s="33" t="s">
        <v>1110</v>
      </c>
      <c r="G65" s="36">
        <v>60408978</v>
      </c>
      <c r="H65" s="33" t="s">
        <v>505</v>
      </c>
      <c r="I65" s="33" t="s">
        <v>1020</v>
      </c>
      <c r="J65" s="33" t="s">
        <v>1039</v>
      </c>
      <c r="K65" s="33" t="s">
        <v>148</v>
      </c>
      <c r="L65" s="33" t="s">
        <v>156</v>
      </c>
      <c r="M65" s="33" t="s">
        <v>1262</v>
      </c>
      <c r="N65" s="33" t="s">
        <v>156</v>
      </c>
      <c r="O65" s="33" t="s">
        <v>84</v>
      </c>
      <c r="P65" s="41">
        <v>42635</v>
      </c>
      <c r="Q65" s="33" t="s">
        <v>91</v>
      </c>
      <c r="R65" s="33" t="s">
        <v>941</v>
      </c>
      <c r="S65" s="33" t="s">
        <v>919</v>
      </c>
      <c r="T65" s="33" t="s">
        <v>991</v>
      </c>
      <c r="U65" s="37">
        <v>3.681</v>
      </c>
      <c r="V65" s="37">
        <v>846.04089999999997</v>
      </c>
      <c r="W65" s="37">
        <v>3114.2768999999998</v>
      </c>
      <c r="X65" s="38">
        <v>9.3332999999999992E-3</v>
      </c>
      <c r="Y65" s="38">
        <v>2.4182800000000001E-2</v>
      </c>
      <c r="Z65" s="38">
        <v>3.7302999999999998E-3</v>
      </c>
      <c r="AA65" s="33" t="s">
        <v>3</v>
      </c>
      <c r="AB65" s="72" t="s">
        <v>4</v>
      </c>
      <c r="AC65" s="72" t="s">
        <v>1</v>
      </c>
    </row>
    <row r="66" spans="1:29" s="29" customFormat="1">
      <c r="A66" s="33" t="s">
        <v>78</v>
      </c>
      <c r="B66" s="33" t="s">
        <v>98</v>
      </c>
      <c r="C66" s="33" t="s">
        <v>995</v>
      </c>
      <c r="D66" s="33" t="s">
        <v>1304</v>
      </c>
      <c r="E66" s="33" t="s">
        <v>194</v>
      </c>
      <c r="F66" s="33" t="s">
        <v>1002</v>
      </c>
      <c r="G66" s="36">
        <v>62010699</v>
      </c>
      <c r="H66" s="33" t="s">
        <v>505</v>
      </c>
      <c r="I66" s="33" t="s">
        <v>988</v>
      </c>
      <c r="J66" s="33" t="s">
        <v>984</v>
      </c>
      <c r="K66" s="33" t="s">
        <v>148</v>
      </c>
      <c r="L66" s="33" t="s">
        <v>997</v>
      </c>
      <c r="M66" s="33" t="s">
        <v>1247</v>
      </c>
      <c r="N66" s="33" t="s">
        <v>156</v>
      </c>
      <c r="O66" s="33" t="s">
        <v>866</v>
      </c>
      <c r="P66" s="41">
        <v>43487</v>
      </c>
      <c r="Q66" s="33" t="s">
        <v>91</v>
      </c>
      <c r="R66" s="33" t="s">
        <v>149</v>
      </c>
      <c r="S66" s="33" t="s">
        <v>919</v>
      </c>
      <c r="T66" s="33" t="s">
        <v>920</v>
      </c>
      <c r="U66" s="37">
        <v>3.681</v>
      </c>
      <c r="V66" s="37">
        <v>1672.8536999999999</v>
      </c>
      <c r="W66" s="37">
        <v>6157.77448</v>
      </c>
      <c r="X66" s="38">
        <v>0</v>
      </c>
      <c r="Y66" s="38">
        <v>4.7815999999999997E-2</v>
      </c>
      <c r="Z66" s="38">
        <v>7.3758999999999995E-3</v>
      </c>
      <c r="AA66" s="33" t="s">
        <v>3</v>
      </c>
      <c r="AB66" s="72" t="s">
        <v>4</v>
      </c>
      <c r="AC66" s="72" t="s">
        <v>1</v>
      </c>
    </row>
    <row r="67" spans="1:29" s="29" customFormat="1">
      <c r="A67" s="33" t="s">
        <v>78</v>
      </c>
      <c r="B67" s="33" t="s">
        <v>98</v>
      </c>
      <c r="C67" s="33" t="s">
        <v>980</v>
      </c>
      <c r="D67" s="33" t="s">
        <v>1302</v>
      </c>
      <c r="E67" s="33" t="s">
        <v>194</v>
      </c>
      <c r="F67" s="33" t="s">
        <v>1111</v>
      </c>
      <c r="G67" s="36">
        <v>62020367</v>
      </c>
      <c r="H67" s="33" t="s">
        <v>505</v>
      </c>
      <c r="I67" s="33" t="s">
        <v>1020</v>
      </c>
      <c r="J67" s="33" t="s">
        <v>989</v>
      </c>
      <c r="K67" s="33" t="s">
        <v>148</v>
      </c>
      <c r="L67" s="33" t="s">
        <v>83</v>
      </c>
      <c r="M67" s="33" t="s">
        <v>990</v>
      </c>
      <c r="N67" s="33" t="s">
        <v>156</v>
      </c>
      <c r="O67" s="33" t="s">
        <v>84</v>
      </c>
      <c r="P67" s="33" t="s">
        <v>1112</v>
      </c>
      <c r="Q67" s="33" t="s">
        <v>91</v>
      </c>
      <c r="R67" s="33" t="s">
        <v>941</v>
      </c>
      <c r="S67" s="33" t="s">
        <v>919</v>
      </c>
      <c r="T67" s="33" t="s">
        <v>920</v>
      </c>
      <c r="U67" s="37">
        <v>3.681</v>
      </c>
      <c r="V67" s="37">
        <v>326.45499999999998</v>
      </c>
      <c r="W67" s="37">
        <v>1201.6810599999999</v>
      </c>
      <c r="X67" s="38">
        <v>0</v>
      </c>
      <c r="Y67" s="38">
        <v>9.3311999999999996E-3</v>
      </c>
      <c r="Z67" s="38">
        <v>1.4394000000000002E-3</v>
      </c>
      <c r="AA67" s="33" t="s">
        <v>3</v>
      </c>
      <c r="AB67" s="72" t="s">
        <v>4</v>
      </c>
      <c r="AC67" s="72" t="s">
        <v>1</v>
      </c>
    </row>
    <row r="68" spans="1:29" s="29" customFormat="1" ht="21.75">
      <c r="A68" s="33" t="s">
        <v>78</v>
      </c>
      <c r="B68" s="33" t="s">
        <v>98</v>
      </c>
      <c r="C68" s="33" t="s">
        <v>1049</v>
      </c>
      <c r="D68" s="33" t="s">
        <v>1313</v>
      </c>
      <c r="E68" s="33" t="s">
        <v>194</v>
      </c>
      <c r="F68" s="33" t="s">
        <v>1050</v>
      </c>
      <c r="G68" s="36">
        <v>62020243</v>
      </c>
      <c r="H68" s="33" t="s">
        <v>505</v>
      </c>
      <c r="I68" s="33" t="s">
        <v>1020</v>
      </c>
      <c r="J68" s="33" t="s">
        <v>984</v>
      </c>
      <c r="K68" s="33" t="s">
        <v>148</v>
      </c>
      <c r="L68" s="33" t="s">
        <v>997</v>
      </c>
      <c r="M68" s="33" t="s">
        <v>1264</v>
      </c>
      <c r="N68" s="33" t="s">
        <v>156</v>
      </c>
      <c r="O68" s="33" t="s">
        <v>84</v>
      </c>
      <c r="P68" s="33" t="s">
        <v>1051</v>
      </c>
      <c r="Q68" s="33" t="s">
        <v>91</v>
      </c>
      <c r="R68" s="33" t="s">
        <v>149</v>
      </c>
      <c r="S68" s="33" t="s">
        <v>919</v>
      </c>
      <c r="T68" s="33" t="s">
        <v>991</v>
      </c>
      <c r="U68" s="37">
        <v>3.681</v>
      </c>
      <c r="V68" s="37">
        <v>1614.7555</v>
      </c>
      <c r="W68" s="37">
        <v>5943.9151199999997</v>
      </c>
      <c r="X68" s="38">
        <v>0</v>
      </c>
      <c r="Y68" s="38">
        <v>4.6155399999999999E-2</v>
      </c>
      <c r="Z68" s="38">
        <v>7.1196999999999996E-3</v>
      </c>
      <c r="AA68" s="33" t="s">
        <v>3</v>
      </c>
      <c r="AB68" s="72" t="s">
        <v>4</v>
      </c>
      <c r="AC68" s="72" t="s">
        <v>1</v>
      </c>
    </row>
    <row r="69" spans="1:29" s="29" customFormat="1" ht="21.75">
      <c r="A69" s="33" t="s">
        <v>78</v>
      </c>
      <c r="B69" s="33" t="s">
        <v>98</v>
      </c>
      <c r="C69" s="33" t="s">
        <v>1113</v>
      </c>
      <c r="D69" s="33" t="s">
        <v>901</v>
      </c>
      <c r="E69" s="33" t="s">
        <v>3</v>
      </c>
      <c r="F69" s="33" t="s">
        <v>1114</v>
      </c>
      <c r="G69" s="36">
        <v>9840951</v>
      </c>
      <c r="H69" s="33" t="s">
        <v>505</v>
      </c>
      <c r="I69" s="33" t="s">
        <v>983</v>
      </c>
      <c r="J69" s="33" t="s">
        <v>1039</v>
      </c>
      <c r="K69" s="33" t="s">
        <v>148</v>
      </c>
      <c r="L69" s="33" t="s">
        <v>1095</v>
      </c>
      <c r="M69" s="33" t="s">
        <v>1270</v>
      </c>
      <c r="N69" s="33" t="s">
        <v>764</v>
      </c>
      <c r="O69" s="33" t="s">
        <v>84</v>
      </c>
      <c r="P69" s="41">
        <v>39065</v>
      </c>
      <c r="Q69" s="33" t="s">
        <v>90</v>
      </c>
      <c r="R69" s="33" t="s">
        <v>941</v>
      </c>
      <c r="S69" s="33" t="s">
        <v>919</v>
      </c>
      <c r="T69" s="33" t="s">
        <v>920</v>
      </c>
      <c r="U69" s="37">
        <v>3.9790999999999999</v>
      </c>
      <c r="V69" s="37">
        <v>53.5852</v>
      </c>
      <c r="W69" s="37">
        <v>213.22119000000001</v>
      </c>
      <c r="X69" s="38">
        <v>4.5499999999999999E-2</v>
      </c>
      <c r="Y69" s="38">
        <v>1.6557E-3</v>
      </c>
      <c r="Z69" s="38">
        <v>2.5540000000000003E-4</v>
      </c>
      <c r="AA69" s="33" t="s">
        <v>3</v>
      </c>
      <c r="AB69" s="72" t="s">
        <v>4</v>
      </c>
      <c r="AC69" s="72" t="s">
        <v>1</v>
      </c>
    </row>
    <row r="70" spans="1:29" s="29" customFormat="1">
      <c r="A70" s="33" t="s">
        <v>3</v>
      </c>
      <c r="B70" s="33" t="s">
        <v>100</v>
      </c>
      <c r="C70" s="33" t="s">
        <v>3</v>
      </c>
      <c r="D70" s="33" t="s">
        <v>3</v>
      </c>
      <c r="E70" s="33" t="s">
        <v>3</v>
      </c>
      <c r="F70" s="33" t="s">
        <v>3</v>
      </c>
      <c r="G70" s="33" t="s">
        <v>3</v>
      </c>
      <c r="H70" s="33" t="s">
        <v>3</v>
      </c>
      <c r="I70" s="33" t="s">
        <v>3</v>
      </c>
      <c r="J70" s="33" t="s">
        <v>3</v>
      </c>
      <c r="K70" s="33" t="s">
        <v>3</v>
      </c>
      <c r="L70" s="33" t="s">
        <v>3</v>
      </c>
      <c r="M70" s="33" t="s">
        <v>3</v>
      </c>
      <c r="N70" s="33" t="s">
        <v>3</v>
      </c>
      <c r="O70" s="33" t="s">
        <v>3</v>
      </c>
      <c r="P70" s="33" t="s">
        <v>3</v>
      </c>
      <c r="Q70" s="33" t="s">
        <v>3</v>
      </c>
      <c r="R70" s="33" t="s">
        <v>3</v>
      </c>
      <c r="S70" s="33" t="s">
        <v>3</v>
      </c>
      <c r="T70" s="33" t="s">
        <v>3</v>
      </c>
      <c r="U70" s="33" t="s">
        <v>3</v>
      </c>
      <c r="V70" s="33" t="s">
        <v>3</v>
      </c>
      <c r="W70" s="33" t="s">
        <v>3</v>
      </c>
      <c r="X70" s="33" t="s">
        <v>3</v>
      </c>
      <c r="Y70" s="33" t="s">
        <v>3</v>
      </c>
      <c r="Z70" s="33" t="s">
        <v>3</v>
      </c>
      <c r="AA70" s="33" t="s">
        <v>3</v>
      </c>
      <c r="AB70" s="72" t="s">
        <v>4</v>
      </c>
      <c r="AC70" s="72" t="s">
        <v>1</v>
      </c>
    </row>
    <row r="71" spans="1:29" s="29" customFormat="1">
      <c r="B71" s="73" t="s">
        <v>24</v>
      </c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 spans="1:29" s="29" customFormat="1">
      <c r="B72" s="73" t="s">
        <v>25</v>
      </c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 spans="1:29" s="29" customFormat="1"/>
    <row r="74" spans="1:29" s="29" customFormat="1"/>
    <row r="75" spans="1:29" s="29" customFormat="1"/>
    <row r="76" spans="1:29" s="29" customFormat="1"/>
    <row r="77" spans="1:29" s="29" customFormat="1"/>
    <row r="78" spans="1:29" s="29" customFormat="1">
      <c r="F78" s="36"/>
    </row>
    <row r="79" spans="1:29">
      <c r="F79" s="9"/>
    </row>
    <row r="80" spans="1:29">
      <c r="F80" s="9"/>
    </row>
    <row r="81" spans="6:8">
      <c r="F81" s="9"/>
      <c r="H81" s="2"/>
    </row>
    <row r="82" spans="6:8">
      <c r="F82" s="9"/>
      <c r="H82" s="2"/>
    </row>
    <row r="83" spans="6:8">
      <c r="F83" s="9"/>
      <c r="H83" s="2"/>
    </row>
    <row r="84" spans="6:8">
      <c r="F84" s="9"/>
      <c r="H84" s="2"/>
    </row>
    <row r="85" spans="6:8">
      <c r="F85" s="9"/>
      <c r="H85" s="2"/>
    </row>
    <row r="86" spans="6:8">
      <c r="F86" s="9"/>
    </row>
    <row r="87" spans="6:8">
      <c r="F87" s="9"/>
    </row>
    <row r="88" spans="6:8">
      <c r="F88" s="9"/>
    </row>
    <row r="89" spans="6:8">
      <c r="F89" s="9"/>
    </row>
    <row r="90" spans="6:8">
      <c r="F90" s="9"/>
    </row>
    <row r="91" spans="6:8">
      <c r="F91" s="9"/>
    </row>
    <row r="92" spans="6:8">
      <c r="F92" s="9"/>
    </row>
    <row r="93" spans="6:8">
      <c r="F93" s="9"/>
    </row>
    <row r="94" spans="6:8">
      <c r="F94" s="9"/>
    </row>
    <row r="95" spans="6:8">
      <c r="F95" s="9"/>
    </row>
    <row r="96" spans="6:8">
      <c r="F96" s="9"/>
    </row>
    <row r="97" spans="6:6">
      <c r="F97" s="9"/>
    </row>
    <row r="98" spans="6:6">
      <c r="F98" s="9"/>
    </row>
    <row r="99" spans="6:6">
      <c r="F99" s="9"/>
    </row>
    <row r="100" spans="6:6">
      <c r="F100" s="9"/>
    </row>
    <row r="101" spans="6:6">
      <c r="F101" s="9"/>
    </row>
    <row r="102" spans="6:6">
      <c r="F102" s="9"/>
    </row>
    <row r="103" spans="6:6">
      <c r="F103" s="2"/>
    </row>
    <row r="104" spans="6:6">
      <c r="F104" s="2"/>
    </row>
    <row r="105" spans="6:6">
      <c r="F105" s="2"/>
    </row>
    <row r="106" spans="6:6">
      <c r="F106" s="2"/>
    </row>
    <row r="107" spans="6:6">
      <c r="F107" s="9"/>
    </row>
    <row r="108" spans="6:6">
      <c r="F108" s="9"/>
    </row>
    <row r="109" spans="6:6">
      <c r="F109" s="9"/>
    </row>
    <row r="110" spans="6:6">
      <c r="F110" s="9"/>
    </row>
    <row r="111" spans="6:6">
      <c r="F111" s="9"/>
    </row>
    <row r="112" spans="6:6">
      <c r="F112" s="9"/>
    </row>
    <row r="113" spans="6:6">
      <c r="F113" s="9"/>
    </row>
    <row r="114" spans="6:6">
      <c r="F114" s="9"/>
    </row>
    <row r="115" spans="6:6">
      <c r="F115" s="9"/>
    </row>
    <row r="116" spans="6:6">
      <c r="F116" s="9"/>
    </row>
    <row r="117" spans="6:6">
      <c r="F117" s="9"/>
    </row>
  </sheetData>
  <autoFilter ref="A2:AC72"/>
  <mergeCells count="5">
    <mergeCell ref="B1:AA1"/>
    <mergeCell ref="B71:AA71"/>
    <mergeCell ref="B72:AA72"/>
    <mergeCell ref="AB2:AB70"/>
    <mergeCell ref="AC1:AC7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A1:AE10"/>
  <sheetViews>
    <sheetView rightToLeft="1" workbookViewId="0"/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74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E1" s="74" t="s">
        <v>1</v>
      </c>
    </row>
    <row r="2" spans="1:31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67</v>
      </c>
      <c r="J2" s="4" t="s">
        <v>104</v>
      </c>
      <c r="K2" s="4" t="s">
        <v>178</v>
      </c>
      <c r="L2" s="4" t="s">
        <v>1115</v>
      </c>
      <c r="M2" s="4" t="s">
        <v>171</v>
      </c>
      <c r="N2" s="4" t="s">
        <v>874</v>
      </c>
      <c r="O2" s="4" t="s">
        <v>172</v>
      </c>
      <c r="P2" s="4" t="s">
        <v>899</v>
      </c>
      <c r="Q2" s="4" t="s">
        <v>71</v>
      </c>
      <c r="R2" s="4" t="s">
        <v>906</v>
      </c>
      <c r="S2" s="4" t="s">
        <v>907</v>
      </c>
      <c r="T2" s="4" t="s">
        <v>909</v>
      </c>
      <c r="U2" s="4" t="s">
        <v>875</v>
      </c>
      <c r="V2" s="4" t="s">
        <v>876</v>
      </c>
      <c r="W2" s="4" t="s">
        <v>111</v>
      </c>
      <c r="X2" s="4" t="s">
        <v>112</v>
      </c>
      <c r="Y2" s="4" t="s">
        <v>73</v>
      </c>
      <c r="Z2" s="4" t="s">
        <v>75</v>
      </c>
      <c r="AA2" s="4" t="s">
        <v>76</v>
      </c>
      <c r="AB2" s="4" t="s">
        <v>77</v>
      </c>
      <c r="AC2" s="4" t="s">
        <v>3</v>
      </c>
      <c r="AD2" s="74" t="s">
        <v>4</v>
      </c>
      <c r="AE2" s="74" t="s">
        <v>1</v>
      </c>
    </row>
    <row r="3" spans="1:31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74" t="s">
        <v>4</v>
      </c>
      <c r="AE3" s="74" t="s">
        <v>1</v>
      </c>
    </row>
    <row r="4" spans="1:31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74" t="s">
        <v>4</v>
      </c>
      <c r="AE4" s="74" t="s">
        <v>1</v>
      </c>
    </row>
    <row r="5" spans="1:31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74" t="s">
        <v>4</v>
      </c>
      <c r="AE5" s="74" t="s">
        <v>1</v>
      </c>
    </row>
    <row r="6" spans="1:31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74" t="s">
        <v>4</v>
      </c>
      <c r="AE6" s="74" t="s">
        <v>1</v>
      </c>
    </row>
    <row r="7" spans="1:31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74" t="s">
        <v>4</v>
      </c>
      <c r="AE7" s="74" t="s">
        <v>1</v>
      </c>
    </row>
    <row r="8" spans="1:31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74" t="s">
        <v>4</v>
      </c>
      <c r="AE8" s="74" t="s">
        <v>1</v>
      </c>
    </row>
    <row r="9" spans="1:31">
      <c r="B9" s="74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31">
      <c r="B10" s="74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A1:AE10"/>
  <sheetViews>
    <sheetView rightToLeft="1" workbookViewId="0"/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1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75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E1" s="75" t="s">
        <v>1</v>
      </c>
    </row>
    <row r="2" spans="1:31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171</v>
      </c>
      <c r="M2" s="4" t="s">
        <v>1116</v>
      </c>
      <c r="N2" s="4" t="s">
        <v>874</v>
      </c>
      <c r="O2" s="4" t="s">
        <v>172</v>
      </c>
      <c r="P2" s="4" t="s">
        <v>899</v>
      </c>
      <c r="Q2" s="4" t="s">
        <v>71</v>
      </c>
      <c r="R2" s="4" t="s">
        <v>906</v>
      </c>
      <c r="S2" s="4" t="s">
        <v>907</v>
      </c>
      <c r="T2" s="4" t="s">
        <v>909</v>
      </c>
      <c r="U2" s="4" t="s">
        <v>875</v>
      </c>
      <c r="V2" s="4" t="s">
        <v>876</v>
      </c>
      <c r="W2" s="4" t="s">
        <v>111</v>
      </c>
      <c r="X2" s="4" t="s">
        <v>112</v>
      </c>
      <c r="Y2" s="4" t="s">
        <v>73</v>
      </c>
      <c r="Z2" s="4" t="s">
        <v>75</v>
      </c>
      <c r="AA2" s="4" t="s">
        <v>76</v>
      </c>
      <c r="AB2" s="4" t="s">
        <v>77</v>
      </c>
      <c r="AC2" s="4" t="s">
        <v>3</v>
      </c>
      <c r="AD2" s="75" t="s">
        <v>4</v>
      </c>
      <c r="AE2" s="75" t="s">
        <v>1</v>
      </c>
    </row>
    <row r="3" spans="1:31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75" t="s">
        <v>4</v>
      </c>
      <c r="AE3" s="75" t="s">
        <v>1</v>
      </c>
    </row>
    <row r="4" spans="1:31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75" t="s">
        <v>4</v>
      </c>
      <c r="AE4" s="75" t="s">
        <v>1</v>
      </c>
    </row>
    <row r="5" spans="1:31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75" t="s">
        <v>4</v>
      </c>
      <c r="AE5" s="75" t="s">
        <v>1</v>
      </c>
    </row>
    <row r="6" spans="1:31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75" t="s">
        <v>4</v>
      </c>
      <c r="AE6" s="75" t="s">
        <v>1</v>
      </c>
    </row>
    <row r="7" spans="1:31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75" t="s">
        <v>4</v>
      </c>
      <c r="AE7" s="75" t="s">
        <v>1</v>
      </c>
    </row>
    <row r="8" spans="1:31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75" t="s">
        <v>4</v>
      </c>
      <c r="AE8" s="75" t="s">
        <v>1</v>
      </c>
    </row>
    <row r="9" spans="1:31">
      <c r="B9" s="75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31">
      <c r="B10" s="75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A1:AS13"/>
  <sheetViews>
    <sheetView rightToLeft="1" topLeftCell="J1" workbookViewId="0">
      <selection activeCell="R8" sqref="R8"/>
    </sheetView>
  </sheetViews>
  <sheetFormatPr defaultRowHeight="14.25"/>
  <cols>
    <col min="1" max="1" width="36" customWidth="1"/>
    <col min="2" max="2" width="12" customWidth="1"/>
    <col min="3" max="3" width="18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28" customWidth="1"/>
    <col min="17" max="17" width="31" customWidth="1"/>
    <col min="18" max="18" width="27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30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  <col min="42" max="42" width="2" customWidth="1"/>
  </cols>
  <sheetData>
    <row r="1" spans="1:45">
      <c r="B1" s="76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R1" s="76" t="s">
        <v>1</v>
      </c>
    </row>
    <row r="2" spans="1:45">
      <c r="A2" s="4" t="s">
        <v>61</v>
      </c>
      <c r="B2" s="4" t="s">
        <v>62</v>
      </c>
      <c r="C2" s="4" t="s">
        <v>66</v>
      </c>
      <c r="D2" s="4" t="s">
        <v>1117</v>
      </c>
      <c r="E2" s="4" t="s">
        <v>1118</v>
      </c>
      <c r="F2" s="4" t="s">
        <v>73</v>
      </c>
      <c r="G2" s="4" t="s">
        <v>1119</v>
      </c>
      <c r="H2" s="4" t="s">
        <v>1120</v>
      </c>
      <c r="I2" s="4" t="s">
        <v>1121</v>
      </c>
      <c r="J2" s="4" t="s">
        <v>1122</v>
      </c>
      <c r="K2" s="4" t="s">
        <v>1123</v>
      </c>
      <c r="L2" s="4" t="s">
        <v>1124</v>
      </c>
      <c r="M2" s="4" t="s">
        <v>73</v>
      </c>
      <c r="N2" s="4" t="s">
        <v>1125</v>
      </c>
      <c r="O2" s="4" t="s">
        <v>1126</v>
      </c>
      <c r="P2" s="4" t="s">
        <v>1127</v>
      </c>
      <c r="Q2" s="4" t="s">
        <v>1128</v>
      </c>
      <c r="R2" s="4" t="s">
        <v>1129</v>
      </c>
      <c r="S2" s="4" t="s">
        <v>67</v>
      </c>
      <c r="T2" s="4" t="s">
        <v>104</v>
      </c>
      <c r="U2" s="4" t="s">
        <v>1130</v>
      </c>
      <c r="V2" s="4" t="s">
        <v>1131</v>
      </c>
      <c r="W2" s="4" t="s">
        <v>1132</v>
      </c>
      <c r="X2" s="4" t="s">
        <v>1133</v>
      </c>
      <c r="Y2" s="4" t="s">
        <v>172</v>
      </c>
      <c r="Z2" s="4" t="s">
        <v>1134</v>
      </c>
      <c r="AA2" s="4" t="s">
        <v>1135</v>
      </c>
      <c r="AB2" s="4" t="s">
        <v>1136</v>
      </c>
      <c r="AC2" s="4" t="s">
        <v>1137</v>
      </c>
      <c r="AD2" s="4" t="s">
        <v>1138</v>
      </c>
      <c r="AE2" s="4" t="s">
        <v>1139</v>
      </c>
      <c r="AF2" s="4" t="s">
        <v>174</v>
      </c>
      <c r="AG2" s="4" t="s">
        <v>1140</v>
      </c>
      <c r="AH2" s="4" t="s">
        <v>1141</v>
      </c>
      <c r="AI2" s="4" t="s">
        <v>1142</v>
      </c>
      <c r="AJ2" s="4" t="s">
        <v>1143</v>
      </c>
      <c r="AK2" s="4" t="s">
        <v>1144</v>
      </c>
      <c r="AL2" s="4" t="s">
        <v>1145</v>
      </c>
      <c r="AM2" s="4" t="s">
        <v>1146</v>
      </c>
      <c r="AN2" s="4" t="s">
        <v>76</v>
      </c>
      <c r="AO2" s="4" t="s">
        <v>77</v>
      </c>
      <c r="AP2" s="4" t="s">
        <v>3</v>
      </c>
      <c r="AQ2" s="76" t="s">
        <v>4</v>
      </c>
      <c r="AR2" s="76" t="s">
        <v>1</v>
      </c>
    </row>
    <row r="3" spans="1:45">
      <c r="A3" s="2" t="s">
        <v>78</v>
      </c>
      <c r="B3" s="2" t="s">
        <v>79</v>
      </c>
      <c r="C3" s="2" t="s">
        <v>1147</v>
      </c>
      <c r="D3" s="9">
        <v>9929102</v>
      </c>
      <c r="E3" s="2" t="s">
        <v>91</v>
      </c>
      <c r="F3" s="5">
        <v>3.681</v>
      </c>
      <c r="G3" s="5">
        <v>-993000</v>
      </c>
      <c r="H3" s="5">
        <v>35.87133</v>
      </c>
      <c r="I3" s="6">
        <v>-2.8939300000000001E-2</v>
      </c>
      <c r="J3" s="6">
        <v>4.3000000000000002E-5</v>
      </c>
      <c r="K3" s="9">
        <v>9929102</v>
      </c>
      <c r="L3" s="2" t="s">
        <v>87</v>
      </c>
      <c r="M3" s="5">
        <v>1</v>
      </c>
      <c r="N3" s="5">
        <v>3624450</v>
      </c>
      <c r="O3" s="5">
        <v>-53.146549999999998</v>
      </c>
      <c r="P3" s="6">
        <v>-6.3700000000000003E-5</v>
      </c>
      <c r="Q3" s="6">
        <v>4.2876200000000003E-2</v>
      </c>
      <c r="R3" s="5">
        <v>-17.275220000000001</v>
      </c>
      <c r="S3" s="2" t="s">
        <v>83</v>
      </c>
      <c r="T3" s="2" t="s">
        <v>83</v>
      </c>
      <c r="U3" s="2" t="s">
        <v>1148</v>
      </c>
      <c r="V3" s="2" t="s">
        <v>149</v>
      </c>
      <c r="W3" s="2" t="s">
        <v>1149</v>
      </c>
      <c r="X3" s="2" t="s">
        <v>1150</v>
      </c>
      <c r="Y3" s="2" t="s">
        <v>84</v>
      </c>
      <c r="Z3" s="2" t="s">
        <v>1151</v>
      </c>
      <c r="AA3" s="2" t="s">
        <v>1152</v>
      </c>
      <c r="AB3" s="2" t="s">
        <v>1153</v>
      </c>
      <c r="AC3" s="2" t="s">
        <v>1154</v>
      </c>
      <c r="AD3" s="2" t="s">
        <v>84</v>
      </c>
      <c r="AE3" s="2" t="s">
        <v>1155</v>
      </c>
      <c r="AF3" s="2" t="s">
        <v>497</v>
      </c>
      <c r="AG3" s="2" t="s">
        <v>1153</v>
      </c>
      <c r="AH3" s="6">
        <v>5.5570000000000001E-2</v>
      </c>
      <c r="AI3" s="5">
        <v>-3.6124200000000002</v>
      </c>
      <c r="AJ3" s="5">
        <v>3.62982</v>
      </c>
      <c r="AK3" s="2" t="s">
        <v>84</v>
      </c>
      <c r="AL3" s="2" t="s">
        <v>1156</v>
      </c>
      <c r="AM3" s="2" t="s">
        <v>1157</v>
      </c>
      <c r="AN3" s="6">
        <v>1.39369E-2</v>
      </c>
      <c r="AO3" s="6">
        <v>-2.0699999999999998E-5</v>
      </c>
      <c r="AP3" s="2" t="s">
        <v>3</v>
      </c>
      <c r="AQ3" s="76" t="s">
        <v>4</v>
      </c>
      <c r="AR3" s="76" t="s">
        <v>1</v>
      </c>
      <c r="AS3">
        <f t="shared" ref="AS3:AS10" ca="1" si="0">COUNTBLANK(INDIRECT(SUBSTITUTE(ADDRESS(ROW(),3),"$","")&amp;":"&amp;SUBSTITUTE(ADDRESS(ROW(),COUNTA(INDIRECT("2:2"))-3),"$","")))</f>
        <v>0</v>
      </c>
    </row>
    <row r="4" spans="1:45">
      <c r="A4" s="2" t="s">
        <v>78</v>
      </c>
      <c r="B4" s="2" t="s">
        <v>78</v>
      </c>
      <c r="C4" s="2" t="s">
        <v>1147</v>
      </c>
      <c r="D4" s="9">
        <v>9929102</v>
      </c>
      <c r="E4" s="2" t="s">
        <v>91</v>
      </c>
      <c r="F4" s="5">
        <v>3.681</v>
      </c>
      <c r="G4" s="5">
        <v>-4053000</v>
      </c>
      <c r="H4" s="5">
        <v>146.41138000000001</v>
      </c>
      <c r="I4" s="6">
        <v>-0.118118</v>
      </c>
      <c r="J4" s="6">
        <v>1.7540000000000001E-4</v>
      </c>
      <c r="K4" s="9">
        <v>9929102</v>
      </c>
      <c r="L4" s="2" t="s">
        <v>87</v>
      </c>
      <c r="M4" s="5">
        <v>1</v>
      </c>
      <c r="N4" s="5">
        <v>14793450</v>
      </c>
      <c r="O4" s="5">
        <v>-216.92142000000001</v>
      </c>
      <c r="P4" s="6">
        <v>-2.5979999999999997E-4</v>
      </c>
      <c r="Q4" s="6">
        <v>0.17500229999999997</v>
      </c>
      <c r="R4" s="5">
        <v>-70.510040000000004</v>
      </c>
      <c r="S4" s="2" t="s">
        <v>83</v>
      </c>
      <c r="T4" s="2" t="s">
        <v>83</v>
      </c>
      <c r="U4" s="2" t="s">
        <v>1148</v>
      </c>
      <c r="V4" s="2" t="s">
        <v>149</v>
      </c>
      <c r="W4" s="2" t="s">
        <v>1149</v>
      </c>
      <c r="X4" s="2" t="s">
        <v>1150</v>
      </c>
      <c r="Y4" s="2" t="s">
        <v>84</v>
      </c>
      <c r="Z4" s="2" t="s">
        <v>1151</v>
      </c>
      <c r="AA4" s="2" t="s">
        <v>1152</v>
      </c>
      <c r="AB4" s="2" t="s">
        <v>1153</v>
      </c>
      <c r="AC4" s="2" t="s">
        <v>1154</v>
      </c>
      <c r="AD4" s="2" t="s">
        <v>84</v>
      </c>
      <c r="AE4" s="2" t="s">
        <v>1155</v>
      </c>
      <c r="AF4" s="2" t="s">
        <v>497</v>
      </c>
      <c r="AG4" s="2" t="s">
        <v>1153</v>
      </c>
      <c r="AH4" s="6">
        <v>5.5570000000000001E-2</v>
      </c>
      <c r="AI4" s="5">
        <v>-3.6124200000000002</v>
      </c>
      <c r="AJ4" s="5">
        <v>3.62982</v>
      </c>
      <c r="AK4" s="2" t="s">
        <v>84</v>
      </c>
      <c r="AL4" s="2" t="s">
        <v>1156</v>
      </c>
      <c r="AM4" s="2" t="s">
        <v>1157</v>
      </c>
      <c r="AN4" s="6">
        <v>5.6884300000000006E-2</v>
      </c>
      <c r="AO4" s="6">
        <v>-8.4499999999999994E-5</v>
      </c>
      <c r="AP4" s="2" t="s">
        <v>3</v>
      </c>
      <c r="AQ4" s="76" t="s">
        <v>4</v>
      </c>
      <c r="AR4" s="76" t="s">
        <v>1</v>
      </c>
      <c r="AS4">
        <f t="shared" ca="1" si="0"/>
        <v>0</v>
      </c>
    </row>
    <row r="5" spans="1:45">
      <c r="A5" s="2" t="s">
        <v>78</v>
      </c>
      <c r="B5" s="2" t="s">
        <v>78</v>
      </c>
      <c r="C5" s="2" t="s">
        <v>1147</v>
      </c>
      <c r="D5" s="9">
        <v>9929105</v>
      </c>
      <c r="E5" s="2" t="s">
        <v>90</v>
      </c>
      <c r="F5" s="5">
        <v>3.9790999999999999</v>
      </c>
      <c r="G5" s="5">
        <v>-190500</v>
      </c>
      <c r="H5" s="5">
        <v>7.5035699999999999</v>
      </c>
      <c r="I5" s="6">
        <v>-6.0535000000000007E-3</v>
      </c>
      <c r="J5" s="6">
        <v>9.0000000000000002E-6</v>
      </c>
      <c r="K5" s="9">
        <v>9929105</v>
      </c>
      <c r="L5" s="2" t="s">
        <v>87</v>
      </c>
      <c r="M5" s="5">
        <v>1</v>
      </c>
      <c r="N5" s="5">
        <v>757999.5</v>
      </c>
      <c r="O5" s="5">
        <v>-7.5471899999999996</v>
      </c>
      <c r="P5" s="6">
        <v>-9.0000000000000002E-6</v>
      </c>
      <c r="Q5" s="6">
        <v>6.0886999999999998E-3</v>
      </c>
      <c r="R5" s="5">
        <v>-4.3619999999999999E-2</v>
      </c>
      <c r="S5" s="2" t="s">
        <v>83</v>
      </c>
      <c r="T5" s="2" t="s">
        <v>83</v>
      </c>
      <c r="U5" s="2" t="s">
        <v>1148</v>
      </c>
      <c r="V5" s="2" t="s">
        <v>149</v>
      </c>
      <c r="W5" s="2" t="s">
        <v>1149</v>
      </c>
      <c r="X5" s="2" t="s">
        <v>1158</v>
      </c>
      <c r="Y5" s="2" t="s">
        <v>84</v>
      </c>
      <c r="Z5" s="2" t="s">
        <v>1151</v>
      </c>
      <c r="AA5" s="2" t="s">
        <v>1152</v>
      </c>
      <c r="AB5" s="2" t="s">
        <v>1153</v>
      </c>
      <c r="AC5" s="2" t="s">
        <v>1154</v>
      </c>
      <c r="AD5" s="2" t="s">
        <v>84</v>
      </c>
      <c r="AE5" s="2" t="s">
        <v>1155</v>
      </c>
      <c r="AF5" s="2" t="s">
        <v>497</v>
      </c>
      <c r="AG5" s="2" t="s">
        <v>1153</v>
      </c>
      <c r="AH5" s="6">
        <v>3.891E-2</v>
      </c>
      <c r="AI5" s="5">
        <v>-3.9388800000000002</v>
      </c>
      <c r="AJ5" s="5">
        <v>3.9391099999999999</v>
      </c>
      <c r="AK5" s="2" t="s">
        <v>84</v>
      </c>
      <c r="AL5" s="2" t="s">
        <v>1156</v>
      </c>
      <c r="AM5" s="2" t="s">
        <v>1157</v>
      </c>
      <c r="AN5" s="6">
        <v>3.5200000000000002E-5</v>
      </c>
      <c r="AO5" s="6">
        <v>-1.0000000000000001E-7</v>
      </c>
      <c r="AP5" s="2" t="s">
        <v>3</v>
      </c>
      <c r="AQ5" s="76" t="s">
        <v>4</v>
      </c>
      <c r="AR5" s="76" t="s">
        <v>1</v>
      </c>
      <c r="AS5">
        <f t="shared" ca="1" si="0"/>
        <v>0</v>
      </c>
    </row>
    <row r="6" spans="1:45">
      <c r="A6" s="2" t="s">
        <v>78</v>
      </c>
      <c r="B6" s="2" t="s">
        <v>94</v>
      </c>
      <c r="C6" s="2" t="s">
        <v>1147</v>
      </c>
      <c r="D6" s="9">
        <v>9929102</v>
      </c>
      <c r="E6" s="2" t="s">
        <v>91</v>
      </c>
      <c r="F6" s="5">
        <v>3.681</v>
      </c>
      <c r="G6" s="5">
        <v>-2038000</v>
      </c>
      <c r="H6" s="5">
        <v>73.621120000000005</v>
      </c>
      <c r="I6" s="6">
        <v>-5.9394099999999998E-2</v>
      </c>
      <c r="J6" s="6">
        <v>8.8200000000000003E-5</v>
      </c>
      <c r="K6" s="9">
        <v>9929102</v>
      </c>
      <c r="L6" s="2" t="s">
        <v>87</v>
      </c>
      <c r="M6" s="5">
        <v>1</v>
      </c>
      <c r="N6" s="5">
        <v>7438700</v>
      </c>
      <c r="O6" s="5">
        <v>-109.0762</v>
      </c>
      <c r="P6" s="6">
        <v>-1.3070000000000001E-4</v>
      </c>
      <c r="Q6" s="6">
        <v>8.7997700000000012E-2</v>
      </c>
      <c r="R6" s="5">
        <v>-35.455080000000002</v>
      </c>
      <c r="S6" s="2" t="s">
        <v>83</v>
      </c>
      <c r="T6" s="2" t="s">
        <v>83</v>
      </c>
      <c r="U6" s="2" t="s">
        <v>1148</v>
      </c>
      <c r="V6" s="2" t="s">
        <v>149</v>
      </c>
      <c r="W6" s="2" t="s">
        <v>1149</v>
      </c>
      <c r="X6" s="2" t="s">
        <v>1150</v>
      </c>
      <c r="Y6" s="2" t="s">
        <v>84</v>
      </c>
      <c r="Z6" s="2" t="s">
        <v>1151</v>
      </c>
      <c r="AA6" s="2" t="s">
        <v>1152</v>
      </c>
      <c r="AB6" s="2" t="s">
        <v>1153</v>
      </c>
      <c r="AC6" s="2" t="s">
        <v>1154</v>
      </c>
      <c r="AD6" s="2" t="s">
        <v>84</v>
      </c>
      <c r="AE6" s="2" t="s">
        <v>1155</v>
      </c>
      <c r="AF6" s="2" t="s">
        <v>497</v>
      </c>
      <c r="AG6" s="2" t="s">
        <v>1153</v>
      </c>
      <c r="AH6" s="6">
        <v>5.5570000000000001E-2</v>
      </c>
      <c r="AI6" s="5">
        <v>-3.6124200000000002</v>
      </c>
      <c r="AJ6" s="5">
        <v>3.62982</v>
      </c>
      <c r="AK6" s="2" t="s">
        <v>84</v>
      </c>
      <c r="AL6" s="2" t="s">
        <v>1156</v>
      </c>
      <c r="AM6" s="2" t="s">
        <v>1157</v>
      </c>
      <c r="AN6" s="6">
        <v>2.86035E-2</v>
      </c>
      <c r="AO6" s="6">
        <v>-4.2500000000000003E-5</v>
      </c>
      <c r="AP6" s="2" t="s">
        <v>3</v>
      </c>
      <c r="AQ6" s="76" t="s">
        <v>4</v>
      </c>
      <c r="AR6" s="76" t="s">
        <v>1</v>
      </c>
      <c r="AS6">
        <f t="shared" ca="1" si="0"/>
        <v>0</v>
      </c>
    </row>
    <row r="7" spans="1:45">
      <c r="A7" s="2" t="s">
        <v>78</v>
      </c>
      <c r="B7" s="2" t="s">
        <v>94</v>
      </c>
      <c r="C7" s="2" t="s">
        <v>1147</v>
      </c>
      <c r="D7" s="9">
        <v>9929105</v>
      </c>
      <c r="E7" s="2" t="s">
        <v>90</v>
      </c>
      <c r="F7" s="5">
        <v>3.9790999999999999</v>
      </c>
      <c r="G7" s="5">
        <v>-23000</v>
      </c>
      <c r="H7" s="5">
        <v>0.90593999999999997</v>
      </c>
      <c r="I7" s="6">
        <v>-7.3090000000000004E-4</v>
      </c>
      <c r="J7" s="6">
        <v>1.1000000000000001E-6</v>
      </c>
      <c r="K7" s="9">
        <v>9929105</v>
      </c>
      <c r="L7" s="2" t="s">
        <v>87</v>
      </c>
      <c r="M7" s="5">
        <v>1</v>
      </c>
      <c r="N7" s="5">
        <v>91517</v>
      </c>
      <c r="O7" s="5">
        <v>-0.91120000000000001</v>
      </c>
      <c r="P7" s="6">
        <v>-1.1000000000000001E-6</v>
      </c>
      <c r="Q7" s="6">
        <v>7.3510000000000003E-4</v>
      </c>
      <c r="R7" s="5">
        <v>-5.2599999999999999E-3</v>
      </c>
      <c r="S7" s="2" t="s">
        <v>83</v>
      </c>
      <c r="T7" s="2" t="s">
        <v>83</v>
      </c>
      <c r="U7" s="2" t="s">
        <v>1148</v>
      </c>
      <c r="V7" s="2" t="s">
        <v>149</v>
      </c>
      <c r="W7" s="2" t="s">
        <v>1149</v>
      </c>
      <c r="X7" s="2" t="s">
        <v>1158</v>
      </c>
      <c r="Y7" s="2" t="s">
        <v>84</v>
      </c>
      <c r="Z7" s="2" t="s">
        <v>1151</v>
      </c>
      <c r="AA7" s="2" t="s">
        <v>1152</v>
      </c>
      <c r="AB7" s="2" t="s">
        <v>1153</v>
      </c>
      <c r="AC7" s="2" t="s">
        <v>1154</v>
      </c>
      <c r="AD7" s="2" t="s">
        <v>84</v>
      </c>
      <c r="AE7" s="2" t="s">
        <v>1155</v>
      </c>
      <c r="AF7" s="2" t="s">
        <v>497</v>
      </c>
      <c r="AG7" s="2" t="s">
        <v>1153</v>
      </c>
      <c r="AH7" s="6">
        <v>3.891E-2</v>
      </c>
      <c r="AI7" s="5">
        <v>-3.9388800000000002</v>
      </c>
      <c r="AJ7" s="5">
        <v>3.9391099999999999</v>
      </c>
      <c r="AK7" s="2" t="s">
        <v>84</v>
      </c>
      <c r="AL7" s="2" t="s">
        <v>1156</v>
      </c>
      <c r="AM7" s="2" t="s">
        <v>1157</v>
      </c>
      <c r="AN7" s="6">
        <v>4.2000000000000004E-6</v>
      </c>
      <c r="AO7" s="6">
        <v>0</v>
      </c>
      <c r="AP7" s="2" t="s">
        <v>3</v>
      </c>
      <c r="AQ7" s="76" t="s">
        <v>4</v>
      </c>
      <c r="AR7" s="76" t="s">
        <v>1</v>
      </c>
      <c r="AS7">
        <f t="shared" ca="1" si="0"/>
        <v>0</v>
      </c>
    </row>
    <row r="8" spans="1:45">
      <c r="A8" s="2" t="s">
        <v>78</v>
      </c>
      <c r="B8" s="2" t="s">
        <v>96</v>
      </c>
      <c r="C8" s="2" t="s">
        <v>1147</v>
      </c>
      <c r="D8" s="9">
        <v>9929102</v>
      </c>
      <c r="E8" s="2" t="s">
        <v>91</v>
      </c>
      <c r="F8" s="5">
        <v>3.681</v>
      </c>
      <c r="G8" s="5">
        <v>-6333000</v>
      </c>
      <c r="H8" s="5">
        <v>228.77456000000001</v>
      </c>
      <c r="I8" s="6">
        <v>-0.1845648</v>
      </c>
      <c r="J8" s="6">
        <v>2.7399999999999999E-4</v>
      </c>
      <c r="K8" s="9">
        <v>9929102</v>
      </c>
      <c r="L8" s="2" t="s">
        <v>87</v>
      </c>
      <c r="M8" s="5">
        <v>1</v>
      </c>
      <c r="N8" s="5">
        <v>23115450</v>
      </c>
      <c r="O8" s="5">
        <v>-338.94976000000003</v>
      </c>
      <c r="P8" s="6">
        <v>-4.0599999999999995E-4</v>
      </c>
      <c r="Q8" s="6">
        <v>0.2734491</v>
      </c>
      <c r="R8" s="5">
        <v>-110.1752</v>
      </c>
      <c r="S8" s="2" t="s">
        <v>83</v>
      </c>
      <c r="T8" s="2" t="s">
        <v>83</v>
      </c>
      <c r="U8" s="2" t="s">
        <v>1148</v>
      </c>
      <c r="V8" s="2" t="s">
        <v>149</v>
      </c>
      <c r="W8" s="2" t="s">
        <v>1149</v>
      </c>
      <c r="X8" s="2" t="s">
        <v>1150</v>
      </c>
      <c r="Y8" s="2" t="s">
        <v>84</v>
      </c>
      <c r="Z8" s="2" t="s">
        <v>1151</v>
      </c>
      <c r="AA8" s="2" t="s">
        <v>1152</v>
      </c>
      <c r="AB8" s="2" t="s">
        <v>1153</v>
      </c>
      <c r="AC8" s="2" t="s">
        <v>1154</v>
      </c>
      <c r="AD8" s="2" t="s">
        <v>84</v>
      </c>
      <c r="AE8" s="2" t="s">
        <v>1155</v>
      </c>
      <c r="AF8" s="2" t="s">
        <v>497</v>
      </c>
      <c r="AG8" s="2" t="s">
        <v>1153</v>
      </c>
      <c r="AH8" s="6">
        <v>5.5570000000000001E-2</v>
      </c>
      <c r="AI8" s="5">
        <v>-3.6124200000000002</v>
      </c>
      <c r="AJ8" s="5">
        <v>3.62982</v>
      </c>
      <c r="AK8" s="2" t="s">
        <v>84</v>
      </c>
      <c r="AL8" s="2" t="s">
        <v>1156</v>
      </c>
      <c r="AM8" s="2" t="s">
        <v>1157</v>
      </c>
      <c r="AN8" s="6">
        <v>8.8884299999999999E-2</v>
      </c>
      <c r="AO8" s="6">
        <v>-1.3200000000000001E-4</v>
      </c>
      <c r="AP8" s="2" t="s">
        <v>3</v>
      </c>
      <c r="AQ8" s="76" t="s">
        <v>4</v>
      </c>
      <c r="AR8" s="76" t="s">
        <v>1</v>
      </c>
      <c r="AS8">
        <f t="shared" ca="1" si="0"/>
        <v>0</v>
      </c>
    </row>
    <row r="9" spans="1:45">
      <c r="A9" s="2" t="s">
        <v>78</v>
      </c>
      <c r="B9" s="2" t="s">
        <v>98</v>
      </c>
      <c r="C9" s="2" t="s">
        <v>1147</v>
      </c>
      <c r="D9" s="9">
        <v>9929102</v>
      </c>
      <c r="E9" s="2" t="s">
        <v>91</v>
      </c>
      <c r="F9" s="5">
        <v>3.681</v>
      </c>
      <c r="G9" s="5">
        <v>-57789300</v>
      </c>
      <c r="H9" s="5">
        <v>2087.5922300000002</v>
      </c>
      <c r="I9" s="6">
        <v>-1.6841737000000001</v>
      </c>
      <c r="J9" s="6">
        <v>2.5005000000000001E-3</v>
      </c>
      <c r="K9" s="9">
        <v>9929102</v>
      </c>
      <c r="L9" s="2" t="s">
        <v>87</v>
      </c>
      <c r="M9" s="5">
        <v>1</v>
      </c>
      <c r="N9" s="5">
        <v>210930945</v>
      </c>
      <c r="O9" s="5">
        <v>-3092.9526799999999</v>
      </c>
      <c r="P9" s="6">
        <v>-3.7047999999999998E-3</v>
      </c>
      <c r="Q9" s="6">
        <v>2.4952524</v>
      </c>
      <c r="R9" s="5">
        <v>-1005.36045</v>
      </c>
      <c r="S9" s="2" t="s">
        <v>83</v>
      </c>
      <c r="T9" s="2" t="s">
        <v>83</v>
      </c>
      <c r="U9" s="2" t="s">
        <v>1148</v>
      </c>
      <c r="V9" s="2" t="s">
        <v>149</v>
      </c>
      <c r="W9" s="2" t="s">
        <v>1149</v>
      </c>
      <c r="X9" s="2" t="s">
        <v>1150</v>
      </c>
      <c r="Y9" s="2" t="s">
        <v>84</v>
      </c>
      <c r="Z9" s="2" t="s">
        <v>1151</v>
      </c>
      <c r="AA9" s="2" t="s">
        <v>1152</v>
      </c>
      <c r="AB9" s="2" t="s">
        <v>1153</v>
      </c>
      <c r="AC9" s="2" t="s">
        <v>1154</v>
      </c>
      <c r="AD9" s="2" t="s">
        <v>84</v>
      </c>
      <c r="AE9" s="2" t="s">
        <v>1155</v>
      </c>
      <c r="AF9" s="2" t="s">
        <v>497</v>
      </c>
      <c r="AG9" s="2" t="s">
        <v>1153</v>
      </c>
      <c r="AH9" s="6">
        <v>5.5570000000000001E-2</v>
      </c>
      <c r="AI9" s="5">
        <v>-3.6124200000000002</v>
      </c>
      <c r="AJ9" s="5">
        <v>3.62982</v>
      </c>
      <c r="AK9" s="2" t="s">
        <v>84</v>
      </c>
      <c r="AL9" s="2" t="s">
        <v>1156</v>
      </c>
      <c r="AM9" s="2" t="s">
        <v>1157</v>
      </c>
      <c r="AN9" s="6">
        <v>0.81107870000000004</v>
      </c>
      <c r="AO9" s="6">
        <v>-1.2041999999999999E-3</v>
      </c>
      <c r="AP9" s="2" t="s">
        <v>3</v>
      </c>
      <c r="AQ9" s="76" t="s">
        <v>4</v>
      </c>
      <c r="AR9" s="76" t="s">
        <v>1</v>
      </c>
      <c r="AS9">
        <f t="shared" ca="1" si="0"/>
        <v>0</v>
      </c>
    </row>
    <row r="10" spans="1:45">
      <c r="A10" s="2" t="s">
        <v>78</v>
      </c>
      <c r="B10" s="2" t="s">
        <v>98</v>
      </c>
      <c r="C10" s="2" t="s">
        <v>1147</v>
      </c>
      <c r="D10" s="9">
        <v>9929105</v>
      </c>
      <c r="E10" s="2" t="s">
        <v>90</v>
      </c>
      <c r="F10" s="5">
        <v>3.9790999999999999</v>
      </c>
      <c r="G10" s="5">
        <v>-3101000</v>
      </c>
      <c r="H10" s="5">
        <v>122.14467</v>
      </c>
      <c r="I10" s="6">
        <v>-9.8540699999999995E-2</v>
      </c>
      <c r="J10" s="6">
        <v>1.4630000000000001E-4</v>
      </c>
      <c r="K10" s="9">
        <v>9929105</v>
      </c>
      <c r="L10" s="2" t="s">
        <v>87</v>
      </c>
      <c r="M10" s="5">
        <v>1</v>
      </c>
      <c r="N10" s="5">
        <v>12338879</v>
      </c>
      <c r="O10" s="5">
        <v>-122.85478999999999</v>
      </c>
      <c r="P10" s="6">
        <v>-1.472E-4</v>
      </c>
      <c r="Q10" s="6">
        <v>9.9113599999999996E-2</v>
      </c>
      <c r="R10" s="5">
        <v>-0.71011999999999997</v>
      </c>
      <c r="S10" s="2" t="s">
        <v>83</v>
      </c>
      <c r="T10" s="2" t="s">
        <v>83</v>
      </c>
      <c r="U10" s="2" t="s">
        <v>1148</v>
      </c>
      <c r="V10" s="2" t="s">
        <v>149</v>
      </c>
      <c r="W10" s="2" t="s">
        <v>1149</v>
      </c>
      <c r="X10" s="2" t="s">
        <v>1158</v>
      </c>
      <c r="Y10" s="2" t="s">
        <v>84</v>
      </c>
      <c r="Z10" s="2" t="s">
        <v>1151</v>
      </c>
      <c r="AA10" s="2" t="s">
        <v>1152</v>
      </c>
      <c r="AB10" s="2" t="s">
        <v>1153</v>
      </c>
      <c r="AC10" s="2" t="s">
        <v>1154</v>
      </c>
      <c r="AD10" s="2" t="s">
        <v>84</v>
      </c>
      <c r="AE10" s="2" t="s">
        <v>1155</v>
      </c>
      <c r="AF10" s="2" t="s">
        <v>497</v>
      </c>
      <c r="AG10" s="2" t="s">
        <v>1153</v>
      </c>
      <c r="AH10" s="6">
        <v>3.891E-2</v>
      </c>
      <c r="AI10" s="5">
        <v>-3.9388800000000002</v>
      </c>
      <c r="AJ10" s="5">
        <v>3.9391099999999999</v>
      </c>
      <c r="AK10" s="2" t="s">
        <v>84</v>
      </c>
      <c r="AL10" s="2" t="s">
        <v>1156</v>
      </c>
      <c r="AM10" s="2" t="s">
        <v>1157</v>
      </c>
      <c r="AN10" s="6">
        <v>5.7289999999999999E-4</v>
      </c>
      <c r="AO10" s="6">
        <v>-9.0000000000000007E-7</v>
      </c>
      <c r="AP10" s="2" t="s">
        <v>3</v>
      </c>
      <c r="AQ10" s="76" t="s">
        <v>4</v>
      </c>
      <c r="AR10" s="76" t="s">
        <v>1</v>
      </c>
      <c r="AS10">
        <f t="shared" ca="1" si="0"/>
        <v>0</v>
      </c>
    </row>
    <row r="11" spans="1:45">
      <c r="A11" s="2" t="s">
        <v>3</v>
      </c>
      <c r="B11" s="2" t="s">
        <v>100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3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76" t="s">
        <v>4</v>
      </c>
      <c r="AR11" s="76" t="s">
        <v>1</v>
      </c>
    </row>
    <row r="12" spans="1:45">
      <c r="B12" s="76" t="s">
        <v>24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  <row r="13" spans="1:45">
      <c r="B13" s="76" t="s">
        <v>25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</row>
  </sheetData>
  <mergeCells count="5">
    <mergeCell ref="B1:AP1"/>
    <mergeCell ref="B12:AP12"/>
    <mergeCell ref="B13:AP13"/>
    <mergeCell ref="AQ2:AQ11"/>
    <mergeCell ref="AR1:AR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A1:BD10"/>
  <sheetViews>
    <sheetView rightToLeft="1" topLeftCell="J1" workbookViewId="0">
      <selection activeCell="Q18" sqref="Q18"/>
    </sheetView>
  </sheetViews>
  <sheetFormatPr defaultRowHeight="14.25"/>
  <cols>
    <col min="1" max="1" width="36" customWidth="1"/>
    <col min="2" max="2" width="12" customWidth="1"/>
    <col min="3" max="3" width="16" customWidth="1"/>
    <col min="4" max="4" width="20" customWidth="1"/>
    <col min="5" max="5" width="17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0" customWidth="1"/>
    <col min="12" max="12" width="19" customWidth="1"/>
    <col min="13" max="13" width="23" customWidth="1"/>
    <col min="14" max="14" width="28" customWidth="1"/>
    <col min="15" max="15" width="20" customWidth="1"/>
    <col min="16" max="16" width="7" customWidth="1"/>
    <col min="17" max="17" width="9" customWidth="1"/>
    <col min="18" max="18" width="21" customWidth="1"/>
    <col min="19" max="19" width="13" customWidth="1"/>
    <col min="20" max="20" width="7" customWidth="1"/>
    <col min="21" max="21" width="12" customWidth="1"/>
    <col min="22" max="22" width="13" customWidth="1"/>
    <col min="23" max="23" width="11" customWidth="1"/>
    <col min="24" max="24" width="13" customWidth="1"/>
    <col min="25" max="25" width="32" customWidth="1"/>
    <col min="26" max="26" width="14" customWidth="1"/>
    <col min="27" max="27" width="12" customWidth="1"/>
    <col min="28" max="28" width="14" customWidth="1"/>
    <col min="29" max="29" width="11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13" customWidth="1"/>
    <col min="36" max="36" width="19" customWidth="1"/>
    <col min="37" max="37" width="17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4" customWidth="1"/>
    <col min="47" max="47" width="28" customWidth="1"/>
    <col min="48" max="48" width="25" customWidth="1"/>
    <col min="49" max="49" width="29" customWidth="1"/>
    <col min="50" max="50" width="22" customWidth="1"/>
    <col min="51" max="52" width="25" customWidth="1"/>
    <col min="53" max="53" width="23" customWidth="1"/>
    <col min="54" max="54" width="2" customWidth="1"/>
  </cols>
  <sheetData>
    <row r="1" spans="1:56">
      <c r="B1" s="77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D1" s="77" t="s">
        <v>1</v>
      </c>
    </row>
    <row r="2" spans="1:56">
      <c r="A2" s="4" t="s">
        <v>61</v>
      </c>
      <c r="B2" s="4" t="s">
        <v>62</v>
      </c>
      <c r="C2" s="4" t="s">
        <v>1159</v>
      </c>
      <c r="D2" s="4" t="s">
        <v>1160</v>
      </c>
      <c r="E2" s="4" t="s">
        <v>1161</v>
      </c>
      <c r="F2" s="4" t="s">
        <v>1162</v>
      </c>
      <c r="G2" s="4" t="s">
        <v>66</v>
      </c>
      <c r="H2" s="4" t="s">
        <v>1163</v>
      </c>
      <c r="I2" s="4" t="s">
        <v>67</v>
      </c>
      <c r="J2" s="4" t="s">
        <v>104</v>
      </c>
      <c r="K2" s="4" t="s">
        <v>171</v>
      </c>
      <c r="L2" s="4" t="s">
        <v>172</v>
      </c>
      <c r="M2" s="4" t="s">
        <v>1164</v>
      </c>
      <c r="N2" s="4" t="s">
        <v>1165</v>
      </c>
      <c r="O2" s="4" t="s">
        <v>1166</v>
      </c>
      <c r="P2" s="4" t="s">
        <v>106</v>
      </c>
      <c r="Q2" s="4" t="s">
        <v>70</v>
      </c>
      <c r="R2" s="4" t="s">
        <v>1167</v>
      </c>
      <c r="S2" s="4" t="s">
        <v>71</v>
      </c>
      <c r="T2" s="4" t="s">
        <v>107</v>
      </c>
      <c r="U2" s="4" t="s">
        <v>1168</v>
      </c>
      <c r="V2" s="4" t="s">
        <v>74</v>
      </c>
      <c r="W2" s="4" t="s">
        <v>900</v>
      </c>
      <c r="X2" s="4" t="s">
        <v>174</v>
      </c>
      <c r="Y2" s="4" t="s">
        <v>1169</v>
      </c>
      <c r="Z2" s="4" t="s">
        <v>109</v>
      </c>
      <c r="AA2" s="4" t="s">
        <v>108</v>
      </c>
      <c r="AB2" s="4" t="s">
        <v>175</v>
      </c>
      <c r="AC2" s="4" t="s">
        <v>1170</v>
      </c>
      <c r="AD2" s="4" t="s">
        <v>1171</v>
      </c>
      <c r="AE2" s="4" t="s">
        <v>1172</v>
      </c>
      <c r="AF2" s="4" t="s">
        <v>1173</v>
      </c>
      <c r="AG2" s="4" t="s">
        <v>1174</v>
      </c>
      <c r="AH2" s="4" t="s">
        <v>1175</v>
      </c>
      <c r="AI2" s="4" t="s">
        <v>1176</v>
      </c>
      <c r="AJ2" s="4" t="s">
        <v>1177</v>
      </c>
      <c r="AK2" s="4" t="s">
        <v>906</v>
      </c>
      <c r="AL2" s="4" t="s">
        <v>908</v>
      </c>
      <c r="AM2" s="4" t="s">
        <v>907</v>
      </c>
      <c r="AN2" s="4" t="s">
        <v>909</v>
      </c>
      <c r="AO2" s="14" t="s">
        <v>1178</v>
      </c>
      <c r="AP2" s="14" t="s">
        <v>1179</v>
      </c>
      <c r="AQ2" s="4" t="s">
        <v>1180</v>
      </c>
      <c r="AR2" s="4" t="s">
        <v>1181</v>
      </c>
      <c r="AS2" s="4" t="s">
        <v>73</v>
      </c>
      <c r="AT2" s="4" t="s">
        <v>75</v>
      </c>
      <c r="AU2" s="4" t="s">
        <v>1182</v>
      </c>
      <c r="AV2" s="4" t="s">
        <v>113</v>
      </c>
      <c r="AW2" s="4" t="s">
        <v>177</v>
      </c>
      <c r="AX2" s="4" t="s">
        <v>176</v>
      </c>
      <c r="AY2" s="4" t="s">
        <v>29</v>
      </c>
      <c r="AZ2" s="4" t="s">
        <v>76</v>
      </c>
      <c r="BA2" s="4" t="s">
        <v>77</v>
      </c>
      <c r="BB2" s="4" t="s">
        <v>3</v>
      </c>
      <c r="BC2" s="77" t="s">
        <v>4</v>
      </c>
      <c r="BD2" s="77" t="s">
        <v>1</v>
      </c>
    </row>
    <row r="3" spans="1:56">
      <c r="A3" s="2" t="s">
        <v>78</v>
      </c>
      <c r="B3" s="2" t="s">
        <v>78</v>
      </c>
      <c r="C3" s="2" t="s">
        <v>1183</v>
      </c>
      <c r="D3" s="2" t="s">
        <v>168</v>
      </c>
      <c r="E3" s="2" t="s">
        <v>1184</v>
      </c>
      <c r="F3" s="9">
        <v>893000109</v>
      </c>
      <c r="G3" s="2" t="s">
        <v>1185</v>
      </c>
      <c r="H3" s="2" t="s">
        <v>3</v>
      </c>
      <c r="I3" s="2" t="s">
        <v>83</v>
      </c>
      <c r="J3" s="2" t="s">
        <v>83</v>
      </c>
      <c r="K3" s="2" t="s">
        <v>149</v>
      </c>
      <c r="L3" s="2" t="s">
        <v>84</v>
      </c>
      <c r="M3" s="2" t="s">
        <v>3</v>
      </c>
      <c r="N3" s="2" t="s">
        <v>3</v>
      </c>
      <c r="O3" s="2" t="s">
        <v>1186</v>
      </c>
      <c r="P3" s="2" t="s">
        <v>1187</v>
      </c>
      <c r="Q3" s="2" t="s">
        <v>505</v>
      </c>
      <c r="R3" s="2" t="s">
        <v>1188</v>
      </c>
      <c r="S3" s="2" t="s">
        <v>87</v>
      </c>
      <c r="T3" s="5">
        <v>1.28</v>
      </c>
      <c r="U3" s="2" t="s">
        <v>1244</v>
      </c>
      <c r="V3" s="25">
        <v>9.0116079916205072E-2</v>
      </c>
      <c r="W3" s="2" t="s">
        <v>1189</v>
      </c>
      <c r="X3" s="2" t="s">
        <v>1190</v>
      </c>
      <c r="Y3" s="6">
        <v>0</v>
      </c>
      <c r="Z3" s="25">
        <v>5.0092403445755211E-2</v>
      </c>
      <c r="AA3" s="2" t="s">
        <v>3</v>
      </c>
      <c r="AB3" s="2" t="s">
        <v>191</v>
      </c>
      <c r="AC3" s="2" t="s">
        <v>3</v>
      </c>
      <c r="AD3" s="5">
        <v>0</v>
      </c>
      <c r="AE3" s="6">
        <v>0</v>
      </c>
      <c r="AF3" s="2" t="s">
        <v>3</v>
      </c>
      <c r="AG3" s="2" t="s">
        <v>84</v>
      </c>
      <c r="AH3" s="2" t="s">
        <v>149</v>
      </c>
      <c r="AI3" s="2" t="s">
        <v>1191</v>
      </c>
      <c r="AJ3" s="2" t="s">
        <v>84</v>
      </c>
      <c r="AK3" s="2" t="s">
        <v>918</v>
      </c>
      <c r="AL3" s="2" t="s">
        <v>1192</v>
      </c>
      <c r="AM3" s="2" t="s">
        <v>919</v>
      </c>
      <c r="AN3" s="12">
        <v>45382</v>
      </c>
      <c r="AO3" s="2" t="s">
        <v>3</v>
      </c>
      <c r="AP3" s="2" t="s">
        <v>3</v>
      </c>
      <c r="AQ3" s="5">
        <v>1189884.8</v>
      </c>
      <c r="AR3" s="5">
        <v>101.84</v>
      </c>
      <c r="AS3" s="5">
        <v>1</v>
      </c>
      <c r="AT3" s="5">
        <v>1211.7786799999999</v>
      </c>
      <c r="AU3" s="5">
        <v>1211.7786000000001</v>
      </c>
      <c r="AV3" s="2" t="s">
        <v>3</v>
      </c>
      <c r="AW3" s="2" t="s">
        <v>3</v>
      </c>
      <c r="AX3" s="2" t="s">
        <v>84</v>
      </c>
      <c r="AY3" s="2" t="s">
        <v>27</v>
      </c>
      <c r="AZ3" s="6">
        <v>9.9400600000000006E-2</v>
      </c>
      <c r="BA3" s="6">
        <v>1.4515000000000001E-3</v>
      </c>
      <c r="BB3" s="2" t="s">
        <v>3</v>
      </c>
      <c r="BC3" s="77" t="s">
        <v>4</v>
      </c>
      <c r="BD3" s="77" t="s">
        <v>1</v>
      </c>
    </row>
    <row r="4" spans="1:56">
      <c r="A4" s="2" t="s">
        <v>78</v>
      </c>
      <c r="B4" s="2" t="s">
        <v>94</v>
      </c>
      <c r="C4" s="2" t="s">
        <v>1183</v>
      </c>
      <c r="D4" s="2" t="s">
        <v>168</v>
      </c>
      <c r="E4" s="2" t="s">
        <v>1184</v>
      </c>
      <c r="F4" s="9">
        <v>893000109</v>
      </c>
      <c r="G4" s="2" t="s">
        <v>1185</v>
      </c>
      <c r="H4" s="2" t="s">
        <v>3</v>
      </c>
      <c r="I4" s="2" t="s">
        <v>83</v>
      </c>
      <c r="J4" s="2" t="s">
        <v>83</v>
      </c>
      <c r="K4" s="2" t="s">
        <v>149</v>
      </c>
      <c r="L4" s="2" t="s">
        <v>84</v>
      </c>
      <c r="M4" s="2" t="s">
        <v>3</v>
      </c>
      <c r="N4" s="2" t="s">
        <v>3</v>
      </c>
      <c r="O4" s="2" t="s">
        <v>1193</v>
      </c>
      <c r="P4" s="2" t="s">
        <v>1187</v>
      </c>
      <c r="Q4" s="2" t="s">
        <v>505</v>
      </c>
      <c r="R4" s="2" t="s">
        <v>1188</v>
      </c>
      <c r="S4" s="2" t="s">
        <v>87</v>
      </c>
      <c r="T4" s="5">
        <v>1.05</v>
      </c>
      <c r="U4" s="2" t="s">
        <v>1244</v>
      </c>
      <c r="V4" s="25">
        <v>6.7382985082069219E-2</v>
      </c>
      <c r="W4" s="2" t="s">
        <v>1189</v>
      </c>
      <c r="X4" s="2" t="s">
        <v>1190</v>
      </c>
      <c r="Y4" s="6">
        <v>0</v>
      </c>
      <c r="Z4" s="25">
        <v>6.561194132945844E-2</v>
      </c>
      <c r="AA4" s="2" t="s">
        <v>3</v>
      </c>
      <c r="AB4" s="2" t="s">
        <v>191</v>
      </c>
      <c r="AC4" s="2" t="s">
        <v>3</v>
      </c>
      <c r="AD4" s="5">
        <v>0</v>
      </c>
      <c r="AE4" s="6">
        <v>0</v>
      </c>
      <c r="AF4" s="2" t="s">
        <v>3</v>
      </c>
      <c r="AG4" s="2" t="s">
        <v>84</v>
      </c>
      <c r="AH4" s="2" t="s">
        <v>149</v>
      </c>
      <c r="AI4" s="2" t="s">
        <v>1191</v>
      </c>
      <c r="AJ4" s="2" t="s">
        <v>84</v>
      </c>
      <c r="AK4" s="2" t="s">
        <v>918</v>
      </c>
      <c r="AL4" s="2" t="s">
        <v>1192</v>
      </c>
      <c r="AM4" s="2" t="s">
        <v>919</v>
      </c>
      <c r="AN4" s="12">
        <v>45382</v>
      </c>
      <c r="AO4" s="2" t="s">
        <v>3</v>
      </c>
      <c r="AP4" s="2" t="s">
        <v>3</v>
      </c>
      <c r="AQ4" s="5">
        <v>730932.11</v>
      </c>
      <c r="AR4" s="5">
        <v>105.08</v>
      </c>
      <c r="AS4" s="5">
        <v>1</v>
      </c>
      <c r="AT4" s="5">
        <v>768.06345999999996</v>
      </c>
      <c r="AU4" s="5">
        <v>768.0634</v>
      </c>
      <c r="AV4" s="2" t="s">
        <v>3</v>
      </c>
      <c r="AW4" s="2" t="s">
        <v>3</v>
      </c>
      <c r="AX4" s="2" t="s">
        <v>84</v>
      </c>
      <c r="AY4" s="2" t="s">
        <v>27</v>
      </c>
      <c r="AZ4" s="6">
        <v>6.3003199999999995E-2</v>
      </c>
      <c r="BA4" s="6">
        <v>9.2000000000000003E-4</v>
      </c>
      <c r="BB4" s="2" t="s">
        <v>3</v>
      </c>
      <c r="BC4" s="77" t="s">
        <v>4</v>
      </c>
      <c r="BD4" s="77" t="s">
        <v>1</v>
      </c>
    </row>
    <row r="5" spans="1:56">
      <c r="A5" s="2" t="s">
        <v>78</v>
      </c>
      <c r="B5" s="2" t="s">
        <v>96</v>
      </c>
      <c r="C5" s="2" t="s">
        <v>1183</v>
      </c>
      <c r="D5" s="2" t="s">
        <v>168</v>
      </c>
      <c r="E5" s="2" t="s">
        <v>1184</v>
      </c>
      <c r="F5" s="9">
        <v>893000109</v>
      </c>
      <c r="G5" s="2" t="s">
        <v>1185</v>
      </c>
      <c r="H5" s="2" t="s">
        <v>3</v>
      </c>
      <c r="I5" s="2" t="s">
        <v>83</v>
      </c>
      <c r="J5" s="2" t="s">
        <v>83</v>
      </c>
      <c r="K5" s="2" t="s">
        <v>149</v>
      </c>
      <c r="L5" s="2" t="s">
        <v>84</v>
      </c>
      <c r="M5" s="2" t="s">
        <v>3</v>
      </c>
      <c r="N5" s="2" t="s">
        <v>3</v>
      </c>
      <c r="O5" s="2" t="s">
        <v>1194</v>
      </c>
      <c r="P5" s="2" t="s">
        <v>1187</v>
      </c>
      <c r="Q5" s="2" t="s">
        <v>505</v>
      </c>
      <c r="R5" s="2" t="s">
        <v>1188</v>
      </c>
      <c r="S5" s="2" t="s">
        <v>87</v>
      </c>
      <c r="T5" s="5">
        <v>1.1200000000000001</v>
      </c>
      <c r="U5" s="2" t="s">
        <v>1244</v>
      </c>
      <c r="V5" s="25">
        <v>9.5139999059829825E-2</v>
      </c>
      <c r="W5" s="2" t="s">
        <v>1189</v>
      </c>
      <c r="X5" s="2" t="s">
        <v>1190</v>
      </c>
      <c r="Y5" s="6">
        <v>0</v>
      </c>
      <c r="Z5" s="6">
        <v>4.6199999999999998E-2</v>
      </c>
      <c r="AA5" s="2" t="s">
        <v>3</v>
      </c>
      <c r="AB5" s="2" t="s">
        <v>191</v>
      </c>
      <c r="AC5" s="2" t="s">
        <v>3</v>
      </c>
      <c r="AD5" s="5">
        <v>0</v>
      </c>
      <c r="AE5" s="6">
        <v>0</v>
      </c>
      <c r="AF5" s="2" t="s">
        <v>3</v>
      </c>
      <c r="AG5" s="2" t="s">
        <v>84</v>
      </c>
      <c r="AH5" s="2" t="s">
        <v>149</v>
      </c>
      <c r="AI5" s="2" t="s">
        <v>1191</v>
      </c>
      <c r="AJ5" s="2" t="s">
        <v>84</v>
      </c>
      <c r="AK5" s="2" t="s">
        <v>918</v>
      </c>
      <c r="AL5" s="2" t="s">
        <v>1192</v>
      </c>
      <c r="AM5" s="2" t="s">
        <v>919</v>
      </c>
      <c r="AN5" s="12">
        <v>45382</v>
      </c>
      <c r="AO5" s="2" t="s">
        <v>3</v>
      </c>
      <c r="AP5" s="2" t="s">
        <v>3</v>
      </c>
      <c r="AQ5" s="5">
        <v>1058457.23</v>
      </c>
      <c r="AR5" s="5">
        <v>101.07</v>
      </c>
      <c r="AS5" s="5">
        <v>1</v>
      </c>
      <c r="AT5" s="5">
        <v>1069.7827199999999</v>
      </c>
      <c r="AU5" s="5">
        <v>1069.7827</v>
      </c>
      <c r="AV5" s="2" t="s">
        <v>3</v>
      </c>
      <c r="AW5" s="2" t="s">
        <v>3</v>
      </c>
      <c r="AX5" s="2" t="s">
        <v>84</v>
      </c>
      <c r="AY5" s="2" t="s">
        <v>27</v>
      </c>
      <c r="AZ5" s="6">
        <v>8.7752800000000006E-2</v>
      </c>
      <c r="BA5" s="6">
        <v>1.2814E-3</v>
      </c>
      <c r="BB5" s="2" t="s">
        <v>3</v>
      </c>
      <c r="BC5" s="77" t="s">
        <v>4</v>
      </c>
      <c r="BD5" s="77" t="s">
        <v>1</v>
      </c>
    </row>
    <row r="6" spans="1:56">
      <c r="A6" s="2" t="s">
        <v>78</v>
      </c>
      <c r="B6" s="2" t="s">
        <v>98</v>
      </c>
      <c r="C6" s="2" t="s">
        <v>1183</v>
      </c>
      <c r="D6" s="2" t="s">
        <v>168</v>
      </c>
      <c r="E6" s="2" t="s">
        <v>1184</v>
      </c>
      <c r="F6" s="9">
        <v>893000109</v>
      </c>
      <c r="G6" s="2" t="s">
        <v>1185</v>
      </c>
      <c r="H6" s="2" t="s">
        <v>3</v>
      </c>
      <c r="I6" s="2" t="s">
        <v>83</v>
      </c>
      <c r="J6" s="2" t="s">
        <v>83</v>
      </c>
      <c r="K6" s="2" t="s">
        <v>149</v>
      </c>
      <c r="L6" s="2" t="s">
        <v>84</v>
      </c>
      <c r="M6" s="2" t="s">
        <v>3</v>
      </c>
      <c r="N6" s="2" t="s">
        <v>3</v>
      </c>
      <c r="O6" s="2" t="s">
        <v>1195</v>
      </c>
      <c r="P6" s="2" t="s">
        <v>1187</v>
      </c>
      <c r="Q6" s="2" t="s">
        <v>505</v>
      </c>
      <c r="R6" s="2" t="s">
        <v>1188</v>
      </c>
      <c r="S6" s="2" t="s">
        <v>87</v>
      </c>
      <c r="T6" s="5">
        <v>0.85</v>
      </c>
      <c r="U6" s="2" t="s">
        <v>1244</v>
      </c>
      <c r="V6" s="25">
        <v>9.1040871527798634E-2</v>
      </c>
      <c r="W6" s="2" t="s">
        <v>1189</v>
      </c>
      <c r="X6" s="2" t="s">
        <v>1190</v>
      </c>
      <c r="Y6" s="6">
        <v>0</v>
      </c>
      <c r="Z6" s="6">
        <v>5.0200000000000002E-2</v>
      </c>
      <c r="AA6" s="2"/>
      <c r="AB6" s="2" t="s">
        <v>191</v>
      </c>
      <c r="AC6" s="2" t="s">
        <v>3</v>
      </c>
      <c r="AD6" s="5">
        <v>0</v>
      </c>
      <c r="AE6" s="6">
        <v>0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941</v>
      </c>
      <c r="AL6" s="2" t="s">
        <v>3</v>
      </c>
      <c r="AM6" s="2" t="s">
        <v>919</v>
      </c>
      <c r="AN6" s="12">
        <v>45382</v>
      </c>
      <c r="AO6" s="2" t="s">
        <v>3</v>
      </c>
      <c r="AP6" s="2" t="s">
        <v>3</v>
      </c>
      <c r="AQ6" s="5">
        <v>8939209.1500000004</v>
      </c>
      <c r="AR6" s="5">
        <v>102.26</v>
      </c>
      <c r="AS6" s="5">
        <v>1</v>
      </c>
      <c r="AT6" s="5">
        <v>9141.2352699999992</v>
      </c>
      <c r="AU6" s="5">
        <v>9141.2351999999992</v>
      </c>
      <c r="AV6" s="2" t="s">
        <v>3</v>
      </c>
      <c r="AW6" s="2" t="s">
        <v>3</v>
      </c>
      <c r="AX6" s="2" t="s">
        <v>84</v>
      </c>
      <c r="AY6" s="2" t="s">
        <v>27</v>
      </c>
      <c r="AZ6" s="6">
        <v>0.74984329999999999</v>
      </c>
      <c r="BA6" s="6">
        <v>1.0949500000000001E-2</v>
      </c>
      <c r="BB6" s="2" t="s">
        <v>3</v>
      </c>
      <c r="BC6" s="77" t="s">
        <v>4</v>
      </c>
      <c r="BD6" s="77" t="s">
        <v>1</v>
      </c>
    </row>
    <row r="7" spans="1:56">
      <c r="A7" s="2" t="s">
        <v>78</v>
      </c>
      <c r="B7" s="2" t="s">
        <v>79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  <c r="AR7" s="2" t="s">
        <v>3</v>
      </c>
      <c r="AS7" s="2" t="s">
        <v>3</v>
      </c>
      <c r="AT7" s="2" t="s">
        <v>3</v>
      </c>
      <c r="AU7" s="2" t="s">
        <v>3</v>
      </c>
      <c r="AV7" s="2" t="s">
        <v>3</v>
      </c>
      <c r="AW7" s="2" t="s">
        <v>3</v>
      </c>
      <c r="AX7" s="2" t="s">
        <v>3</v>
      </c>
      <c r="AY7" s="2" t="s">
        <v>3</v>
      </c>
      <c r="AZ7" s="2" t="s">
        <v>3</v>
      </c>
      <c r="BA7" s="2" t="s">
        <v>3</v>
      </c>
      <c r="BB7" s="2" t="s">
        <v>3</v>
      </c>
      <c r="BC7" s="77" t="s">
        <v>4</v>
      </c>
      <c r="BD7" s="77" t="s">
        <v>1</v>
      </c>
    </row>
    <row r="8" spans="1:56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2" t="s">
        <v>3</v>
      </c>
      <c r="AO8" s="2" t="s">
        <v>3</v>
      </c>
      <c r="AP8" s="2" t="s">
        <v>3</v>
      </c>
      <c r="AQ8" s="2" t="s">
        <v>3</v>
      </c>
      <c r="AR8" s="2" t="s">
        <v>3</v>
      </c>
      <c r="AS8" s="2" t="s">
        <v>3</v>
      </c>
      <c r="AT8" s="2" t="s">
        <v>3</v>
      </c>
      <c r="AU8" s="2" t="s">
        <v>3</v>
      </c>
      <c r="AV8" s="2" t="s">
        <v>3</v>
      </c>
      <c r="AW8" s="2" t="s">
        <v>3</v>
      </c>
      <c r="AX8" s="2" t="s">
        <v>3</v>
      </c>
      <c r="AY8" s="2" t="s">
        <v>3</v>
      </c>
      <c r="AZ8" s="2" t="s">
        <v>3</v>
      </c>
      <c r="BA8" s="2" t="s">
        <v>3</v>
      </c>
      <c r="BB8" s="2" t="s">
        <v>3</v>
      </c>
      <c r="BC8" s="77" t="s">
        <v>4</v>
      </c>
      <c r="BD8" s="77" t="s">
        <v>1</v>
      </c>
    </row>
    <row r="9" spans="1:56">
      <c r="B9" s="78" t="s">
        <v>24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</row>
    <row r="10" spans="1:56">
      <c r="B10" s="77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</sheetData>
  <mergeCells count="5">
    <mergeCell ref="B1:BB1"/>
    <mergeCell ref="B9:BB9"/>
    <mergeCell ref="B10:BB10"/>
    <mergeCell ref="BC2:BC8"/>
    <mergeCell ref="BD1:BD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בחירה'!$C$5:$C$28</xm:f>
          </x14:formula1>
          <xm:sqref>AC3:AC6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/>
  <dimension ref="A1:AG12"/>
  <sheetViews>
    <sheetView rightToLeft="1" topLeftCell="L1" zoomScale="55" zoomScaleNormal="55" workbookViewId="0">
      <selection activeCell="X21" sqref="X21:AF21"/>
    </sheetView>
  </sheetViews>
  <sheetFormatPr defaultRowHeight="14.25"/>
  <cols>
    <col min="1" max="1" width="36" customWidth="1"/>
    <col min="2" max="2" width="12" customWidth="1"/>
    <col min="3" max="3" width="19" customWidth="1"/>
    <col min="4" max="4" width="12" customWidth="1"/>
    <col min="5" max="5" width="21" customWidth="1"/>
    <col min="6" max="6" width="16" customWidth="1"/>
    <col min="7" max="7" width="15" customWidth="1"/>
    <col min="8" max="8" width="19" customWidth="1"/>
    <col min="9" max="9" width="39" customWidth="1"/>
    <col min="10" max="10" width="12" customWidth="1"/>
    <col min="11" max="11" width="24" customWidth="1"/>
    <col min="12" max="12" width="19" customWidth="1"/>
    <col min="13" max="13" width="11" customWidth="1"/>
    <col min="14" max="14" width="13" customWidth="1"/>
    <col min="15" max="15" width="7" customWidth="1"/>
    <col min="16" max="16" width="9" customWidth="1"/>
    <col min="17" max="17" width="24" customWidth="1"/>
    <col min="18" max="18" width="14" customWidth="1"/>
    <col min="19" max="19" width="8" customWidth="1"/>
    <col min="20" max="20" width="13" customWidth="1"/>
    <col min="21" max="21" width="14" customWidth="1"/>
    <col min="22" max="22" width="17" customWidth="1"/>
    <col min="23" max="23" width="21" customWidth="1"/>
    <col min="24" max="25" width="19" customWidth="1"/>
    <col min="26" max="26" width="12" customWidth="1"/>
    <col min="27" max="27" width="15" customWidth="1"/>
    <col min="28" max="28" width="24" customWidth="1"/>
    <col min="29" max="29" width="25" customWidth="1"/>
    <col min="30" max="30" width="23" customWidth="1"/>
    <col min="31" max="31" width="11" customWidth="1"/>
  </cols>
  <sheetData>
    <row r="1" spans="1:33">
      <c r="B1" s="79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G1" s="79" t="s">
        <v>1</v>
      </c>
    </row>
    <row r="2" spans="1:33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172</v>
      </c>
      <c r="M2" s="4" t="s">
        <v>1116</v>
      </c>
      <c r="N2" s="4" t="s">
        <v>899</v>
      </c>
      <c r="O2" s="4" t="s">
        <v>106</v>
      </c>
      <c r="P2" s="4" t="s">
        <v>70</v>
      </c>
      <c r="Q2" s="4" t="s">
        <v>173</v>
      </c>
      <c r="R2" s="4" t="s">
        <v>71</v>
      </c>
      <c r="S2" s="4" t="s">
        <v>107</v>
      </c>
      <c r="T2" s="14" t="s">
        <v>74</v>
      </c>
      <c r="U2" s="4" t="s">
        <v>109</v>
      </c>
      <c r="V2" s="4" t="s">
        <v>906</v>
      </c>
      <c r="W2" s="4" t="s">
        <v>907</v>
      </c>
      <c r="X2" s="4" t="s">
        <v>909</v>
      </c>
      <c r="Y2" s="4" t="s">
        <v>111</v>
      </c>
      <c r="Z2" s="4" t="s">
        <v>73</v>
      </c>
      <c r="AA2" s="4" t="s">
        <v>112</v>
      </c>
      <c r="AB2" s="4" t="s">
        <v>75</v>
      </c>
      <c r="AC2" s="4" t="s">
        <v>76</v>
      </c>
      <c r="AD2" s="4" t="s">
        <v>77</v>
      </c>
      <c r="AE2" s="4" t="s">
        <v>3</v>
      </c>
      <c r="AF2" s="79" t="s">
        <v>4</v>
      </c>
      <c r="AG2" s="79" t="s">
        <v>1</v>
      </c>
    </row>
    <row r="3" spans="1:33" ht="42.75" customHeight="1">
      <c r="A3" s="2" t="s">
        <v>78</v>
      </c>
      <c r="B3" s="2" t="s">
        <v>98</v>
      </c>
      <c r="C3" s="2" t="s">
        <v>1196</v>
      </c>
      <c r="D3" s="2" t="s">
        <v>1197</v>
      </c>
      <c r="E3" s="2" t="s">
        <v>168</v>
      </c>
      <c r="F3" s="2" t="s">
        <v>1198</v>
      </c>
      <c r="G3" s="2" t="s">
        <v>1199</v>
      </c>
      <c r="H3" s="2" t="s">
        <v>183</v>
      </c>
      <c r="I3" s="2" t="s">
        <v>1295</v>
      </c>
      <c r="J3" s="2" t="s">
        <v>148</v>
      </c>
      <c r="K3" s="2" t="s">
        <v>149</v>
      </c>
      <c r="L3" s="2" t="s">
        <v>84</v>
      </c>
      <c r="M3" s="2" t="s">
        <v>3</v>
      </c>
      <c r="N3" s="10">
        <v>44991</v>
      </c>
      <c r="O3" s="2" t="s">
        <v>120</v>
      </c>
      <c r="P3" s="2" t="s">
        <v>120</v>
      </c>
      <c r="Q3" s="2" t="s">
        <v>120</v>
      </c>
      <c r="R3" s="2" t="s">
        <v>91</v>
      </c>
      <c r="S3" s="5">
        <v>13.5472</v>
      </c>
      <c r="T3" s="2" t="s">
        <v>3</v>
      </c>
      <c r="U3" s="6">
        <v>6.8513000000000004E-2</v>
      </c>
      <c r="V3" s="2" t="s">
        <v>941</v>
      </c>
      <c r="W3" s="2" t="s">
        <v>919</v>
      </c>
      <c r="X3" s="2" t="s">
        <v>942</v>
      </c>
      <c r="Y3" s="5">
        <v>1250000</v>
      </c>
      <c r="Z3" s="5">
        <v>3.681</v>
      </c>
      <c r="AA3" s="5">
        <v>8.0000000000000007E-5</v>
      </c>
      <c r="AB3" s="5">
        <v>3.7499999999999999E-3</v>
      </c>
      <c r="AC3" s="6">
        <v>3.40909E-2</v>
      </c>
      <c r="AD3" s="6">
        <v>0</v>
      </c>
      <c r="AE3" s="9">
        <v>71170963</v>
      </c>
      <c r="AF3" s="79" t="s">
        <v>4</v>
      </c>
      <c r="AG3" s="79" t="s">
        <v>1</v>
      </c>
    </row>
    <row r="4" spans="1:33" ht="32.25" customHeight="1">
      <c r="A4" s="2" t="s">
        <v>78</v>
      </c>
      <c r="B4" s="2" t="s">
        <v>98</v>
      </c>
      <c r="C4" s="2" t="s">
        <v>1200</v>
      </c>
      <c r="D4" s="2" t="s">
        <v>1201</v>
      </c>
      <c r="E4" s="2" t="s">
        <v>168</v>
      </c>
      <c r="F4" s="2" t="s">
        <v>1202</v>
      </c>
      <c r="G4" s="2" t="s">
        <v>1203</v>
      </c>
      <c r="H4" s="2" t="s">
        <v>183</v>
      </c>
      <c r="I4" s="2" t="s">
        <v>1296</v>
      </c>
      <c r="J4" s="2" t="s">
        <v>148</v>
      </c>
      <c r="K4" s="2" t="s">
        <v>149</v>
      </c>
      <c r="L4" s="2" t="s">
        <v>84</v>
      </c>
      <c r="M4" s="2" t="s">
        <v>3</v>
      </c>
      <c r="N4" s="10">
        <v>44991</v>
      </c>
      <c r="O4" s="2" t="s">
        <v>120</v>
      </c>
      <c r="P4" s="2" t="s">
        <v>120</v>
      </c>
      <c r="Q4" s="2" t="s">
        <v>120</v>
      </c>
      <c r="R4" s="2" t="s">
        <v>91</v>
      </c>
      <c r="S4" s="5">
        <v>25.643799999999999</v>
      </c>
      <c r="T4" s="2" t="s">
        <v>3</v>
      </c>
      <c r="U4" s="6">
        <v>9.9999999999999995E-7</v>
      </c>
      <c r="V4" s="2" t="s">
        <v>941</v>
      </c>
      <c r="W4" s="2" t="s">
        <v>919</v>
      </c>
      <c r="X4" s="2" t="s">
        <v>991</v>
      </c>
      <c r="Y4" s="5">
        <v>2000</v>
      </c>
      <c r="Z4" s="5">
        <v>3.681</v>
      </c>
      <c r="AA4" s="5">
        <v>1</v>
      </c>
      <c r="AB4" s="5">
        <v>7.3620000000000005E-2</v>
      </c>
      <c r="AC4" s="6">
        <v>0.66927269999999994</v>
      </c>
      <c r="AD4" s="6">
        <v>1.0000000000000001E-7</v>
      </c>
      <c r="AE4" s="9">
        <v>77210110</v>
      </c>
      <c r="AF4" s="79" t="s">
        <v>4</v>
      </c>
      <c r="AG4" s="79" t="s">
        <v>1</v>
      </c>
    </row>
    <row r="5" spans="1:33" ht="32.25" customHeight="1">
      <c r="A5" s="2" t="s">
        <v>78</v>
      </c>
      <c r="B5" s="2" t="s">
        <v>98</v>
      </c>
      <c r="C5" s="2" t="s">
        <v>1204</v>
      </c>
      <c r="D5" s="2" t="s">
        <v>1205</v>
      </c>
      <c r="E5" s="2" t="s">
        <v>168</v>
      </c>
      <c r="F5" s="2" t="s">
        <v>1206</v>
      </c>
      <c r="G5" s="9">
        <v>60298122</v>
      </c>
      <c r="H5" s="2" t="s">
        <v>505</v>
      </c>
      <c r="I5" s="2" t="s">
        <v>1296</v>
      </c>
      <c r="J5" s="2" t="s">
        <v>148</v>
      </c>
      <c r="K5" s="2" t="s">
        <v>156</v>
      </c>
      <c r="L5" s="2" t="s">
        <v>84</v>
      </c>
      <c r="M5" s="2" t="s">
        <v>3</v>
      </c>
      <c r="N5" s="10">
        <v>43947</v>
      </c>
      <c r="O5" s="2" t="s">
        <v>120</v>
      </c>
      <c r="P5" s="2" t="s">
        <v>120</v>
      </c>
      <c r="Q5" s="2" t="s">
        <v>120</v>
      </c>
      <c r="R5" s="2" t="s">
        <v>91</v>
      </c>
      <c r="S5" s="5">
        <v>0</v>
      </c>
      <c r="T5" s="2" t="s">
        <v>3</v>
      </c>
      <c r="U5" s="6">
        <v>0</v>
      </c>
      <c r="V5" s="2" t="s">
        <v>941</v>
      </c>
      <c r="W5" s="2" t="s">
        <v>919</v>
      </c>
      <c r="X5" s="2" t="s">
        <v>1207</v>
      </c>
      <c r="Y5" s="5">
        <v>882071</v>
      </c>
      <c r="Z5" s="5">
        <v>3.681</v>
      </c>
      <c r="AA5" s="5">
        <v>1E-3</v>
      </c>
      <c r="AB5" s="5">
        <v>3.2629999999999999E-2</v>
      </c>
      <c r="AC5" s="6">
        <v>0.29663640000000002</v>
      </c>
      <c r="AD5" s="6">
        <v>0</v>
      </c>
      <c r="AE5" s="2" t="s">
        <v>3</v>
      </c>
      <c r="AF5" s="79" t="s">
        <v>4</v>
      </c>
      <c r="AG5" s="79" t="s">
        <v>1</v>
      </c>
    </row>
    <row r="6" spans="1:33">
      <c r="A6" s="2" t="s">
        <v>78</v>
      </c>
      <c r="B6" s="2" t="s">
        <v>79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79" t="s">
        <v>4</v>
      </c>
      <c r="AG6" s="79" t="s">
        <v>1</v>
      </c>
    </row>
    <row r="7" spans="1:33">
      <c r="A7" s="2" t="s">
        <v>78</v>
      </c>
      <c r="B7" s="2" t="s">
        <v>78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79" t="s">
        <v>4</v>
      </c>
      <c r="AG7" s="79" t="s">
        <v>1</v>
      </c>
    </row>
    <row r="8" spans="1:33">
      <c r="A8" s="2" t="s">
        <v>78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79" t="s">
        <v>4</v>
      </c>
      <c r="AG8" s="79" t="s">
        <v>1</v>
      </c>
    </row>
    <row r="9" spans="1:33">
      <c r="A9" s="2" t="s">
        <v>78</v>
      </c>
      <c r="B9" s="2" t="s">
        <v>96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79" t="s">
        <v>4</v>
      </c>
      <c r="AG9" s="79" t="s">
        <v>1</v>
      </c>
    </row>
    <row r="10" spans="1:33">
      <c r="A10" s="2" t="s">
        <v>3</v>
      </c>
      <c r="B10" s="2" t="s">
        <v>100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79" t="s">
        <v>4</v>
      </c>
      <c r="AG10" s="79" t="s">
        <v>1</v>
      </c>
    </row>
    <row r="11" spans="1:33">
      <c r="B11" s="79" t="s">
        <v>24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</row>
    <row r="12" spans="1:33">
      <c r="B12" s="79" t="s">
        <v>25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</sheetData>
  <mergeCells count="5">
    <mergeCell ref="B1:AE1"/>
    <mergeCell ref="B11:AE11"/>
    <mergeCell ref="B12:AE12"/>
    <mergeCell ref="AF2:AF10"/>
    <mergeCell ref="AG1:AG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בחירה'!$C$29:$C$34</xm:f>
          </x14:formula1>
          <xm:sqref>I3:I5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/>
  <dimension ref="A1:Y10"/>
  <sheetViews>
    <sheetView rightToLeft="1" topLeftCell="H1" workbookViewId="0">
      <selection activeCell="P2" sqref="P2"/>
    </sheetView>
  </sheetViews>
  <sheetFormatPr defaultRowHeight="14.25"/>
  <cols>
    <col min="1" max="1" width="36" customWidth="1"/>
    <col min="2" max="2" width="12" customWidth="1"/>
    <col min="3" max="3" width="9" customWidth="1"/>
    <col min="4" max="4" width="15" customWidth="1"/>
    <col min="5" max="5" width="19" customWidth="1"/>
    <col min="6" max="6" width="14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9" customWidth="1"/>
    <col min="13" max="13" width="13" customWidth="1"/>
    <col min="14" max="14" width="6" customWidth="1"/>
    <col min="15" max="15" width="13" customWidth="1"/>
    <col min="16" max="16" width="14" customWidth="1"/>
    <col min="17" max="19" width="12" customWidth="1"/>
    <col min="20" max="20" width="24" customWidth="1"/>
    <col min="21" max="21" width="25" customWidth="1"/>
    <col min="22" max="22" width="23" customWidth="1"/>
    <col min="23" max="23" width="2" customWidth="1"/>
  </cols>
  <sheetData>
    <row r="1" spans="1:25">
      <c r="B1" s="8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Y1" s="80" t="s">
        <v>1</v>
      </c>
    </row>
    <row r="2" spans="1:25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1208</v>
      </c>
      <c r="H2" s="4" t="s">
        <v>67</v>
      </c>
      <c r="I2" s="4" t="s">
        <v>104</v>
      </c>
      <c r="J2" s="4" t="s">
        <v>172</v>
      </c>
      <c r="K2" s="4" t="s">
        <v>69</v>
      </c>
      <c r="L2" s="4" t="s">
        <v>70</v>
      </c>
      <c r="M2" s="4" t="s">
        <v>71</v>
      </c>
      <c r="N2" s="4" t="s">
        <v>107</v>
      </c>
      <c r="O2" s="4" t="s">
        <v>74</v>
      </c>
      <c r="P2" s="4" t="s">
        <v>109</v>
      </c>
      <c r="Q2" s="4" t="s">
        <v>72</v>
      </c>
      <c r="R2" s="4" t="s">
        <v>73</v>
      </c>
      <c r="S2" s="4" t="s">
        <v>1209</v>
      </c>
      <c r="T2" s="4" t="s">
        <v>75</v>
      </c>
      <c r="U2" s="4" t="s">
        <v>76</v>
      </c>
      <c r="V2" s="4" t="s">
        <v>77</v>
      </c>
      <c r="W2" s="4" t="s">
        <v>3</v>
      </c>
      <c r="X2" s="80" t="s">
        <v>4</v>
      </c>
      <c r="Y2" s="80" t="s">
        <v>1</v>
      </c>
    </row>
    <row r="3" spans="1:25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80" t="s">
        <v>4</v>
      </c>
      <c r="Y3" s="80" t="s">
        <v>1</v>
      </c>
    </row>
    <row r="4" spans="1:25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80" t="s">
        <v>4</v>
      </c>
      <c r="Y4" s="80" t="s">
        <v>1</v>
      </c>
    </row>
    <row r="5" spans="1:25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80" t="s">
        <v>4</v>
      </c>
      <c r="Y5" s="80" t="s">
        <v>1</v>
      </c>
    </row>
    <row r="6" spans="1:25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80" t="s">
        <v>4</v>
      </c>
      <c r="Y6" s="80" t="s">
        <v>1</v>
      </c>
    </row>
    <row r="7" spans="1:25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80" t="s">
        <v>4</v>
      </c>
      <c r="Y7" s="80" t="s">
        <v>1</v>
      </c>
    </row>
    <row r="8" spans="1:25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80" t="s">
        <v>4</v>
      </c>
      <c r="Y8" s="80" t="s">
        <v>1</v>
      </c>
    </row>
    <row r="9" spans="1:25">
      <c r="B9" s="80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spans="1:25">
      <c r="B10" s="80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AA10"/>
  <sheetViews>
    <sheetView rightToLeft="1" workbookViewId="0"/>
  </sheetViews>
  <sheetFormatPr defaultRowHeight="14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8" customWidth="1"/>
    <col min="19" max="19" width="24" customWidth="1"/>
    <col min="20" max="20" width="25" customWidth="1"/>
    <col min="21" max="21" width="29" customWidth="1"/>
    <col min="22" max="23" width="25" customWidth="1"/>
    <col min="24" max="24" width="23" customWidth="1"/>
    <col min="25" max="25" width="2" customWidth="1"/>
  </cols>
  <sheetData>
    <row r="1" spans="1:27">
      <c r="B1" s="8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AA1" s="81" t="s">
        <v>1</v>
      </c>
    </row>
    <row r="2" spans="1:27">
      <c r="A2" s="4" t="s">
        <v>61</v>
      </c>
      <c r="B2" s="4" t="s">
        <v>62</v>
      </c>
      <c r="C2" s="4" t="s">
        <v>1210</v>
      </c>
      <c r="D2" s="4" t="s">
        <v>66</v>
      </c>
      <c r="E2" s="4" t="s">
        <v>1211</v>
      </c>
      <c r="F2" s="4" t="s">
        <v>172</v>
      </c>
      <c r="G2" s="4" t="s">
        <v>899</v>
      </c>
      <c r="H2" s="4" t="s">
        <v>1212</v>
      </c>
      <c r="I2" s="4" t="s">
        <v>1213</v>
      </c>
      <c r="J2" s="4" t="s">
        <v>1214</v>
      </c>
      <c r="K2" s="4" t="s">
        <v>1215</v>
      </c>
      <c r="L2" s="4" t="s">
        <v>1216</v>
      </c>
      <c r="M2" s="4" t="s">
        <v>906</v>
      </c>
      <c r="N2" s="4" t="s">
        <v>908</v>
      </c>
      <c r="O2" s="4" t="s">
        <v>907</v>
      </c>
      <c r="P2" s="4" t="s">
        <v>909</v>
      </c>
      <c r="Q2" s="4" t="s">
        <v>71</v>
      </c>
      <c r="R2" s="4" t="s">
        <v>1182</v>
      </c>
      <c r="S2" s="4" t="s">
        <v>75</v>
      </c>
      <c r="T2" s="4" t="s">
        <v>113</v>
      </c>
      <c r="U2" s="4" t="s">
        <v>177</v>
      </c>
      <c r="V2" s="4" t="s">
        <v>29</v>
      </c>
      <c r="W2" s="4" t="s">
        <v>76</v>
      </c>
      <c r="X2" s="4" t="s">
        <v>77</v>
      </c>
      <c r="Y2" s="4" t="s">
        <v>3</v>
      </c>
      <c r="Z2" s="81" t="s">
        <v>4</v>
      </c>
      <c r="AA2" s="81" t="s">
        <v>1</v>
      </c>
    </row>
    <row r="3" spans="1:27">
      <c r="A3" s="2" t="s">
        <v>78</v>
      </c>
      <c r="B3" s="2" t="s">
        <v>79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81" t="s">
        <v>4</v>
      </c>
      <c r="AA3" s="81" t="s">
        <v>1</v>
      </c>
    </row>
    <row r="4" spans="1:27">
      <c r="A4" s="2" t="s">
        <v>78</v>
      </c>
      <c r="B4" s="2" t="s">
        <v>78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81" t="s">
        <v>4</v>
      </c>
      <c r="AA4" s="81" t="s">
        <v>1</v>
      </c>
    </row>
    <row r="5" spans="1:27">
      <c r="A5" s="2" t="s">
        <v>78</v>
      </c>
      <c r="B5" s="2" t="s">
        <v>94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81" t="s">
        <v>4</v>
      </c>
      <c r="AA5" s="81" t="s">
        <v>1</v>
      </c>
    </row>
    <row r="6" spans="1:27">
      <c r="A6" s="2" t="s">
        <v>78</v>
      </c>
      <c r="B6" s="2" t="s">
        <v>96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81" t="s">
        <v>4</v>
      </c>
      <c r="AA6" s="81" t="s">
        <v>1</v>
      </c>
    </row>
    <row r="7" spans="1:27">
      <c r="A7" s="2" t="s">
        <v>78</v>
      </c>
      <c r="B7" s="2" t="s">
        <v>98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81" t="s">
        <v>4</v>
      </c>
      <c r="AA7" s="81" t="s">
        <v>1</v>
      </c>
    </row>
    <row r="8" spans="1:27">
      <c r="A8" s="2" t="s">
        <v>3</v>
      </c>
      <c r="B8" s="2" t="s">
        <v>100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81" t="s">
        <v>4</v>
      </c>
      <c r="AA8" s="81" t="s">
        <v>1</v>
      </c>
    </row>
    <row r="9" spans="1:27">
      <c r="B9" s="81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7">
      <c r="B10" s="81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Y10"/>
  <sheetViews>
    <sheetView rightToLeft="1" workbookViewId="0">
      <selection activeCell="A36" sqref="A36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1" width="24" customWidth="1"/>
    <col min="22" max="22" width="25" customWidth="1"/>
    <col min="23" max="23" width="23" customWidth="1"/>
  </cols>
  <sheetData>
    <row r="1" spans="1:25">
      <c r="B1" s="82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Y1" s="82" t="s">
        <v>1</v>
      </c>
    </row>
    <row r="2" spans="1:25">
      <c r="A2" s="4" t="s">
        <v>61</v>
      </c>
      <c r="B2" s="4" t="s">
        <v>62</v>
      </c>
      <c r="C2" s="4" t="s">
        <v>101</v>
      </c>
      <c r="D2" s="4" t="s">
        <v>168</v>
      </c>
      <c r="E2" s="4" t="s">
        <v>169</v>
      </c>
      <c r="F2" s="4" t="s">
        <v>102</v>
      </c>
      <c r="G2" s="4" t="s">
        <v>103</v>
      </c>
      <c r="H2" s="4" t="s">
        <v>170</v>
      </c>
      <c r="I2" s="4" t="s">
        <v>66</v>
      </c>
      <c r="J2" s="4" t="s">
        <v>67</v>
      </c>
      <c r="K2" s="4" t="s">
        <v>104</v>
      </c>
      <c r="L2" s="4" t="s">
        <v>171</v>
      </c>
      <c r="M2" s="4" t="s">
        <v>172</v>
      </c>
      <c r="N2" s="4" t="s">
        <v>71</v>
      </c>
      <c r="O2" s="4" t="s">
        <v>906</v>
      </c>
      <c r="P2" s="4" t="s">
        <v>907</v>
      </c>
      <c r="Q2" s="4" t="s">
        <v>909</v>
      </c>
      <c r="R2" s="4" t="s">
        <v>1178</v>
      </c>
      <c r="S2" s="4" t="s">
        <v>1217</v>
      </c>
      <c r="T2" s="4" t="s">
        <v>1218</v>
      </c>
      <c r="U2" s="4" t="s">
        <v>75</v>
      </c>
      <c r="V2" s="4" t="s">
        <v>76</v>
      </c>
      <c r="W2" s="4" t="s">
        <v>77</v>
      </c>
      <c r="X2" s="82" t="s">
        <v>4</v>
      </c>
      <c r="Y2" s="82" t="s">
        <v>1</v>
      </c>
    </row>
    <row r="3" spans="1:25">
      <c r="A3" s="2" t="s">
        <v>78</v>
      </c>
      <c r="B3" s="2" t="s">
        <v>79</v>
      </c>
      <c r="C3" s="2" t="s">
        <v>901</v>
      </c>
      <c r="D3" s="2" t="s">
        <v>901</v>
      </c>
      <c r="E3" s="2" t="s">
        <v>901</v>
      </c>
      <c r="F3" s="2" t="s">
        <v>901</v>
      </c>
      <c r="G3" s="2" t="s">
        <v>901</v>
      </c>
      <c r="H3" s="2" t="s">
        <v>901</v>
      </c>
      <c r="I3" s="2" t="s">
        <v>901</v>
      </c>
      <c r="J3" s="2" t="s">
        <v>901</v>
      </c>
      <c r="K3" s="2" t="s">
        <v>901</v>
      </c>
      <c r="L3" s="2" t="s">
        <v>901</v>
      </c>
      <c r="M3" s="2" t="s">
        <v>901</v>
      </c>
      <c r="N3" s="2" t="s">
        <v>901</v>
      </c>
      <c r="O3" s="2" t="s">
        <v>901</v>
      </c>
      <c r="P3" s="2" t="s">
        <v>901</v>
      </c>
      <c r="Q3" s="2" t="s">
        <v>901</v>
      </c>
      <c r="R3" s="2" t="s">
        <v>901</v>
      </c>
      <c r="S3" s="2" t="s">
        <v>901</v>
      </c>
      <c r="T3" s="2" t="s">
        <v>901</v>
      </c>
      <c r="U3" s="2" t="s">
        <v>901</v>
      </c>
      <c r="V3" s="2" t="s">
        <v>901</v>
      </c>
      <c r="W3" s="2" t="s">
        <v>901</v>
      </c>
      <c r="X3" s="82" t="s">
        <v>4</v>
      </c>
      <c r="Y3" s="82" t="s">
        <v>1</v>
      </c>
    </row>
    <row r="4" spans="1:25">
      <c r="A4" s="2" t="s">
        <v>78</v>
      </c>
      <c r="B4" s="2" t="s">
        <v>78</v>
      </c>
      <c r="C4" s="2" t="s">
        <v>901</v>
      </c>
      <c r="D4" s="2" t="s">
        <v>901</v>
      </c>
      <c r="E4" s="2" t="s">
        <v>901</v>
      </c>
      <c r="F4" s="2" t="s">
        <v>901</v>
      </c>
      <c r="G4" s="2" t="s">
        <v>901</v>
      </c>
      <c r="H4" s="2" t="s">
        <v>901</v>
      </c>
      <c r="I4" s="2" t="s">
        <v>901</v>
      </c>
      <c r="J4" s="2" t="s">
        <v>901</v>
      </c>
      <c r="K4" s="2" t="s">
        <v>901</v>
      </c>
      <c r="L4" s="2" t="s">
        <v>901</v>
      </c>
      <c r="M4" s="2" t="s">
        <v>901</v>
      </c>
      <c r="N4" s="2" t="s">
        <v>901</v>
      </c>
      <c r="O4" s="2" t="s">
        <v>901</v>
      </c>
      <c r="P4" s="2" t="s">
        <v>901</v>
      </c>
      <c r="Q4" s="2" t="s">
        <v>901</v>
      </c>
      <c r="R4" s="2" t="s">
        <v>901</v>
      </c>
      <c r="S4" s="2" t="s">
        <v>901</v>
      </c>
      <c r="T4" s="2" t="s">
        <v>901</v>
      </c>
      <c r="U4" s="2" t="s">
        <v>901</v>
      </c>
      <c r="V4" s="2" t="s">
        <v>901</v>
      </c>
      <c r="W4" s="2" t="s">
        <v>901</v>
      </c>
      <c r="X4" s="82" t="s">
        <v>4</v>
      </c>
      <c r="Y4" s="82" t="s">
        <v>1</v>
      </c>
    </row>
    <row r="5" spans="1:25">
      <c r="A5" s="2" t="s">
        <v>78</v>
      </c>
      <c r="B5" s="2" t="s">
        <v>94</v>
      </c>
      <c r="C5" s="2" t="s">
        <v>901</v>
      </c>
      <c r="D5" s="2" t="s">
        <v>901</v>
      </c>
      <c r="E5" s="2" t="s">
        <v>901</v>
      </c>
      <c r="F5" s="2" t="s">
        <v>901</v>
      </c>
      <c r="G5" s="2" t="s">
        <v>901</v>
      </c>
      <c r="H5" s="2" t="s">
        <v>901</v>
      </c>
      <c r="I5" s="2" t="s">
        <v>901</v>
      </c>
      <c r="J5" s="2" t="s">
        <v>901</v>
      </c>
      <c r="K5" s="2" t="s">
        <v>901</v>
      </c>
      <c r="L5" s="2" t="s">
        <v>901</v>
      </c>
      <c r="M5" s="2" t="s">
        <v>901</v>
      </c>
      <c r="N5" s="2" t="s">
        <v>901</v>
      </c>
      <c r="O5" s="2" t="s">
        <v>901</v>
      </c>
      <c r="P5" s="2" t="s">
        <v>901</v>
      </c>
      <c r="Q5" s="2" t="s">
        <v>901</v>
      </c>
      <c r="R5" s="2" t="s">
        <v>901</v>
      </c>
      <c r="S5" s="2" t="s">
        <v>901</v>
      </c>
      <c r="T5" s="2" t="s">
        <v>901</v>
      </c>
      <c r="U5" s="2" t="s">
        <v>901</v>
      </c>
      <c r="V5" s="2" t="s">
        <v>901</v>
      </c>
      <c r="W5" s="2" t="s">
        <v>901</v>
      </c>
      <c r="X5" s="82" t="s">
        <v>4</v>
      </c>
      <c r="Y5" s="82" t="s">
        <v>1</v>
      </c>
    </row>
    <row r="6" spans="1:25">
      <c r="A6" s="2" t="s">
        <v>78</v>
      </c>
      <c r="B6" s="2" t="s">
        <v>96</v>
      </c>
      <c r="C6" s="2" t="s">
        <v>901</v>
      </c>
      <c r="D6" s="2" t="s">
        <v>901</v>
      </c>
      <c r="E6" s="2" t="s">
        <v>901</v>
      </c>
      <c r="F6" s="2" t="s">
        <v>901</v>
      </c>
      <c r="G6" s="2" t="s">
        <v>901</v>
      </c>
      <c r="H6" s="2" t="s">
        <v>901</v>
      </c>
      <c r="I6" s="2" t="s">
        <v>901</v>
      </c>
      <c r="J6" s="2" t="s">
        <v>901</v>
      </c>
      <c r="K6" s="2" t="s">
        <v>901</v>
      </c>
      <c r="L6" s="2" t="s">
        <v>901</v>
      </c>
      <c r="M6" s="2" t="s">
        <v>901</v>
      </c>
      <c r="N6" s="2" t="s">
        <v>901</v>
      </c>
      <c r="O6" s="2" t="s">
        <v>901</v>
      </c>
      <c r="P6" s="2" t="s">
        <v>901</v>
      </c>
      <c r="Q6" s="2" t="s">
        <v>901</v>
      </c>
      <c r="R6" s="2" t="s">
        <v>901</v>
      </c>
      <c r="S6" s="2" t="s">
        <v>901</v>
      </c>
      <c r="T6" s="2" t="s">
        <v>901</v>
      </c>
      <c r="U6" s="2" t="s">
        <v>901</v>
      </c>
      <c r="V6" s="2" t="s">
        <v>901</v>
      </c>
      <c r="W6" s="2" t="s">
        <v>901</v>
      </c>
      <c r="X6" s="82" t="s">
        <v>4</v>
      </c>
      <c r="Y6" s="82" t="s">
        <v>1</v>
      </c>
    </row>
    <row r="7" spans="1:25">
      <c r="A7" s="2" t="s">
        <v>78</v>
      </c>
      <c r="B7" s="2" t="s">
        <v>98</v>
      </c>
      <c r="C7" s="2" t="s">
        <v>901</v>
      </c>
      <c r="D7" s="2" t="s">
        <v>901</v>
      </c>
      <c r="E7" s="2" t="s">
        <v>901</v>
      </c>
      <c r="F7" s="2" t="s">
        <v>901</v>
      </c>
      <c r="G7" s="2" t="s">
        <v>901</v>
      </c>
      <c r="H7" s="2" t="s">
        <v>901</v>
      </c>
      <c r="I7" s="2" t="s">
        <v>901</v>
      </c>
      <c r="J7" s="2" t="s">
        <v>901</v>
      </c>
      <c r="K7" s="2" t="s">
        <v>901</v>
      </c>
      <c r="L7" s="2" t="s">
        <v>901</v>
      </c>
      <c r="M7" s="2" t="s">
        <v>901</v>
      </c>
      <c r="N7" s="2" t="s">
        <v>901</v>
      </c>
      <c r="O7" s="2" t="s">
        <v>901</v>
      </c>
      <c r="P7" s="2" t="s">
        <v>901</v>
      </c>
      <c r="Q7" s="2" t="s">
        <v>901</v>
      </c>
      <c r="R7" s="2" t="s">
        <v>901</v>
      </c>
      <c r="S7" s="2" t="s">
        <v>901</v>
      </c>
      <c r="T7" s="2" t="s">
        <v>901</v>
      </c>
      <c r="U7" s="2" t="s">
        <v>901</v>
      </c>
      <c r="V7" s="2" t="s">
        <v>901</v>
      </c>
      <c r="W7" s="2" t="s">
        <v>901</v>
      </c>
      <c r="X7" s="82" t="s">
        <v>4</v>
      </c>
      <c r="Y7" s="82" t="s">
        <v>1</v>
      </c>
    </row>
    <row r="8" spans="1:25">
      <c r="A8" s="2" t="s">
        <v>3</v>
      </c>
      <c r="B8" s="2" t="s">
        <v>100</v>
      </c>
      <c r="C8" s="2" t="s">
        <v>901</v>
      </c>
      <c r="D8" s="2" t="s">
        <v>901</v>
      </c>
      <c r="E8" s="2" t="s">
        <v>901</v>
      </c>
      <c r="F8" s="2" t="s">
        <v>901</v>
      </c>
      <c r="G8" s="2" t="s">
        <v>901</v>
      </c>
      <c r="H8" s="2" t="s">
        <v>901</v>
      </c>
      <c r="I8" s="2" t="s">
        <v>901</v>
      </c>
      <c r="J8" s="2" t="s">
        <v>901</v>
      </c>
      <c r="K8" s="2" t="s">
        <v>901</v>
      </c>
      <c r="L8" s="2" t="s">
        <v>901</v>
      </c>
      <c r="M8" s="2" t="s">
        <v>901</v>
      </c>
      <c r="N8" s="2" t="s">
        <v>901</v>
      </c>
      <c r="O8" s="2" t="s">
        <v>901</v>
      </c>
      <c r="P8" s="2" t="s">
        <v>901</v>
      </c>
      <c r="Q8" s="2" t="s">
        <v>901</v>
      </c>
      <c r="R8" s="2" t="s">
        <v>901</v>
      </c>
      <c r="S8" s="2" t="s">
        <v>901</v>
      </c>
      <c r="T8" s="2" t="s">
        <v>901</v>
      </c>
      <c r="U8" s="2" t="s">
        <v>901</v>
      </c>
      <c r="V8" s="2" t="s">
        <v>901</v>
      </c>
      <c r="W8" s="2" t="s">
        <v>901</v>
      </c>
      <c r="X8" s="82" t="s">
        <v>4</v>
      </c>
      <c r="Y8" s="82" t="s">
        <v>1</v>
      </c>
    </row>
    <row r="9" spans="1:25">
      <c r="B9" s="82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spans="1:25">
      <c r="B10" s="82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T11"/>
  <sheetViews>
    <sheetView rightToLeft="1" workbookViewId="0">
      <selection activeCell="K36" sqref="K36"/>
    </sheetView>
  </sheetViews>
  <sheetFormatPr defaultRowHeight="14.25"/>
  <cols>
    <col min="1" max="1" width="36" customWidth="1"/>
    <col min="2" max="2" width="12" customWidth="1"/>
    <col min="3" max="3" width="17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4" customWidth="1"/>
    <col min="15" max="17" width="25" customWidth="1"/>
    <col min="18" max="18" width="23" customWidth="1"/>
  </cols>
  <sheetData>
    <row r="1" spans="1:20">
      <c r="B1" s="83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T1" s="83" t="s">
        <v>1</v>
      </c>
    </row>
    <row r="2" spans="1:20">
      <c r="A2" s="4" t="s">
        <v>61</v>
      </c>
      <c r="B2" s="4" t="s">
        <v>62</v>
      </c>
      <c r="C2" s="4" t="s">
        <v>1219</v>
      </c>
      <c r="D2" s="4" t="s">
        <v>1220</v>
      </c>
      <c r="E2" s="4" t="s">
        <v>66</v>
      </c>
      <c r="F2" s="4" t="s">
        <v>67</v>
      </c>
      <c r="G2" s="4" t="s">
        <v>104</v>
      </c>
      <c r="H2" s="4" t="s">
        <v>172</v>
      </c>
      <c r="I2" s="4" t="s">
        <v>1221</v>
      </c>
      <c r="J2" s="4" t="s">
        <v>71</v>
      </c>
      <c r="K2" s="4" t="s">
        <v>909</v>
      </c>
      <c r="L2" s="4" t="s">
        <v>72</v>
      </c>
      <c r="M2" s="4" t="s">
        <v>73</v>
      </c>
      <c r="N2" s="4" t="s">
        <v>75</v>
      </c>
      <c r="O2" s="4" t="s">
        <v>113</v>
      </c>
      <c r="P2" s="4" t="s">
        <v>29</v>
      </c>
      <c r="Q2" s="4" t="s">
        <v>76</v>
      </c>
      <c r="R2" s="4" t="s">
        <v>77</v>
      </c>
      <c r="S2" s="83" t="s">
        <v>4</v>
      </c>
      <c r="T2" s="83" t="s">
        <v>1</v>
      </c>
    </row>
    <row r="3" spans="1:20">
      <c r="A3" s="2" t="s">
        <v>78</v>
      </c>
      <c r="B3" s="2" t="s">
        <v>98</v>
      </c>
      <c r="C3" s="2" t="s">
        <v>1222</v>
      </c>
      <c r="D3" s="9">
        <v>1126770</v>
      </c>
      <c r="E3" s="2" t="s">
        <v>3</v>
      </c>
      <c r="F3" s="2" t="s">
        <v>83</v>
      </c>
      <c r="G3" s="2" t="s">
        <v>83</v>
      </c>
      <c r="H3" s="2" t="s">
        <v>84</v>
      </c>
      <c r="I3" s="2" t="s">
        <v>3</v>
      </c>
      <c r="J3" s="2" t="s">
        <v>87</v>
      </c>
      <c r="K3" s="2" t="s">
        <v>1223</v>
      </c>
      <c r="L3" s="5">
        <v>8.3999999999999995E-3</v>
      </c>
      <c r="M3" s="5">
        <v>1</v>
      </c>
      <c r="N3" s="5">
        <v>8.43E-3</v>
      </c>
      <c r="O3" s="2" t="s">
        <v>3</v>
      </c>
      <c r="P3" s="2" t="s">
        <v>27</v>
      </c>
      <c r="Q3" s="6">
        <v>1.3960000000000001E-4</v>
      </c>
      <c r="R3" s="6">
        <v>0</v>
      </c>
      <c r="S3" s="83" t="s">
        <v>4</v>
      </c>
      <c r="T3" s="83" t="s">
        <v>1</v>
      </c>
    </row>
    <row r="4" spans="1:20">
      <c r="A4" s="2" t="s">
        <v>78</v>
      </c>
      <c r="B4" s="2" t="s">
        <v>98</v>
      </c>
      <c r="C4" s="2" t="s">
        <v>1224</v>
      </c>
      <c r="D4" s="9">
        <v>10</v>
      </c>
      <c r="E4" s="2" t="s">
        <v>3</v>
      </c>
      <c r="F4" s="2" t="s">
        <v>148</v>
      </c>
      <c r="G4" s="2" t="s">
        <v>3</v>
      </c>
      <c r="H4" s="2" t="s">
        <v>84</v>
      </c>
      <c r="I4" s="2" t="s">
        <v>3</v>
      </c>
      <c r="J4" s="2" t="s">
        <v>87</v>
      </c>
      <c r="K4" s="24" t="s">
        <v>3</v>
      </c>
      <c r="L4" s="5">
        <v>60.357900000000001</v>
      </c>
      <c r="M4" s="5">
        <v>1</v>
      </c>
      <c r="N4" s="5">
        <v>60.357909999999997</v>
      </c>
      <c r="O4" s="2" t="s">
        <v>3</v>
      </c>
      <c r="P4" s="2" t="s">
        <v>27</v>
      </c>
      <c r="Q4" s="6">
        <v>0.99986039999999998</v>
      </c>
      <c r="R4" s="6">
        <v>7.2300000000000009E-5</v>
      </c>
      <c r="S4" s="83" t="s">
        <v>4</v>
      </c>
      <c r="T4" s="83" t="s">
        <v>1</v>
      </c>
    </row>
    <row r="5" spans="1:20">
      <c r="A5" s="2" t="s">
        <v>78</v>
      </c>
      <c r="B5" s="2" t="s">
        <v>79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83" t="s">
        <v>4</v>
      </c>
      <c r="T5" s="83" t="s">
        <v>1</v>
      </c>
    </row>
    <row r="6" spans="1:20">
      <c r="A6" s="2" t="s">
        <v>78</v>
      </c>
      <c r="B6" s="2" t="s">
        <v>78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83" t="s">
        <v>4</v>
      </c>
      <c r="T6" s="83" t="s">
        <v>1</v>
      </c>
    </row>
    <row r="7" spans="1:20">
      <c r="A7" s="2" t="s">
        <v>78</v>
      </c>
      <c r="B7" s="2" t="s">
        <v>94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83" t="s">
        <v>4</v>
      </c>
      <c r="T7" s="83" t="s">
        <v>1</v>
      </c>
    </row>
    <row r="8" spans="1:20">
      <c r="A8" s="2" t="s">
        <v>78</v>
      </c>
      <c r="B8" s="2" t="s">
        <v>96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83" t="s">
        <v>4</v>
      </c>
      <c r="T8" s="83" t="s">
        <v>1</v>
      </c>
    </row>
    <row r="9" spans="1:20">
      <c r="A9" s="2" t="s">
        <v>3</v>
      </c>
      <c r="B9" s="2" t="s">
        <v>100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83" t="s">
        <v>4</v>
      </c>
      <c r="T9" s="83" t="s">
        <v>1</v>
      </c>
    </row>
    <row r="10" spans="1:20">
      <c r="B10" s="83" t="s">
        <v>24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</row>
    <row r="11" spans="1:20">
      <c r="B11" s="83" t="s">
        <v>25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</row>
  </sheetData>
  <mergeCells count="5">
    <mergeCell ref="B1:R1"/>
    <mergeCell ref="B10:R10"/>
    <mergeCell ref="B11:R11"/>
    <mergeCell ref="S2:S9"/>
    <mergeCell ref="T1:T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V10"/>
  <sheetViews>
    <sheetView rightToLeft="1" workbookViewId="0">
      <selection activeCell="I29" sqref="I29:I30"/>
    </sheetView>
  </sheetViews>
  <sheetFormatPr defaultRowHeight="14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9" customWidth="1"/>
    <col min="20" max="20" width="24" customWidth="1"/>
  </cols>
  <sheetData>
    <row r="1" spans="1:22">
      <c r="B1" s="84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V1" s="84" t="s">
        <v>1</v>
      </c>
    </row>
    <row r="2" spans="1:22">
      <c r="A2" s="4" t="s">
        <v>61</v>
      </c>
      <c r="B2" s="4" t="s">
        <v>62</v>
      </c>
      <c r="C2" s="4" t="s">
        <v>1159</v>
      </c>
      <c r="D2" s="4" t="s">
        <v>1160</v>
      </c>
      <c r="E2" s="4" t="s">
        <v>1161</v>
      </c>
      <c r="F2" s="4" t="s">
        <v>1162</v>
      </c>
      <c r="G2" s="4" t="s">
        <v>1225</v>
      </c>
      <c r="H2" s="4" t="s">
        <v>67</v>
      </c>
      <c r="I2" s="4" t="s">
        <v>104</v>
      </c>
      <c r="J2" s="4" t="s">
        <v>172</v>
      </c>
      <c r="K2" s="4" t="s">
        <v>106</v>
      </c>
      <c r="L2" s="4" t="s">
        <v>70</v>
      </c>
      <c r="M2" s="4" t="s">
        <v>1167</v>
      </c>
      <c r="N2" s="4" t="s">
        <v>71</v>
      </c>
      <c r="O2" s="4" t="s">
        <v>73</v>
      </c>
      <c r="P2" s="4" t="s">
        <v>74</v>
      </c>
      <c r="Q2" s="4" t="s">
        <v>1168</v>
      </c>
      <c r="R2" s="4" t="s">
        <v>1226</v>
      </c>
      <c r="S2" s="4" t="s">
        <v>1227</v>
      </c>
      <c r="T2" s="4" t="s">
        <v>1228</v>
      </c>
      <c r="U2" s="84" t="s">
        <v>4</v>
      </c>
      <c r="V2" s="84" t="s">
        <v>1</v>
      </c>
    </row>
    <row r="3" spans="1:22">
      <c r="A3" s="2" t="s">
        <v>78</v>
      </c>
      <c r="B3" s="2" t="s">
        <v>79</v>
      </c>
      <c r="C3" s="2" t="s">
        <v>901</v>
      </c>
      <c r="D3" s="2" t="s">
        <v>901</v>
      </c>
      <c r="E3" s="2" t="s">
        <v>901</v>
      </c>
      <c r="F3" s="2" t="s">
        <v>901</v>
      </c>
      <c r="G3" s="2" t="s">
        <v>901</v>
      </c>
      <c r="H3" s="2" t="s">
        <v>901</v>
      </c>
      <c r="I3" s="2" t="s">
        <v>901</v>
      </c>
      <c r="J3" s="2" t="s">
        <v>901</v>
      </c>
      <c r="K3" s="2" t="s">
        <v>901</v>
      </c>
      <c r="L3" s="2" t="s">
        <v>901</v>
      </c>
      <c r="M3" s="2" t="s">
        <v>901</v>
      </c>
      <c r="N3" s="2" t="s">
        <v>901</v>
      </c>
      <c r="O3" s="2" t="s">
        <v>901</v>
      </c>
      <c r="P3" s="2" t="s">
        <v>901</v>
      </c>
      <c r="Q3" s="2" t="s">
        <v>901</v>
      </c>
      <c r="R3" s="2" t="s">
        <v>901</v>
      </c>
      <c r="S3" s="2" t="s">
        <v>901</v>
      </c>
      <c r="T3" s="2" t="s">
        <v>901</v>
      </c>
      <c r="U3" s="84" t="s">
        <v>4</v>
      </c>
      <c r="V3" s="84" t="s">
        <v>1</v>
      </c>
    </row>
    <row r="4" spans="1:22">
      <c r="A4" s="2" t="s">
        <v>78</v>
      </c>
      <c r="B4" s="2" t="s">
        <v>78</v>
      </c>
      <c r="C4" s="2" t="s">
        <v>901</v>
      </c>
      <c r="D4" s="2" t="s">
        <v>901</v>
      </c>
      <c r="E4" s="2" t="s">
        <v>901</v>
      </c>
      <c r="F4" s="2" t="s">
        <v>901</v>
      </c>
      <c r="G4" s="2" t="s">
        <v>901</v>
      </c>
      <c r="H4" s="2" t="s">
        <v>901</v>
      </c>
      <c r="I4" s="2" t="s">
        <v>901</v>
      </c>
      <c r="J4" s="2" t="s">
        <v>901</v>
      </c>
      <c r="K4" s="2" t="s">
        <v>901</v>
      </c>
      <c r="L4" s="2" t="s">
        <v>901</v>
      </c>
      <c r="M4" s="2" t="s">
        <v>901</v>
      </c>
      <c r="N4" s="2" t="s">
        <v>901</v>
      </c>
      <c r="O4" s="2" t="s">
        <v>901</v>
      </c>
      <c r="P4" s="2" t="s">
        <v>901</v>
      </c>
      <c r="Q4" s="2" t="s">
        <v>901</v>
      </c>
      <c r="R4" s="2" t="s">
        <v>901</v>
      </c>
      <c r="S4" s="2" t="s">
        <v>901</v>
      </c>
      <c r="T4" s="2" t="s">
        <v>901</v>
      </c>
      <c r="U4" s="84" t="s">
        <v>4</v>
      </c>
      <c r="V4" s="84" t="s">
        <v>1</v>
      </c>
    </row>
    <row r="5" spans="1:22">
      <c r="A5" s="2" t="s">
        <v>78</v>
      </c>
      <c r="B5" s="2" t="s">
        <v>94</v>
      </c>
      <c r="C5" s="2" t="s">
        <v>901</v>
      </c>
      <c r="D5" s="2" t="s">
        <v>901</v>
      </c>
      <c r="E5" s="2" t="s">
        <v>901</v>
      </c>
      <c r="F5" s="2" t="s">
        <v>901</v>
      </c>
      <c r="G5" s="2" t="s">
        <v>901</v>
      </c>
      <c r="H5" s="2" t="s">
        <v>901</v>
      </c>
      <c r="I5" s="2" t="s">
        <v>901</v>
      </c>
      <c r="J5" s="2" t="s">
        <v>901</v>
      </c>
      <c r="K5" s="2" t="s">
        <v>901</v>
      </c>
      <c r="L5" s="2" t="s">
        <v>901</v>
      </c>
      <c r="M5" s="2" t="s">
        <v>901</v>
      </c>
      <c r="N5" s="2" t="s">
        <v>901</v>
      </c>
      <c r="O5" s="2" t="s">
        <v>901</v>
      </c>
      <c r="P5" s="2" t="s">
        <v>901</v>
      </c>
      <c r="Q5" s="2" t="s">
        <v>901</v>
      </c>
      <c r="R5" s="2" t="s">
        <v>901</v>
      </c>
      <c r="S5" s="2" t="s">
        <v>901</v>
      </c>
      <c r="T5" s="2" t="s">
        <v>901</v>
      </c>
      <c r="U5" s="84" t="s">
        <v>4</v>
      </c>
      <c r="V5" s="84" t="s">
        <v>1</v>
      </c>
    </row>
    <row r="6" spans="1:22">
      <c r="A6" s="2" t="s">
        <v>78</v>
      </c>
      <c r="B6" s="2" t="s">
        <v>96</v>
      </c>
      <c r="C6" s="2" t="s">
        <v>901</v>
      </c>
      <c r="D6" s="2" t="s">
        <v>901</v>
      </c>
      <c r="E6" s="2" t="s">
        <v>901</v>
      </c>
      <c r="F6" s="2" t="s">
        <v>901</v>
      </c>
      <c r="G6" s="2" t="s">
        <v>901</v>
      </c>
      <c r="H6" s="2" t="s">
        <v>901</v>
      </c>
      <c r="I6" s="2" t="s">
        <v>901</v>
      </c>
      <c r="J6" s="2" t="s">
        <v>901</v>
      </c>
      <c r="K6" s="2" t="s">
        <v>901</v>
      </c>
      <c r="L6" s="2" t="s">
        <v>901</v>
      </c>
      <c r="M6" s="2" t="s">
        <v>901</v>
      </c>
      <c r="N6" s="2" t="s">
        <v>901</v>
      </c>
      <c r="O6" s="2" t="s">
        <v>901</v>
      </c>
      <c r="P6" s="2" t="s">
        <v>901</v>
      </c>
      <c r="Q6" s="2" t="s">
        <v>901</v>
      </c>
      <c r="R6" s="2" t="s">
        <v>901</v>
      </c>
      <c r="S6" s="2" t="s">
        <v>901</v>
      </c>
      <c r="T6" s="2" t="s">
        <v>901</v>
      </c>
      <c r="U6" s="84" t="s">
        <v>4</v>
      </c>
      <c r="V6" s="84" t="s">
        <v>1</v>
      </c>
    </row>
    <row r="7" spans="1:22">
      <c r="A7" s="2" t="s">
        <v>78</v>
      </c>
      <c r="B7" s="2" t="s">
        <v>98</v>
      </c>
      <c r="C7" s="2" t="s">
        <v>901</v>
      </c>
      <c r="D7" s="2" t="s">
        <v>901</v>
      </c>
      <c r="E7" s="2" t="s">
        <v>901</v>
      </c>
      <c r="F7" s="2" t="s">
        <v>901</v>
      </c>
      <c r="G7" s="2" t="s">
        <v>901</v>
      </c>
      <c r="H7" s="2" t="s">
        <v>901</v>
      </c>
      <c r="I7" s="2" t="s">
        <v>901</v>
      </c>
      <c r="J7" s="2" t="s">
        <v>901</v>
      </c>
      <c r="K7" s="2" t="s">
        <v>901</v>
      </c>
      <c r="L7" s="2" t="s">
        <v>901</v>
      </c>
      <c r="M7" s="2" t="s">
        <v>901</v>
      </c>
      <c r="N7" s="2" t="s">
        <v>901</v>
      </c>
      <c r="O7" s="2" t="s">
        <v>901</v>
      </c>
      <c r="P7" s="2" t="s">
        <v>901</v>
      </c>
      <c r="Q7" s="2" t="s">
        <v>901</v>
      </c>
      <c r="R7" s="2" t="s">
        <v>901</v>
      </c>
      <c r="S7" s="2" t="s">
        <v>901</v>
      </c>
      <c r="T7" s="2" t="s">
        <v>901</v>
      </c>
      <c r="U7" s="84" t="s">
        <v>4</v>
      </c>
      <c r="V7" s="84" t="s">
        <v>1</v>
      </c>
    </row>
    <row r="8" spans="1:22">
      <c r="A8" s="2" t="s">
        <v>3</v>
      </c>
      <c r="B8" s="2" t="s">
        <v>100</v>
      </c>
      <c r="C8" s="2" t="s">
        <v>901</v>
      </c>
      <c r="D8" s="2" t="s">
        <v>901</v>
      </c>
      <c r="E8" s="2" t="s">
        <v>901</v>
      </c>
      <c r="F8" s="2" t="s">
        <v>901</v>
      </c>
      <c r="G8" s="2" t="s">
        <v>901</v>
      </c>
      <c r="H8" s="2" t="s">
        <v>901</v>
      </c>
      <c r="I8" s="2" t="s">
        <v>901</v>
      </c>
      <c r="J8" s="2" t="s">
        <v>901</v>
      </c>
      <c r="K8" s="2" t="s">
        <v>901</v>
      </c>
      <c r="L8" s="2" t="s">
        <v>901</v>
      </c>
      <c r="M8" s="2" t="s">
        <v>901</v>
      </c>
      <c r="N8" s="2" t="s">
        <v>901</v>
      </c>
      <c r="O8" s="2" t="s">
        <v>901</v>
      </c>
      <c r="P8" s="2" t="s">
        <v>901</v>
      </c>
      <c r="Q8" s="2" t="s">
        <v>901</v>
      </c>
      <c r="R8" s="2" t="s">
        <v>901</v>
      </c>
      <c r="S8" s="2" t="s">
        <v>901</v>
      </c>
      <c r="T8" s="2" t="s">
        <v>901</v>
      </c>
      <c r="U8" s="84" t="s">
        <v>4</v>
      </c>
      <c r="V8" s="84" t="s">
        <v>1</v>
      </c>
    </row>
    <row r="9" spans="1:22">
      <c r="B9" s="84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2">
      <c r="B10" s="84" t="s">
        <v>25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</sheetData>
  <mergeCells count="5">
    <mergeCell ref="B1:T1"/>
    <mergeCell ref="B9:T9"/>
    <mergeCell ref="B10:T10"/>
    <mergeCell ref="U2:U8"/>
    <mergeCell ref="V1:V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1"/>
  <dimension ref="A1:S31"/>
  <sheetViews>
    <sheetView rightToLeft="1" zoomScale="70" zoomScaleNormal="70" workbookViewId="0">
      <selection activeCell="H34" sqref="A30:H34"/>
    </sheetView>
  </sheetViews>
  <sheetFormatPr defaultRowHeight="14.25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23.375" bestFit="1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5" customWidth="1"/>
    <col min="14" max="14" width="58" customWidth="1"/>
    <col min="15" max="15" width="41" customWidth="1"/>
    <col min="16" max="16" width="21" customWidth="1"/>
    <col min="17" max="17" width="28" customWidth="1"/>
  </cols>
  <sheetData>
    <row r="1" spans="1:19">
      <c r="B1" s="85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S1" s="85" t="s">
        <v>1</v>
      </c>
    </row>
    <row r="2" spans="1:19">
      <c r="A2" s="4" t="s">
        <v>61</v>
      </c>
      <c r="B2" s="4" t="s">
        <v>62</v>
      </c>
      <c r="C2" s="4" t="s">
        <v>66</v>
      </c>
      <c r="D2" s="4" t="s">
        <v>969</v>
      </c>
      <c r="E2" s="4" t="s">
        <v>970</v>
      </c>
      <c r="F2" s="4" t="s">
        <v>971</v>
      </c>
      <c r="G2" s="4" t="s">
        <v>972</v>
      </c>
      <c r="H2" s="4" t="s">
        <v>973</v>
      </c>
      <c r="I2" s="4" t="s">
        <v>974</v>
      </c>
      <c r="J2" s="4" t="s">
        <v>71</v>
      </c>
      <c r="K2" s="4" t="s">
        <v>1229</v>
      </c>
      <c r="L2" s="4" t="s">
        <v>1230</v>
      </c>
      <c r="M2" s="4" t="s">
        <v>1231</v>
      </c>
      <c r="N2" s="4" t="s">
        <v>1232</v>
      </c>
      <c r="O2" s="4" t="s">
        <v>1233</v>
      </c>
      <c r="P2" s="4" t="s">
        <v>1234</v>
      </c>
      <c r="Q2" s="4" t="s">
        <v>1235</v>
      </c>
      <c r="R2" s="85" t="s">
        <v>4</v>
      </c>
      <c r="S2" s="85" t="s">
        <v>1</v>
      </c>
    </row>
    <row r="3" spans="1:19" ht="15">
      <c r="A3" s="29" t="s">
        <v>78</v>
      </c>
      <c r="B3" s="29">
        <v>9930</v>
      </c>
      <c r="C3" s="29" t="s">
        <v>48</v>
      </c>
      <c r="D3" s="29" t="s">
        <v>1046</v>
      </c>
      <c r="E3" s="30" t="s">
        <v>1312</v>
      </c>
      <c r="F3" s="30" t="s">
        <v>194</v>
      </c>
      <c r="G3" s="30" t="s">
        <v>1323</v>
      </c>
      <c r="H3" s="30">
        <v>62000073</v>
      </c>
      <c r="I3" s="30" t="s">
        <v>505</v>
      </c>
      <c r="J3" s="44" t="s">
        <v>1324</v>
      </c>
      <c r="K3" s="45">
        <v>42733</v>
      </c>
      <c r="L3" s="31">
        <v>930</v>
      </c>
      <c r="M3" s="32">
        <v>3423.33</v>
      </c>
      <c r="N3" s="32">
        <v>0</v>
      </c>
      <c r="O3" s="32">
        <v>0</v>
      </c>
      <c r="P3" s="43">
        <v>0</v>
      </c>
      <c r="Q3" s="45">
        <v>45655</v>
      </c>
      <c r="R3" s="85" t="s">
        <v>4</v>
      </c>
      <c r="S3" s="85" t="s">
        <v>1</v>
      </c>
    </row>
    <row r="4" spans="1:19" ht="15">
      <c r="A4" s="29" t="s">
        <v>78</v>
      </c>
      <c r="B4" s="29">
        <v>9930</v>
      </c>
      <c r="C4" s="42" t="s">
        <v>48</v>
      </c>
      <c r="D4" s="42" t="s">
        <v>1088</v>
      </c>
      <c r="E4" s="30" t="s">
        <v>1316</v>
      </c>
      <c r="F4" s="30" t="s">
        <v>1317</v>
      </c>
      <c r="G4" s="30" t="s">
        <v>1088</v>
      </c>
      <c r="H4" s="30">
        <v>60419223</v>
      </c>
      <c r="I4" s="30" t="s">
        <v>505</v>
      </c>
      <c r="J4" s="44" t="s">
        <v>1324</v>
      </c>
      <c r="K4" s="45">
        <v>41969</v>
      </c>
      <c r="L4" s="31">
        <v>1000</v>
      </c>
      <c r="M4" s="32">
        <v>3681</v>
      </c>
      <c r="N4" s="32">
        <v>245.81728000000001</v>
      </c>
      <c r="O4" s="32">
        <v>904.85340767999992</v>
      </c>
      <c r="P4" s="43">
        <v>0.24581727999999997</v>
      </c>
      <c r="Q4" s="45">
        <v>45621</v>
      </c>
      <c r="R4" s="85" t="s">
        <v>4</v>
      </c>
      <c r="S4" s="85" t="s">
        <v>1</v>
      </c>
    </row>
    <row r="5" spans="1:19" ht="15">
      <c r="A5" s="29" t="s">
        <v>78</v>
      </c>
      <c r="B5" s="29">
        <v>9930</v>
      </c>
      <c r="C5" s="42" t="s">
        <v>48</v>
      </c>
      <c r="D5" s="42" t="s">
        <v>1076</v>
      </c>
      <c r="E5" s="33" t="s">
        <v>901</v>
      </c>
      <c r="F5" s="33" t="s">
        <v>3</v>
      </c>
      <c r="G5" s="30" t="s">
        <v>1325</v>
      </c>
      <c r="H5" s="30" t="s">
        <v>1078</v>
      </c>
      <c r="I5" s="30" t="s">
        <v>183</v>
      </c>
      <c r="J5" s="44" t="s">
        <v>1324</v>
      </c>
      <c r="K5" s="45">
        <v>41625</v>
      </c>
      <c r="L5" s="31">
        <v>1500</v>
      </c>
      <c r="M5" s="32">
        <v>5521.5</v>
      </c>
      <c r="N5" s="32">
        <v>254.554</v>
      </c>
      <c r="O5" s="32">
        <v>937.01327400000002</v>
      </c>
      <c r="P5" s="43">
        <v>0.16970266666666667</v>
      </c>
      <c r="Q5" s="45">
        <v>45636</v>
      </c>
      <c r="R5" s="85" t="s">
        <v>4</v>
      </c>
      <c r="S5" s="85" t="s">
        <v>1</v>
      </c>
    </row>
    <row r="6" spans="1:19" ht="15">
      <c r="A6" s="29" t="s">
        <v>78</v>
      </c>
      <c r="B6" s="29">
        <v>9930</v>
      </c>
      <c r="C6" s="42" t="s">
        <v>48</v>
      </c>
      <c r="D6" s="42"/>
      <c r="E6" s="30" t="s">
        <v>3</v>
      </c>
      <c r="F6" s="30" t="s">
        <v>3</v>
      </c>
      <c r="G6" s="30" t="s">
        <v>1326</v>
      </c>
      <c r="H6" s="30"/>
      <c r="I6" s="30" t="s">
        <v>3</v>
      </c>
      <c r="J6" s="44" t="s">
        <v>1324</v>
      </c>
      <c r="K6" s="45">
        <v>42901</v>
      </c>
      <c r="L6" s="31">
        <v>2000</v>
      </c>
      <c r="M6" s="32">
        <v>7362</v>
      </c>
      <c r="N6" s="32">
        <v>288.21593999999999</v>
      </c>
      <c r="O6" s="32">
        <v>1060.9228751399999</v>
      </c>
      <c r="P6" s="43">
        <v>0.14410796999999997</v>
      </c>
      <c r="Q6" s="45">
        <v>46905</v>
      </c>
      <c r="R6" s="85" t="s">
        <v>4</v>
      </c>
      <c r="S6" s="85" t="s">
        <v>1</v>
      </c>
    </row>
    <row r="7" spans="1:19" ht="15">
      <c r="A7" s="29" t="s">
        <v>78</v>
      </c>
      <c r="B7" s="29">
        <v>9930</v>
      </c>
      <c r="C7" s="42" t="s">
        <v>48</v>
      </c>
      <c r="D7" s="42" t="s">
        <v>1076</v>
      </c>
      <c r="E7" s="33" t="s">
        <v>901</v>
      </c>
      <c r="F7" s="33" t="s">
        <v>3</v>
      </c>
      <c r="G7" s="30" t="s">
        <v>1327</v>
      </c>
      <c r="H7" s="30" t="s">
        <v>1081</v>
      </c>
      <c r="I7" s="30" t="s">
        <v>183</v>
      </c>
      <c r="J7" s="44" t="s">
        <v>1324</v>
      </c>
      <c r="K7" s="45">
        <v>41100</v>
      </c>
      <c r="L7" s="31">
        <v>1500</v>
      </c>
      <c r="M7" s="32">
        <v>5521.5</v>
      </c>
      <c r="N7" s="32">
        <v>133.38022000000001</v>
      </c>
      <c r="O7" s="32">
        <v>490.97258982</v>
      </c>
      <c r="P7" s="43">
        <v>8.8920146666666672E-2</v>
      </c>
      <c r="Q7" s="45">
        <v>45838</v>
      </c>
      <c r="R7" s="85" t="s">
        <v>4</v>
      </c>
      <c r="S7" s="85" t="s">
        <v>1</v>
      </c>
    </row>
    <row r="8" spans="1:19" ht="15">
      <c r="A8" s="29" t="s">
        <v>78</v>
      </c>
      <c r="B8" s="29">
        <v>9930</v>
      </c>
      <c r="C8" s="42" t="s">
        <v>48</v>
      </c>
      <c r="D8" s="42"/>
      <c r="E8" s="34" t="s">
        <v>3</v>
      </c>
      <c r="F8" s="35" t="s">
        <v>3</v>
      </c>
      <c r="G8" s="35" t="s">
        <v>1328</v>
      </c>
      <c r="H8" s="30" t="s">
        <v>3</v>
      </c>
      <c r="I8" s="35" t="s">
        <v>3</v>
      </c>
      <c r="J8" s="46" t="s">
        <v>1324</v>
      </c>
      <c r="K8" s="45">
        <v>42221</v>
      </c>
      <c r="L8" s="31">
        <v>1835.376</v>
      </c>
      <c r="M8" s="31">
        <v>6756.0190560000001</v>
      </c>
      <c r="N8" s="31">
        <v>241.41098000000002</v>
      </c>
      <c r="O8" s="31">
        <v>888.63381737999998</v>
      </c>
      <c r="P8" s="43">
        <v>0.13153216561620071</v>
      </c>
      <c r="Q8" s="45">
        <v>45940</v>
      </c>
      <c r="R8" s="85" t="s">
        <v>4</v>
      </c>
      <c r="S8" s="85" t="s">
        <v>1</v>
      </c>
    </row>
    <row r="9" spans="1:19" ht="15">
      <c r="A9" s="29" t="s">
        <v>78</v>
      </c>
      <c r="B9" s="29">
        <v>9930</v>
      </c>
      <c r="C9" s="42" t="s">
        <v>48</v>
      </c>
      <c r="D9" s="42" t="s">
        <v>1043</v>
      </c>
      <c r="E9" s="33" t="s">
        <v>901</v>
      </c>
      <c r="F9" s="33" t="s">
        <v>3</v>
      </c>
      <c r="G9" s="35" t="s">
        <v>1043</v>
      </c>
      <c r="H9" s="30">
        <v>60408978</v>
      </c>
      <c r="I9" s="35" t="s">
        <v>505</v>
      </c>
      <c r="J9" s="46" t="s">
        <v>1324</v>
      </c>
      <c r="K9" s="45">
        <v>42543</v>
      </c>
      <c r="L9" s="31">
        <v>700</v>
      </c>
      <c r="M9" s="31">
        <v>2576.6999999999998</v>
      </c>
      <c r="N9" s="31">
        <v>0</v>
      </c>
      <c r="O9" s="31">
        <v>0</v>
      </c>
      <c r="P9" s="43">
        <v>0</v>
      </c>
      <c r="Q9" s="45">
        <v>45809</v>
      </c>
    </row>
    <row r="10" spans="1:19" ht="15">
      <c r="A10" s="29" t="s">
        <v>78</v>
      </c>
      <c r="B10" s="29">
        <v>9930</v>
      </c>
      <c r="C10" s="42" t="s">
        <v>48</v>
      </c>
      <c r="D10" s="42" t="s">
        <v>1043</v>
      </c>
      <c r="E10" s="33" t="s">
        <v>901</v>
      </c>
      <c r="F10" s="33" t="s">
        <v>3</v>
      </c>
      <c r="G10" s="35" t="s">
        <v>1329</v>
      </c>
      <c r="H10" s="30">
        <v>62002044</v>
      </c>
      <c r="I10" s="35" t="s">
        <v>505</v>
      </c>
      <c r="J10" s="46" t="s">
        <v>1324</v>
      </c>
      <c r="K10" s="45">
        <v>42908</v>
      </c>
      <c r="L10" s="31">
        <v>603.75</v>
      </c>
      <c r="M10" s="31">
        <v>2222.4037499999999</v>
      </c>
      <c r="N10" s="31">
        <v>3.726</v>
      </c>
      <c r="O10" s="31">
        <v>13.715406000000002</v>
      </c>
      <c r="P10" s="43">
        <v>6.1714285714285725E-3</v>
      </c>
      <c r="Q10" s="45">
        <v>45813</v>
      </c>
    </row>
    <row r="11" spans="1:19" ht="15">
      <c r="A11" s="29" t="s">
        <v>78</v>
      </c>
      <c r="B11" s="29">
        <v>9930</v>
      </c>
      <c r="C11" s="42" t="s">
        <v>48</v>
      </c>
      <c r="D11" s="42" t="s">
        <v>1100</v>
      </c>
      <c r="E11" s="34" t="s">
        <v>1320</v>
      </c>
      <c r="F11" s="35" t="s">
        <v>194</v>
      </c>
      <c r="G11" s="35" t="s">
        <v>1330</v>
      </c>
      <c r="H11" s="30">
        <v>62007802</v>
      </c>
      <c r="I11" s="35" t="s">
        <v>505</v>
      </c>
      <c r="J11" s="46" t="s">
        <v>1324</v>
      </c>
      <c r="K11" s="45">
        <v>43252</v>
      </c>
      <c r="L11" s="31">
        <v>1000</v>
      </c>
      <c r="M11" s="31">
        <v>3681</v>
      </c>
      <c r="N11" s="31">
        <v>79.505330000000001</v>
      </c>
      <c r="O11" s="31">
        <v>292.65911972999999</v>
      </c>
      <c r="P11" s="43">
        <v>7.9505329999999999E-2</v>
      </c>
      <c r="Q11" s="45">
        <v>46174</v>
      </c>
    </row>
    <row r="12" spans="1:19" ht="15">
      <c r="A12" s="29" t="s">
        <v>78</v>
      </c>
      <c r="B12" s="29">
        <v>9930</v>
      </c>
      <c r="C12" s="42" t="s">
        <v>48</v>
      </c>
      <c r="D12" s="42" t="s">
        <v>1063</v>
      </c>
      <c r="E12" s="42" t="s">
        <v>1315</v>
      </c>
      <c r="F12" s="42" t="s">
        <v>194</v>
      </c>
      <c r="G12" s="42" t="s">
        <v>1064</v>
      </c>
      <c r="H12" s="42">
        <v>62006150</v>
      </c>
      <c r="I12" s="42" t="s">
        <v>505</v>
      </c>
      <c r="J12" s="47" t="s">
        <v>1324</v>
      </c>
      <c r="K12" s="45">
        <v>43132</v>
      </c>
      <c r="L12" s="31">
        <v>1000</v>
      </c>
      <c r="M12" s="31">
        <v>3681</v>
      </c>
      <c r="N12" s="31">
        <v>147.5</v>
      </c>
      <c r="O12" s="31">
        <v>542.94749999999999</v>
      </c>
      <c r="P12" s="43">
        <v>0.14749999999999999</v>
      </c>
      <c r="Q12" s="45">
        <v>45689</v>
      </c>
    </row>
    <row r="13" spans="1:19" ht="15">
      <c r="A13" s="29" t="s">
        <v>78</v>
      </c>
      <c r="B13" s="29">
        <v>9930</v>
      </c>
      <c r="C13" s="42" t="s">
        <v>48</v>
      </c>
      <c r="D13" s="42" t="s">
        <v>1033</v>
      </c>
      <c r="E13" s="42" t="s">
        <v>1308</v>
      </c>
      <c r="F13" s="42" t="s">
        <v>1309</v>
      </c>
      <c r="G13" s="42" t="s">
        <v>1331</v>
      </c>
      <c r="H13" s="42">
        <v>62009766</v>
      </c>
      <c r="I13" s="42" t="s">
        <v>505</v>
      </c>
      <c r="J13" s="47" t="s">
        <v>1324</v>
      </c>
      <c r="K13" s="45">
        <v>43417</v>
      </c>
      <c r="L13" s="31">
        <v>700</v>
      </c>
      <c r="M13" s="31">
        <v>2576.6999999999998</v>
      </c>
      <c r="N13" s="31">
        <v>31.5</v>
      </c>
      <c r="O13" s="31">
        <v>115.9515</v>
      </c>
      <c r="P13" s="43">
        <v>4.4999999999999998E-2</v>
      </c>
      <c r="Q13" s="45">
        <v>48165</v>
      </c>
    </row>
    <row r="14" spans="1:19" ht="15">
      <c r="A14" s="29" t="s">
        <v>78</v>
      </c>
      <c r="B14" s="29">
        <v>9930</v>
      </c>
      <c r="C14" s="42" t="s">
        <v>48</v>
      </c>
      <c r="D14" s="42" t="s">
        <v>1037</v>
      </c>
      <c r="E14" s="42" t="s">
        <v>1310</v>
      </c>
      <c r="F14" s="33" t="s">
        <v>194</v>
      </c>
      <c r="G14" s="42" t="s">
        <v>1332</v>
      </c>
      <c r="H14" s="88">
        <v>62007869</v>
      </c>
      <c r="I14" s="33" t="s">
        <v>505</v>
      </c>
      <c r="J14" s="47" t="s">
        <v>1324</v>
      </c>
      <c r="K14" s="45">
        <v>43405</v>
      </c>
      <c r="L14" s="31">
        <v>1500</v>
      </c>
      <c r="M14" s="31">
        <v>5521.5</v>
      </c>
      <c r="N14" s="31">
        <v>0</v>
      </c>
      <c r="O14" s="31">
        <v>0</v>
      </c>
      <c r="P14" s="43">
        <v>0</v>
      </c>
      <c r="Q14" s="45">
        <v>45962</v>
      </c>
    </row>
    <row r="15" spans="1:19" ht="15">
      <c r="A15" s="29" t="s">
        <v>78</v>
      </c>
      <c r="B15" s="29">
        <v>9930</v>
      </c>
      <c r="C15" s="42" t="s">
        <v>48</v>
      </c>
      <c r="D15" s="42" t="s">
        <v>547</v>
      </c>
      <c r="E15" s="42" t="s">
        <v>1302</v>
      </c>
      <c r="F15" s="42" t="s">
        <v>194</v>
      </c>
      <c r="G15" s="42" t="s">
        <v>1333</v>
      </c>
      <c r="H15" s="42">
        <v>62013941</v>
      </c>
      <c r="I15" s="42" t="s">
        <v>505</v>
      </c>
      <c r="J15" s="47" t="s">
        <v>1324</v>
      </c>
      <c r="K15" s="45">
        <v>43678</v>
      </c>
      <c r="L15" s="31">
        <v>1500</v>
      </c>
      <c r="M15" s="31">
        <v>5521.5</v>
      </c>
      <c r="N15" s="31">
        <v>215.089</v>
      </c>
      <c r="O15" s="31">
        <v>791.74260900000002</v>
      </c>
      <c r="P15" s="43">
        <v>0.14339266666666667</v>
      </c>
      <c r="Q15" s="45">
        <v>46600</v>
      </c>
    </row>
    <row r="16" spans="1:19" ht="15">
      <c r="A16" s="29" t="s">
        <v>78</v>
      </c>
      <c r="B16" s="29">
        <v>9930</v>
      </c>
      <c r="C16" s="42" t="s">
        <v>48</v>
      </c>
      <c r="D16" s="42"/>
      <c r="E16" s="42" t="s">
        <v>1318</v>
      </c>
      <c r="F16" s="42" t="s">
        <v>194</v>
      </c>
      <c r="G16" s="42" t="s">
        <v>1334</v>
      </c>
      <c r="H16" s="42">
        <v>60346871</v>
      </c>
      <c r="I16" s="42" t="s">
        <v>505</v>
      </c>
      <c r="J16" s="47" t="s">
        <v>1324</v>
      </c>
      <c r="K16" s="45">
        <v>41632</v>
      </c>
      <c r="L16" s="31">
        <v>1500</v>
      </c>
      <c r="M16" s="31">
        <v>5521.5</v>
      </c>
      <c r="N16" s="31">
        <v>129.839</v>
      </c>
      <c r="O16" s="31">
        <v>477.93735900000001</v>
      </c>
      <c r="P16" s="43">
        <v>8.6559333333333335E-2</v>
      </c>
      <c r="Q16" s="45">
        <v>45255</v>
      </c>
    </row>
    <row r="17" spans="1:17" ht="15">
      <c r="A17" s="29" t="s">
        <v>78</v>
      </c>
      <c r="B17" s="29">
        <v>9930</v>
      </c>
      <c r="C17" s="42" t="s">
        <v>48</v>
      </c>
      <c r="D17" s="42" t="s">
        <v>1059</v>
      </c>
      <c r="E17" s="42" t="s">
        <v>1060</v>
      </c>
      <c r="F17" s="42" t="s">
        <v>194</v>
      </c>
      <c r="G17" s="42" t="s">
        <v>1059</v>
      </c>
      <c r="H17" s="42">
        <v>62010434</v>
      </c>
      <c r="I17" s="42" t="s">
        <v>505</v>
      </c>
      <c r="J17" s="47" t="s">
        <v>1324</v>
      </c>
      <c r="K17" s="45">
        <v>43466</v>
      </c>
      <c r="L17" s="31">
        <v>1000</v>
      </c>
      <c r="M17" s="31">
        <v>3681</v>
      </c>
      <c r="N17" s="31">
        <v>75.924999999999997</v>
      </c>
      <c r="O17" s="31">
        <v>279.47992499999998</v>
      </c>
      <c r="P17" s="43">
        <v>7.5924999999999992E-2</v>
      </c>
      <c r="Q17" s="45">
        <v>45658</v>
      </c>
    </row>
    <row r="18" spans="1:17" ht="15">
      <c r="A18" s="29" t="s">
        <v>78</v>
      </c>
      <c r="B18" s="29">
        <v>9930</v>
      </c>
      <c r="C18" s="42" t="s">
        <v>48</v>
      </c>
      <c r="D18" s="42" t="s">
        <v>1083</v>
      </c>
      <c r="E18" s="42" t="s">
        <v>1084</v>
      </c>
      <c r="F18" s="42" t="s">
        <v>194</v>
      </c>
      <c r="G18" s="42" t="s">
        <v>1083</v>
      </c>
      <c r="H18" s="42">
        <v>62002240</v>
      </c>
      <c r="I18" s="42" t="s">
        <v>505</v>
      </c>
      <c r="J18" s="47" t="s">
        <v>1335</v>
      </c>
      <c r="K18" s="45">
        <v>42767</v>
      </c>
      <c r="L18" s="31">
        <v>700</v>
      </c>
      <c r="M18" s="31">
        <v>2785.3</v>
      </c>
      <c r="N18" s="31">
        <v>34.595999999999997</v>
      </c>
      <c r="O18" s="31">
        <v>137.6609436</v>
      </c>
      <c r="P18" s="43">
        <v>4.9424099235270885E-2</v>
      </c>
      <c r="Q18" s="45">
        <v>45689</v>
      </c>
    </row>
    <row r="19" spans="1:17" ht="15">
      <c r="A19" s="29" t="s">
        <v>78</v>
      </c>
      <c r="B19" s="29">
        <v>9930</v>
      </c>
      <c r="C19" s="42" t="s">
        <v>48</v>
      </c>
      <c r="D19" s="42" t="s">
        <v>1026</v>
      </c>
      <c r="E19" s="42" t="s">
        <v>1027</v>
      </c>
      <c r="F19" s="42" t="s">
        <v>194</v>
      </c>
      <c r="G19" s="42" t="s">
        <v>1336</v>
      </c>
      <c r="H19" s="42">
        <v>62016084</v>
      </c>
      <c r="I19" s="42" t="s">
        <v>505</v>
      </c>
      <c r="J19" s="47" t="s">
        <v>1324</v>
      </c>
      <c r="K19" s="45">
        <v>43922</v>
      </c>
      <c r="L19" s="31">
        <v>1250</v>
      </c>
      <c r="M19" s="31">
        <v>4601.25</v>
      </c>
      <c r="N19" s="31">
        <v>37.5</v>
      </c>
      <c r="O19" s="31">
        <v>138.03749999999999</v>
      </c>
      <c r="P19" s="43">
        <v>0.03</v>
      </c>
      <c r="Q19" s="45">
        <v>47574</v>
      </c>
    </row>
    <row r="20" spans="1:17" ht="15">
      <c r="A20" s="29" t="s">
        <v>78</v>
      </c>
      <c r="B20" s="29">
        <v>9930</v>
      </c>
      <c r="C20" s="42" t="s">
        <v>48</v>
      </c>
      <c r="D20" s="42" t="s">
        <v>1040</v>
      </c>
      <c r="E20" s="42" t="s">
        <v>1311</v>
      </c>
      <c r="F20" s="42" t="s">
        <v>194</v>
      </c>
      <c r="G20" s="42" t="s">
        <v>1040</v>
      </c>
      <c r="H20" s="42">
        <v>62002115</v>
      </c>
      <c r="I20" s="42" t="s">
        <v>505</v>
      </c>
      <c r="J20" s="47" t="s">
        <v>1335</v>
      </c>
      <c r="K20" s="45">
        <v>42887</v>
      </c>
      <c r="L20" s="31">
        <v>600</v>
      </c>
      <c r="M20" s="31">
        <v>2387.4</v>
      </c>
      <c r="N20" s="31">
        <v>5.5510000000000002</v>
      </c>
      <c r="O20" s="31">
        <v>22.0879841</v>
      </c>
      <c r="P20" s="43">
        <v>9.2518991790232052E-3</v>
      </c>
      <c r="Q20" s="45">
        <v>45814</v>
      </c>
    </row>
    <row r="21" spans="1:17" ht="15">
      <c r="A21" s="29" t="s">
        <v>78</v>
      </c>
      <c r="B21" s="29">
        <v>9930</v>
      </c>
      <c r="C21" s="42" t="s">
        <v>48</v>
      </c>
      <c r="D21" s="33" t="s">
        <v>1113</v>
      </c>
      <c r="E21" s="33" t="s">
        <v>901</v>
      </c>
      <c r="F21" s="33" t="s">
        <v>3</v>
      </c>
      <c r="G21" s="42" t="s">
        <v>1113</v>
      </c>
      <c r="H21" s="42">
        <v>9840951</v>
      </c>
      <c r="I21" s="42" t="s">
        <v>505</v>
      </c>
      <c r="J21" s="47" t="s">
        <v>1335</v>
      </c>
      <c r="K21" s="45">
        <v>39142</v>
      </c>
      <c r="L21" s="31">
        <v>500</v>
      </c>
      <c r="M21" s="31">
        <v>1989.5</v>
      </c>
      <c r="N21" s="31">
        <v>45</v>
      </c>
      <c r="O21" s="31">
        <v>179.05950000000001</v>
      </c>
      <c r="P21" s="43">
        <v>9.0002261874842934E-2</v>
      </c>
      <c r="Q21" s="45">
        <v>45717</v>
      </c>
    </row>
    <row r="22" spans="1:17" ht="15">
      <c r="A22" s="29" t="s">
        <v>78</v>
      </c>
      <c r="B22" s="29">
        <v>9756</v>
      </c>
      <c r="C22" s="42" t="s">
        <v>48</v>
      </c>
      <c r="D22" s="42" t="s">
        <v>1046</v>
      </c>
      <c r="E22" s="42" t="s">
        <v>1312</v>
      </c>
      <c r="F22" s="42" t="s">
        <v>194</v>
      </c>
      <c r="G22" s="42" t="s">
        <v>1323</v>
      </c>
      <c r="H22" s="42">
        <v>62000073</v>
      </c>
      <c r="I22" s="42" t="s">
        <v>505</v>
      </c>
      <c r="J22" s="47" t="s">
        <v>1324</v>
      </c>
      <c r="K22" s="45">
        <v>42733</v>
      </c>
      <c r="L22" s="31">
        <v>70</v>
      </c>
      <c r="M22" s="31">
        <v>257.67</v>
      </c>
      <c r="N22" s="31">
        <v>0</v>
      </c>
      <c r="O22" s="31">
        <v>0</v>
      </c>
      <c r="P22" s="43">
        <v>0</v>
      </c>
      <c r="Q22" s="45">
        <v>45655</v>
      </c>
    </row>
    <row r="23" spans="1:17" ht="15">
      <c r="A23" s="29" t="s">
        <v>78</v>
      </c>
      <c r="B23" s="29">
        <v>9756</v>
      </c>
      <c r="C23" s="42" t="s">
        <v>48</v>
      </c>
      <c r="D23" s="42" t="s">
        <v>1043</v>
      </c>
      <c r="E23" s="42" t="s">
        <v>1311</v>
      </c>
      <c r="F23" s="42" t="s">
        <v>194</v>
      </c>
      <c r="G23" s="42" t="s">
        <v>1329</v>
      </c>
      <c r="H23" s="42">
        <v>62002044</v>
      </c>
      <c r="I23" s="42" t="s">
        <v>505</v>
      </c>
      <c r="J23" s="47" t="s">
        <v>1324</v>
      </c>
      <c r="K23" s="45">
        <v>42908</v>
      </c>
      <c r="L23" s="31">
        <v>89.975999999999999</v>
      </c>
      <c r="M23" s="31">
        <v>331.20165600000001</v>
      </c>
      <c r="N23" s="31">
        <v>0</v>
      </c>
      <c r="O23" s="31">
        <v>0</v>
      </c>
      <c r="P23" s="43">
        <v>0</v>
      </c>
      <c r="Q23" s="45">
        <v>45813</v>
      </c>
    </row>
    <row r="24" spans="1:17" ht="15">
      <c r="A24" s="29" t="s">
        <v>78</v>
      </c>
      <c r="B24" s="29">
        <v>9756</v>
      </c>
      <c r="C24" s="42" t="s">
        <v>48</v>
      </c>
      <c r="D24" s="42" t="s">
        <v>1033</v>
      </c>
      <c r="E24" s="42" t="s">
        <v>1308</v>
      </c>
      <c r="F24" s="42" t="s">
        <v>1309</v>
      </c>
      <c r="G24" s="42" t="s">
        <v>1331</v>
      </c>
      <c r="H24" s="42">
        <v>62009766</v>
      </c>
      <c r="I24" s="42" t="s">
        <v>505</v>
      </c>
      <c r="J24" s="47" t="s">
        <v>1324</v>
      </c>
      <c r="K24" s="45">
        <v>43417</v>
      </c>
      <c r="L24" s="31">
        <v>120</v>
      </c>
      <c r="M24" s="31">
        <v>441.72</v>
      </c>
      <c r="N24" s="31">
        <v>5.4</v>
      </c>
      <c r="O24" s="31">
        <v>19.877400000000002</v>
      </c>
      <c r="P24" s="43">
        <v>4.4999999999999998E-2</v>
      </c>
      <c r="Q24" s="45">
        <v>48165</v>
      </c>
    </row>
    <row r="25" spans="1:17" ht="15">
      <c r="A25" s="29" t="s">
        <v>78</v>
      </c>
      <c r="B25" s="29">
        <v>9756</v>
      </c>
      <c r="C25" s="29" t="s">
        <v>48</v>
      </c>
      <c r="D25" s="2" t="s">
        <v>1037</v>
      </c>
      <c r="E25" s="24" t="s">
        <v>1311</v>
      </c>
      <c r="F25" s="24" t="s">
        <v>194</v>
      </c>
      <c r="G25" s="29" t="s">
        <v>1332</v>
      </c>
      <c r="H25" s="49">
        <v>62007869</v>
      </c>
      <c r="I25" s="2" t="s">
        <v>505</v>
      </c>
      <c r="J25" s="47" t="s">
        <v>1324</v>
      </c>
      <c r="K25" s="45">
        <v>43405</v>
      </c>
      <c r="L25" s="31">
        <v>250</v>
      </c>
      <c r="M25" s="31">
        <v>920.25</v>
      </c>
      <c r="N25" s="31">
        <v>0</v>
      </c>
      <c r="O25" s="31">
        <v>0</v>
      </c>
      <c r="P25" s="43">
        <v>0</v>
      </c>
      <c r="Q25" s="45">
        <v>45962</v>
      </c>
    </row>
    <row r="26" spans="1:17" ht="15">
      <c r="A26" s="29" t="s">
        <v>78</v>
      </c>
      <c r="B26" s="29">
        <v>9756</v>
      </c>
      <c r="C26" s="29" t="s">
        <v>48</v>
      </c>
      <c r="D26" s="29" t="s">
        <v>1026</v>
      </c>
      <c r="E26" s="29" t="s">
        <v>1027</v>
      </c>
      <c r="F26" s="29" t="s">
        <v>194</v>
      </c>
      <c r="G26" s="29" t="s">
        <v>1336</v>
      </c>
      <c r="H26" s="29">
        <v>62016084</v>
      </c>
      <c r="I26" s="29" t="s">
        <v>505</v>
      </c>
      <c r="J26" s="47" t="s">
        <v>1324</v>
      </c>
      <c r="K26" s="45">
        <v>43922</v>
      </c>
      <c r="L26" s="31">
        <v>250</v>
      </c>
      <c r="M26" s="31">
        <v>920.25</v>
      </c>
      <c r="N26" s="31">
        <v>7.5</v>
      </c>
      <c r="O26" s="31">
        <v>27.607500000000002</v>
      </c>
      <c r="P26" s="43">
        <v>3.0000000000000002E-2</v>
      </c>
      <c r="Q26" s="45">
        <v>47574</v>
      </c>
    </row>
    <row r="27" spans="1:17" ht="15">
      <c r="A27" s="29" t="s">
        <v>78</v>
      </c>
      <c r="B27" s="29">
        <v>9756</v>
      </c>
      <c r="C27" s="29" t="s">
        <v>48</v>
      </c>
      <c r="D27" s="29" t="s">
        <v>1040</v>
      </c>
      <c r="E27" s="29" t="s">
        <v>1311</v>
      </c>
      <c r="F27" s="29" t="s">
        <v>194</v>
      </c>
      <c r="G27" s="29" t="s">
        <v>1040</v>
      </c>
      <c r="H27" s="29">
        <v>62002115</v>
      </c>
      <c r="I27" s="29" t="s">
        <v>505</v>
      </c>
      <c r="J27" s="47" t="s">
        <v>1335</v>
      </c>
      <c r="K27" s="45">
        <v>42887</v>
      </c>
      <c r="L27" s="31">
        <v>100</v>
      </c>
      <c r="M27" s="31">
        <v>397.90000000000003</v>
      </c>
      <c r="N27" s="31">
        <v>1.542</v>
      </c>
      <c r="O27" s="31">
        <v>6.1357721999999999</v>
      </c>
      <c r="P27" s="43">
        <v>1.5420387534556419E-2</v>
      </c>
      <c r="Q27" s="45">
        <v>45814</v>
      </c>
    </row>
    <row r="28" spans="1:17">
      <c r="J28" s="48"/>
      <c r="K28" s="48"/>
      <c r="Q28" s="48"/>
    </row>
    <row r="29" spans="1:17">
      <c r="J29" s="48"/>
      <c r="K29" s="48"/>
    </row>
    <row r="30" spans="1:17">
      <c r="J30" s="48"/>
      <c r="K30" s="48"/>
    </row>
    <row r="31" spans="1:17">
      <c r="J31" s="48"/>
      <c r="K31" s="48"/>
    </row>
  </sheetData>
  <mergeCells count="3">
    <mergeCell ref="B1:Q1"/>
    <mergeCell ref="R2:R8"/>
    <mergeCell ref="S1:S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2"/>
  <dimension ref="A1:F36"/>
  <sheetViews>
    <sheetView rightToLeft="1" workbookViewId="0">
      <selection activeCell="C37" sqref="C37"/>
    </sheetView>
  </sheetViews>
  <sheetFormatPr defaultRowHeight="14.25"/>
  <cols>
    <col min="1" max="1" width="54" customWidth="1"/>
    <col min="2" max="2" width="10" customWidth="1"/>
    <col min="3" max="3" width="42.125" bestFit="1" customWidth="1"/>
    <col min="4" max="4" width="15" customWidth="1"/>
  </cols>
  <sheetData>
    <row r="1" spans="1:6">
      <c r="B1" s="86" t="s">
        <v>0</v>
      </c>
      <c r="C1" s="51"/>
      <c r="D1" s="51"/>
      <c r="E1" s="51"/>
      <c r="F1" s="86" t="s">
        <v>1</v>
      </c>
    </row>
    <row r="2" spans="1:6">
      <c r="A2" s="4" t="s">
        <v>1236</v>
      </c>
      <c r="B2" s="4" t="s">
        <v>1237</v>
      </c>
      <c r="C2" s="4" t="s">
        <v>1238</v>
      </c>
      <c r="D2" s="4" t="s">
        <v>1239</v>
      </c>
      <c r="E2" s="86" t="s">
        <v>4</v>
      </c>
      <c r="F2" s="86" t="s">
        <v>1</v>
      </c>
    </row>
    <row r="3" spans="1:6">
      <c r="B3" s="86" t="s">
        <v>24</v>
      </c>
      <c r="C3" s="51"/>
      <c r="D3" s="51"/>
    </row>
    <row r="4" spans="1:6">
      <c r="B4" s="86" t="s">
        <v>25</v>
      </c>
      <c r="C4" s="51"/>
      <c r="D4" s="51"/>
    </row>
    <row r="5" spans="1:6">
      <c r="B5" s="15" t="s">
        <v>1170</v>
      </c>
      <c r="C5" s="16" t="s">
        <v>1271</v>
      </c>
    </row>
    <row r="6" spans="1:6">
      <c r="B6" s="17"/>
      <c r="C6" s="16" t="s">
        <v>1272</v>
      </c>
    </row>
    <row r="7" spans="1:6">
      <c r="B7" s="17"/>
      <c r="C7" s="16" t="s">
        <v>1273</v>
      </c>
    </row>
    <row r="8" spans="1:6">
      <c r="B8" s="17"/>
      <c r="C8" s="16" t="s">
        <v>1274</v>
      </c>
    </row>
    <row r="9" spans="1:6">
      <c r="B9" s="17"/>
      <c r="C9" s="16" t="s">
        <v>1275</v>
      </c>
    </row>
    <row r="10" spans="1:6">
      <c r="B10" s="17"/>
      <c r="C10" s="16" t="s">
        <v>1276</v>
      </c>
    </row>
    <row r="11" spans="1:6">
      <c r="B11" s="17"/>
      <c r="C11" s="16" t="s">
        <v>1277</v>
      </c>
    </row>
    <row r="12" spans="1:6">
      <c r="B12" s="17"/>
      <c r="C12" s="16" t="s">
        <v>1278</v>
      </c>
    </row>
    <row r="13" spans="1:6">
      <c r="B13" s="17"/>
      <c r="C13" s="16" t="s">
        <v>939</v>
      </c>
    </row>
    <row r="14" spans="1:6">
      <c r="B14" s="17"/>
      <c r="C14" s="16" t="s">
        <v>1279</v>
      </c>
    </row>
    <row r="15" spans="1:6">
      <c r="B15" s="17"/>
      <c r="C15" s="16" t="s">
        <v>1280</v>
      </c>
    </row>
    <row r="16" spans="1:6">
      <c r="B16" s="17"/>
      <c r="C16" s="16" t="s">
        <v>1281</v>
      </c>
    </row>
    <row r="17" spans="2:3">
      <c r="B17" s="17"/>
      <c r="C17" s="16" t="s">
        <v>1282</v>
      </c>
    </row>
    <row r="18" spans="2:3">
      <c r="B18" s="17"/>
      <c r="C18" s="16" t="s">
        <v>1283</v>
      </c>
    </row>
    <row r="19" spans="2:3">
      <c r="B19" s="17"/>
      <c r="C19" s="16" t="s">
        <v>1284</v>
      </c>
    </row>
    <row r="20" spans="2:3">
      <c r="B20" s="17"/>
      <c r="C20" s="16" t="s">
        <v>1285</v>
      </c>
    </row>
    <row r="21" spans="2:3">
      <c r="B21" s="17"/>
      <c r="C21" s="16" t="s">
        <v>48</v>
      </c>
    </row>
    <row r="22" spans="2:3">
      <c r="B22" s="17"/>
      <c r="C22" s="16" t="s">
        <v>1286</v>
      </c>
    </row>
    <row r="23" spans="2:3">
      <c r="B23" s="17"/>
      <c r="C23" s="16" t="s">
        <v>1287</v>
      </c>
    </row>
    <row r="24" spans="2:3">
      <c r="B24" s="17"/>
      <c r="C24" s="16" t="s">
        <v>1288</v>
      </c>
    </row>
    <row r="25" spans="2:3">
      <c r="B25" s="17"/>
      <c r="C25" s="16" t="s">
        <v>1289</v>
      </c>
    </row>
    <row r="26" spans="2:3">
      <c r="B26" s="17"/>
      <c r="C26" s="16" t="s">
        <v>1290</v>
      </c>
    </row>
    <row r="27" spans="2:3">
      <c r="B27" s="17"/>
      <c r="C27" s="16" t="s">
        <v>1291</v>
      </c>
    </row>
    <row r="28" spans="2:3">
      <c r="B28" s="17"/>
      <c r="C28" s="16" t="s">
        <v>149</v>
      </c>
    </row>
    <row r="29" spans="2:3">
      <c r="B29" s="18" t="s">
        <v>66</v>
      </c>
      <c r="C29" s="19" t="s">
        <v>1292</v>
      </c>
    </row>
    <row r="30" spans="2:3">
      <c r="B30" s="20"/>
      <c r="C30" s="19" t="s">
        <v>894</v>
      </c>
    </row>
    <row r="31" spans="2:3">
      <c r="B31" s="20"/>
      <c r="C31" s="21" t="s">
        <v>1293</v>
      </c>
    </row>
    <row r="32" spans="2:3">
      <c r="B32" s="20"/>
      <c r="C32" s="21" t="s">
        <v>1294</v>
      </c>
    </row>
    <row r="33" spans="2:3">
      <c r="B33" s="20"/>
      <c r="C33" s="21" t="s">
        <v>1295</v>
      </c>
    </row>
    <row r="34" spans="2:3">
      <c r="B34" s="20"/>
      <c r="C34" s="21" t="s">
        <v>1296</v>
      </c>
    </row>
    <row r="35" spans="2:3">
      <c r="B35" t="s">
        <v>1301</v>
      </c>
      <c r="C35" s="26" t="s">
        <v>866</v>
      </c>
    </row>
    <row r="36" spans="2:3">
      <c r="C36" s="26" t="s">
        <v>84</v>
      </c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3"/>
  <dimension ref="A1:F4"/>
  <sheetViews>
    <sheetView rightToLeft="1" workbookViewId="0"/>
  </sheetViews>
  <sheetFormatPr defaultRowHeight="14.25"/>
  <cols>
    <col min="1" max="1" width="11" customWidth="1"/>
    <col min="2" max="2" width="9" customWidth="1"/>
    <col min="3" max="3" width="11" customWidth="1"/>
    <col min="4" max="4" width="27" customWidth="1"/>
  </cols>
  <sheetData>
    <row r="1" spans="1:6">
      <c r="B1" s="87" t="s">
        <v>0</v>
      </c>
      <c r="C1" s="51"/>
      <c r="D1" s="51"/>
      <c r="E1" s="51"/>
      <c r="F1" s="87" t="s">
        <v>1</v>
      </c>
    </row>
    <row r="2" spans="1:6">
      <c r="A2" s="4" t="s">
        <v>1240</v>
      </c>
      <c r="B2" s="4" t="s">
        <v>1241</v>
      </c>
      <c r="C2" s="4" t="s">
        <v>1242</v>
      </c>
      <c r="D2" s="4" t="s">
        <v>1243</v>
      </c>
      <c r="E2" s="87" t="s">
        <v>4</v>
      </c>
      <c r="F2" s="87" t="s">
        <v>1</v>
      </c>
    </row>
    <row r="3" spans="1:6">
      <c r="B3" s="87" t="s">
        <v>24</v>
      </c>
      <c r="C3" s="51"/>
      <c r="D3" s="51"/>
    </row>
    <row r="4" spans="1:6">
      <c r="B4" s="87" t="s">
        <v>25</v>
      </c>
      <c r="C4" s="51"/>
      <c r="D4" s="51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מב"כ ויה"ש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אגרות חוב ממשלתיות</vt:lpstr>
      <vt:lpstr>לא סחיר אגרות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מב"כ ויה"ש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C2333.Office3</cp:lastModifiedBy>
  <dcterms:created xsi:type="dcterms:W3CDTF">2024-05-07T10:32:50Z</dcterms:created>
  <dcterms:modified xsi:type="dcterms:W3CDTF">2024-06-10T05:52:00Z</dcterms:modified>
</cp:coreProperties>
</file>